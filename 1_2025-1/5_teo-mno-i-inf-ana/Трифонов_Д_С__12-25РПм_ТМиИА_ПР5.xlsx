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3256" windowHeight="13176"/>
  </bookViews>
  <sheets>
    <sheet name="Лист1" sheetId="1" r:id="rId1"/>
    <sheet name="Лист2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/>
  <c r="C2"/>
  <c r="B2"/>
  <c r="D2"/>
  <c r="F16" i="1"/>
  <c r="G14" l="1"/>
  <c r="F14"/>
  <c r="G13"/>
  <c r="F13"/>
  <c r="G10"/>
  <c r="F10"/>
  <c r="G9"/>
  <c r="F9"/>
  <c r="G8"/>
  <c r="F8"/>
  <c r="G4"/>
  <c r="F4"/>
  <c r="G3"/>
  <c r="F3"/>
  <c r="G2"/>
  <c r="F2"/>
  <c r="G12"/>
  <c r="G7"/>
  <c r="G5"/>
  <c r="G11"/>
  <c r="G6"/>
  <c r="G16"/>
  <c r="F11"/>
  <c r="F7"/>
  <c r="F5"/>
  <c r="F6"/>
  <c r="F12"/>
  <c r="G15" l="1"/>
  <c r="F15"/>
</calcChain>
</file>

<file path=xl/sharedStrings.xml><?xml version="1.0" encoding="utf-8"?>
<sst xmlns="http://schemas.openxmlformats.org/spreadsheetml/2006/main" count="67" uniqueCount="35">
  <si>
    <t>Характеристика</t>
  </si>
  <si>
    <t>Студенты</t>
  </si>
  <si>
    <t>Студентки</t>
  </si>
  <si>
    <t>Исходные данные Студенты</t>
  </si>
  <si>
    <t>Исходные данные Студентки</t>
  </si>
  <si>
    <t>Объем выборки (n)</t>
  </si>
  <si>
    <t>Сумма</t>
  </si>
  <si>
    <t>Среднее арифметическое</t>
  </si>
  <si>
    <t>Дисперсия (несмещенная)</t>
  </si>
  <si>
    <t>Стандартное отклонение (S)</t>
  </si>
  <si>
    <t>Мода</t>
  </si>
  <si>
    <t>Медиана</t>
  </si>
  <si>
    <t>Минимальное значение</t>
  </si>
  <si>
    <t>Максимальное значение</t>
  </si>
  <si>
    <t>Нижний квартиль (Q1)</t>
  </si>
  <si>
    <t>Верхний квартиль (Q3)</t>
  </si>
  <si>
    <t>Эксцесс</t>
  </si>
  <si>
    <t>Асимметрия (скошенность)</t>
  </si>
  <si>
    <t>Ошибка средней (m)</t>
  </si>
  <si>
    <t>Доверительный интервал</t>
  </si>
  <si>
    <t>Среднее</t>
  </si>
  <si>
    <t>Стандартная ошибка</t>
  </si>
  <si>
    <t>Стандартное отклонение</t>
  </si>
  <si>
    <t>Дисперсия выборки</t>
  </si>
  <si>
    <t>Асимметричность</t>
  </si>
  <si>
    <t>Интервал</t>
  </si>
  <si>
    <t>Минимум</t>
  </si>
  <si>
    <t>Максимум</t>
  </si>
  <si>
    <t>Счет</t>
  </si>
  <si>
    <t>Студенты Пакет анализа данных</t>
  </si>
  <si>
    <t>Студентки Пакет анализа данных</t>
  </si>
  <si>
    <t>Масса девочек, кг</t>
  </si>
  <si>
    <t>Среднее значение</t>
  </si>
  <si>
    <t>Расчёт размаха</t>
  </si>
  <si>
    <t>Пакет анализа Проверка результатов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</si>
</sst>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6" xfId="0" applyFill="1" applyBorder="1" applyAlignment="1"/>
    <xf numFmtId="0" fontId="1" fillId="0" borderId="7" xfId="0" applyFont="1" applyFill="1" applyBorder="1" applyAlignment="1">
      <alignment horizontal="centerContinuous"/>
    </xf>
    <xf numFmtId="0" fontId="1" fillId="0" borderId="7" xfId="0" applyFont="1" applyFill="1" applyBorder="1" applyAlignment="1">
      <alignment horizontal="centerContinuous"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8" xfId="0" applyBorder="1"/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2" fillId="4" borderId="1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tabSelected="1" zoomScale="82" workbookViewId="0">
      <selection activeCell="I9" sqref="I9"/>
    </sheetView>
  </sheetViews>
  <sheetFormatPr defaultRowHeight="14.4"/>
  <cols>
    <col min="1" max="1" width="18.33203125" customWidth="1"/>
    <col min="2" max="2" width="12.88671875" customWidth="1"/>
    <col min="3" max="3" width="10.5546875" customWidth="1"/>
    <col min="4" max="4" width="11" customWidth="1"/>
    <col min="5" max="5" width="26.109375" bestFit="1" customWidth="1"/>
    <col min="6" max="6" width="10.6640625" customWidth="1"/>
    <col min="7" max="7" width="10.109375" customWidth="1"/>
    <col min="9" max="9" width="5.33203125" customWidth="1"/>
    <col min="10" max="10" width="2.5546875" customWidth="1"/>
    <col min="11" max="11" width="17.6640625" customWidth="1"/>
    <col min="14" max="14" width="6.44140625" customWidth="1"/>
    <col min="15" max="15" width="18.44140625" customWidth="1"/>
  </cols>
  <sheetData>
    <row r="1" spans="1:16" ht="43.8" thickBot="1">
      <c r="A1" s="2" t="s">
        <v>3</v>
      </c>
      <c r="B1" s="2" t="s">
        <v>4</v>
      </c>
      <c r="E1" s="1" t="s">
        <v>0</v>
      </c>
      <c r="F1" s="1" t="s">
        <v>1</v>
      </c>
      <c r="G1" s="1" t="s">
        <v>2</v>
      </c>
    </row>
    <row r="2" spans="1:16" ht="43.5" customHeight="1">
      <c r="A2" s="17">
        <v>189</v>
      </c>
      <c r="B2" s="21">
        <v>160</v>
      </c>
      <c r="E2" s="3" t="s">
        <v>5</v>
      </c>
      <c r="F2" s="4">
        <f>COUNT(A2:A52)</f>
        <v>51</v>
      </c>
      <c r="G2" s="4">
        <f>COUNT(B2:B13)</f>
        <v>12</v>
      </c>
      <c r="K2" s="9" t="s">
        <v>29</v>
      </c>
      <c r="L2" s="8"/>
      <c r="O2" s="9" t="s">
        <v>30</v>
      </c>
      <c r="P2" s="8"/>
    </row>
    <row r="3" spans="1:16">
      <c r="A3" s="17">
        <v>182</v>
      </c>
      <c r="B3" s="21">
        <v>158</v>
      </c>
      <c r="E3" s="3" t="s">
        <v>6</v>
      </c>
      <c r="F3" s="4">
        <f>SUM(A2:A52)</f>
        <v>9444</v>
      </c>
      <c r="G3" s="4">
        <f>SUM(B2:B13)</f>
        <v>1935</v>
      </c>
      <c r="K3" s="6"/>
      <c r="L3" s="6"/>
      <c r="O3" s="10"/>
      <c r="P3" s="6"/>
    </row>
    <row r="4" spans="1:16">
      <c r="A4" s="17">
        <v>183</v>
      </c>
      <c r="B4" s="21">
        <v>165</v>
      </c>
      <c r="E4" s="3" t="s">
        <v>7</v>
      </c>
      <c r="F4" s="4">
        <f>AVERAGE(A2:A52)</f>
        <v>185.1764705882353</v>
      </c>
      <c r="G4" s="4">
        <f>AVERAGE(B2:B13)</f>
        <v>161.25</v>
      </c>
      <c r="K4" s="11" t="s">
        <v>20</v>
      </c>
      <c r="L4" s="6">
        <v>184</v>
      </c>
      <c r="O4" s="11" t="s">
        <v>20</v>
      </c>
      <c r="P4" s="6">
        <v>162.75</v>
      </c>
    </row>
    <row r="5" spans="1:16" ht="28.8">
      <c r="A5" s="17">
        <v>188</v>
      </c>
      <c r="B5" s="21">
        <v>160</v>
      </c>
      <c r="E5" s="3" t="s">
        <v>8</v>
      </c>
      <c r="F5" s="4" t="e">
        <f ca="1">_xlfn.VAR.S(A2:A52)</f>
        <v>#NAME?</v>
      </c>
      <c r="G5" s="4" t="e">
        <f ca="1">_xlfn.VAR.S(B2:B13)</f>
        <v>#NAME?</v>
      </c>
      <c r="K5" s="11" t="s">
        <v>21</v>
      </c>
      <c r="L5" s="6">
        <v>0.73671235773483235</v>
      </c>
      <c r="O5" s="11" t="s">
        <v>21</v>
      </c>
      <c r="P5" s="6">
        <v>1.2500000000000002</v>
      </c>
    </row>
    <row r="6" spans="1:16">
      <c r="A6" s="17">
        <v>190</v>
      </c>
      <c r="B6" s="21">
        <v>168</v>
      </c>
      <c r="E6" s="3" t="s">
        <v>9</v>
      </c>
      <c r="F6" s="4" t="e">
        <f ca="1">_xlfn.STDEV.S(A2:A52)</f>
        <v>#NAME?</v>
      </c>
      <c r="G6" s="4" t="e">
        <f ca="1">_xlfn.STDEV.S(B2:B13)</f>
        <v>#NAME?</v>
      </c>
      <c r="K6" s="11" t="s">
        <v>11</v>
      </c>
      <c r="L6" s="6">
        <v>185</v>
      </c>
      <c r="O6" s="11" t="s">
        <v>11</v>
      </c>
      <c r="P6" s="6">
        <v>161.5</v>
      </c>
    </row>
    <row r="7" spans="1:16">
      <c r="A7" s="17">
        <v>185</v>
      </c>
      <c r="B7" s="21">
        <v>155</v>
      </c>
      <c r="E7" s="3" t="s">
        <v>10</v>
      </c>
      <c r="F7" s="4" t="e">
        <f ca="1">_xlfn.MODE.SNGL(A2:A52)</f>
        <v>#NAME?</v>
      </c>
      <c r="G7" s="4" t="e">
        <f ca="1">_xlfn.MODE.SNGL(B2:B13)</f>
        <v>#NAME?</v>
      </c>
      <c r="K7" s="11" t="s">
        <v>10</v>
      </c>
      <c r="L7" s="6">
        <v>178</v>
      </c>
      <c r="O7" s="11" t="s">
        <v>10</v>
      </c>
      <c r="P7" s="6">
        <v>160</v>
      </c>
    </row>
    <row r="8" spans="1:16" ht="28.8">
      <c r="A8" s="17">
        <v>179</v>
      </c>
      <c r="B8" s="21">
        <v>161</v>
      </c>
      <c r="E8" s="3" t="s">
        <v>11</v>
      </c>
      <c r="F8" s="4">
        <f>MEDIAN(A2:A52)</f>
        <v>185</v>
      </c>
      <c r="G8" s="4">
        <f>MEDIAN(B2:B13)</f>
        <v>160.5</v>
      </c>
      <c r="K8" s="11" t="s">
        <v>22</v>
      </c>
      <c r="L8" s="6">
        <v>5.2611785751863618</v>
      </c>
      <c r="O8" s="11" t="s">
        <v>22</v>
      </c>
      <c r="P8" s="6">
        <v>4.3301270189221936</v>
      </c>
    </row>
    <row r="9" spans="1:16" ht="28.8">
      <c r="A9" s="17">
        <v>188</v>
      </c>
      <c r="B9" s="21">
        <v>160</v>
      </c>
      <c r="E9" s="3" t="s">
        <v>12</v>
      </c>
      <c r="F9" s="4">
        <f>MIN(A2:A52)</f>
        <v>176</v>
      </c>
      <c r="G9" s="4">
        <f>MIN(B2:B13)</f>
        <v>155</v>
      </c>
      <c r="K9" s="11" t="s">
        <v>23</v>
      </c>
      <c r="L9" s="6">
        <v>27.68</v>
      </c>
      <c r="O9" s="11" t="s">
        <v>23</v>
      </c>
      <c r="P9" s="6">
        <v>18.75</v>
      </c>
    </row>
    <row r="10" spans="1:16">
      <c r="A10" s="17">
        <v>185</v>
      </c>
      <c r="B10" s="21">
        <v>163</v>
      </c>
      <c r="E10" s="3" t="s">
        <v>13</v>
      </c>
      <c r="F10" s="4">
        <f>MAX(A2:A52)</f>
        <v>192</v>
      </c>
      <c r="G10" s="4">
        <f>MAX(B2:B13)</f>
        <v>168</v>
      </c>
      <c r="K10" s="11" t="s">
        <v>16</v>
      </c>
      <c r="L10" s="6">
        <v>-1.0973866893143684</v>
      </c>
      <c r="O10" s="11" t="s">
        <v>16</v>
      </c>
      <c r="P10" s="6">
        <v>-7.6929292929319715E-3</v>
      </c>
    </row>
    <row r="11" spans="1:16">
      <c r="A11" s="17">
        <v>188</v>
      </c>
      <c r="B11" s="21">
        <v>159</v>
      </c>
      <c r="E11" s="3" t="s">
        <v>14</v>
      </c>
      <c r="F11" s="4" t="e">
        <f ca="1">_xlfn.QUARTILE.INC(A2:A53,1)</f>
        <v>#NAME?</v>
      </c>
      <c r="G11" s="4" t="e">
        <f ca="1">_xlfn.QUARTILE.INC(B2:B13,1)</f>
        <v>#NAME?</v>
      </c>
      <c r="K11" s="11" t="s">
        <v>24</v>
      </c>
      <c r="L11" s="6">
        <v>-1.0291708088439148E-2</v>
      </c>
      <c r="O11" s="11" t="s">
        <v>24</v>
      </c>
      <c r="P11" s="6">
        <v>0.89739126931786728</v>
      </c>
    </row>
    <row r="12" spans="1:16">
      <c r="A12" s="17">
        <v>192</v>
      </c>
      <c r="B12" s="21">
        <v>162</v>
      </c>
      <c r="E12" s="3" t="s">
        <v>15</v>
      </c>
      <c r="F12" s="4" t="e">
        <f ca="1">_xlfn.QUARTILE.INC(A2:A52,3)</f>
        <v>#NAME?</v>
      </c>
      <c r="G12" s="4" t="e">
        <f ca="1">_xlfn.QUARTILE.INC(B2:B13,1)</f>
        <v>#NAME?</v>
      </c>
      <c r="K12" s="11" t="s">
        <v>25</v>
      </c>
      <c r="L12" s="6">
        <v>20</v>
      </c>
      <c r="O12" s="11" t="s">
        <v>25</v>
      </c>
      <c r="P12" s="6">
        <v>14</v>
      </c>
    </row>
    <row r="13" spans="1:16">
      <c r="A13" s="17">
        <v>180</v>
      </c>
      <c r="B13" s="21">
        <v>164</v>
      </c>
      <c r="E13" s="3" t="s">
        <v>16</v>
      </c>
      <c r="F13" s="4">
        <f>KURT(A2:A52)</f>
        <v>-9.0128336994453662E-2</v>
      </c>
      <c r="G13" s="4">
        <f>KURT(B2:B13)</f>
        <v>0.47452521910838641</v>
      </c>
      <c r="K13" s="11" t="s">
        <v>26</v>
      </c>
      <c r="L13" s="6">
        <v>175</v>
      </c>
      <c r="O13" s="11" t="s">
        <v>26</v>
      </c>
      <c r="P13" s="6">
        <v>157</v>
      </c>
    </row>
    <row r="14" spans="1:16">
      <c r="A14" s="17">
        <v>185</v>
      </c>
      <c r="B14" s="13"/>
      <c r="E14" s="3" t="s">
        <v>17</v>
      </c>
      <c r="F14" s="4">
        <f>SKEW(A2:A52)</f>
        <v>-0.58325171733055925</v>
      </c>
      <c r="G14" s="4">
        <f>SKEW(B2:B13)</f>
        <v>0.24397680067056354</v>
      </c>
      <c r="K14" s="11" t="s">
        <v>27</v>
      </c>
      <c r="L14" s="6">
        <v>195</v>
      </c>
      <c r="O14" s="11" t="s">
        <v>27</v>
      </c>
      <c r="P14" s="6">
        <v>171</v>
      </c>
    </row>
    <row r="15" spans="1:16">
      <c r="A15" s="17">
        <v>178</v>
      </c>
      <c r="B15" s="13"/>
      <c r="E15" s="3" t="s">
        <v>18</v>
      </c>
      <c r="F15" s="4" t="e">
        <f ca="1">F6/SQRT(F2)</f>
        <v>#NAME?</v>
      </c>
      <c r="G15" s="4" t="e">
        <f ca="1">G6/SQRT(G2)</f>
        <v>#NAME?</v>
      </c>
      <c r="K15" s="11" t="s">
        <v>6</v>
      </c>
      <c r="L15" s="6">
        <v>9384</v>
      </c>
      <c r="O15" s="11" t="s">
        <v>6</v>
      </c>
      <c r="P15" s="6">
        <v>1953</v>
      </c>
    </row>
    <row r="16" spans="1:16" ht="15" thickBot="1">
      <c r="A16" s="17">
        <v>188</v>
      </c>
      <c r="E16" s="5" t="s">
        <v>19</v>
      </c>
      <c r="F16" s="4" t="e">
        <f ca="1">_xlfn.CONFIDENCE.T(0.05,F6,F2)</f>
        <v>#NAME?</v>
      </c>
      <c r="G16" s="4" t="e">
        <f ca="1">_xlfn.CONFIDENCE.T(0.05,G6,G2)</f>
        <v>#NAME?</v>
      </c>
      <c r="K16" s="12" t="s">
        <v>28</v>
      </c>
      <c r="L16" s="7">
        <v>51</v>
      </c>
      <c r="O16" s="12" t="s">
        <v>28</v>
      </c>
      <c r="P16" s="7">
        <v>12</v>
      </c>
    </row>
    <row r="17" spans="1:16">
      <c r="A17" s="17">
        <v>186</v>
      </c>
      <c r="L17">
        <v>0</v>
      </c>
      <c r="P17">
        <v>0</v>
      </c>
    </row>
    <row r="18" spans="1:16">
      <c r="A18" s="17">
        <v>184</v>
      </c>
    </row>
    <row r="19" spans="1:16">
      <c r="A19" s="17">
        <v>187</v>
      </c>
    </row>
    <row r="20" spans="1:16">
      <c r="A20" s="17">
        <v>181</v>
      </c>
    </row>
    <row r="21" spans="1:16">
      <c r="A21" s="17">
        <v>185</v>
      </c>
    </row>
    <row r="22" spans="1:16">
      <c r="A22" s="17">
        <v>189</v>
      </c>
    </row>
    <row r="23" spans="1:16">
      <c r="A23" s="17">
        <v>176</v>
      </c>
    </row>
    <row r="24" spans="1:16">
      <c r="A24" s="17">
        <v>188</v>
      </c>
    </row>
    <row r="25" spans="1:16">
      <c r="A25" s="17">
        <v>183</v>
      </c>
    </row>
    <row r="26" spans="1:16">
      <c r="A26" s="17">
        <v>190</v>
      </c>
    </row>
    <row r="27" spans="1:16">
      <c r="A27" s="17">
        <v>184</v>
      </c>
    </row>
    <row r="28" spans="1:16">
      <c r="A28" s="17">
        <v>182</v>
      </c>
    </row>
    <row r="29" spans="1:16">
      <c r="A29" s="17">
        <v>188</v>
      </c>
    </row>
    <row r="30" spans="1:16">
      <c r="A30" s="17">
        <v>185</v>
      </c>
    </row>
    <row r="31" spans="1:16">
      <c r="A31" s="17">
        <v>187</v>
      </c>
    </row>
    <row r="32" spans="1:16">
      <c r="A32" s="17">
        <v>177</v>
      </c>
    </row>
    <row r="33" spans="1:1">
      <c r="A33" s="17">
        <v>188</v>
      </c>
    </row>
    <row r="34" spans="1:1">
      <c r="A34" s="17">
        <v>186</v>
      </c>
    </row>
    <row r="35" spans="1:1">
      <c r="A35" s="17">
        <v>183</v>
      </c>
    </row>
    <row r="36" spans="1:1">
      <c r="A36" s="17">
        <v>191</v>
      </c>
    </row>
    <row r="37" spans="1:1">
      <c r="A37" s="17">
        <v>185</v>
      </c>
    </row>
    <row r="38" spans="1:1">
      <c r="A38" s="17">
        <v>184</v>
      </c>
    </row>
    <row r="39" spans="1:1">
      <c r="A39" s="17">
        <v>189</v>
      </c>
    </row>
    <row r="40" spans="1:1">
      <c r="A40" s="17">
        <v>181</v>
      </c>
    </row>
    <row r="41" spans="1:1">
      <c r="A41" s="17">
        <v>185</v>
      </c>
    </row>
    <row r="42" spans="1:1">
      <c r="A42" s="17">
        <v>188</v>
      </c>
    </row>
    <row r="43" spans="1:1">
      <c r="A43" s="17">
        <v>187</v>
      </c>
    </row>
    <row r="44" spans="1:1">
      <c r="A44" s="17">
        <v>179</v>
      </c>
    </row>
    <row r="45" spans="1:1">
      <c r="A45" s="17">
        <v>188</v>
      </c>
    </row>
    <row r="46" spans="1:1">
      <c r="A46" s="17">
        <v>185</v>
      </c>
    </row>
    <row r="47" spans="1:1">
      <c r="A47" s="17">
        <v>183</v>
      </c>
    </row>
    <row r="48" spans="1:1">
      <c r="A48" s="17">
        <v>189</v>
      </c>
    </row>
    <row r="49" spans="1:1">
      <c r="A49" s="17">
        <v>186</v>
      </c>
    </row>
    <row r="50" spans="1:1">
      <c r="A50" s="17">
        <v>182</v>
      </c>
    </row>
    <row r="51" spans="1:1">
      <c r="A51" s="17">
        <v>185</v>
      </c>
    </row>
    <row r="52" spans="1:1" ht="15" thickBot="1">
      <c r="A52" s="16">
        <v>188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9"/>
  <sheetViews>
    <sheetView zoomScale="90" zoomScaleNormal="90" workbookViewId="0">
      <selection activeCell="C7" sqref="C7"/>
    </sheetView>
  </sheetViews>
  <sheetFormatPr defaultRowHeight="14.4"/>
  <cols>
    <col min="1" max="1" width="11.6640625" customWidth="1"/>
    <col min="2" max="2" width="17.88671875" customWidth="1"/>
    <col min="3" max="3" width="13.5546875" customWidth="1"/>
  </cols>
  <sheetData>
    <row r="1" spans="1:8" ht="43.2">
      <c r="A1" s="14" t="s">
        <v>31</v>
      </c>
      <c r="B1" s="14" t="s">
        <v>32</v>
      </c>
      <c r="C1" s="14" t="s">
        <v>33</v>
      </c>
      <c r="D1" s="14" t="s">
        <v>10</v>
      </c>
      <c r="E1" s="14" t="s">
        <v>11</v>
      </c>
      <c r="G1" s="9" t="s">
        <v>34</v>
      </c>
      <c r="H1" s="8"/>
    </row>
    <row r="2" spans="1:8">
      <c r="A2" s="18">
        <v>20</v>
      </c>
      <c r="B2" s="15">
        <f>AVERAGE(A2:A39)</f>
        <v>21.455263157894738</v>
      </c>
      <c r="C2" s="4">
        <f>MAX(A2:A39)-MIN(A2:A39)</f>
        <v>5.1999999999999993</v>
      </c>
      <c r="D2" s="4" t="e">
        <f ca="1">_xlfn.MODE.SNGL(A2:A39)</f>
        <v>#NAME?</v>
      </c>
      <c r="E2" s="4">
        <f>MEDIAN(A2:A39)</f>
        <v>20.9</v>
      </c>
      <c r="G2" s="6"/>
      <c r="H2" s="6"/>
    </row>
    <row r="3" spans="1:8">
      <c r="A3" s="19">
        <v>20</v>
      </c>
      <c r="G3" s="6" t="s">
        <v>20</v>
      </c>
      <c r="H3" s="6">
        <v>21.644736842105257</v>
      </c>
    </row>
    <row r="4" spans="1:8">
      <c r="A4" s="19">
        <v>20</v>
      </c>
      <c r="G4" s="6" t="s">
        <v>21</v>
      </c>
      <c r="H4" s="6">
        <v>0.30355169667162102</v>
      </c>
    </row>
    <row r="5" spans="1:8">
      <c r="A5" s="19">
        <v>20</v>
      </c>
      <c r="G5" s="6" t="s">
        <v>11</v>
      </c>
      <c r="H5" s="6">
        <v>20.8</v>
      </c>
    </row>
    <row r="6" spans="1:8">
      <c r="A6" s="19">
        <v>20</v>
      </c>
      <c r="G6" s="6" t="s">
        <v>10</v>
      </c>
      <c r="H6" s="6">
        <v>20</v>
      </c>
    </row>
    <row r="7" spans="1:8">
      <c r="A7" s="19">
        <v>20</v>
      </c>
      <c r="G7" s="6" t="s">
        <v>22</v>
      </c>
      <c r="H7" s="6">
        <v>1.8712183295875318</v>
      </c>
    </row>
    <row r="8" spans="1:8">
      <c r="A8" s="19">
        <v>20</v>
      </c>
      <c r="G8" s="6" t="s">
        <v>23</v>
      </c>
      <c r="H8" s="6">
        <v>3.5014580369843529</v>
      </c>
    </row>
    <row r="9" spans="1:8">
      <c r="A9" s="19">
        <v>20</v>
      </c>
      <c r="G9" s="6" t="s">
        <v>16</v>
      </c>
      <c r="H9" s="6">
        <v>-1.5513832683586777</v>
      </c>
    </row>
    <row r="10" spans="1:8">
      <c r="A10" s="19">
        <v>20</v>
      </c>
      <c r="G10" s="6" t="s">
        <v>24</v>
      </c>
      <c r="H10" s="6">
        <v>0.3699137890804306</v>
      </c>
    </row>
    <row r="11" spans="1:8">
      <c r="A11" s="19">
        <v>20</v>
      </c>
      <c r="G11" s="6" t="s">
        <v>25</v>
      </c>
      <c r="H11" s="6">
        <v>5.1999999999999993</v>
      </c>
    </row>
    <row r="12" spans="1:8">
      <c r="A12" s="19">
        <v>19.3</v>
      </c>
      <c r="G12" s="6" t="s">
        <v>26</v>
      </c>
      <c r="H12" s="6">
        <v>19.3</v>
      </c>
    </row>
    <row r="13" spans="1:8">
      <c r="A13" s="19">
        <v>19.5</v>
      </c>
      <c r="G13" s="6" t="s">
        <v>27</v>
      </c>
      <c r="H13" s="6">
        <v>24.5</v>
      </c>
    </row>
    <row r="14" spans="1:8">
      <c r="A14" s="19">
        <v>19.8</v>
      </c>
      <c r="G14" s="6" t="s">
        <v>6</v>
      </c>
      <c r="H14" s="6">
        <v>822.49999999999977</v>
      </c>
    </row>
    <row r="15" spans="1:8" ht="15" thickBot="1">
      <c r="A15" s="19">
        <v>20.2</v>
      </c>
      <c r="G15" s="7" t="s">
        <v>28</v>
      </c>
      <c r="H15" s="7">
        <v>38</v>
      </c>
    </row>
    <row r="16" spans="1:8">
      <c r="A16" s="19">
        <v>20.399999999999999</v>
      </c>
      <c r="H16">
        <v>0</v>
      </c>
    </row>
    <row r="17" spans="1:1">
      <c r="A17" s="19">
        <v>20.6</v>
      </c>
    </row>
    <row r="18" spans="1:1">
      <c r="A18" s="19">
        <v>20.8</v>
      </c>
    </row>
    <row r="19" spans="1:1">
      <c r="A19" s="19">
        <v>20.8</v>
      </c>
    </row>
    <row r="20" spans="1:1">
      <c r="A20" s="19">
        <v>20.8</v>
      </c>
    </row>
    <row r="21" spans="1:1">
      <c r="A21" s="19">
        <v>21</v>
      </c>
    </row>
    <row r="22" spans="1:1">
      <c r="A22" s="19">
        <v>21.2</v>
      </c>
    </row>
    <row r="23" spans="1:1">
      <c r="A23" s="19">
        <v>21.4</v>
      </c>
    </row>
    <row r="24" spans="1:1">
      <c r="A24" s="19">
        <v>21.6</v>
      </c>
    </row>
    <row r="25" spans="1:1">
      <c r="A25" s="19">
        <v>21.8</v>
      </c>
    </row>
    <row r="26" spans="1:1">
      <c r="A26" s="19">
        <v>22</v>
      </c>
    </row>
    <row r="27" spans="1:1">
      <c r="A27" s="19">
        <v>22.2</v>
      </c>
    </row>
    <row r="28" spans="1:1">
      <c r="A28" s="19">
        <v>22.4</v>
      </c>
    </row>
    <row r="29" spans="1:1">
      <c r="A29" s="19">
        <v>22.6</v>
      </c>
    </row>
    <row r="30" spans="1:1">
      <c r="A30" s="19">
        <v>22.8</v>
      </c>
    </row>
    <row r="31" spans="1:1">
      <c r="A31" s="19">
        <v>23</v>
      </c>
    </row>
    <row r="32" spans="1:1">
      <c r="A32" s="19">
        <v>23.2</v>
      </c>
    </row>
    <row r="33" spans="1:1">
      <c r="A33" s="19">
        <v>23.4</v>
      </c>
    </row>
    <row r="34" spans="1:1">
      <c r="A34" s="19">
        <v>23.6</v>
      </c>
    </row>
    <row r="35" spans="1:1">
      <c r="A35" s="19">
        <v>23.8</v>
      </c>
    </row>
    <row r="36" spans="1:1">
      <c r="A36" s="19">
        <v>24</v>
      </c>
    </row>
    <row r="37" spans="1:1">
      <c r="A37" s="19">
        <v>24.2</v>
      </c>
    </row>
    <row r="38" spans="1:1">
      <c r="A38" s="19">
        <v>24.4</v>
      </c>
    </row>
    <row r="39" spans="1:1">
      <c r="A39" s="20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2015-06-05T18:19:34Z</dcterms:created>
  <dcterms:modified xsi:type="dcterms:W3CDTF">2025-12-24T10:59:40Z</dcterms:modified>
</cp:coreProperties>
</file>