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5532" yWindow="1152" windowWidth="17460" windowHeight="13176"/>
  </bookViews>
  <sheets>
    <sheet name="Пример" sheetId="1" r:id="rId1"/>
    <sheet name="Отчет по результатам 1" sheetId="7" r:id="rId2"/>
    <sheet name="Отчет по устойчивости 1" sheetId="8" r:id="rId3"/>
    <sheet name="Отчет по пределам 1" sheetId="9" r:id="rId4"/>
  </sheets>
  <definedNames>
    <definedName name="solver_adj" localSheetId="0" hidden="1">Пример!$B$3:$E$3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Пример!$F$13:$F$15</definedName>
    <definedName name="solver_lhs2" localSheetId="0" hidden="1">Пример!$F$6:$F$8</definedName>
    <definedName name="solver_lhs3" localSheetId="0" hidden="1">Пример!$F$9:$F$12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Пример!$F$4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hs1" localSheetId="0" hidden="1">Пример!$H$13:$H$15</definedName>
    <definedName name="solver_rhs2" localSheetId="0" hidden="1">Пример!$H$6:$H$8</definedName>
    <definedName name="solver_rhs3" localSheetId="0" hidden="1">Пример!$H$9:$H$12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/>
  <c r="I7" s="1"/>
  <c r="F8"/>
  <c r="I8" s="1"/>
  <c r="F9"/>
  <c r="I9" s="1"/>
  <c r="F10"/>
  <c r="I10" s="1"/>
  <c r="F11"/>
  <c r="I11" s="1"/>
  <c r="F12"/>
  <c r="I12" s="1"/>
  <c r="F13"/>
  <c r="I13" s="1"/>
  <c r="F14"/>
  <c r="I14" s="1"/>
  <c r="F15"/>
  <c r="I15" s="1"/>
  <c r="F6"/>
  <c r="I6" s="1"/>
  <c r="F4"/>
</calcChain>
</file>

<file path=xl/sharedStrings.xml><?xml version="1.0" encoding="utf-8"?>
<sst xmlns="http://schemas.openxmlformats.org/spreadsheetml/2006/main" count="181" uniqueCount="98">
  <si>
    <t>Трудовые</t>
  </si>
  <si>
    <t>Финансы</t>
  </si>
  <si>
    <t>Прибыль</t>
  </si>
  <si>
    <t>Производственный план</t>
  </si>
  <si>
    <t>Продукт</t>
  </si>
  <si>
    <t>Количество</t>
  </si>
  <si>
    <t>Прибыль/ед.</t>
  </si>
  <si>
    <t>Ограничения</t>
  </si>
  <si>
    <t>Сырьё</t>
  </si>
  <si>
    <t>Мин. П1</t>
  </si>
  <si>
    <t>Мин. П2</t>
  </si>
  <si>
    <t>Мин. П3</t>
  </si>
  <si>
    <t>Мин. П4</t>
  </si>
  <si>
    <t>Мак. П1</t>
  </si>
  <si>
    <t>Мак. П2</t>
  </si>
  <si>
    <t>Мак. П3</t>
  </si>
  <si>
    <t>Прод. 1</t>
  </si>
  <si>
    <t>Прод.2</t>
  </si>
  <si>
    <t>Прод. 3</t>
  </si>
  <si>
    <t>Прод. 4</t>
  </si>
  <si>
    <t>Наличие</t>
  </si>
  <si>
    <t>Расход ресурсов</t>
  </si>
  <si>
    <t>Лев. Часть</t>
  </si>
  <si>
    <t>Прав. Часть</t>
  </si>
  <si>
    <t>Разница</t>
  </si>
  <si>
    <t>&lt;</t>
  </si>
  <si>
    <t>&gt;</t>
  </si>
  <si>
    <t>Ячейка</t>
  </si>
  <si>
    <t>Имя</t>
  </si>
  <si>
    <t>Значение</t>
  </si>
  <si>
    <t>$B$3</t>
  </si>
  <si>
    <t>Количество Прод. 1</t>
  </si>
  <si>
    <t>$C$3</t>
  </si>
  <si>
    <t>Количество Прод.2</t>
  </si>
  <si>
    <t>$D$3</t>
  </si>
  <si>
    <t>Количество Прод. 3</t>
  </si>
  <si>
    <t>$E$3</t>
  </si>
  <si>
    <t>Количество Прод. 4</t>
  </si>
  <si>
    <t>$F$13</t>
  </si>
  <si>
    <t>Мак. П1 Лев. Часть</t>
  </si>
  <si>
    <t>$F$14</t>
  </si>
  <si>
    <t>Мак. П2 Лев. Часть</t>
  </si>
  <si>
    <t>$F$15</t>
  </si>
  <si>
    <t>Мак. П3 Лев. Часть</t>
  </si>
  <si>
    <t>$F$6</t>
  </si>
  <si>
    <t>Трудовые Лев. Часть</t>
  </si>
  <si>
    <t>$F$7</t>
  </si>
  <si>
    <t>Сырьё Лев. Часть</t>
  </si>
  <si>
    <t>$F$8</t>
  </si>
  <si>
    <t>Финансы Лев. Часть</t>
  </si>
  <si>
    <t>$F$9</t>
  </si>
  <si>
    <t>Мин. П1 Лев. Часть</t>
  </si>
  <si>
    <t>$F$10</t>
  </si>
  <si>
    <t>Мин. П2 Лев. Часть</t>
  </si>
  <si>
    <t>$F$11</t>
  </si>
  <si>
    <t>Мин. П3 Лев. Часть</t>
  </si>
  <si>
    <t>$F$12</t>
  </si>
  <si>
    <t>Мин. П4 Лев. Часть</t>
  </si>
  <si>
    <t>Microsoft Excel 12.0 Отчет по результатам</t>
  </si>
  <si>
    <t>Рабочий лист: [Трифонов_Д_С__12-25РПм_ТМиИА_ПР9.xlsx]Пример</t>
  </si>
  <si>
    <t>Отчет создан: 24.12.2025 15:07:19</t>
  </si>
  <si>
    <t>Целевая ячейка (Максимум)</t>
  </si>
  <si>
    <t>Исходное значение</t>
  </si>
  <si>
    <t>Результат</t>
  </si>
  <si>
    <t>Изменяемые ячейки</t>
  </si>
  <si>
    <t>Формула</t>
  </si>
  <si>
    <t>Статус</t>
  </si>
  <si>
    <t>$F$4</t>
  </si>
  <si>
    <t>Прибыль/ед. Прибыль</t>
  </si>
  <si>
    <t>$F$13&lt;=$H$13</t>
  </si>
  <si>
    <t>не связан.</t>
  </si>
  <si>
    <t>$F$14&lt;=$H$14</t>
  </si>
  <si>
    <t>$F$15&lt;=$H$15</t>
  </si>
  <si>
    <t>связанное</t>
  </si>
  <si>
    <t>$F$6&lt;=$H$6</t>
  </si>
  <si>
    <t>$F$7&lt;=$H$7</t>
  </si>
  <si>
    <t>$F$8&lt;=$H$8</t>
  </si>
  <si>
    <t>$F$9&gt;=$H$9</t>
  </si>
  <si>
    <t>$F$10&gt;=$H$10</t>
  </si>
  <si>
    <t>$F$11&gt;=$H$11</t>
  </si>
  <si>
    <t>$F$12&gt;=$H$12</t>
  </si>
  <si>
    <t>Microsoft Excel 12.0 Отчет по устойчивости</t>
  </si>
  <si>
    <t>Результ.</t>
  </si>
  <si>
    <t>значение</t>
  </si>
  <si>
    <t>Нормир.</t>
  </si>
  <si>
    <t>градиент</t>
  </si>
  <si>
    <t>Лагранжа</t>
  </si>
  <si>
    <t>Множитель</t>
  </si>
  <si>
    <t>Microsoft Excel 12.0 Отчет по пределам</t>
  </si>
  <si>
    <t>Рабочий лист: [Трифонов_Д_С__12-25РПм_ТМиИА_ПР9.xlsx]Отчет по пределам 1</t>
  </si>
  <si>
    <t>Целевое</t>
  </si>
  <si>
    <t>Изменяемое</t>
  </si>
  <si>
    <t>Нижний</t>
  </si>
  <si>
    <t>предел</t>
  </si>
  <si>
    <t>Целевой</t>
  </si>
  <si>
    <t>результат</t>
  </si>
  <si>
    <t>Верхний</t>
  </si>
  <si>
    <t>#Н/Д</t>
  </si>
</sst>
</file>

<file path=xl/styles.xml><?xml version="1.0" encoding="utf-8"?>
<styleSheet xmlns="http://schemas.openxmlformats.org/spreadsheetml/2006/main">
  <numFmts count="1">
    <numFmt numFmtId="164" formatCode="#,##0.0\ &quot;₽&quot;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2" borderId="1" xfId="0" applyFill="1" applyBorder="1"/>
    <xf numFmtId="164" fontId="0" fillId="3" borderId="1" xfId="0" applyNumberFormat="1" applyFill="1" applyBorder="1"/>
    <xf numFmtId="0" fontId="0" fillId="5" borderId="1" xfId="0" applyFill="1" applyBorder="1"/>
    <xf numFmtId="164" fontId="0" fillId="4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8" borderId="0" xfId="0" applyFont="1" applyFill="1" applyAlignment="1">
      <alignment horizontal="center" vertical="center" wrapText="1"/>
    </xf>
    <xf numFmtId="0" fontId="4" fillId="8" borderId="0" xfId="0" applyFont="1" applyFill="1"/>
    <xf numFmtId="0" fontId="4" fillId="8" borderId="0" xfId="0" applyFont="1" applyFill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/>
    </xf>
    <xf numFmtId="0" fontId="0" fillId="0" borderId="5" xfId="0" applyNumberFormat="1" applyFill="1" applyBorder="1" applyAlignment="1"/>
    <xf numFmtId="0" fontId="0" fillId="0" borderId="4" xfId="0" applyNumberFormat="1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sqref="A1:I15"/>
    </sheetView>
  </sheetViews>
  <sheetFormatPr defaultRowHeight="14.4"/>
  <cols>
    <col min="1" max="1" width="13.44140625" customWidth="1"/>
    <col min="2" max="5" width="9.109375" customWidth="1"/>
    <col min="6" max="6" width="11.109375" customWidth="1"/>
    <col min="7" max="7" width="4" customWidth="1"/>
    <col min="8" max="8" width="11" customWidth="1"/>
  </cols>
  <sheetData>
    <row r="1" spans="1:9" ht="16.5" customHeight="1">
      <c r="A1" s="14"/>
      <c r="B1" s="15"/>
      <c r="C1" s="16" t="s">
        <v>3</v>
      </c>
      <c r="D1" s="16"/>
      <c r="E1" s="16"/>
      <c r="F1" s="15"/>
      <c r="G1" s="15"/>
      <c r="H1" s="15"/>
      <c r="I1" s="15"/>
    </row>
    <row r="2" spans="1:9">
      <c r="A2" s="12" t="s">
        <v>4</v>
      </c>
      <c r="B2" s="12" t="s">
        <v>16</v>
      </c>
      <c r="C2" s="12" t="s">
        <v>17</v>
      </c>
      <c r="D2" s="12" t="s">
        <v>18</v>
      </c>
      <c r="E2" s="12" t="s">
        <v>19</v>
      </c>
      <c r="F2" s="12"/>
      <c r="G2" s="12"/>
      <c r="H2" s="12"/>
      <c r="I2" s="12" t="s">
        <v>20</v>
      </c>
    </row>
    <row r="3" spans="1:9">
      <c r="A3" s="17" t="s">
        <v>5</v>
      </c>
      <c r="B3" s="6">
        <v>4</v>
      </c>
      <c r="C3" s="6">
        <v>3.0000000000000004</v>
      </c>
      <c r="D3" s="6">
        <v>2</v>
      </c>
      <c r="E3" s="6">
        <v>2.5000000000000009</v>
      </c>
      <c r="F3" s="17" t="s">
        <v>2</v>
      </c>
      <c r="G3" s="1"/>
      <c r="H3" s="1"/>
      <c r="I3" s="1"/>
    </row>
    <row r="4" spans="1:9">
      <c r="A4" s="17" t="s">
        <v>6</v>
      </c>
      <c r="B4" s="7">
        <v>75</v>
      </c>
      <c r="C4" s="7">
        <v>65</v>
      </c>
      <c r="D4" s="7">
        <v>115</v>
      </c>
      <c r="E4" s="7">
        <v>145</v>
      </c>
      <c r="F4" s="12">
        <f>SUMPRODUCT($B$3:$E$3,B4:E4)</f>
        <v>1087.5</v>
      </c>
      <c r="G4" s="1"/>
      <c r="H4" s="1"/>
      <c r="I4" s="1"/>
    </row>
    <row r="5" spans="1:9">
      <c r="A5" s="17" t="s">
        <v>7</v>
      </c>
      <c r="B5" s="18" t="s">
        <v>21</v>
      </c>
      <c r="C5" s="18"/>
      <c r="D5" s="18"/>
      <c r="E5" s="1"/>
      <c r="F5" s="17" t="s">
        <v>22</v>
      </c>
      <c r="G5" s="1"/>
      <c r="H5" s="17" t="s">
        <v>23</v>
      </c>
      <c r="I5" s="17" t="s">
        <v>24</v>
      </c>
    </row>
    <row r="6" spans="1:9">
      <c r="A6" s="17" t="s">
        <v>0</v>
      </c>
      <c r="B6" s="11">
        <v>1</v>
      </c>
      <c r="C6" s="11">
        <v>2</v>
      </c>
      <c r="D6" s="11">
        <v>2</v>
      </c>
      <c r="E6" s="11">
        <v>2</v>
      </c>
      <c r="F6" s="12">
        <f>SUMPRODUCT($B$3:$E$3,B6:E6)</f>
        <v>19</v>
      </c>
      <c r="G6" s="2" t="s">
        <v>25</v>
      </c>
      <c r="H6" s="12">
        <v>19</v>
      </c>
      <c r="I6" s="12">
        <f>H6-F6</f>
        <v>0</v>
      </c>
    </row>
    <row r="7" spans="1:9">
      <c r="A7" s="17" t="s">
        <v>8</v>
      </c>
      <c r="B7" s="8">
        <v>4</v>
      </c>
      <c r="C7" s="8">
        <v>8</v>
      </c>
      <c r="D7" s="8">
        <v>9</v>
      </c>
      <c r="E7" s="8">
        <v>4</v>
      </c>
      <c r="F7" s="12">
        <f t="shared" ref="F7:F15" si="0">SUMPRODUCT($B$3:$E$3,B7:E7)</f>
        <v>68</v>
      </c>
      <c r="G7" s="2" t="s">
        <v>25</v>
      </c>
      <c r="H7" s="12">
        <v>80</v>
      </c>
      <c r="I7" s="12">
        <f t="shared" ref="I7:I8" si="1">H7-F7</f>
        <v>12</v>
      </c>
    </row>
    <row r="8" spans="1:9">
      <c r="A8" s="17" t="s">
        <v>1</v>
      </c>
      <c r="B8" s="9">
        <v>6</v>
      </c>
      <c r="C8" s="9">
        <v>8</v>
      </c>
      <c r="D8" s="9">
        <v>10</v>
      </c>
      <c r="E8" s="9">
        <v>9</v>
      </c>
      <c r="F8" s="12">
        <f t="shared" si="0"/>
        <v>90.5</v>
      </c>
      <c r="G8" s="2" t="s">
        <v>25</v>
      </c>
      <c r="H8" s="13">
        <v>100</v>
      </c>
      <c r="I8" s="12">
        <f t="shared" si="1"/>
        <v>9.5</v>
      </c>
    </row>
    <row r="9" spans="1:9">
      <c r="A9" s="17" t="s">
        <v>9</v>
      </c>
      <c r="B9" s="10"/>
      <c r="C9" s="10">
        <v>1</v>
      </c>
      <c r="D9" s="10"/>
      <c r="E9" s="10"/>
      <c r="F9" s="12">
        <f t="shared" si="0"/>
        <v>3.0000000000000004</v>
      </c>
      <c r="G9" s="2" t="s">
        <v>26</v>
      </c>
      <c r="H9" s="12">
        <v>3</v>
      </c>
      <c r="I9" s="12">
        <f>F9-H9</f>
        <v>0</v>
      </c>
    </row>
    <row r="10" spans="1:9">
      <c r="A10" s="17" t="s">
        <v>10</v>
      </c>
      <c r="B10" s="10">
        <v>1</v>
      </c>
      <c r="C10" s="10"/>
      <c r="D10" s="10"/>
      <c r="E10" s="10"/>
      <c r="F10" s="12">
        <f t="shared" si="0"/>
        <v>4</v>
      </c>
      <c r="G10" s="2" t="s">
        <v>26</v>
      </c>
      <c r="H10" s="12">
        <v>1</v>
      </c>
      <c r="I10" s="12">
        <f t="shared" ref="I10:I12" si="2">F10-H10</f>
        <v>3</v>
      </c>
    </row>
    <row r="11" spans="1:9">
      <c r="A11" s="17" t="s">
        <v>11</v>
      </c>
      <c r="B11" s="10"/>
      <c r="C11" s="10">
        <v>1</v>
      </c>
      <c r="D11" s="10"/>
      <c r="E11" s="10"/>
      <c r="F11" s="12">
        <f t="shared" si="0"/>
        <v>3.0000000000000004</v>
      </c>
      <c r="G11" s="2" t="s">
        <v>26</v>
      </c>
      <c r="H11" s="12">
        <v>1</v>
      </c>
      <c r="I11" s="12">
        <f t="shared" si="2"/>
        <v>2.0000000000000004</v>
      </c>
    </row>
    <row r="12" spans="1:9">
      <c r="A12" s="17" t="s">
        <v>12</v>
      </c>
      <c r="B12" s="10"/>
      <c r="C12" s="10"/>
      <c r="D12" s="10">
        <v>1</v>
      </c>
      <c r="E12" s="10"/>
      <c r="F12" s="12">
        <f t="shared" si="0"/>
        <v>2</v>
      </c>
      <c r="G12" s="2" t="s">
        <v>26</v>
      </c>
      <c r="H12" s="12">
        <v>2</v>
      </c>
      <c r="I12" s="12">
        <f t="shared" si="2"/>
        <v>0</v>
      </c>
    </row>
    <row r="13" spans="1:9">
      <c r="A13" s="17" t="s">
        <v>13</v>
      </c>
      <c r="B13" s="10"/>
      <c r="C13" s="10"/>
      <c r="D13" s="10"/>
      <c r="E13" s="10">
        <v>1</v>
      </c>
      <c r="F13" s="12">
        <f t="shared" si="0"/>
        <v>2.5000000000000009</v>
      </c>
      <c r="G13" s="2" t="s">
        <v>25</v>
      </c>
      <c r="H13" s="12">
        <v>5</v>
      </c>
      <c r="I13" s="12">
        <f>H13-F13</f>
        <v>2.4999999999999991</v>
      </c>
    </row>
    <row r="14" spans="1:9">
      <c r="A14" s="17" t="s">
        <v>14</v>
      </c>
      <c r="B14" s="10"/>
      <c r="C14" s="10"/>
      <c r="D14" s="10">
        <v>1</v>
      </c>
      <c r="E14" s="10"/>
      <c r="F14" s="12">
        <f t="shared" si="0"/>
        <v>2</v>
      </c>
      <c r="G14" s="2" t="s">
        <v>25</v>
      </c>
      <c r="H14" s="12">
        <v>3</v>
      </c>
      <c r="I14" s="12">
        <f t="shared" ref="I14:I15" si="3">H14-F14</f>
        <v>1</v>
      </c>
    </row>
    <row r="15" spans="1:9">
      <c r="A15" s="17" t="s">
        <v>15</v>
      </c>
      <c r="B15" s="10">
        <v>1</v>
      </c>
      <c r="C15" s="10"/>
      <c r="D15" s="10"/>
      <c r="E15" s="10"/>
      <c r="F15" s="12">
        <f t="shared" si="0"/>
        <v>4</v>
      </c>
      <c r="G15" s="2" t="s">
        <v>25</v>
      </c>
      <c r="H15" s="12">
        <v>4</v>
      </c>
      <c r="I15" s="12">
        <f t="shared" si="3"/>
        <v>0</v>
      </c>
    </row>
  </sheetData>
  <mergeCells count="2">
    <mergeCell ref="C1:E1"/>
    <mergeCell ref="B5:D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showGridLines="0" workbookViewId="0"/>
  </sheetViews>
  <sheetFormatPr defaultRowHeight="14.4"/>
  <cols>
    <col min="1" max="1" width="2.33203125" customWidth="1"/>
    <col min="2" max="2" width="7.21875" customWidth="1"/>
    <col min="3" max="3" width="20.44140625" bestFit="1" customWidth="1"/>
    <col min="4" max="4" width="18.44140625" bestFit="1" customWidth="1"/>
    <col min="5" max="5" width="13.21875" bestFit="1" customWidth="1"/>
    <col min="6" max="6" width="10.109375" bestFit="1" customWidth="1"/>
    <col min="7" max="7" width="8.33203125" customWidth="1"/>
  </cols>
  <sheetData>
    <row r="1" spans="1:5">
      <c r="A1" s="3" t="s">
        <v>58</v>
      </c>
    </row>
    <row r="2" spans="1:5">
      <c r="A2" s="3" t="s">
        <v>59</v>
      </c>
    </row>
    <row r="3" spans="1:5">
      <c r="A3" s="3" t="s">
        <v>60</v>
      </c>
    </row>
    <row r="6" spans="1:5" ht="15" thickBot="1">
      <c r="A6" t="s">
        <v>61</v>
      </c>
    </row>
    <row r="7" spans="1:5" ht="15" thickBot="1">
      <c r="B7" s="19" t="s">
        <v>27</v>
      </c>
      <c r="C7" s="19" t="s">
        <v>28</v>
      </c>
      <c r="D7" s="19" t="s">
        <v>62</v>
      </c>
      <c r="E7" s="19" t="s">
        <v>63</v>
      </c>
    </row>
    <row r="8" spans="1:5" ht="15" thickBot="1">
      <c r="B8" s="5" t="s">
        <v>67</v>
      </c>
      <c r="C8" s="5" t="s">
        <v>68</v>
      </c>
      <c r="D8" s="20">
        <v>1087.5</v>
      </c>
      <c r="E8" s="20">
        <v>1087.5</v>
      </c>
    </row>
    <row r="11" spans="1:5" ht="15" thickBot="1">
      <c r="A11" t="s">
        <v>64</v>
      </c>
    </row>
    <row r="12" spans="1:5" ht="15" thickBot="1">
      <c r="B12" s="19" t="s">
        <v>27</v>
      </c>
      <c r="C12" s="19" t="s">
        <v>28</v>
      </c>
      <c r="D12" s="19" t="s">
        <v>62</v>
      </c>
      <c r="E12" s="19" t="s">
        <v>63</v>
      </c>
    </row>
    <row r="13" spans="1:5">
      <c r="B13" s="4" t="s">
        <v>30</v>
      </c>
      <c r="C13" s="4" t="s">
        <v>31</v>
      </c>
      <c r="D13" s="21">
        <v>4</v>
      </c>
      <c r="E13" s="21">
        <v>4</v>
      </c>
    </row>
    <row r="14" spans="1:5">
      <c r="B14" s="4" t="s">
        <v>32</v>
      </c>
      <c r="C14" s="4" t="s">
        <v>33</v>
      </c>
      <c r="D14" s="21">
        <v>3.0000000000000004</v>
      </c>
      <c r="E14" s="21">
        <v>3.0000000000000004</v>
      </c>
    </row>
    <row r="15" spans="1:5">
      <c r="B15" s="4" t="s">
        <v>34</v>
      </c>
      <c r="C15" s="4" t="s">
        <v>35</v>
      </c>
      <c r="D15" s="21">
        <v>2</v>
      </c>
      <c r="E15" s="21">
        <v>2</v>
      </c>
    </row>
    <row r="16" spans="1:5" ht="15" thickBot="1">
      <c r="B16" s="5" t="s">
        <v>36</v>
      </c>
      <c r="C16" s="5" t="s">
        <v>37</v>
      </c>
      <c r="D16" s="20">
        <v>2.5000000000000009</v>
      </c>
      <c r="E16" s="20">
        <v>2.5000000000000009</v>
      </c>
    </row>
    <row r="19" spans="1:7" ht="15" thickBot="1">
      <c r="A19" t="s">
        <v>7</v>
      </c>
    </row>
    <row r="20" spans="1:7" ht="15" thickBot="1">
      <c r="B20" s="19" t="s">
        <v>27</v>
      </c>
      <c r="C20" s="19" t="s">
        <v>28</v>
      </c>
      <c r="D20" s="19" t="s">
        <v>29</v>
      </c>
      <c r="E20" s="19" t="s">
        <v>65</v>
      </c>
      <c r="F20" s="19" t="s">
        <v>66</v>
      </c>
      <c r="G20" s="19" t="s">
        <v>24</v>
      </c>
    </row>
    <row r="21" spans="1:7">
      <c r="B21" s="4" t="s">
        <v>38</v>
      </c>
      <c r="C21" s="4" t="s">
        <v>39</v>
      </c>
      <c r="D21" s="21">
        <v>2.5000000000000009</v>
      </c>
      <c r="E21" s="4" t="s">
        <v>69</v>
      </c>
      <c r="F21" s="4" t="s">
        <v>70</v>
      </c>
      <c r="G21" s="4">
        <v>2.4999999999999991</v>
      </c>
    </row>
    <row r="22" spans="1:7">
      <c r="B22" s="4" t="s">
        <v>40</v>
      </c>
      <c r="C22" s="4" t="s">
        <v>41</v>
      </c>
      <c r="D22" s="21">
        <v>2</v>
      </c>
      <c r="E22" s="4" t="s">
        <v>71</v>
      </c>
      <c r="F22" s="4" t="s">
        <v>70</v>
      </c>
      <c r="G22" s="4">
        <v>1</v>
      </c>
    </row>
    <row r="23" spans="1:7">
      <c r="B23" s="4" t="s">
        <v>42</v>
      </c>
      <c r="C23" s="4" t="s">
        <v>43</v>
      </c>
      <c r="D23" s="21">
        <v>4</v>
      </c>
      <c r="E23" s="4" t="s">
        <v>72</v>
      </c>
      <c r="F23" s="4" t="s">
        <v>73</v>
      </c>
      <c r="G23" s="4">
        <v>0</v>
      </c>
    </row>
    <row r="24" spans="1:7">
      <c r="B24" s="4" t="s">
        <v>44</v>
      </c>
      <c r="C24" s="4" t="s">
        <v>45</v>
      </c>
      <c r="D24" s="21">
        <v>19</v>
      </c>
      <c r="E24" s="4" t="s">
        <v>74</v>
      </c>
      <c r="F24" s="4" t="s">
        <v>73</v>
      </c>
      <c r="G24" s="4">
        <v>0</v>
      </c>
    </row>
    <row r="25" spans="1:7">
      <c r="B25" s="4" t="s">
        <v>46</v>
      </c>
      <c r="C25" s="4" t="s">
        <v>47</v>
      </c>
      <c r="D25" s="21">
        <v>68</v>
      </c>
      <c r="E25" s="4" t="s">
        <v>75</v>
      </c>
      <c r="F25" s="4" t="s">
        <v>70</v>
      </c>
      <c r="G25" s="4">
        <v>12</v>
      </c>
    </row>
    <row r="26" spans="1:7">
      <c r="B26" s="4" t="s">
        <v>48</v>
      </c>
      <c r="C26" s="4" t="s">
        <v>49</v>
      </c>
      <c r="D26" s="21">
        <v>90.5</v>
      </c>
      <c r="E26" s="4" t="s">
        <v>76</v>
      </c>
      <c r="F26" s="4" t="s">
        <v>70</v>
      </c>
      <c r="G26" s="4">
        <v>9.5</v>
      </c>
    </row>
    <row r="27" spans="1:7">
      <c r="B27" s="4" t="s">
        <v>50</v>
      </c>
      <c r="C27" s="4" t="s">
        <v>51</v>
      </c>
      <c r="D27" s="21">
        <v>3.0000000000000004</v>
      </c>
      <c r="E27" s="4" t="s">
        <v>77</v>
      </c>
      <c r="F27" s="4" t="s">
        <v>73</v>
      </c>
      <c r="G27" s="21">
        <v>0</v>
      </c>
    </row>
    <row r="28" spans="1:7">
      <c r="B28" s="4" t="s">
        <v>52</v>
      </c>
      <c r="C28" s="4" t="s">
        <v>53</v>
      </c>
      <c r="D28" s="21">
        <v>4</v>
      </c>
      <c r="E28" s="4" t="s">
        <v>78</v>
      </c>
      <c r="F28" s="4" t="s">
        <v>70</v>
      </c>
      <c r="G28" s="21">
        <v>3</v>
      </c>
    </row>
    <row r="29" spans="1:7">
      <c r="B29" s="4" t="s">
        <v>54</v>
      </c>
      <c r="C29" s="4" t="s">
        <v>55</v>
      </c>
      <c r="D29" s="21">
        <v>3.0000000000000004</v>
      </c>
      <c r="E29" s="4" t="s">
        <v>79</v>
      </c>
      <c r="F29" s="4" t="s">
        <v>70</v>
      </c>
      <c r="G29" s="21">
        <v>2.0000000000000004</v>
      </c>
    </row>
    <row r="30" spans="1:7" ht="15" thickBot="1">
      <c r="B30" s="5" t="s">
        <v>56</v>
      </c>
      <c r="C30" s="5" t="s">
        <v>57</v>
      </c>
      <c r="D30" s="20">
        <v>2</v>
      </c>
      <c r="E30" s="5" t="s">
        <v>80</v>
      </c>
      <c r="F30" s="5" t="s">
        <v>73</v>
      </c>
      <c r="G30" s="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showGridLines="0" workbookViewId="0">
      <selection sqref="A1:A3"/>
    </sheetView>
  </sheetViews>
  <sheetFormatPr defaultRowHeight="14.4"/>
  <cols>
    <col min="1" max="1" width="2.33203125" customWidth="1"/>
    <col min="2" max="2" width="7.21875" customWidth="1"/>
    <col min="3" max="3" width="19" bestFit="1" customWidth="1"/>
    <col min="4" max="4" width="9.21875" bestFit="1" customWidth="1"/>
    <col min="5" max="5" width="11.33203125" bestFit="1" customWidth="1"/>
  </cols>
  <sheetData>
    <row r="1" spans="1:5">
      <c r="A1" s="3" t="s">
        <v>81</v>
      </c>
    </row>
    <row r="2" spans="1:5">
      <c r="A2" s="3" t="s">
        <v>59</v>
      </c>
    </row>
    <row r="3" spans="1:5">
      <c r="A3" s="3" t="s">
        <v>60</v>
      </c>
    </row>
    <row r="6" spans="1:5" ht="15" thickBot="1">
      <c r="A6" t="s">
        <v>64</v>
      </c>
    </row>
    <row r="7" spans="1:5">
      <c r="B7" s="22"/>
      <c r="C7" s="22"/>
      <c r="D7" s="22" t="s">
        <v>82</v>
      </c>
      <c r="E7" s="22" t="s">
        <v>84</v>
      </c>
    </row>
    <row r="8" spans="1:5" ht="15" thickBot="1">
      <c r="B8" s="23" t="s">
        <v>27</v>
      </c>
      <c r="C8" s="23" t="s">
        <v>28</v>
      </c>
      <c r="D8" s="23" t="s">
        <v>83</v>
      </c>
      <c r="E8" s="23" t="s">
        <v>85</v>
      </c>
    </row>
    <row r="9" spans="1:5">
      <c r="B9" s="4" t="s">
        <v>30</v>
      </c>
      <c r="C9" s="4" t="s">
        <v>31</v>
      </c>
      <c r="D9" s="21">
        <v>4</v>
      </c>
      <c r="E9" s="21">
        <v>0</v>
      </c>
    </row>
    <row r="10" spans="1:5">
      <c r="B10" s="4" t="s">
        <v>32</v>
      </c>
      <c r="C10" s="4" t="s">
        <v>33</v>
      </c>
      <c r="D10" s="21">
        <v>3.0000000000000004</v>
      </c>
      <c r="E10" s="21">
        <v>0</v>
      </c>
    </row>
    <row r="11" spans="1:5">
      <c r="B11" s="4" t="s">
        <v>34</v>
      </c>
      <c r="C11" s="4" t="s">
        <v>35</v>
      </c>
      <c r="D11" s="21">
        <v>2</v>
      </c>
      <c r="E11" s="21">
        <v>0</v>
      </c>
    </row>
    <row r="12" spans="1:5" ht="15" thickBot="1">
      <c r="B12" s="5" t="s">
        <v>36</v>
      </c>
      <c r="C12" s="5" t="s">
        <v>37</v>
      </c>
      <c r="D12" s="20">
        <v>2.5000000000000009</v>
      </c>
      <c r="E12" s="20">
        <v>0</v>
      </c>
    </row>
    <row r="14" spans="1:5" ht="15" thickBot="1">
      <c r="A14" t="s">
        <v>7</v>
      </c>
    </row>
    <row r="15" spans="1:5">
      <c r="B15" s="22"/>
      <c r="C15" s="22"/>
      <c r="D15" s="22" t="s">
        <v>82</v>
      </c>
      <c r="E15" s="22" t="s">
        <v>86</v>
      </c>
    </row>
    <row r="16" spans="1:5" ht="15" thickBot="1">
      <c r="B16" s="23" t="s">
        <v>27</v>
      </c>
      <c r="C16" s="23" t="s">
        <v>28</v>
      </c>
      <c r="D16" s="23" t="s">
        <v>83</v>
      </c>
      <c r="E16" s="23" t="s">
        <v>87</v>
      </c>
    </row>
    <row r="17" spans="2:5">
      <c r="B17" s="4" t="s">
        <v>38</v>
      </c>
      <c r="C17" s="4" t="s">
        <v>39</v>
      </c>
      <c r="D17" s="21">
        <v>2.5000000000000009</v>
      </c>
      <c r="E17" s="21">
        <v>0</v>
      </c>
    </row>
    <row r="18" spans="2:5">
      <c r="B18" s="4" t="s">
        <v>40</v>
      </c>
      <c r="C18" s="4" t="s">
        <v>41</v>
      </c>
      <c r="D18" s="21">
        <v>2</v>
      </c>
      <c r="E18" s="21">
        <v>0</v>
      </c>
    </row>
    <row r="19" spans="2:5">
      <c r="B19" s="4" t="s">
        <v>42</v>
      </c>
      <c r="C19" s="4" t="s">
        <v>43</v>
      </c>
      <c r="D19" s="21">
        <v>4</v>
      </c>
      <c r="E19" s="21">
        <v>2.5</v>
      </c>
    </row>
    <row r="20" spans="2:5">
      <c r="B20" s="4" t="s">
        <v>44</v>
      </c>
      <c r="C20" s="4" t="s">
        <v>45</v>
      </c>
      <c r="D20" s="21">
        <v>19</v>
      </c>
      <c r="E20" s="21">
        <v>72.5</v>
      </c>
    </row>
    <row r="21" spans="2:5">
      <c r="B21" s="4" t="s">
        <v>46</v>
      </c>
      <c r="C21" s="4" t="s">
        <v>47</v>
      </c>
      <c r="D21" s="21">
        <v>68</v>
      </c>
      <c r="E21" s="21">
        <v>0</v>
      </c>
    </row>
    <row r="22" spans="2:5">
      <c r="B22" s="4" t="s">
        <v>48</v>
      </c>
      <c r="C22" s="4" t="s">
        <v>49</v>
      </c>
      <c r="D22" s="21">
        <v>90.5</v>
      </c>
      <c r="E22" s="21">
        <v>0</v>
      </c>
    </row>
    <row r="23" spans="2:5">
      <c r="B23" s="4" t="s">
        <v>50</v>
      </c>
      <c r="C23" s="4" t="s">
        <v>51</v>
      </c>
      <c r="D23" s="21">
        <v>3.0000000000000004</v>
      </c>
      <c r="E23" s="21">
        <v>-80</v>
      </c>
    </row>
    <row r="24" spans="2:5">
      <c r="B24" s="4" t="s">
        <v>52</v>
      </c>
      <c r="C24" s="4" t="s">
        <v>53</v>
      </c>
      <c r="D24" s="21">
        <v>4</v>
      </c>
      <c r="E24" s="21">
        <v>0</v>
      </c>
    </row>
    <row r="25" spans="2:5">
      <c r="B25" s="4" t="s">
        <v>54</v>
      </c>
      <c r="C25" s="4" t="s">
        <v>55</v>
      </c>
      <c r="D25" s="21">
        <v>3.0000000000000004</v>
      </c>
      <c r="E25" s="21">
        <v>0</v>
      </c>
    </row>
    <row r="26" spans="2:5" ht="15" thickBot="1">
      <c r="B26" s="5" t="s">
        <v>56</v>
      </c>
      <c r="C26" s="5" t="s">
        <v>57</v>
      </c>
      <c r="D26" s="20">
        <v>2</v>
      </c>
      <c r="E26" s="20">
        <v>-30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showGridLines="0" workbookViewId="0">
      <selection sqref="A1:A3"/>
    </sheetView>
  </sheetViews>
  <sheetFormatPr defaultRowHeight="14.4"/>
  <cols>
    <col min="1" max="1" width="2.33203125" customWidth="1"/>
    <col min="2" max="2" width="7.21875" customWidth="1"/>
    <col min="3" max="3" width="20.44140625" bestFit="1" customWidth="1"/>
    <col min="4" max="4" width="9.33203125" bestFit="1" customWidth="1"/>
    <col min="5" max="5" width="2.33203125" customWidth="1"/>
    <col min="6" max="6" width="8.109375" customWidth="1"/>
    <col min="7" max="7" width="9.5546875" bestFit="1" customWidth="1"/>
    <col min="8" max="8" width="2.33203125" customWidth="1"/>
    <col min="9" max="9" width="8.44140625" customWidth="1"/>
    <col min="10" max="10" width="9.5546875" bestFit="1" customWidth="1"/>
  </cols>
  <sheetData>
    <row r="1" spans="1:10">
      <c r="A1" s="3" t="s">
        <v>88</v>
      </c>
    </row>
    <row r="2" spans="1:10">
      <c r="A2" s="3" t="s">
        <v>89</v>
      </c>
    </row>
    <row r="3" spans="1:10">
      <c r="A3" s="3" t="s">
        <v>60</v>
      </c>
    </row>
    <row r="5" spans="1:10" ht="15" thickBot="1"/>
    <row r="6" spans="1:10">
      <c r="B6" s="22"/>
      <c r="C6" s="22" t="s">
        <v>90</v>
      </c>
      <c r="D6" s="22"/>
    </row>
    <row r="7" spans="1:10" ht="15" thickBot="1">
      <c r="B7" s="23" t="s">
        <v>27</v>
      </c>
      <c r="C7" s="23" t="s">
        <v>28</v>
      </c>
      <c r="D7" s="23" t="s">
        <v>29</v>
      </c>
    </row>
    <row r="8" spans="1:10" ht="15" thickBot="1">
      <c r="B8" s="5" t="s">
        <v>67</v>
      </c>
      <c r="C8" s="5" t="s">
        <v>68</v>
      </c>
      <c r="D8" s="20">
        <v>1087.5</v>
      </c>
    </row>
    <row r="10" spans="1:10" ht="15" thickBot="1"/>
    <row r="11" spans="1:10">
      <c r="B11" s="22"/>
      <c r="C11" s="22" t="s">
        <v>91</v>
      </c>
      <c r="D11" s="22"/>
      <c r="F11" s="22" t="s">
        <v>92</v>
      </c>
      <c r="G11" s="22" t="s">
        <v>94</v>
      </c>
      <c r="I11" s="22" t="s">
        <v>96</v>
      </c>
      <c r="J11" s="22" t="s">
        <v>94</v>
      </c>
    </row>
    <row r="12" spans="1:10" ht="15" thickBot="1">
      <c r="B12" s="23" t="s">
        <v>27</v>
      </c>
      <c r="C12" s="23" t="s">
        <v>28</v>
      </c>
      <c r="D12" s="23" t="s">
        <v>29</v>
      </c>
      <c r="F12" s="23" t="s">
        <v>93</v>
      </c>
      <c r="G12" s="23" t="s">
        <v>95</v>
      </c>
      <c r="I12" s="23" t="s">
        <v>93</v>
      </c>
      <c r="J12" s="23" t="s">
        <v>95</v>
      </c>
    </row>
    <row r="13" spans="1:10">
      <c r="B13" s="4" t="s">
        <v>30</v>
      </c>
      <c r="C13" s="4" t="s">
        <v>31</v>
      </c>
      <c r="D13" s="21">
        <v>4</v>
      </c>
      <c r="F13" s="21">
        <v>1</v>
      </c>
      <c r="G13" s="21">
        <v>862.50000000000011</v>
      </c>
      <c r="I13" s="21">
        <v>3.9999999999999982</v>
      </c>
      <c r="J13" s="21">
        <v>1087.5</v>
      </c>
    </row>
    <row r="14" spans="1:10">
      <c r="B14" s="4" t="s">
        <v>32</v>
      </c>
      <c r="C14" s="4" t="s">
        <v>33</v>
      </c>
      <c r="D14" s="21">
        <v>3.0000000000000004</v>
      </c>
      <c r="F14" s="21">
        <v>3.0000000000000004</v>
      </c>
      <c r="G14" s="21">
        <v>1087.5</v>
      </c>
      <c r="I14" s="21">
        <v>3.0000000000000004</v>
      </c>
      <c r="J14" s="21">
        <v>1087.5</v>
      </c>
    </row>
    <row r="15" spans="1:10">
      <c r="B15" s="4" t="s">
        <v>34</v>
      </c>
      <c r="C15" s="4" t="s">
        <v>35</v>
      </c>
      <c r="D15" s="21">
        <v>2</v>
      </c>
      <c r="F15" s="21">
        <v>2</v>
      </c>
      <c r="G15" s="21">
        <v>1087.5</v>
      </c>
      <c r="I15" s="21">
        <v>2</v>
      </c>
      <c r="J15" s="21">
        <v>1087.5</v>
      </c>
    </row>
    <row r="16" spans="1:10" ht="15" thickBot="1">
      <c r="B16" s="5" t="s">
        <v>36</v>
      </c>
      <c r="C16" s="5" t="s">
        <v>37</v>
      </c>
      <c r="D16" s="20">
        <v>2.5000000000000009</v>
      </c>
      <c r="F16" s="5" t="s">
        <v>97</v>
      </c>
      <c r="G16" s="5" t="s">
        <v>97</v>
      </c>
      <c r="I16" s="20">
        <v>2.5</v>
      </c>
      <c r="J16" s="20">
        <v>1087.5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Пример</vt:lpstr>
      <vt:lpstr>Отчет по результатам 1</vt:lpstr>
      <vt:lpstr>Отчет по устойчивости 1</vt:lpstr>
      <vt:lpstr>Отчет по пределам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2015-06-05T18:19:34Z</dcterms:created>
  <dcterms:modified xsi:type="dcterms:W3CDTF">2025-12-24T12:08:13Z</dcterms:modified>
</cp:coreProperties>
</file>