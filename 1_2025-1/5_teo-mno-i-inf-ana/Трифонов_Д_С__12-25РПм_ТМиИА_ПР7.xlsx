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3256" windowHeight="13176" activeTab="4"/>
  </bookViews>
  <sheets>
    <sheet name="Пример 1" sheetId="1" r:id="rId1"/>
    <sheet name="Пример 2" sheetId="2" r:id="rId2"/>
    <sheet name="Пример 3" sheetId="3" r:id="rId3"/>
    <sheet name="Задача 1" sheetId="4" r:id="rId4"/>
    <sheet name="Задача 2" sheetId="5" r:id="rId5"/>
  </sheets>
  <definedNames>
    <definedName name="Новый_текстовый_документ__4" localSheetId="4">'Задача 2'!$A$1:$B$12</definedName>
    <definedName name="Новый_текстовый_документ__4" localSheetId="0">'Пример 1'!#REF!</definedName>
    <definedName name="Новый_текстовый_документ__4__1" localSheetId="0">'Пример 1'!$A$2:$B$21</definedName>
    <definedName name="Новый_текстовый_документ__4__1" localSheetId="1">'Пример 2'!$A$2:$B$21</definedName>
    <definedName name="Новый_текстовый_документ__4__1" localSheetId="2">'Пример 3'!$A$2:$B$21</definedName>
  </definedNames>
  <calcPr calcId="125725"/>
  <extLst xmlns:x15="http://schemas.microsoft.com/office/spreadsheetml/2010/11/main"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/>
  <c r="F6"/>
  <c r="F8" s="1"/>
  <c r="E8"/>
  <c r="E6"/>
  <c r="E2" i="5" l="1"/>
  <c r="E4" s="1"/>
  <c r="D2"/>
  <c r="D4" s="1"/>
  <c r="E6"/>
  <c r="D6"/>
  <c r="D12" l="1"/>
  <c r="D8"/>
  <c r="D10" s="1"/>
  <c r="E12" l="1"/>
</calcChain>
</file>

<file path=xl/connections.xml><?xml version="1.0" encoding="utf-8"?>
<connections xmlns="http://schemas.openxmlformats.org/spreadsheetml/2006/main">
  <connection id="1" name="Новый текстовый документ (4)" type="6" refreshedVersion="7" background="1" saveData="1">
    <textPr codePage="65001" sourceFile="C:\Users\user\Desktop\Новый текстовый документ (4).txt" decimal="," thousands=" ">
      <textFields count="2">
        <textField/>
        <textField/>
      </textFields>
    </textPr>
  </connection>
  <connection id="2" name="Новый текстовый документ (4)1" type="6" refreshedVersion="7" background="1" saveData="1">
    <textPr codePage="866" sourceFile="C:\Users\user\Desktop\Новый текстовый документ (4).txt" decimal="," thousands=" " space="1" consecutive="1">
      <textFields count="2">
        <textField/>
        <textField/>
      </textFields>
    </textPr>
  </connection>
  <connection id="3" name="Новый текстовый документ (4)11" type="6" refreshedVersion="7" background="1" saveData="1">
    <textPr codePage="866" sourceFile="C:\Users\user\Desktop\Новый текстовый документ (4).txt" decimal="," thousands=" " space="1" consecutive="1">
      <textFields count="2">
        <textField/>
        <textField/>
      </textFields>
    </textPr>
  </connection>
  <connection id="4" name="Новый текстовый документ (4)111" type="6" refreshedVersion="7" background="1" saveData="1">
    <textPr codePage="866" sourceFile="C:\Users\user\Desktop\Новый текстовый документ (4).txt" decimal="," thousands=" 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<sst xmlns="http://schemas.openxmlformats.org/spreadsheetml/2006/main" count="106" uniqueCount="44">
  <si>
    <t>x</t>
  </si>
  <si>
    <t>y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</si>
  <si>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</si>
  <si>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</si>
  <si>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</si>
  <si>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</si>
  <si>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</si>
  <si>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</si>
  <si>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</si>
  <si>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</si>
  <si>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</si>
  <si>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</si>
  <si>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</si>
  <si>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</si>
  <si>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</si>
  <si>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</si>
  <si>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</si>
  <si>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</si>
  <si>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</si>
  <si>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</si>
  <si>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</si>
  <si>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</si>
  <si>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</si>
  <si>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</si>
  <si>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Y</t>
  </si>
  <si>
    <t>X</t>
  </si>
  <si>
    <t>Нижние 95,0%</t>
  </si>
  <si>
    <t>Верхние 95,0%</t>
  </si>
  <si>
    <t>Переменная X 1</t>
  </si>
  <si>
    <t>X (чел.)</t>
  </si>
  <si>
    <t>Y (тыс. руб.)</t>
  </si>
  <si>
    <t>Cреднее X</t>
  </si>
  <si>
    <t>Cреднее Y</t>
  </si>
  <si>
    <t>Сумма X</t>
  </si>
  <si>
    <t>Сумма Y</t>
  </si>
  <si>
    <t>X^2</t>
  </si>
  <si>
    <t>Сумма X*Y</t>
  </si>
  <si>
    <t>Критерия Фишера</t>
  </si>
  <si>
    <t>Корреляция</t>
  </si>
  <si>
    <t>Критическая Фишера</t>
  </si>
  <si>
    <t>Критерий Стьюдента</t>
  </si>
  <si>
    <t>Kритическая Стьюдента</t>
  </si>
  <si>
    <t>115% от среднего Y</t>
  </si>
  <si>
    <t xml:space="preserve">Прогноз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</si>
</sst>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0" fillId="0" borderId="9" xfId="0" applyFill="1" applyBorder="1" applyAlignment="1"/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3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2" borderId="12" xfId="0" applyFill="1" applyBorder="1"/>
    <xf numFmtId="0" fontId="2" fillId="3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4" borderId="4" xfId="0" applyFill="1" applyBorder="1"/>
    <xf numFmtId="0" fontId="2" fillId="4" borderId="5" xfId="0" applyFont="1" applyFill="1" applyBorder="1"/>
    <xf numFmtId="0" fontId="0" fillId="4" borderId="6" xfId="0" applyFill="1" applyBorder="1"/>
    <xf numFmtId="0" fontId="1" fillId="4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5" borderId="9" xfId="0" applyFill="1" applyBorder="1"/>
    <xf numFmtId="0" fontId="0" fillId="5" borderId="11" xfId="0" applyFill="1" applyBorder="1"/>
    <xf numFmtId="0" fontId="0" fillId="6" borderId="10" xfId="0" applyFill="1" applyBorder="1"/>
    <xf numFmtId="0" fontId="0" fillId="6" borderId="12" xfId="0" applyFill="1" applyBorder="1"/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0" fillId="8" borderId="9" xfId="0" applyFill="1" applyBorder="1"/>
    <xf numFmtId="0" fontId="0" fillId="8" borderId="0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" xfId="0" applyFill="1" applyBorder="1"/>
    <xf numFmtId="0" fontId="0" fillId="8" borderId="12" xfId="0" applyFill="1" applyBorder="1"/>
    <xf numFmtId="0" fontId="0" fillId="9" borderId="9" xfId="0" applyFill="1" applyBorder="1"/>
    <xf numFmtId="0" fontId="0" fillId="9" borderId="11" xfId="0" applyFill="1" applyBorder="1"/>
    <xf numFmtId="0" fontId="0" fillId="10" borderId="10" xfId="0" applyFill="1" applyBorder="1"/>
    <xf numFmtId="0" fontId="0" fillId="10" borderId="12" xfId="0" applyFill="1" applyBorder="1"/>
    <xf numFmtId="0" fontId="1" fillId="0" borderId="7" xfId="0" applyFont="1" applyFill="1" applyBorder="1" applyAlignment="1">
      <alignment horizontal="centerContinuous"/>
    </xf>
    <xf numFmtId="0" fontId="1" fillId="0" borderId="8" xfId="0" applyFont="1" applyFill="1" applyBorder="1" applyAlignment="1">
      <alignment horizontal="centerContinuous"/>
    </xf>
    <xf numFmtId="0" fontId="0" fillId="0" borderId="5" xfId="0" applyBorder="1"/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6" borderId="9" xfId="0" applyFont="1" applyFill="1" applyBorder="1"/>
    <xf numFmtId="0" fontId="3" fillId="6" borderId="11" xfId="0" applyFont="1" applyFill="1" applyBorder="1" applyAlignment="1">
      <alignment vertical="center"/>
    </xf>
    <xf numFmtId="0" fontId="3" fillId="5" borderId="10" xfId="0" applyFont="1" applyFill="1" applyBorder="1"/>
    <xf numFmtId="0" fontId="3" fillId="5" borderId="10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2" fillId="0" borderId="6" xfId="0" applyFont="1" applyBorder="1"/>
    <xf numFmtId="0" fontId="0" fillId="0" borderId="0" xfId="0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11" borderId="7" xfId="0" applyFont="1" applyFill="1" applyBorder="1" applyAlignment="1">
      <alignment horizontal="centerContinuous"/>
    </xf>
    <xf numFmtId="0" fontId="1" fillId="11" borderId="8" xfId="0" applyFont="1" applyFill="1" applyBorder="1" applyAlignment="1">
      <alignment horizontal="centerContinuous"/>
    </xf>
    <xf numFmtId="0" fontId="0" fillId="11" borderId="9" xfId="0" applyFill="1" applyBorder="1" applyAlignment="1"/>
    <xf numFmtId="0" fontId="0" fillId="11" borderId="10" xfId="0" applyFill="1" applyBorder="1" applyAlignment="1"/>
    <xf numFmtId="0" fontId="0" fillId="11" borderId="11" xfId="0" applyFill="1" applyBorder="1" applyAlignment="1"/>
    <xf numFmtId="0" fontId="0" fillId="11" borderId="12" xfId="0" applyFill="1" applyBorder="1" applyAlignment="1"/>
    <xf numFmtId="0" fontId="8" fillId="0" borderId="4" xfId="0" applyFont="1" applyBorder="1"/>
    <xf numFmtId="0" fontId="1" fillId="11" borderId="7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0" fillId="11" borderId="0" xfId="0" applyFill="1" applyBorder="1" applyAlignment="1"/>
    <xf numFmtId="0" fontId="0" fillId="11" borderId="1" xfId="0" applyFill="1" applyBorder="1" applyAlignment="1"/>
    <xf numFmtId="0" fontId="1" fillId="12" borderId="7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</a:t>
            </a:r>
          </a:p>
        </c:rich>
      </c:tx>
      <c:layout/>
      <c:spPr>
        <a:noFill/>
        <a:ln>
          <a:noFill/>
        </a:ln>
        <a:effectLst/>
      </c:spPr>
    </c:title>
    <c:plotArea>
      <c:layout/>
      <c:scatterChart>
        <c:scatterStyle val="lineMarker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</c:trendline>
          <c:xVal>
            <c:numRef>
              <c:f>'Пример 2'!$A$2:$A$21</c:f>
              <c:numCache>
                <c:formatCode>General</c:formatCode>
                <c:ptCount val="20"/>
                <c:pt idx="0">
                  <c:v>9.8000000000000007</c:v>
                </c:pt>
                <c:pt idx="1">
                  <c:v>9.8000000000000007</c:v>
                </c:pt>
                <c:pt idx="2">
                  <c:v>10</c:v>
                </c:pt>
                <c:pt idx="3">
                  <c:v>10.3</c:v>
                </c:pt>
                <c:pt idx="4">
                  <c:v>10.9</c:v>
                </c:pt>
                <c:pt idx="5">
                  <c:v>11.2</c:v>
                </c:pt>
                <c:pt idx="6">
                  <c:v>11.4</c:v>
                </c:pt>
                <c:pt idx="7">
                  <c:v>11.6</c:v>
                </c:pt>
                <c:pt idx="8">
                  <c:v>11.6</c:v>
                </c:pt>
                <c:pt idx="9">
                  <c:v>11.7</c:v>
                </c:pt>
                <c:pt idx="10">
                  <c:v>12.2</c:v>
                </c:pt>
                <c:pt idx="11">
                  <c:v>12.4</c:v>
                </c:pt>
                <c:pt idx="12">
                  <c:v>12.4</c:v>
                </c:pt>
                <c:pt idx="13">
                  <c:v>12.5</c:v>
                </c:pt>
                <c:pt idx="14">
                  <c:v>12.8</c:v>
                </c:pt>
                <c:pt idx="15">
                  <c:v>13.3</c:v>
                </c:pt>
                <c:pt idx="16">
                  <c:v>13.8</c:v>
                </c:pt>
                <c:pt idx="17">
                  <c:v>14</c:v>
                </c:pt>
                <c:pt idx="18">
                  <c:v>15</c:v>
                </c:pt>
                <c:pt idx="19">
                  <c:v>16.2</c:v>
                </c:pt>
              </c:numCache>
            </c:numRef>
          </c:xVal>
          <c:yVal>
            <c:numRef>
              <c:f>'Пример 2'!$B$2:$B$21</c:f>
              <c:numCache>
                <c:formatCode>General</c:formatCode>
                <c:ptCount val="20"/>
                <c:pt idx="0">
                  <c:v>0.68</c:v>
                </c:pt>
                <c:pt idx="1">
                  <c:v>0.68</c:v>
                </c:pt>
                <c:pt idx="2">
                  <c:v>0.64</c:v>
                </c:pt>
                <c:pt idx="3">
                  <c:v>0.62</c:v>
                </c:pt>
                <c:pt idx="4">
                  <c:v>0.74</c:v>
                </c:pt>
                <c:pt idx="5">
                  <c:v>0.66</c:v>
                </c:pt>
                <c:pt idx="6">
                  <c:v>0.66</c:v>
                </c:pt>
                <c:pt idx="7">
                  <c:v>0.76</c:v>
                </c:pt>
                <c:pt idx="8">
                  <c:v>0.71</c:v>
                </c:pt>
                <c:pt idx="9">
                  <c:v>0.71</c:v>
                </c:pt>
                <c:pt idx="10">
                  <c:v>0.7</c:v>
                </c:pt>
                <c:pt idx="11">
                  <c:v>0.73</c:v>
                </c:pt>
                <c:pt idx="12">
                  <c:v>0.62</c:v>
                </c:pt>
                <c:pt idx="13">
                  <c:v>0.76</c:v>
                </c:pt>
                <c:pt idx="14">
                  <c:v>0.64</c:v>
                </c:pt>
                <c:pt idx="15">
                  <c:v>0.81</c:v>
                </c:pt>
                <c:pt idx="16">
                  <c:v>0.79</c:v>
                </c:pt>
                <c:pt idx="17">
                  <c:v>0.71</c:v>
                </c:pt>
                <c:pt idx="18">
                  <c:v>0.71</c:v>
                </c:pt>
                <c:pt idx="19">
                  <c:v>0.86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0550-4EB0-9471-997EDB4E21C9}"/>
            </c:ext>
          </c:extLst>
        </c:ser>
        <c:dLbls/>
        <c:axId val="152111360"/>
        <c:axId val="152133632"/>
      </c:scatterChart>
      <c:valAx>
        <c:axId val="15211136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133632"/>
        <c:crosses val="autoZero"/>
        <c:crossBetween val="midCat"/>
      </c:valAx>
      <c:valAx>
        <c:axId val="15213363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11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1</xdr:row>
      <xdr:rowOff>75247</xdr:rowOff>
    </xdr:from>
    <xdr:to>
      <xdr:col>10</xdr:col>
      <xdr:colOff>461010</xdr:colOff>
      <xdr:row>15</xdr:row>
      <xdr:rowOff>151447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72B8F8C3-FD61-48EA-B887-3436BE777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Новый текстовый документ (4)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Новый текстовый документ (4)_1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Новый текстовый документ (4)_1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Новый текстовый документ (4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I6" sqref="I6"/>
    </sheetView>
  </sheetViews>
  <sheetFormatPr defaultRowHeight="14.4"/>
  <cols>
    <col min="1" max="1" width="5" bestFit="1" customWidth="1"/>
    <col min="2" max="2" width="5" customWidth="1"/>
    <col min="5" max="5" width="23" customWidth="1"/>
    <col min="6" max="6" width="21.33203125" customWidth="1"/>
  </cols>
  <sheetData>
    <row r="1" spans="1:7" ht="15" thickBot="1">
      <c r="A1" s="26" t="s">
        <v>0</v>
      </c>
      <c r="B1" s="27" t="s">
        <v>1</v>
      </c>
      <c r="E1" s="28"/>
      <c r="F1" s="29" t="s">
        <v>38</v>
      </c>
      <c r="G1" s="30"/>
    </row>
    <row r="2" spans="1:7">
      <c r="A2" s="22">
        <v>10.199999999999999</v>
      </c>
      <c r="B2" s="23">
        <v>0.68</v>
      </c>
      <c r="E2" s="31"/>
      <c r="F2" s="32" t="s">
        <v>0</v>
      </c>
      <c r="G2" s="33" t="s">
        <v>1</v>
      </c>
    </row>
    <row r="3" spans="1:7">
      <c r="A3" s="22">
        <v>10.199999999999999</v>
      </c>
      <c r="B3" s="23">
        <v>0.68</v>
      </c>
      <c r="E3" s="38" t="s">
        <v>0</v>
      </c>
      <c r="F3" s="34">
        <v>1</v>
      </c>
      <c r="G3" s="35"/>
    </row>
    <row r="4" spans="1:7" ht="15" thickBot="1">
      <c r="A4" s="22">
        <v>10.3</v>
      </c>
      <c r="B4" s="23">
        <v>0.63</v>
      </c>
      <c r="E4" s="39" t="s">
        <v>1</v>
      </c>
      <c r="F4" s="36">
        <v>0.56508751330655393</v>
      </c>
      <c r="G4" s="37">
        <v>1</v>
      </c>
    </row>
    <row r="5" spans="1:7">
      <c r="A5" s="22">
        <v>10.5</v>
      </c>
      <c r="B5" s="23">
        <v>0.6</v>
      </c>
      <c r="E5" s="40" t="s">
        <v>39</v>
      </c>
      <c r="F5" s="41" t="s">
        <v>37</v>
      </c>
      <c r="G5" s="35"/>
    </row>
    <row r="6" spans="1:7">
      <c r="A6" s="22">
        <v>11</v>
      </c>
      <c r="B6" s="23">
        <v>0.72</v>
      </c>
      <c r="E6" s="38" t="e">
        <f ca="1">_xlfn.F.INV.RT(0.05,1,18)</f>
        <v>#NAME?</v>
      </c>
      <c r="F6" s="34">
        <f>((F4^2)/(1-F4^2))*18</f>
        <v>8.4442955159517084</v>
      </c>
      <c r="G6" s="35"/>
    </row>
    <row r="7" spans="1:7">
      <c r="A7" s="22">
        <v>11.2</v>
      </c>
      <c r="B7" s="23">
        <v>0.64</v>
      </c>
      <c r="E7" s="40" t="s">
        <v>41</v>
      </c>
      <c r="F7" s="41" t="s">
        <v>40</v>
      </c>
      <c r="G7" s="35"/>
    </row>
    <row r="8" spans="1:7">
      <c r="A8" s="22">
        <v>11.3</v>
      </c>
      <c r="B8" s="23">
        <v>0.64</v>
      </c>
      <c r="E8" s="38" t="e">
        <f ca="1">_xlfn.T.INV.2T(0.05,18)</f>
        <v>#NAME?</v>
      </c>
      <c r="F8" s="34">
        <f>F6^(0.5)</f>
        <v>2.9059070040095412</v>
      </c>
      <c r="G8" s="35"/>
    </row>
    <row r="9" spans="1:7">
      <c r="A9" s="22">
        <v>11.6</v>
      </c>
      <c r="B9" s="23">
        <v>0.74</v>
      </c>
      <c r="E9" s="40" t="s">
        <v>43</v>
      </c>
      <c r="F9" s="34"/>
      <c r="G9" s="35"/>
    </row>
    <row r="10" spans="1:7" ht="15" thickBot="1">
      <c r="A10" s="22">
        <v>11.6</v>
      </c>
      <c r="B10" s="23">
        <v>0.69</v>
      </c>
      <c r="E10" s="39">
        <f>FORECAST(15,B2:B21,A2:A21)</f>
        <v>0.75827191156110274</v>
      </c>
      <c r="F10" s="36"/>
      <c r="G10" s="37"/>
    </row>
    <row r="11" spans="1:7">
      <c r="A11" s="22">
        <v>11.7</v>
      </c>
      <c r="B11" s="23">
        <v>0.69</v>
      </c>
    </row>
    <row r="12" spans="1:7">
      <c r="A12" s="22">
        <v>12.1</v>
      </c>
      <c r="B12" s="23">
        <v>0.68</v>
      </c>
    </row>
    <row r="13" spans="1:7">
      <c r="A13" s="22">
        <v>12.3</v>
      </c>
      <c r="B13" s="23">
        <v>0.71</v>
      </c>
    </row>
    <row r="14" spans="1:7">
      <c r="A14" s="22">
        <v>12.3</v>
      </c>
      <c r="B14" s="23">
        <v>0.59</v>
      </c>
    </row>
    <row r="15" spans="1:7">
      <c r="A15" s="22">
        <v>12.4</v>
      </c>
      <c r="B15" s="23">
        <v>0.74</v>
      </c>
    </row>
    <row r="16" spans="1:7">
      <c r="A16" s="22">
        <v>12.7</v>
      </c>
      <c r="B16" s="23">
        <v>0.62</v>
      </c>
    </row>
    <row r="17" spans="1:2">
      <c r="A17" s="22">
        <v>13.2</v>
      </c>
      <c r="B17" s="23">
        <v>0.79</v>
      </c>
    </row>
    <row r="18" spans="1:2">
      <c r="A18" s="22">
        <v>13.7</v>
      </c>
      <c r="B18" s="23">
        <v>0.77</v>
      </c>
    </row>
    <row r="19" spans="1:2">
      <c r="A19" s="22">
        <v>13.8</v>
      </c>
      <c r="B19" s="23">
        <v>0.69</v>
      </c>
    </row>
    <row r="20" spans="1:2">
      <c r="A20" s="22">
        <v>14.9</v>
      </c>
      <c r="B20" s="23">
        <v>0.69</v>
      </c>
    </row>
    <row r="21" spans="1:2" ht="15" thickBot="1">
      <c r="A21" s="24">
        <v>16.100000000000001</v>
      </c>
      <c r="B21" s="25">
        <v>0.84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L11" sqref="L11"/>
    </sheetView>
  </sheetViews>
  <sheetFormatPr defaultRowHeight="14.4"/>
  <sheetData>
    <row r="1" spans="1:11" s="7" customFormat="1" ht="15" thickBot="1">
      <c r="A1" s="42" t="s">
        <v>0</v>
      </c>
      <c r="B1" s="43" t="s">
        <v>1</v>
      </c>
      <c r="D1" s="48"/>
      <c r="E1" s="49"/>
      <c r="F1" s="49"/>
      <c r="G1" s="49"/>
      <c r="H1" s="49"/>
      <c r="I1" s="49"/>
      <c r="J1" s="49"/>
      <c r="K1" s="50"/>
    </row>
    <row r="2" spans="1:11">
      <c r="A2" s="44">
        <v>9.8000000000000007</v>
      </c>
      <c r="B2" s="46">
        <v>0.68</v>
      </c>
      <c r="D2" s="51"/>
      <c r="E2" s="52"/>
      <c r="F2" s="52"/>
      <c r="G2" s="52"/>
      <c r="H2" s="52"/>
      <c r="I2" s="52"/>
      <c r="J2" s="52"/>
      <c r="K2" s="53"/>
    </row>
    <row r="3" spans="1:11">
      <c r="A3" s="44">
        <v>9.8000000000000007</v>
      </c>
      <c r="B3" s="46">
        <v>0.68</v>
      </c>
      <c r="D3" s="51"/>
      <c r="E3" s="52"/>
      <c r="F3" s="52"/>
      <c r="G3" s="52"/>
      <c r="H3" s="52"/>
      <c r="I3" s="52"/>
      <c r="J3" s="52"/>
      <c r="K3" s="53"/>
    </row>
    <row r="4" spans="1:11">
      <c r="A4" s="44">
        <v>10</v>
      </c>
      <c r="B4" s="46">
        <v>0.64</v>
      </c>
      <c r="D4" s="51"/>
      <c r="E4" s="52"/>
      <c r="F4" s="52"/>
      <c r="G4" s="52"/>
      <c r="H4" s="52"/>
      <c r="I4" s="52"/>
      <c r="J4" s="52"/>
      <c r="K4" s="53"/>
    </row>
    <row r="5" spans="1:11">
      <c r="A5" s="44">
        <v>10.3</v>
      </c>
      <c r="B5" s="46">
        <v>0.62</v>
      </c>
      <c r="D5" s="51"/>
      <c r="E5" s="52"/>
      <c r="F5" s="52"/>
      <c r="G5" s="52"/>
      <c r="H5" s="52"/>
      <c r="I5" s="52"/>
      <c r="J5" s="52"/>
      <c r="K5" s="53"/>
    </row>
    <row r="6" spans="1:11">
      <c r="A6" s="44">
        <v>10.9</v>
      </c>
      <c r="B6" s="46">
        <v>0.74</v>
      </c>
      <c r="D6" s="51"/>
      <c r="E6" s="52"/>
      <c r="F6" s="52"/>
      <c r="G6" s="52"/>
      <c r="H6" s="52"/>
      <c r="I6" s="52"/>
      <c r="J6" s="52"/>
      <c r="K6" s="53"/>
    </row>
    <row r="7" spans="1:11">
      <c r="A7" s="44">
        <v>11.2</v>
      </c>
      <c r="B7" s="46">
        <v>0.66</v>
      </c>
      <c r="D7" s="51"/>
      <c r="E7" s="52"/>
      <c r="F7" s="52"/>
      <c r="G7" s="52"/>
      <c r="H7" s="52"/>
      <c r="I7" s="52"/>
      <c r="J7" s="52"/>
      <c r="K7" s="53"/>
    </row>
    <row r="8" spans="1:11">
      <c r="A8" s="44">
        <v>11.4</v>
      </c>
      <c r="B8" s="46">
        <v>0.66</v>
      </c>
      <c r="D8" s="51"/>
      <c r="E8" s="52"/>
      <c r="F8" s="52"/>
      <c r="G8" s="52"/>
      <c r="H8" s="52"/>
      <c r="I8" s="52"/>
      <c r="J8" s="52"/>
      <c r="K8" s="53"/>
    </row>
    <row r="9" spans="1:11">
      <c r="A9" s="44">
        <v>11.6</v>
      </c>
      <c r="B9" s="46">
        <v>0.76</v>
      </c>
      <c r="D9" s="51"/>
      <c r="E9" s="52"/>
      <c r="F9" s="52"/>
      <c r="G9" s="52"/>
      <c r="H9" s="52"/>
      <c r="I9" s="52"/>
      <c r="J9" s="52"/>
      <c r="K9" s="53"/>
    </row>
    <row r="10" spans="1:11">
      <c r="A10" s="44">
        <v>11.6</v>
      </c>
      <c r="B10" s="46">
        <v>0.71</v>
      </c>
      <c r="D10" s="51"/>
      <c r="E10" s="52"/>
      <c r="F10" s="52"/>
      <c r="G10" s="52"/>
      <c r="H10" s="52"/>
      <c r="I10" s="52"/>
      <c r="J10" s="52"/>
      <c r="K10" s="53"/>
    </row>
    <row r="11" spans="1:11">
      <c r="A11" s="44">
        <v>11.7</v>
      </c>
      <c r="B11" s="46">
        <v>0.71</v>
      </c>
      <c r="D11" s="51"/>
      <c r="E11" s="52"/>
      <c r="F11" s="52"/>
      <c r="G11" s="52"/>
      <c r="H11" s="52"/>
      <c r="I11" s="52"/>
      <c r="J11" s="52"/>
      <c r="K11" s="53"/>
    </row>
    <row r="12" spans="1:11">
      <c r="A12" s="44">
        <v>12.2</v>
      </c>
      <c r="B12" s="46">
        <v>0.7</v>
      </c>
      <c r="D12" s="51"/>
      <c r="E12" s="52"/>
      <c r="F12" s="52"/>
      <c r="G12" s="52"/>
      <c r="H12" s="52"/>
      <c r="I12" s="52"/>
      <c r="J12" s="52"/>
      <c r="K12" s="53"/>
    </row>
    <row r="13" spans="1:11">
      <c r="A13" s="44">
        <v>12.4</v>
      </c>
      <c r="B13" s="46">
        <v>0.73</v>
      </c>
      <c r="D13" s="51"/>
      <c r="E13" s="52"/>
      <c r="F13" s="52"/>
      <c r="G13" s="52"/>
      <c r="H13" s="52"/>
      <c r="I13" s="52"/>
      <c r="J13" s="52"/>
      <c r="K13" s="53"/>
    </row>
    <row r="14" spans="1:11">
      <c r="A14" s="44">
        <v>12.4</v>
      </c>
      <c r="B14" s="46">
        <v>0.62</v>
      </c>
      <c r="D14" s="51"/>
      <c r="E14" s="52"/>
      <c r="F14" s="52"/>
      <c r="G14" s="52"/>
      <c r="H14" s="52"/>
      <c r="I14" s="52"/>
      <c r="J14" s="52"/>
      <c r="K14" s="53"/>
    </row>
    <row r="15" spans="1:11">
      <c r="A15" s="44">
        <v>12.5</v>
      </c>
      <c r="B15" s="46">
        <v>0.76</v>
      </c>
      <c r="D15" s="51"/>
      <c r="E15" s="52"/>
      <c r="F15" s="52"/>
      <c r="G15" s="52"/>
      <c r="H15" s="52"/>
      <c r="I15" s="52"/>
      <c r="J15" s="52"/>
      <c r="K15" s="53"/>
    </row>
    <row r="16" spans="1:11">
      <c r="A16" s="44">
        <v>12.8</v>
      </c>
      <c r="B16" s="46">
        <v>0.64</v>
      </c>
      <c r="D16" s="51"/>
      <c r="E16" s="52"/>
      <c r="F16" s="52"/>
      <c r="G16" s="52"/>
      <c r="H16" s="52"/>
      <c r="I16" s="52"/>
      <c r="J16" s="52"/>
      <c r="K16" s="53"/>
    </row>
    <row r="17" spans="1:11" ht="15" thickBot="1">
      <c r="A17" s="44">
        <v>13.3</v>
      </c>
      <c r="B17" s="46">
        <v>0.81</v>
      </c>
      <c r="D17" s="54"/>
      <c r="E17" s="55"/>
      <c r="F17" s="55"/>
      <c r="G17" s="55"/>
      <c r="H17" s="55"/>
      <c r="I17" s="55"/>
      <c r="J17" s="55"/>
      <c r="K17" s="56"/>
    </row>
    <row r="18" spans="1:11">
      <c r="A18" s="44">
        <v>13.8</v>
      </c>
      <c r="B18" s="46">
        <v>0.79</v>
      </c>
    </row>
    <row r="19" spans="1:11">
      <c r="A19" s="44">
        <v>14</v>
      </c>
      <c r="B19" s="46">
        <v>0.71</v>
      </c>
    </row>
    <row r="20" spans="1:11">
      <c r="A20" s="44">
        <v>15</v>
      </c>
      <c r="B20" s="46">
        <v>0.71</v>
      </c>
    </row>
    <row r="21" spans="1:11" ht="15" thickBot="1">
      <c r="A21" s="45">
        <v>16.2</v>
      </c>
      <c r="B21" s="47">
        <v>0.86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activeCell="E19" sqref="E19"/>
    </sheetView>
  </sheetViews>
  <sheetFormatPr defaultRowHeight="14.4"/>
  <cols>
    <col min="4" max="4" width="29.5546875" customWidth="1"/>
    <col min="5" max="5" width="18.5546875" customWidth="1"/>
    <col min="6" max="6" width="17.44140625" customWidth="1"/>
    <col min="7" max="7" width="16.109375" customWidth="1"/>
    <col min="8" max="8" width="5.6640625" customWidth="1"/>
    <col min="9" max="9" width="12.88671875" customWidth="1"/>
    <col min="10" max="10" width="16" customWidth="1"/>
    <col min="11" max="12" width="14.88671875" customWidth="1"/>
  </cols>
  <sheetData>
    <row r="1" spans="1:12" s="7" customFormat="1" ht="15" thickBot="1">
      <c r="A1" s="42" t="s">
        <v>0</v>
      </c>
      <c r="B1" s="43" t="s">
        <v>1</v>
      </c>
      <c r="D1" s="64" t="s">
        <v>2</v>
      </c>
    </row>
    <row r="2" spans="1:12" ht="15" thickBot="1">
      <c r="A2" s="57">
        <v>10</v>
      </c>
      <c r="B2" s="59">
        <v>0.7</v>
      </c>
    </row>
    <row r="3" spans="1:12">
      <c r="A3" s="57">
        <v>10</v>
      </c>
      <c r="B3" s="59">
        <v>0.7</v>
      </c>
      <c r="D3" s="61" t="s">
        <v>3</v>
      </c>
      <c r="E3" s="62"/>
    </row>
    <row r="4" spans="1:12">
      <c r="A4" s="57">
        <v>10.1</v>
      </c>
      <c r="B4" s="59">
        <v>0.65</v>
      </c>
      <c r="D4" s="13" t="s">
        <v>4</v>
      </c>
      <c r="E4" s="14">
        <v>0.56508751330655405</v>
      </c>
    </row>
    <row r="5" spans="1:12">
      <c r="A5" s="57">
        <v>10.199999999999999</v>
      </c>
      <c r="B5" s="59">
        <v>0.61</v>
      </c>
      <c r="D5" s="13" t="s">
        <v>5</v>
      </c>
      <c r="E5" s="14">
        <v>0.31932389769498493</v>
      </c>
    </row>
    <row r="6" spans="1:12">
      <c r="A6" s="57">
        <v>10.8</v>
      </c>
      <c r="B6" s="59">
        <v>0.73</v>
      </c>
      <c r="D6" s="13" t="s">
        <v>6</v>
      </c>
      <c r="E6" s="14">
        <v>0.28150855867803964</v>
      </c>
    </row>
    <row r="7" spans="1:12">
      <c r="A7" s="57">
        <v>11</v>
      </c>
      <c r="B7" s="59">
        <v>0.65</v>
      </c>
      <c r="D7" s="13" t="s">
        <v>7</v>
      </c>
      <c r="E7" s="14">
        <v>5.3475189915150399E-2</v>
      </c>
    </row>
    <row r="8" spans="1:12" ht="15" thickBot="1">
      <c r="A8" s="57">
        <v>11.1</v>
      </c>
      <c r="B8" s="59">
        <v>0.65</v>
      </c>
      <c r="D8" s="15" t="s">
        <v>8</v>
      </c>
      <c r="E8" s="16">
        <v>20</v>
      </c>
    </row>
    <row r="9" spans="1:12" ht="15" thickBot="1">
      <c r="A9" s="57">
        <v>11.3</v>
      </c>
      <c r="B9" s="59">
        <v>0.75</v>
      </c>
    </row>
    <row r="10" spans="1:12" ht="15" thickBot="1">
      <c r="A10" s="57">
        <v>11.3</v>
      </c>
      <c r="B10" s="59">
        <v>0.7</v>
      </c>
      <c r="D10" s="8" t="s">
        <v>9</v>
      </c>
      <c r="E10" s="63"/>
      <c r="F10" s="63"/>
      <c r="G10" s="63"/>
      <c r="H10" s="63"/>
      <c r="I10" s="10"/>
    </row>
    <row r="11" spans="1:12">
      <c r="A11" s="57">
        <v>11.4</v>
      </c>
      <c r="B11" s="59">
        <v>0.7</v>
      </c>
      <c r="D11" s="11"/>
      <c r="E11" s="3" t="s">
        <v>14</v>
      </c>
      <c r="F11" s="3" t="s">
        <v>15</v>
      </c>
      <c r="G11" s="3" t="s">
        <v>16</v>
      </c>
      <c r="H11" s="3" t="s">
        <v>17</v>
      </c>
      <c r="I11" s="12" t="s">
        <v>18</v>
      </c>
    </row>
    <row r="12" spans="1:12">
      <c r="A12" s="57">
        <v>11.8</v>
      </c>
      <c r="B12" s="59">
        <v>0.69</v>
      </c>
      <c r="D12" s="13" t="s">
        <v>10</v>
      </c>
      <c r="E12" s="1">
        <v>1</v>
      </c>
      <c r="F12" s="1">
        <v>2.4147273143694768E-2</v>
      </c>
      <c r="G12" s="1">
        <v>2.4147273143694768E-2</v>
      </c>
      <c r="H12" s="1">
        <v>8.4442955159517155</v>
      </c>
      <c r="I12" s="14">
        <v>9.4243645305079268E-3</v>
      </c>
    </row>
    <row r="13" spans="1:12">
      <c r="A13" s="57">
        <v>12</v>
      </c>
      <c r="B13" s="59">
        <v>0.72</v>
      </c>
      <c r="D13" s="13" t="s">
        <v>11</v>
      </c>
      <c r="E13" s="1">
        <v>18</v>
      </c>
      <c r="F13" s="1">
        <v>5.1472726856305252E-2</v>
      </c>
      <c r="G13" s="1">
        <v>2.8595959364614027E-3</v>
      </c>
      <c r="H13" s="1"/>
      <c r="I13" s="14"/>
    </row>
    <row r="14" spans="1:12" ht="15" thickBot="1">
      <c r="A14" s="57">
        <v>12</v>
      </c>
      <c r="B14" s="59">
        <v>0.6</v>
      </c>
      <c r="D14" s="15" t="s">
        <v>12</v>
      </c>
      <c r="E14" s="2">
        <v>19</v>
      </c>
      <c r="F14" s="2">
        <v>7.5620000000000021E-2</v>
      </c>
      <c r="G14" s="2"/>
      <c r="H14" s="2"/>
      <c r="I14" s="16"/>
    </row>
    <row r="15" spans="1:12" ht="15" thickBot="1">
      <c r="A15" s="57">
        <v>12.1</v>
      </c>
      <c r="B15" s="59">
        <v>0.75</v>
      </c>
      <c r="K15" s="4"/>
      <c r="L15" s="4"/>
    </row>
    <row r="16" spans="1:12">
      <c r="A16" s="57">
        <v>12.3</v>
      </c>
      <c r="B16" s="59">
        <v>0.63</v>
      </c>
      <c r="D16" s="11"/>
      <c r="E16" s="3" t="s">
        <v>19</v>
      </c>
      <c r="F16" s="3" t="s">
        <v>7</v>
      </c>
      <c r="G16" s="3" t="s">
        <v>20</v>
      </c>
      <c r="H16" s="3" t="s">
        <v>21</v>
      </c>
      <c r="I16" s="3" t="s">
        <v>22</v>
      </c>
      <c r="J16" s="12" t="s">
        <v>23</v>
      </c>
      <c r="K16" s="5"/>
      <c r="L16" s="5"/>
    </row>
    <row r="17" spans="1:12">
      <c r="A17" s="57">
        <v>13</v>
      </c>
      <c r="B17" s="59">
        <v>0.8</v>
      </c>
      <c r="D17" s="13" t="s">
        <v>13</v>
      </c>
      <c r="E17" s="1">
        <v>0.42385300719160834</v>
      </c>
      <c r="F17" s="1">
        <v>9.6803261252162862E-2</v>
      </c>
      <c r="G17" s="1">
        <v>4.3784992541471661</v>
      </c>
      <c r="H17" s="1">
        <v>3.6229348552213315E-4</v>
      </c>
      <c r="I17" s="1">
        <v>0.22047690205972814</v>
      </c>
      <c r="J17" s="14">
        <v>0.62722911232348855</v>
      </c>
      <c r="K17" s="1"/>
      <c r="L17" s="1"/>
    </row>
    <row r="18" spans="1:12" ht="15" thickBot="1">
      <c r="A18" s="57">
        <v>13.4</v>
      </c>
      <c r="B18" s="59">
        <v>0.78</v>
      </c>
      <c r="D18" s="15" t="s">
        <v>0</v>
      </c>
      <c r="E18" s="2">
        <v>2.3517017085795427E-2</v>
      </c>
      <c r="F18" s="2">
        <v>8.0928319637713405E-3</v>
      </c>
      <c r="G18" s="2">
        <v>2.9059070040095412</v>
      </c>
      <c r="H18" s="2">
        <v>9.4243645305079442E-3</v>
      </c>
      <c r="I18" s="2">
        <v>6.5146080451410592E-3</v>
      </c>
      <c r="J18" s="16">
        <v>4.0519426126449792E-2</v>
      </c>
      <c r="K18" s="1"/>
      <c r="L18" s="1"/>
    </row>
    <row r="19" spans="1:12">
      <c r="A19" s="57">
        <v>13.5</v>
      </c>
      <c r="B19" s="59">
        <v>0.7</v>
      </c>
      <c r="K19" s="4"/>
      <c r="L19" s="4"/>
    </row>
    <row r="20" spans="1:12">
      <c r="A20" s="57">
        <v>14.5</v>
      </c>
      <c r="B20" s="59">
        <v>0.7</v>
      </c>
      <c r="K20" s="4"/>
      <c r="L20" s="4"/>
    </row>
    <row r="21" spans="1:12" ht="15" thickBot="1">
      <c r="A21" s="58">
        <v>15.6</v>
      </c>
      <c r="B21" s="60">
        <v>0.85</v>
      </c>
      <c r="K21" s="4"/>
      <c r="L21" s="4"/>
    </row>
    <row r="22" spans="1:12">
      <c r="K22" s="4"/>
      <c r="L2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selection activeCell="C2" sqref="C2"/>
    </sheetView>
  </sheetViews>
  <sheetFormatPr defaultRowHeight="14.4"/>
  <cols>
    <col min="1" max="1" width="5.88671875" bestFit="1" customWidth="1"/>
    <col min="2" max="2" width="4.6640625" bestFit="1" customWidth="1"/>
    <col min="4" max="4" width="24.88671875" customWidth="1"/>
    <col min="5" max="5" width="14.5546875" bestFit="1" customWidth="1"/>
    <col min="6" max="6" width="19.6640625" bestFit="1" customWidth="1"/>
    <col min="7" max="7" width="12.6640625" bestFit="1" customWidth="1"/>
    <col min="8" max="8" width="12" bestFit="1" customWidth="1"/>
    <col min="9" max="9" width="13.5546875" bestFit="1" customWidth="1"/>
    <col min="10" max="10" width="12.6640625" bestFit="1" customWidth="1"/>
    <col min="11" max="11" width="13.5546875" bestFit="1" customWidth="1"/>
    <col min="12" max="12" width="13.88671875" bestFit="1" customWidth="1"/>
  </cols>
  <sheetData>
    <row r="1" spans="1:13" s="65" customFormat="1" ht="15" thickBot="1">
      <c r="A1" s="66" t="s">
        <v>25</v>
      </c>
      <c r="B1" s="67" t="s">
        <v>24</v>
      </c>
      <c r="D1" s="65" t="s">
        <v>2</v>
      </c>
    </row>
    <row r="2" spans="1:13" ht="18.600000000000001" thickBot="1">
      <c r="A2" s="68">
        <v>7.2</v>
      </c>
      <c r="B2" s="70">
        <v>3.1</v>
      </c>
    </row>
    <row r="3" spans="1:13" ht="18">
      <c r="A3" s="68">
        <v>7.4</v>
      </c>
      <c r="B3" s="70">
        <v>2.5</v>
      </c>
      <c r="D3" s="61" t="s">
        <v>3</v>
      </c>
      <c r="E3" s="62"/>
    </row>
    <row r="4" spans="1:13" ht="18">
      <c r="A4" s="68">
        <v>7.7</v>
      </c>
      <c r="B4" s="70">
        <v>3.3</v>
      </c>
      <c r="D4" s="13" t="s">
        <v>4</v>
      </c>
      <c r="E4" s="14">
        <v>0.89839374446578846</v>
      </c>
    </row>
    <row r="5" spans="1:13" ht="18">
      <c r="A5" s="68">
        <v>7.9</v>
      </c>
      <c r="B5" s="70">
        <v>3.8</v>
      </c>
      <c r="D5" s="13" t="s">
        <v>5</v>
      </c>
      <c r="E5" s="14">
        <v>0.80711132009526043</v>
      </c>
    </row>
    <row r="6" spans="1:13" ht="18">
      <c r="A6" s="68">
        <v>9</v>
      </c>
      <c r="B6" s="70">
        <v>3.5</v>
      </c>
      <c r="D6" s="13" t="s">
        <v>6</v>
      </c>
      <c r="E6" s="14">
        <v>0.79103726343653202</v>
      </c>
    </row>
    <row r="7" spans="1:13" ht="18">
      <c r="A7" s="68">
        <v>9.3000000000000007</v>
      </c>
      <c r="B7" s="70">
        <v>4</v>
      </c>
      <c r="D7" s="13" t="s">
        <v>7</v>
      </c>
      <c r="E7" s="14">
        <v>0.8103949834491021</v>
      </c>
    </row>
    <row r="8" spans="1:13" ht="18.600000000000001" thickBot="1">
      <c r="A8" s="68">
        <v>9.6</v>
      </c>
      <c r="B8" s="71">
        <v>4.3</v>
      </c>
      <c r="D8" s="15" t="s">
        <v>8</v>
      </c>
      <c r="E8" s="16">
        <v>14</v>
      </c>
    </row>
    <row r="9" spans="1:13" ht="18">
      <c r="A9" s="68">
        <v>10.3</v>
      </c>
      <c r="B9" s="70">
        <v>5.0999999999999996</v>
      </c>
    </row>
    <row r="10" spans="1:13" ht="18.600000000000001" thickBot="1">
      <c r="A10" s="68">
        <v>11.1</v>
      </c>
      <c r="B10" s="70">
        <v>6.3</v>
      </c>
      <c r="D10" s="6" t="s">
        <v>9</v>
      </c>
    </row>
    <row r="11" spans="1:13" ht="18">
      <c r="A11" s="68">
        <v>11.2</v>
      </c>
      <c r="B11" s="71">
        <v>5.7</v>
      </c>
      <c r="D11" s="11"/>
      <c r="E11" s="3" t="s">
        <v>14</v>
      </c>
      <c r="F11" s="3" t="s">
        <v>15</v>
      </c>
      <c r="G11" s="3" t="s">
        <v>16</v>
      </c>
      <c r="H11" s="3" t="s">
        <v>17</v>
      </c>
      <c r="I11" s="12" t="s">
        <v>18</v>
      </c>
    </row>
    <row r="12" spans="1:13" ht="18">
      <c r="A12" s="68">
        <v>11.6</v>
      </c>
      <c r="B12" s="70">
        <v>5.5</v>
      </c>
      <c r="D12" s="13" t="s">
        <v>10</v>
      </c>
      <c r="E12" s="1">
        <v>1</v>
      </c>
      <c r="F12" s="1">
        <v>32.976262506749215</v>
      </c>
      <c r="G12" s="1">
        <v>32.976262506749215</v>
      </c>
      <c r="H12" s="1">
        <v>50.212048970039852</v>
      </c>
      <c r="I12" s="14">
        <v>1.2721117598068867E-5</v>
      </c>
    </row>
    <row r="13" spans="1:13" ht="18">
      <c r="A13" s="68">
        <v>12.3</v>
      </c>
      <c r="B13" s="71">
        <v>5.7</v>
      </c>
      <c r="D13" s="13" t="s">
        <v>11</v>
      </c>
      <c r="E13" s="1">
        <v>12</v>
      </c>
      <c r="F13" s="1">
        <v>7.880880350393646</v>
      </c>
      <c r="G13" s="1">
        <v>0.6567400291994705</v>
      </c>
      <c r="H13" s="1"/>
      <c r="I13" s="14"/>
    </row>
    <row r="14" spans="1:13" ht="18.600000000000001" thickBot="1">
      <c r="A14" s="68">
        <v>12.6</v>
      </c>
      <c r="B14" s="70">
        <v>6.3</v>
      </c>
      <c r="D14" s="15" t="s">
        <v>12</v>
      </c>
      <c r="E14" s="2">
        <v>13</v>
      </c>
      <c r="F14" s="2">
        <v>40.857142857142861</v>
      </c>
      <c r="G14" s="2"/>
      <c r="H14" s="2"/>
      <c r="I14" s="16"/>
    </row>
    <row r="15" spans="1:13" ht="18.600000000000001" thickBot="1">
      <c r="A15" s="69">
        <v>12.9</v>
      </c>
      <c r="B15" s="72">
        <v>9.1999999999999993</v>
      </c>
    </row>
    <row r="16" spans="1:13">
      <c r="D16" s="8"/>
      <c r="E16" s="9" t="s">
        <v>19</v>
      </c>
      <c r="F16" s="9" t="s">
        <v>7</v>
      </c>
      <c r="G16" s="9" t="s">
        <v>20</v>
      </c>
      <c r="H16" s="9" t="s">
        <v>21</v>
      </c>
      <c r="I16" s="9" t="s">
        <v>22</v>
      </c>
      <c r="J16" s="9" t="s">
        <v>23</v>
      </c>
      <c r="K16" s="9" t="s">
        <v>26</v>
      </c>
      <c r="L16" s="9" t="s">
        <v>27</v>
      </c>
      <c r="M16" s="73"/>
    </row>
    <row r="17" spans="4:13">
      <c r="D17" s="18" t="s">
        <v>13</v>
      </c>
      <c r="E17" s="4">
        <v>-2.9485748202322304</v>
      </c>
      <c r="F17" s="4">
        <v>1.0850925097457007</v>
      </c>
      <c r="G17" s="4">
        <v>-2.7173487916926553</v>
      </c>
      <c r="H17" s="4">
        <v>1.8699340467839377E-2</v>
      </c>
      <c r="I17" s="4">
        <v>-5.3127883018419748</v>
      </c>
      <c r="J17" s="4">
        <v>-0.58436133862248552</v>
      </c>
      <c r="K17" s="4">
        <v>-5.3127883018419748</v>
      </c>
      <c r="L17" s="4">
        <v>-0.58436133862248552</v>
      </c>
      <c r="M17" s="17"/>
    </row>
    <row r="18" spans="4:13" ht="15" thickBot="1">
      <c r="D18" s="19" t="s">
        <v>28</v>
      </c>
      <c r="E18" s="20">
        <v>0.79367981552484002</v>
      </c>
      <c r="F18" s="20">
        <v>0.11200601960240981</v>
      </c>
      <c r="G18" s="20">
        <v>7.0860460745072666</v>
      </c>
      <c r="H18" s="20">
        <v>1.2721117598068867E-5</v>
      </c>
      <c r="I18" s="20">
        <v>0.54963966301515044</v>
      </c>
      <c r="J18" s="20">
        <v>1.0377199680345295</v>
      </c>
      <c r="K18" s="20">
        <v>0.54963966301515044</v>
      </c>
      <c r="L18" s="20">
        <v>1.0377199680345295</v>
      </c>
      <c r="M18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>
      <selection activeCell="H23" sqref="H23"/>
    </sheetView>
  </sheetViews>
  <sheetFormatPr defaultRowHeight="14.4"/>
  <cols>
    <col min="1" max="2" width="22.109375" customWidth="1"/>
    <col min="3" max="3" width="4.88671875" customWidth="1"/>
    <col min="4" max="4" width="21.109375" customWidth="1"/>
    <col min="5" max="5" width="20.6640625" customWidth="1"/>
    <col min="6" max="6" width="4.88671875" customWidth="1"/>
    <col min="7" max="7" width="24.88671875" bestFit="1" customWidth="1"/>
    <col min="8" max="8" width="15.6640625" bestFit="1" customWidth="1"/>
    <col min="9" max="9" width="21" bestFit="1" customWidth="1"/>
    <col min="10" max="10" width="14.21875" bestFit="1" customWidth="1"/>
    <col min="11" max="11" width="12" bestFit="1" customWidth="1"/>
    <col min="12" max="12" width="13.5546875" bestFit="1" customWidth="1"/>
    <col min="13" max="13" width="12.5546875" bestFit="1" customWidth="1"/>
    <col min="14" max="14" width="13.88671875" bestFit="1" customWidth="1"/>
    <col min="15" max="15" width="14.109375" bestFit="1" customWidth="1"/>
  </cols>
  <sheetData>
    <row r="1" spans="1:15" ht="15" thickBot="1">
      <c r="A1" s="77" t="s">
        <v>29</v>
      </c>
      <c r="B1" s="80" t="s">
        <v>30</v>
      </c>
      <c r="D1" s="75" t="s">
        <v>33</v>
      </c>
      <c r="E1" s="75" t="s">
        <v>34</v>
      </c>
      <c r="G1" s="84" t="s">
        <v>2</v>
      </c>
    </row>
    <row r="2" spans="1:15" ht="15" thickBot="1">
      <c r="A2" s="78">
        <v>96</v>
      </c>
      <c r="B2" s="81">
        <v>4603</v>
      </c>
      <c r="D2" s="76">
        <f>SUM(A2:A12)</f>
        <v>1216</v>
      </c>
      <c r="E2" s="76">
        <f>SUM(B2:B12)</f>
        <v>63799</v>
      </c>
    </row>
    <row r="3" spans="1:15">
      <c r="A3" s="78">
        <v>58</v>
      </c>
      <c r="B3" s="81">
        <v>4053</v>
      </c>
      <c r="D3" s="83" t="s">
        <v>31</v>
      </c>
      <c r="E3" s="83" t="s">
        <v>32</v>
      </c>
      <c r="G3" s="85" t="s">
        <v>3</v>
      </c>
      <c r="H3" s="86"/>
    </row>
    <row r="4" spans="1:15" ht="15" thickBot="1">
      <c r="A4" s="78">
        <v>135</v>
      </c>
      <c r="B4" s="81">
        <v>9665</v>
      </c>
      <c r="D4" s="76">
        <f>(D2)/11</f>
        <v>110.54545454545455</v>
      </c>
      <c r="E4" s="76">
        <f>(E2)/11</f>
        <v>5799.909090909091</v>
      </c>
      <c r="G4" s="87" t="s">
        <v>4</v>
      </c>
      <c r="H4" s="88">
        <v>0.26140569649863671</v>
      </c>
    </row>
    <row r="5" spans="1:15">
      <c r="A5" s="78">
        <v>153</v>
      </c>
      <c r="B5" s="81">
        <v>5146</v>
      </c>
      <c r="D5" s="75" t="s">
        <v>35</v>
      </c>
      <c r="E5" s="75" t="s">
        <v>36</v>
      </c>
      <c r="G5" s="87" t="s">
        <v>5</v>
      </c>
      <c r="H5" s="88">
        <v>6.8332938161937376E-2</v>
      </c>
    </row>
    <row r="6" spans="1:15" ht="15" thickBot="1">
      <c r="A6" s="78">
        <v>108</v>
      </c>
      <c r="B6" s="81">
        <v>4850</v>
      </c>
      <c r="D6" s="76">
        <f>A2^2+A3^2+A4^2+A5^2+A6^2+A7^2+A8^2+A9^2+A10^2+A11^2+A12^2</f>
        <v>142766</v>
      </c>
      <c r="E6" s="76">
        <f>A2*B2+A3*B3+A4*B4+A5*B5+A6*B6+A7*B7+A8*B8+A9*B9+A10*B10+A11*B11+A12*B12</f>
        <v>7202314</v>
      </c>
      <c r="G6" s="87" t="s">
        <v>6</v>
      </c>
      <c r="H6" s="88">
        <v>-3.5185624264514027E-2</v>
      </c>
    </row>
    <row r="7" spans="1:15">
      <c r="A7" s="78">
        <v>105</v>
      </c>
      <c r="B7" s="81">
        <v>7132</v>
      </c>
      <c r="D7" s="75" t="s">
        <v>28</v>
      </c>
      <c r="E7" s="74"/>
      <c r="G7" s="87" t="s">
        <v>7</v>
      </c>
      <c r="H7" s="88">
        <v>2016.24307853294</v>
      </c>
    </row>
    <row r="8" spans="1:15" ht="15" thickBot="1">
      <c r="A8" s="78">
        <v>76</v>
      </c>
      <c r="B8" s="81">
        <v>6257</v>
      </c>
      <c r="D8" s="76">
        <f>(11*E6-D2*E2)/(11*D6-D2^2)</f>
        <v>17.934728124659475</v>
      </c>
      <c r="E8" s="74"/>
      <c r="G8" s="89" t="s">
        <v>8</v>
      </c>
      <c r="H8" s="90">
        <v>11</v>
      </c>
    </row>
    <row r="9" spans="1:15" ht="15" thickBot="1">
      <c r="A9" s="78">
        <v>119</v>
      </c>
      <c r="B9" s="81">
        <v>7435</v>
      </c>
      <c r="D9" s="75" t="s">
        <v>13</v>
      </c>
      <c r="E9" s="74"/>
    </row>
    <row r="10" spans="1:15" ht="15" thickBot="1">
      <c r="A10" s="78">
        <v>118</v>
      </c>
      <c r="B10" s="81">
        <v>7560</v>
      </c>
      <c r="D10" s="76">
        <f>E4-D8*D4</f>
        <v>3817.3064182194616</v>
      </c>
      <c r="E10" s="74"/>
      <c r="G10" s="91" t="s">
        <v>9</v>
      </c>
      <c r="H10" s="63"/>
      <c r="I10" s="63"/>
      <c r="J10" s="63"/>
      <c r="K10" s="63"/>
      <c r="L10" s="10"/>
    </row>
    <row r="11" spans="1:15">
      <c r="A11" s="78">
        <v>149</v>
      </c>
      <c r="B11" s="81">
        <v>4110</v>
      </c>
      <c r="D11" s="75" t="s">
        <v>42</v>
      </c>
      <c r="E11" s="75" t="s">
        <v>43</v>
      </c>
      <c r="G11" s="92"/>
      <c r="H11" s="93" t="s">
        <v>14</v>
      </c>
      <c r="I11" s="93" t="s">
        <v>15</v>
      </c>
      <c r="J11" s="93" t="s">
        <v>16</v>
      </c>
      <c r="K11" s="93" t="s">
        <v>17</v>
      </c>
      <c r="L11" s="94" t="s">
        <v>18</v>
      </c>
    </row>
    <row r="12" spans="1:15" ht="15" thickBot="1">
      <c r="A12" s="79">
        <v>99</v>
      </c>
      <c r="B12" s="82">
        <v>2988</v>
      </c>
      <c r="D12" s="76">
        <f>E4*1.15</f>
        <v>6669.8954545454544</v>
      </c>
      <c r="E12" s="76">
        <f>(D12-D10)/D8</f>
        <v>159.05393248776411</v>
      </c>
      <c r="G12" s="87" t="s">
        <v>10</v>
      </c>
      <c r="H12" s="95">
        <v>1</v>
      </c>
      <c r="I12" s="95">
        <v>2683475.5435030311</v>
      </c>
      <c r="J12" s="95">
        <v>2683475.5435030311</v>
      </c>
      <c r="K12" s="95">
        <v>0.66010323714152275</v>
      </c>
      <c r="L12" s="88">
        <v>0.43748570762156092</v>
      </c>
    </row>
    <row r="13" spans="1:15">
      <c r="G13" s="87" t="s">
        <v>11</v>
      </c>
      <c r="H13" s="95">
        <v>9</v>
      </c>
      <c r="I13" s="95">
        <v>36587125.365587883</v>
      </c>
      <c r="J13" s="95">
        <v>4065236.151731987</v>
      </c>
      <c r="K13" s="95"/>
      <c r="L13" s="88"/>
    </row>
    <row r="14" spans="1:15" ht="15" thickBot="1">
      <c r="G14" s="89" t="s">
        <v>12</v>
      </c>
      <c r="H14" s="96">
        <v>10</v>
      </c>
      <c r="I14" s="96">
        <v>39270600.909090914</v>
      </c>
      <c r="J14" s="96"/>
      <c r="K14" s="96"/>
      <c r="L14" s="90"/>
    </row>
    <row r="15" spans="1:15" ht="15" thickBot="1"/>
    <row r="16" spans="1:15">
      <c r="G16" s="97"/>
      <c r="H16" s="98" t="s">
        <v>19</v>
      </c>
      <c r="I16" s="98" t="s">
        <v>7</v>
      </c>
      <c r="J16" s="98" t="s">
        <v>20</v>
      </c>
      <c r="K16" s="98" t="s">
        <v>21</v>
      </c>
      <c r="L16" s="98" t="s">
        <v>22</v>
      </c>
      <c r="M16" s="98" t="s">
        <v>23</v>
      </c>
      <c r="N16" s="98" t="s">
        <v>26</v>
      </c>
      <c r="O16" s="99" t="s">
        <v>27</v>
      </c>
    </row>
    <row r="17" spans="7:15">
      <c r="G17" s="87" t="s">
        <v>13</v>
      </c>
      <c r="H17" s="95">
        <v>3817.3064182194621</v>
      </c>
      <c r="I17" s="95">
        <v>2514.8084996022394</v>
      </c>
      <c r="J17" s="95">
        <v>1.517931253542063</v>
      </c>
      <c r="K17" s="95">
        <v>0.16334489860446266</v>
      </c>
      <c r="L17" s="95">
        <v>-1871.5856422215511</v>
      </c>
      <c r="M17" s="95">
        <v>9506.1984786604753</v>
      </c>
      <c r="N17" s="95">
        <v>-1871.5856422215511</v>
      </c>
      <c r="O17" s="88">
        <v>9506.1984786604753</v>
      </c>
    </row>
    <row r="18" spans="7:15" ht="15" thickBot="1">
      <c r="G18" s="89" t="s">
        <v>28</v>
      </c>
      <c r="H18" s="96">
        <v>17.934728124659472</v>
      </c>
      <c r="I18" s="96">
        <v>22.074397881559715</v>
      </c>
      <c r="J18" s="96">
        <v>0.81246737604750707</v>
      </c>
      <c r="K18" s="96">
        <v>0.43748570762156136</v>
      </c>
      <c r="L18" s="96">
        <v>-32.001029157568368</v>
      </c>
      <c r="M18" s="96">
        <v>67.870485406887312</v>
      </c>
      <c r="N18" s="96">
        <v>-32.001029157568368</v>
      </c>
      <c r="O18" s="90">
        <v>67.870485406887312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Пример 1</vt:lpstr>
      <vt:lpstr>Пример 2</vt:lpstr>
      <vt:lpstr>Пример 3</vt:lpstr>
      <vt:lpstr>Задача 1</vt:lpstr>
      <vt:lpstr>Задача 2</vt:lpstr>
      <vt:lpstr>'Задача 2'!Новый_текстовый_документ__4</vt:lpstr>
      <vt:lpstr>'Пример 1'!Новый_текстовый_документ__4__1</vt:lpstr>
      <vt:lpstr>'Пример 2'!Новый_текстовый_документ__4__1</vt:lpstr>
      <vt:lpstr>'Пример 3'!Новый_текстовый_документ__4__1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2015-06-05T18:19:34Z</dcterms:created>
  <dcterms:modified xsi:type="dcterms:W3CDTF">2025-12-24T11:20:01Z</dcterms:modified>
</cp:coreProperties>
</file>