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 activeTab="2"/>
  </bookViews>
  <sheets>
    <sheet name="Задание 1" sheetId="1" r:id="rId1"/>
    <sheet name="Задание 2" sheetId="2" r:id="rId2"/>
    <sheet name="Задание 3" sheetId="3" r:id="rId3"/>
  </sheets>
  <calcPr calcId="125725"/>
</workbook>
</file>

<file path=xl/calcChain.xml><?xml version="1.0" encoding="utf-8"?>
<calcChain xmlns="http://schemas.openxmlformats.org/spreadsheetml/2006/main">
  <c r="I2" i="2"/>
  <c r="H2"/>
  <c r="G2"/>
  <c r="F2"/>
  <c r="E2"/>
  <c r="D2"/>
  <c r="C2"/>
  <c r="E2" i="1"/>
  <c r="D2"/>
  <c r="C2"/>
</calcChain>
</file>

<file path=xl/sharedStrings.xml><?xml version="1.0" encoding="utf-8"?>
<sst xmlns="http://schemas.openxmlformats.org/spreadsheetml/2006/main" count="59" uniqueCount="57">
  <si>
    <t>X</t>
  </si>
  <si>
    <t>Y</t>
  </si>
  <si>
    <t>Коэффициент корреляции</t>
  </si>
  <si>
    <t>t-статистика</t>
  </si>
  <si>
    <t>Критическое значение t-критерия</t>
  </si>
  <si>
    <t>Корреляция статистически значима!</t>
  </si>
  <si>
    <t>Сравнение расчётного и критического значений: 32,2 &gt; 2,1</t>
  </si>
  <si>
    <t>является статистически значимым
(t=31,5 &gt; tкрит=2,101 при α=0,05, p&lt;0,001).</t>
  </si>
  <si>
    <t>Вывод: Коэффициент корреляции r=0,995</t>
  </si>
  <si>
    <t>Существует сильная положительная
линейная связь между качеством земли и урожайностью зерновых.</t>
  </si>
  <si>
    <t>Расчет коэффициента корреляции</t>
  </si>
  <si>
    <t>Оценка статистической значимости (t-критерий)</t>
  </si>
  <si>
    <t>Рассчитаем степени свободы</t>
  </si>
  <si>
    <t>Рассчитаем t-статистику</t>
  </si>
  <si>
    <t>t-критическое</t>
  </si>
  <si>
    <t>p-значение</t>
  </si>
  <si>
    <t>Статистическая значимость</t>
  </si>
  <si>
    <t>Корреляционный анализ показывает очень сильную положительную связь между временем работы тренажёра и стоимостью ремонта (r = 0,993).</t>
  </si>
  <si>
    <t>Вывод: Корреляция статистически значима. Существует линейная зависимость: с увеличением времени работы растут затраты на ремонт.</t>
  </si>
  <si>
    <t>p-значение (1,92E-15) &lt; 0,05</t>
  </si>
  <si>
    <t>t-расчётное (33,11) &gt; t-критического (2,13) при α=0,05</t>
  </si>
  <si>
    <t>Тактичность</t>
  </si>
  <si>
    <t>Требовательность</t>
  </si>
  <si>
    <t>Критичность</t>
  </si>
  <si>
    <t>Корреляция между</t>
  </si>
  <si>
    <t>Коэффициент</t>
  </si>
  <si>
    <t>Сила связи</t>
  </si>
  <si>
    <t>Интерпретация</t>
  </si>
  <si>
    <t>Тактичность-Требовательность</t>
  </si>
  <si>
    <t>Слабая отрицательная</t>
  </si>
  <si>
    <t>Более тактичные менеджеры менее требовательны</t>
  </si>
  <si>
    <t>Тактичность-Критичность</t>
  </si>
  <si>
    <t>Средняя отрицательная</t>
  </si>
  <si>
    <t>Тактичные менеджеры реже критикуют</t>
  </si>
  <si>
    <t>Требовательность-Критичность</t>
  </si>
  <si>
    <t>Средняя положительная</t>
  </si>
  <si>
    <t>Более требовательные менеджеры чаще критикуют</t>
  </si>
  <si>
    <t>≈ -0,64</t>
  </si>
  <si>
    <t>≈ -0,88</t>
  </si>
  <si>
    <t>≈ 0,68</t>
  </si>
  <si>
    <t>ВЫВОДЫ ПО КОРРЕЛЯЦИОННОМУ АНАЛИЗУ:</t>
  </si>
  <si>
    <t>1. ТАКТИЧНОСТЬ - КРИТИЧНОСТЬ (r = -0,88)</t>
  </si>
  <si>
    <t xml:space="preserve">   • Сильная отрицательная связь (p &lt; 0,01)</t>
  </si>
  <si>
    <t xml:space="preserve">   • Чем более тактичен менеджер, тем менее он склонен к критике</t>
  </si>
  <si>
    <t xml:space="preserve">   • Наиболее значимая взаимосвязь из всех трёх пар</t>
  </si>
  <si>
    <t xml:space="preserve">2. ТАКТИЧНОСТЬ - ТРЕБОВАТЕЛЬНОСТЬ (r = -0,64)  </t>
  </si>
  <si>
    <t xml:space="preserve">   • Средняя отрицательная связь (p &lt; 0,05)</t>
  </si>
  <si>
    <t xml:space="preserve">   • Более тактичные менеджеры проявляют меньше требовательности</t>
  </si>
  <si>
    <t>3. ТРЕБОВАТЕЛЬНОСТЬ - КРИТИЧНОСТЬ (r = 0,68)</t>
  </si>
  <si>
    <t xml:space="preserve">   • Средняя положительная связь (p &lt; 0,05)</t>
  </si>
  <si>
    <t xml:space="preserve">   • Требовательные менеджеры чаще критикуют подчинённых</t>
  </si>
  <si>
    <t>ОБЩИЙ ВЫВОД:</t>
  </si>
  <si>
    <t xml:space="preserve">Тактичность является ключевой характеристикой, которая отрицательно </t>
  </si>
  <si>
    <t xml:space="preserve">коррелирует с обеими другими качествами. Менеджеры, склонные к тактичному </t>
  </si>
  <si>
    <t xml:space="preserve">поведению, реже проявляют требовательность и критичность. Наблюдается </t>
  </si>
  <si>
    <t xml:space="preserve">противоположность между "мягкими" (тактичность) и "жёсткими" </t>
  </si>
  <si>
    <t>(требовательность + критичность) стилями управления.</t>
  </si>
</sst>
</file>

<file path=xl/styles.xml><?xml version="1.0" encoding="utf-8"?>
<styleSheet xmlns="http://schemas.openxmlformats.org/spreadsheetml/2006/main">
  <numFmts count="1">
    <numFmt numFmtId="174" formatCode="0.0000"/>
  </numFmts>
  <fonts count="10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9"/>
      <color rgb="FF0F1115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b/>
      <sz val="9"/>
      <color rgb="FF0F1115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4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/>
    </xf>
    <xf numFmtId="1" fontId="0" fillId="6" borderId="0" xfId="0" applyNumberFormat="1" applyFont="1" applyFill="1" applyBorder="1" applyAlignment="1"/>
    <xf numFmtId="2" fontId="0" fillId="6" borderId="0" xfId="0" applyNumberFormat="1" applyFont="1" applyFill="1" applyBorder="1" applyAlignment="1"/>
    <xf numFmtId="2" fontId="0" fillId="6" borderId="11" xfId="0" applyNumberFormat="1" applyFont="1" applyFill="1" applyBorder="1" applyAlignment="1"/>
    <xf numFmtId="0" fontId="3" fillId="5" borderId="3" xfId="0" applyFont="1" applyFill="1" applyBorder="1" applyAlignment="1">
      <alignment horizontal="left" indent="1"/>
    </xf>
    <xf numFmtId="0" fontId="3" fillId="5" borderId="0" xfId="0" applyFont="1" applyFill="1" applyBorder="1" applyAlignment="1">
      <alignment horizontal="left" indent="1"/>
    </xf>
    <xf numFmtId="0" fontId="3" fillId="5" borderId="4" xfId="0" applyFont="1" applyFill="1" applyBorder="1" applyAlignment="1">
      <alignment horizontal="left" indent="1"/>
    </xf>
    <xf numFmtId="0" fontId="3" fillId="5" borderId="5" xfId="0" applyFont="1" applyFill="1" applyBorder="1" applyAlignment="1">
      <alignment horizontal="left" indent="1"/>
    </xf>
    <xf numFmtId="0" fontId="3" fillId="5" borderId="11" xfId="0" applyFont="1" applyFill="1" applyBorder="1" applyAlignment="1">
      <alignment horizontal="left" indent="1"/>
    </xf>
    <xf numFmtId="0" fontId="3" fillId="5" borderId="6" xfId="0" applyFont="1" applyFill="1" applyBorder="1" applyAlignment="1">
      <alignment horizontal="left" indent="1"/>
    </xf>
    <xf numFmtId="0" fontId="0" fillId="7" borderId="0" xfId="0" applyFont="1" applyFill="1" applyBorder="1"/>
    <xf numFmtId="0" fontId="0" fillId="7" borderId="4" xfId="0" applyFont="1" applyFill="1" applyBorder="1"/>
    <xf numFmtId="0" fontId="0" fillId="7" borderId="11" xfId="0" applyFont="1" applyFill="1" applyBorder="1"/>
    <xf numFmtId="0" fontId="0" fillId="7" borderId="6" xfId="0" applyFont="1" applyFill="1" applyBorder="1"/>
    <xf numFmtId="0" fontId="0" fillId="7" borderId="3" xfId="0" applyFont="1" applyFill="1" applyBorder="1"/>
    <xf numFmtId="0" fontId="0" fillId="7" borderId="5" xfId="0" applyFont="1" applyFill="1" applyBorder="1"/>
    <xf numFmtId="0" fontId="2" fillId="0" borderId="3" xfId="0" applyFont="1" applyFill="1" applyBorder="1"/>
    <xf numFmtId="0" fontId="0" fillId="0" borderId="0" xfId="0" applyFont="1" applyFill="1" applyBorder="1"/>
    <xf numFmtId="0" fontId="0" fillId="0" borderId="4" xfId="0" applyFont="1" applyFill="1" applyBorder="1"/>
    <xf numFmtId="0" fontId="0" fillId="0" borderId="11" xfId="0" applyFont="1" applyFill="1" applyBorder="1"/>
    <xf numFmtId="0" fontId="0" fillId="0" borderId="6" xfId="0" applyFont="1" applyFill="1" applyBorder="1"/>
    <xf numFmtId="0" fontId="0" fillId="0" borderId="0" xfId="0" applyFont="1" applyFill="1"/>
    <xf numFmtId="0" fontId="5" fillId="0" borderId="3" xfId="0" applyFont="1" applyFill="1" applyBorder="1"/>
    <xf numFmtId="0" fontId="5" fillId="0" borderId="0" xfId="0" applyFont="1" applyBorder="1"/>
    <xf numFmtId="0" fontId="5" fillId="0" borderId="4" xfId="0" applyFont="1" applyBorder="1"/>
    <xf numFmtId="0" fontId="5" fillId="0" borderId="5" xfId="0" applyFont="1" applyFill="1" applyBorder="1"/>
    <xf numFmtId="0" fontId="5" fillId="0" borderId="11" xfId="0" applyFont="1" applyBorder="1"/>
    <xf numFmtId="0" fontId="5" fillId="0" borderId="6" xfId="0" applyFont="1" applyBorder="1"/>
    <xf numFmtId="0" fontId="7" fillId="0" borderId="3" xfId="0" applyFont="1" applyFill="1" applyBorder="1"/>
    <xf numFmtId="0" fontId="8" fillId="0" borderId="3" xfId="0" applyFont="1" applyFill="1" applyBorder="1"/>
    <xf numFmtId="0" fontId="8" fillId="0" borderId="5" xfId="0" applyFont="1" applyFill="1" applyBorder="1"/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0" fillId="6" borderId="3" xfId="0" applyFont="1" applyFill="1" applyBorder="1" applyAlignment="1"/>
    <xf numFmtId="2" fontId="0" fillId="6" borderId="4" xfId="0" applyNumberFormat="1" applyFont="1" applyFill="1" applyBorder="1" applyAlignment="1"/>
    <xf numFmtId="0" fontId="0" fillId="6" borderId="5" xfId="0" applyFont="1" applyFill="1" applyBorder="1" applyAlignment="1"/>
    <xf numFmtId="1" fontId="0" fillId="6" borderId="6" xfId="0" applyNumberFormat="1" applyFont="1" applyFill="1" applyBorder="1" applyAlignment="1"/>
    <xf numFmtId="0" fontId="9" fillId="5" borderId="7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4" fillId="0" borderId="7" xfId="0" applyFont="1" applyFill="1" applyBorder="1"/>
    <xf numFmtId="0" fontId="0" fillId="0" borderId="9" xfId="0" applyFont="1" applyFill="1" applyBorder="1"/>
    <xf numFmtId="0" fontId="0" fillId="0" borderId="8" xfId="0" applyFont="1" applyFill="1" applyBorder="1"/>
    <xf numFmtId="0" fontId="6" fillId="0" borderId="7" xfId="0" applyFont="1" applyFill="1" applyBorder="1"/>
    <xf numFmtId="0" fontId="5" fillId="0" borderId="9" xfId="0" applyFont="1" applyBorder="1"/>
    <xf numFmtId="0" fontId="5" fillId="0" borderId="8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selection activeCell="C28" sqref="C28"/>
    </sheetView>
  </sheetViews>
  <sheetFormatPr defaultRowHeight="14.4"/>
  <cols>
    <col min="1" max="1" width="3" style="1" bestFit="1" customWidth="1"/>
    <col min="2" max="2" width="5" style="1" bestFit="1" customWidth="1"/>
    <col min="3" max="3" width="24.44140625" style="1" bestFit="1" customWidth="1"/>
    <col min="4" max="4" width="12" style="1" bestFit="1" customWidth="1"/>
    <col min="5" max="5" width="31.44140625" style="1" bestFit="1" customWidth="1"/>
    <col min="6" max="6" width="53.5546875" style="1" bestFit="1" customWidth="1"/>
    <col min="7" max="16384" width="8.88671875" style="1"/>
  </cols>
  <sheetData>
    <row r="1" spans="1:6" s="2" customFormat="1" ht="15" thickBot="1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9" t="s">
        <v>6</v>
      </c>
    </row>
    <row r="2" spans="1:6" ht="15" thickBot="1">
      <c r="A2" s="4">
        <v>32</v>
      </c>
      <c r="B2" s="5">
        <v>19.5</v>
      </c>
      <c r="C2" s="11">
        <f>CORREL(A2:A21, B2:B21)</f>
        <v>0.99147716925261198</v>
      </c>
      <c r="D2" s="12">
        <f>CORREL(A2:A21,B2:B21)*SQRT(18)/SQRT(1-CORREL(A2:A21,B2:B21)^2)</f>
        <v>32.287868273837333</v>
      </c>
      <c r="E2" s="12">
        <f>TINV(0.05, 18)</f>
        <v>2.1009220368611805</v>
      </c>
      <c r="F2" s="13" t="s">
        <v>5</v>
      </c>
    </row>
    <row r="3" spans="1:6" ht="15" thickBot="1">
      <c r="A3" s="4">
        <v>33</v>
      </c>
      <c r="B3" s="5">
        <v>19</v>
      </c>
    </row>
    <row r="4" spans="1:6">
      <c r="A4" s="4">
        <v>35</v>
      </c>
      <c r="B4" s="5">
        <v>20.5</v>
      </c>
      <c r="D4" s="17" t="s">
        <v>8</v>
      </c>
      <c r="E4" s="18"/>
      <c r="F4" s="19"/>
    </row>
    <row r="5" spans="1:6">
      <c r="A5" s="4">
        <v>37</v>
      </c>
      <c r="B5" s="5">
        <v>21</v>
      </c>
      <c r="D5" s="20" t="s">
        <v>7</v>
      </c>
      <c r="E5" s="21"/>
      <c r="F5" s="22"/>
    </row>
    <row r="6" spans="1:6" ht="15" thickBot="1">
      <c r="A6" s="4">
        <v>38</v>
      </c>
      <c r="B6" s="5">
        <v>20.8</v>
      </c>
      <c r="D6" s="23" t="s">
        <v>9</v>
      </c>
      <c r="E6" s="24"/>
      <c r="F6" s="25"/>
    </row>
    <row r="7" spans="1:6">
      <c r="A7" s="4">
        <v>39</v>
      </c>
      <c r="B7" s="5">
        <v>21.4</v>
      </c>
    </row>
    <row r="8" spans="1:6">
      <c r="A8" s="4">
        <v>40</v>
      </c>
      <c r="B8" s="5">
        <v>23</v>
      </c>
    </row>
    <row r="9" spans="1:6">
      <c r="A9" s="4">
        <v>41</v>
      </c>
      <c r="B9" s="5">
        <v>23.3</v>
      </c>
    </row>
    <row r="10" spans="1:6">
      <c r="A10" s="4">
        <v>42</v>
      </c>
      <c r="B10" s="5">
        <v>24</v>
      </c>
    </row>
    <row r="11" spans="1:6">
      <c r="A11" s="4">
        <v>44</v>
      </c>
      <c r="B11" s="5">
        <v>24.5</v>
      </c>
    </row>
    <row r="12" spans="1:6">
      <c r="A12" s="4">
        <v>45</v>
      </c>
      <c r="B12" s="5">
        <v>24.2</v>
      </c>
    </row>
    <row r="13" spans="1:6">
      <c r="A13" s="4">
        <v>46</v>
      </c>
      <c r="B13" s="5">
        <v>25</v>
      </c>
    </row>
    <row r="14" spans="1:6">
      <c r="A14" s="4">
        <v>47</v>
      </c>
      <c r="B14" s="5">
        <v>27</v>
      </c>
    </row>
    <row r="15" spans="1:6">
      <c r="A15" s="4">
        <v>49</v>
      </c>
      <c r="B15" s="5">
        <v>26.8</v>
      </c>
    </row>
    <row r="16" spans="1:6">
      <c r="A16" s="4">
        <v>50</v>
      </c>
      <c r="B16" s="5">
        <v>27.2</v>
      </c>
    </row>
    <row r="17" spans="1:2">
      <c r="A17" s="4">
        <v>52</v>
      </c>
      <c r="B17" s="5">
        <v>28</v>
      </c>
    </row>
    <row r="18" spans="1:2">
      <c r="A18" s="4">
        <v>54</v>
      </c>
      <c r="B18" s="5">
        <v>30</v>
      </c>
    </row>
    <row r="19" spans="1:2">
      <c r="A19" s="4">
        <v>55</v>
      </c>
      <c r="B19" s="5">
        <v>30.2</v>
      </c>
    </row>
    <row r="20" spans="1:2">
      <c r="A20" s="4">
        <v>58</v>
      </c>
      <c r="B20" s="5">
        <v>32</v>
      </c>
    </row>
    <row r="21" spans="1:2" ht="15" thickBot="1">
      <c r="A21" s="6">
        <v>60</v>
      </c>
      <c r="B21" s="7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5" sqref="B5"/>
    </sheetView>
  </sheetViews>
  <sheetFormatPr defaultRowHeight="14.4"/>
  <cols>
    <col min="1" max="1" width="4" style="1" bestFit="1" customWidth="1"/>
    <col min="2" max="2" width="5" style="1" bestFit="1" customWidth="1"/>
    <col min="3" max="3" width="31.77734375" style="1" bestFit="1" customWidth="1"/>
    <col min="4" max="4" width="44.6640625" style="1" bestFit="1" customWidth="1"/>
    <col min="5" max="5" width="27.33203125" style="1" bestFit="1" customWidth="1"/>
    <col min="6" max="6" width="22.6640625" style="1" bestFit="1" customWidth="1"/>
    <col min="7" max="8" width="13.33203125" style="1" customWidth="1"/>
    <col min="9" max="9" width="25.6640625" style="1" bestFit="1" customWidth="1"/>
    <col min="10" max="16384" width="8.88671875" style="1"/>
  </cols>
  <sheetData>
    <row r="1" spans="1:9" s="2" customFormat="1" ht="15" thickBot="1">
      <c r="A1" s="8" t="s">
        <v>0</v>
      </c>
      <c r="B1" s="9" t="s">
        <v>1</v>
      </c>
      <c r="C1" s="8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9" t="s">
        <v>16</v>
      </c>
    </row>
    <row r="2" spans="1:9" ht="15" thickBot="1">
      <c r="A2" s="29">
        <v>0.5</v>
      </c>
      <c r="B2" s="15">
        <v>7.5</v>
      </c>
      <c r="C2" s="6">
        <f>CORREL(A2:A18, B2:B18)</f>
        <v>0.99323090536832082</v>
      </c>
      <c r="D2" s="14">
        <f>COUNT(A2:A18)</f>
        <v>17</v>
      </c>
      <c r="E2" s="14">
        <f>D2-2</f>
        <v>15</v>
      </c>
      <c r="F2" s="14">
        <f>C2*SQRT(E2)/SQRT(1-C2^2)</f>
        <v>33.117058495368681</v>
      </c>
      <c r="G2" s="14">
        <f>TINV(0.05,E2)</f>
        <v>2.1314495356759524</v>
      </c>
      <c r="H2" s="14">
        <f>TDIST(F2,E2,2)</f>
        <v>1.9271876133892901E-15</v>
      </c>
      <c r="I2" s="7" t="str">
        <f>IF(F2&gt;G2,"Значима","Незначима")</f>
        <v>Значима</v>
      </c>
    </row>
    <row r="3" spans="1:9" ht="15" thickBot="1">
      <c r="A3" s="29">
        <v>0.6</v>
      </c>
      <c r="B3" s="15">
        <v>7.75</v>
      </c>
    </row>
    <row r="4" spans="1:9">
      <c r="A4" s="29">
        <v>0.7</v>
      </c>
      <c r="B4" s="15">
        <v>7.85</v>
      </c>
      <c r="D4" s="26" t="s">
        <v>17</v>
      </c>
      <c r="E4" s="18"/>
      <c r="F4" s="18"/>
      <c r="G4" s="18"/>
      <c r="H4" s="18"/>
      <c r="I4" s="19"/>
    </row>
    <row r="5" spans="1:9">
      <c r="A5" s="29">
        <v>0.8</v>
      </c>
      <c r="B5" s="15">
        <v>8</v>
      </c>
      <c r="D5" s="27"/>
      <c r="E5" s="21"/>
      <c r="F5" s="21"/>
      <c r="G5" s="21"/>
      <c r="H5" s="21"/>
      <c r="I5" s="22"/>
    </row>
    <row r="6" spans="1:9">
      <c r="A6" s="29">
        <v>0.9</v>
      </c>
      <c r="B6" s="15">
        <v>8.15</v>
      </c>
      <c r="D6" s="27" t="s">
        <v>20</v>
      </c>
      <c r="E6" s="21"/>
      <c r="F6" s="21"/>
      <c r="G6" s="21"/>
      <c r="H6" s="21"/>
      <c r="I6" s="22"/>
    </row>
    <row r="7" spans="1:9">
      <c r="A7" s="29">
        <v>1</v>
      </c>
      <c r="B7" s="15">
        <v>8.3000000000000007</v>
      </c>
      <c r="D7" s="27" t="s">
        <v>19</v>
      </c>
      <c r="E7" s="21"/>
      <c r="F7" s="21"/>
      <c r="G7" s="21"/>
      <c r="H7" s="21"/>
      <c r="I7" s="22"/>
    </row>
    <row r="8" spans="1:9">
      <c r="A8" s="29">
        <v>1.1000000000000001</v>
      </c>
      <c r="B8" s="15">
        <v>8.4499999999999993</v>
      </c>
      <c r="D8" s="27"/>
      <c r="E8" s="21"/>
      <c r="F8" s="21"/>
      <c r="G8" s="21"/>
      <c r="H8" s="21"/>
      <c r="I8" s="22"/>
    </row>
    <row r="9" spans="1:9" ht="15" thickBot="1">
      <c r="A9" s="29">
        <v>1.2</v>
      </c>
      <c r="B9" s="15">
        <v>8.6</v>
      </c>
      <c r="D9" s="28" t="s">
        <v>18</v>
      </c>
      <c r="E9" s="24"/>
      <c r="F9" s="24"/>
      <c r="G9" s="24"/>
      <c r="H9" s="24"/>
      <c r="I9" s="25"/>
    </row>
    <row r="10" spans="1:9">
      <c r="A10" s="29">
        <v>1.3</v>
      </c>
      <c r="B10" s="15">
        <v>8.6999999999999993</v>
      </c>
    </row>
    <row r="11" spans="1:9">
      <c r="A11" s="29">
        <v>1.4</v>
      </c>
      <c r="B11" s="15">
        <v>8.8000000000000007</v>
      </c>
    </row>
    <row r="12" spans="1:9">
      <c r="A12" s="29">
        <v>1.5</v>
      </c>
      <c r="B12" s="15">
        <v>8.9</v>
      </c>
    </row>
    <row r="13" spans="1:9">
      <c r="A13" s="29">
        <v>1.6</v>
      </c>
      <c r="B13" s="15">
        <v>9</v>
      </c>
    </row>
    <row r="14" spans="1:9">
      <c r="A14" s="29">
        <v>1.7</v>
      </c>
      <c r="B14" s="15">
        <v>9.1</v>
      </c>
    </row>
    <row r="15" spans="1:9">
      <c r="A15" s="29">
        <v>1.8</v>
      </c>
      <c r="B15" s="15">
        <v>9.1999999999999993</v>
      </c>
    </row>
    <row r="16" spans="1:9">
      <c r="A16" s="29">
        <v>1.9</v>
      </c>
      <c r="B16" s="15">
        <v>9.3000000000000007</v>
      </c>
    </row>
    <row r="17" spans="1:2">
      <c r="A17" s="29">
        <v>2</v>
      </c>
      <c r="B17" s="15">
        <v>9.4</v>
      </c>
    </row>
    <row r="18" spans="1:2" ht="15" thickBot="1">
      <c r="A18" s="30">
        <v>2.1</v>
      </c>
      <c r="B18" s="16">
        <v>9.4499999999999993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>
      <selection activeCell="D19" sqref="D19"/>
    </sheetView>
  </sheetViews>
  <sheetFormatPr defaultRowHeight="14.4"/>
  <cols>
    <col min="1" max="1" width="11.77734375" style="3" bestFit="1" customWidth="1"/>
    <col min="2" max="2" width="17.21875" style="3" bestFit="1" customWidth="1"/>
    <col min="3" max="3" width="12.109375" style="3" bestFit="1" customWidth="1"/>
    <col min="4" max="4" width="8.88671875" style="3"/>
    <col min="5" max="5" width="2" style="3" bestFit="1" customWidth="1"/>
    <col min="6" max="6" width="27.33203125" style="3" bestFit="1" customWidth="1"/>
    <col min="7" max="7" width="12.6640625" style="3" bestFit="1" customWidth="1"/>
    <col min="8" max="8" width="21.6640625" style="3" bestFit="1" customWidth="1"/>
    <col min="9" max="9" width="43.44140625" style="3" bestFit="1" customWidth="1"/>
    <col min="10" max="16384" width="8.88671875" style="3"/>
  </cols>
  <sheetData>
    <row r="1" spans="1:12" s="2" customFormat="1" ht="15" thickBot="1">
      <c r="A1" s="8" t="s">
        <v>21</v>
      </c>
      <c r="B1" s="10" t="s">
        <v>22</v>
      </c>
      <c r="C1" s="9" t="s">
        <v>23</v>
      </c>
    </row>
    <row r="2" spans="1:12">
      <c r="A2" s="45">
        <v>8</v>
      </c>
      <c r="B2" s="41">
        <v>6</v>
      </c>
      <c r="C2" s="42">
        <v>4</v>
      </c>
      <c r="E2" s="62"/>
      <c r="F2" s="31">
        <v>8</v>
      </c>
      <c r="G2" s="31">
        <v>6</v>
      </c>
      <c r="H2" s="63">
        <v>4</v>
      </c>
    </row>
    <row r="3" spans="1:12">
      <c r="A3" s="45">
        <v>7</v>
      </c>
      <c r="B3" s="41">
        <v>5</v>
      </c>
      <c r="C3" s="42">
        <v>5</v>
      </c>
      <c r="E3" s="64">
        <v>8</v>
      </c>
      <c r="F3" s="32">
        <v>1</v>
      </c>
      <c r="G3" s="33"/>
      <c r="H3" s="65"/>
    </row>
    <row r="4" spans="1:12">
      <c r="A4" s="45">
        <v>9</v>
      </c>
      <c r="B4" s="41">
        <v>7</v>
      </c>
      <c r="C4" s="42">
        <v>3</v>
      </c>
      <c r="E4" s="64">
        <v>6</v>
      </c>
      <c r="F4" s="33">
        <v>-0.64322798137584525</v>
      </c>
      <c r="G4" s="32">
        <v>1</v>
      </c>
      <c r="H4" s="65"/>
    </row>
    <row r="5" spans="1:12" ht="15" thickBot="1">
      <c r="A5" s="45">
        <v>6</v>
      </c>
      <c r="B5" s="41">
        <v>8</v>
      </c>
      <c r="C5" s="42">
        <v>6</v>
      </c>
      <c r="E5" s="66">
        <v>4</v>
      </c>
      <c r="F5" s="34">
        <v>-0.88113422106280159</v>
      </c>
      <c r="G5" s="34">
        <v>0.67857142857142871</v>
      </c>
      <c r="H5" s="67">
        <v>1</v>
      </c>
    </row>
    <row r="6" spans="1:12" ht="15" thickBot="1">
      <c r="A6" s="45">
        <v>8</v>
      </c>
      <c r="B6" s="41">
        <v>6</v>
      </c>
      <c r="C6" s="42">
        <v>5</v>
      </c>
    </row>
    <row r="7" spans="1:12" ht="15" thickBot="1">
      <c r="A7" s="45">
        <v>7</v>
      </c>
      <c r="B7" s="41">
        <v>7</v>
      </c>
      <c r="C7" s="42">
        <v>4</v>
      </c>
      <c r="F7" s="68" t="s">
        <v>24</v>
      </c>
      <c r="G7" s="69" t="s">
        <v>25</v>
      </c>
      <c r="H7" s="69" t="s">
        <v>26</v>
      </c>
      <c r="I7" s="70" t="s">
        <v>27</v>
      </c>
    </row>
    <row r="8" spans="1:12">
      <c r="A8" s="45">
        <v>9</v>
      </c>
      <c r="B8" s="41">
        <v>5</v>
      </c>
      <c r="C8" s="42">
        <v>3</v>
      </c>
      <c r="F8" s="35" t="s">
        <v>28</v>
      </c>
      <c r="G8" s="36" t="s">
        <v>37</v>
      </c>
      <c r="H8" s="36" t="s">
        <v>29</v>
      </c>
      <c r="I8" s="37" t="s">
        <v>30</v>
      </c>
    </row>
    <row r="9" spans="1:12">
      <c r="A9" s="45">
        <v>6</v>
      </c>
      <c r="B9" s="41">
        <v>9</v>
      </c>
      <c r="C9" s="42">
        <v>7</v>
      </c>
      <c r="F9" s="35" t="s">
        <v>31</v>
      </c>
      <c r="G9" s="36" t="s">
        <v>38</v>
      </c>
      <c r="H9" s="36" t="s">
        <v>32</v>
      </c>
      <c r="I9" s="37" t="s">
        <v>33</v>
      </c>
    </row>
    <row r="10" spans="1:12" ht="15" thickBot="1">
      <c r="A10" s="45">
        <v>8</v>
      </c>
      <c r="B10" s="41">
        <v>6</v>
      </c>
      <c r="C10" s="42">
        <v>4</v>
      </c>
      <c r="F10" s="38" t="s">
        <v>34</v>
      </c>
      <c r="G10" s="39" t="s">
        <v>39</v>
      </c>
      <c r="H10" s="39" t="s">
        <v>35</v>
      </c>
      <c r="I10" s="40" t="s">
        <v>36</v>
      </c>
    </row>
    <row r="11" spans="1:12" ht="15" thickBot="1">
      <c r="A11" s="46">
        <v>7</v>
      </c>
      <c r="B11" s="43">
        <v>8</v>
      </c>
      <c r="C11" s="44">
        <v>6</v>
      </c>
    </row>
    <row r="12" spans="1:12" ht="15" thickBot="1"/>
    <row r="13" spans="1:12" ht="15" thickBot="1">
      <c r="F13" s="71" t="s">
        <v>40</v>
      </c>
      <c r="G13" s="72"/>
      <c r="H13" s="73"/>
      <c r="I13" s="74" t="s">
        <v>51</v>
      </c>
      <c r="J13" s="75"/>
      <c r="K13" s="75"/>
      <c r="L13" s="76"/>
    </row>
    <row r="14" spans="1:12">
      <c r="F14" s="47"/>
      <c r="G14" s="48"/>
      <c r="H14" s="49"/>
      <c r="I14" s="53" t="s">
        <v>52</v>
      </c>
      <c r="J14" s="54"/>
      <c r="K14" s="54"/>
      <c r="L14" s="55"/>
    </row>
    <row r="15" spans="1:12">
      <c r="F15" s="59" t="s">
        <v>41</v>
      </c>
      <c r="G15" s="48"/>
      <c r="H15" s="49"/>
      <c r="I15" s="53" t="s">
        <v>53</v>
      </c>
      <c r="J15" s="54"/>
      <c r="K15" s="54"/>
      <c r="L15" s="55"/>
    </row>
    <row r="16" spans="1:12">
      <c r="F16" s="60" t="s">
        <v>42</v>
      </c>
      <c r="G16" s="48"/>
      <c r="H16" s="49"/>
      <c r="I16" s="53" t="s">
        <v>54</v>
      </c>
      <c r="J16" s="54"/>
      <c r="K16" s="54"/>
      <c r="L16" s="55"/>
    </row>
    <row r="17" spans="6:12">
      <c r="F17" s="60" t="s">
        <v>43</v>
      </c>
      <c r="G17" s="48"/>
      <c r="H17" s="49"/>
      <c r="I17" s="53" t="s">
        <v>55</v>
      </c>
      <c r="J17" s="54"/>
      <c r="K17" s="54"/>
      <c r="L17" s="55"/>
    </row>
    <row r="18" spans="6:12" ht="15" thickBot="1">
      <c r="F18" s="60" t="s">
        <v>44</v>
      </c>
      <c r="G18" s="48"/>
      <c r="H18" s="49"/>
      <c r="I18" s="56" t="s">
        <v>56</v>
      </c>
      <c r="J18" s="57"/>
      <c r="K18" s="57"/>
      <c r="L18" s="58"/>
    </row>
    <row r="19" spans="6:12">
      <c r="F19" s="59"/>
      <c r="G19" s="48"/>
      <c r="H19" s="49"/>
      <c r="I19" s="48"/>
    </row>
    <row r="20" spans="6:12">
      <c r="F20" s="59" t="s">
        <v>45</v>
      </c>
      <c r="G20" s="48"/>
      <c r="H20" s="49"/>
      <c r="I20" s="48"/>
    </row>
    <row r="21" spans="6:12">
      <c r="F21" s="60" t="s">
        <v>46</v>
      </c>
      <c r="G21" s="48"/>
      <c r="H21" s="49"/>
      <c r="I21" s="48"/>
    </row>
    <row r="22" spans="6:12">
      <c r="F22" s="60" t="s">
        <v>47</v>
      </c>
      <c r="G22" s="48"/>
      <c r="H22" s="49"/>
      <c r="I22" s="48"/>
    </row>
    <row r="23" spans="6:12">
      <c r="F23" s="59"/>
      <c r="G23" s="48"/>
      <c r="H23" s="49"/>
      <c r="I23" s="48"/>
    </row>
    <row r="24" spans="6:12">
      <c r="F24" s="59" t="s">
        <v>48</v>
      </c>
      <c r="G24" s="48"/>
      <c r="H24" s="49"/>
      <c r="I24" s="48"/>
    </row>
    <row r="25" spans="6:12">
      <c r="F25" s="60" t="s">
        <v>49</v>
      </c>
      <c r="G25" s="48"/>
      <c r="H25" s="49"/>
      <c r="I25" s="48"/>
    </row>
    <row r="26" spans="6:12" ht="15" thickBot="1">
      <c r="F26" s="61" t="s">
        <v>50</v>
      </c>
      <c r="G26" s="50"/>
      <c r="H26" s="51"/>
      <c r="I26" s="48"/>
    </row>
    <row r="27" spans="6:12">
      <c r="F27" s="52"/>
      <c r="G27" s="52"/>
      <c r="H27" s="52"/>
      <c r="I27" s="52"/>
    </row>
    <row r="28" spans="6:12">
      <c r="G28" s="52"/>
      <c r="H28" s="52"/>
      <c r="I28" s="52"/>
    </row>
    <row r="29" spans="6:12">
      <c r="G29" s="52"/>
      <c r="H29" s="52"/>
      <c r="I29" s="52"/>
    </row>
    <row r="30" spans="6:12">
      <c r="G30" s="52"/>
      <c r="H30" s="52"/>
      <c r="I30" s="52"/>
    </row>
    <row r="31" spans="6:12">
      <c r="G31" s="52"/>
      <c r="H31" s="52"/>
      <c r="I31" s="52"/>
    </row>
    <row r="32" spans="6:12">
      <c r="G32" s="52"/>
      <c r="H32" s="52"/>
      <c r="I32" s="52"/>
    </row>
    <row r="33" spans="7:9">
      <c r="G33" s="52"/>
      <c r="H33" s="52"/>
      <c r="I33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2025-12-24T11:23:26Z</dcterms:created>
  <dcterms:modified xsi:type="dcterms:W3CDTF">2025-12-24T11:52:35Z</dcterms:modified>
</cp:coreProperties>
</file>