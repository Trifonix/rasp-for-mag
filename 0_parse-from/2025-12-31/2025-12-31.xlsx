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44" windowWidth="22980" windowHeight="8760"/>
  </bookViews>
  <sheets>
    <sheet name="12-25РПм" sheetId="1" r:id="rId1"/>
  </sheets>
  <externalReferences>
    <externalReference r:id="rId2"/>
    <externalReference r:id="rId3"/>
  </externalReferences>
  <definedNames>
    <definedName name="абрамочкина" localSheetId="0">#REF!</definedName>
    <definedName name="абрамочкина">#REF!</definedName>
    <definedName name="б1" localSheetId="0">#REF!</definedName>
    <definedName name="б1">#REF!</definedName>
    <definedName name="б2" localSheetId="0">#REF!</definedName>
    <definedName name="б2">#REF!</definedName>
    <definedName name="выбор_кабинета" localSheetId="0">#REF!</definedName>
    <definedName name="выбор_кабинета">#REF!</definedName>
    <definedName name="к1" localSheetId="0">#REF!</definedName>
    <definedName name="к1">#REF!</definedName>
    <definedName name="к10" localSheetId="0">#REF!</definedName>
    <definedName name="к10">#REF!</definedName>
    <definedName name="к11" localSheetId="0">#REF!</definedName>
    <definedName name="к11">#REF!</definedName>
    <definedName name="к12" localSheetId="0">#REF!</definedName>
    <definedName name="к12">#REF!</definedName>
    <definedName name="к13" localSheetId="0">#REF!</definedName>
    <definedName name="к13">#REF!</definedName>
    <definedName name="к14" localSheetId="0">#REF!</definedName>
    <definedName name="к14">#REF!</definedName>
    <definedName name="к15" localSheetId="0">#REF!</definedName>
    <definedName name="к15">#REF!</definedName>
    <definedName name="к16" localSheetId="0">#REF!</definedName>
    <definedName name="к16">#REF!</definedName>
    <definedName name="к17" localSheetId="0">#REF!</definedName>
    <definedName name="к17">#REF!</definedName>
    <definedName name="к18" localSheetId="0">#REF!</definedName>
    <definedName name="к18">#REF!</definedName>
    <definedName name="к19" localSheetId="0">#REF!</definedName>
    <definedName name="к19">#REF!</definedName>
    <definedName name="к2" localSheetId="0">#REF!</definedName>
    <definedName name="к2">#REF!</definedName>
    <definedName name="к20" localSheetId="0">#REF!</definedName>
    <definedName name="к20">#REF!</definedName>
    <definedName name="к21" localSheetId="0">#REF!</definedName>
    <definedName name="к21">#REF!</definedName>
    <definedName name="к22" localSheetId="0">#REF!</definedName>
    <definedName name="к22">#REF!</definedName>
    <definedName name="к23" localSheetId="0">#REF!</definedName>
    <definedName name="к23">#REF!</definedName>
    <definedName name="к24" localSheetId="0">#REF!</definedName>
    <definedName name="к24">#REF!</definedName>
    <definedName name="к25" localSheetId="0">#REF!</definedName>
    <definedName name="к25">#REF!</definedName>
    <definedName name="к26" localSheetId="0">#REF!</definedName>
    <definedName name="к26">#REF!</definedName>
    <definedName name="к27" localSheetId="0">#REF!</definedName>
    <definedName name="к27">#REF!</definedName>
    <definedName name="к28" localSheetId="0">#REF!</definedName>
    <definedName name="к28">#REF!</definedName>
    <definedName name="к29" localSheetId="0">#REF!</definedName>
    <definedName name="к29">#REF!</definedName>
    <definedName name="к3" localSheetId="0">#REF!</definedName>
    <definedName name="к3">#REF!</definedName>
    <definedName name="к30" localSheetId="0">#REF!</definedName>
    <definedName name="к30">#REF!</definedName>
    <definedName name="к31" localSheetId="0">#REF!</definedName>
    <definedName name="к31">#REF!</definedName>
    <definedName name="к32" localSheetId="0">#REF!</definedName>
    <definedName name="к32">#REF!</definedName>
    <definedName name="к33" localSheetId="0">#REF!</definedName>
    <definedName name="к33">#REF!</definedName>
    <definedName name="к34" localSheetId="0">#REF!</definedName>
    <definedName name="к34">#REF!</definedName>
    <definedName name="к35" localSheetId="0">#REF!</definedName>
    <definedName name="к35">#REF!</definedName>
    <definedName name="к36" localSheetId="0">#REF!</definedName>
    <definedName name="к36">#REF!</definedName>
    <definedName name="к37" localSheetId="0">#REF!</definedName>
    <definedName name="к37">#REF!</definedName>
    <definedName name="к38" localSheetId="0">#REF!</definedName>
    <definedName name="к38">#REF!</definedName>
    <definedName name="к39" localSheetId="0">#REF!</definedName>
    <definedName name="к39">#REF!</definedName>
    <definedName name="к4" localSheetId="0">#REF!</definedName>
    <definedName name="к4">#REF!</definedName>
    <definedName name="к40" localSheetId="0">#REF!</definedName>
    <definedName name="к40">#REF!</definedName>
    <definedName name="к41" localSheetId="0">#REF!</definedName>
    <definedName name="к41">#REF!</definedName>
    <definedName name="к42" localSheetId="0">#REF!</definedName>
    <definedName name="к42">#REF!</definedName>
    <definedName name="к5" localSheetId="0">#REF!</definedName>
    <definedName name="к5">#REF!</definedName>
    <definedName name="к6" localSheetId="0">#REF!</definedName>
    <definedName name="к6">#REF!</definedName>
    <definedName name="к7" localSheetId="0">#REF!</definedName>
    <definedName name="к7">#REF!</definedName>
    <definedName name="к8" localSheetId="0">#REF!</definedName>
    <definedName name="к8">#REF!</definedName>
    <definedName name="к9" localSheetId="0">#REF!</definedName>
    <definedName name="к9">#REF!</definedName>
    <definedName name="каб" localSheetId="0">#REF!</definedName>
    <definedName name="каб">#REF!</definedName>
    <definedName name="_xlnm.Print_Area" localSheetId="0">'12-25РПм'!$A$1:$P$120</definedName>
    <definedName name="ОЛОЛО" localSheetId="0">#REF!</definedName>
    <definedName name="ОЛОЛО">#REF!</definedName>
    <definedName name="п1" localSheetId="0">#REF!</definedName>
    <definedName name="п1">#REF!</definedName>
    <definedName name="п21" localSheetId="0">#REF!</definedName>
    <definedName name="п21">#REF!</definedName>
    <definedName name="преп" localSheetId="0">#REF!</definedName>
    <definedName name="преп">#REF!</definedName>
    <definedName name="препод" localSheetId="0">#REF!</definedName>
    <definedName name="препод">#REF!</definedName>
    <definedName name="спец" localSheetId="0">#REF!</definedName>
    <definedName name="спец">#REF!</definedName>
  </definedNames>
  <calcPr calcId="125725"/>
</workbook>
</file>

<file path=xl/calcChain.xml><?xml version="1.0" encoding="utf-8"?>
<calcChain xmlns="http://schemas.openxmlformats.org/spreadsheetml/2006/main">
  <c r="G119" i="1"/>
  <c r="F119"/>
  <c r="E119"/>
  <c r="D119"/>
  <c r="G118"/>
  <c r="F118"/>
  <c r="E118"/>
  <c r="D118"/>
  <c r="G117"/>
  <c r="F117"/>
  <c r="E117"/>
  <c r="D117"/>
  <c r="G116"/>
  <c r="F116"/>
  <c r="E116"/>
  <c r="D116"/>
  <c r="G115"/>
  <c r="F115"/>
  <c r="E115"/>
  <c r="D115"/>
  <c r="G114"/>
  <c r="F114"/>
  <c r="E114"/>
  <c r="D114"/>
  <c r="G113"/>
  <c r="F113"/>
  <c r="E113"/>
  <c r="D113"/>
  <c r="G112"/>
  <c r="F112"/>
  <c r="E112"/>
  <c r="D112"/>
  <c r="G111"/>
  <c r="F111"/>
  <c r="E111"/>
  <c r="D111"/>
  <c r="G110"/>
  <c r="F110"/>
  <c r="E110"/>
  <c r="D110"/>
  <c r="G109"/>
  <c r="F109"/>
  <c r="E109"/>
  <c r="D109"/>
  <c r="G108"/>
  <c r="F108"/>
  <c r="E108"/>
  <c r="D108"/>
  <c r="G107"/>
  <c r="F107"/>
  <c r="E107"/>
  <c r="D107"/>
  <c r="G106"/>
  <c r="F106"/>
  <c r="E106"/>
  <c r="D106"/>
  <c r="G105"/>
  <c r="F105"/>
  <c r="E105"/>
  <c r="D105"/>
  <c r="G104"/>
  <c r="F104"/>
  <c r="E104"/>
  <c r="D104"/>
  <c r="G103"/>
  <c r="F103"/>
  <c r="E103"/>
  <c r="D103"/>
  <c r="G102"/>
  <c r="F102"/>
  <c r="E102"/>
  <c r="D102"/>
  <c r="G101"/>
  <c r="F101"/>
  <c r="E101"/>
  <c r="D101"/>
  <c r="G100"/>
  <c r="F100"/>
  <c r="E100"/>
  <c r="D100"/>
  <c r="G99"/>
  <c r="F99"/>
  <c r="E99"/>
  <c r="D99"/>
  <c r="G98"/>
  <c r="F98"/>
  <c r="E98"/>
  <c r="D98"/>
  <c r="G97"/>
  <c r="F97"/>
  <c r="E97"/>
  <c r="D97"/>
  <c r="G96"/>
  <c r="F96"/>
  <c r="E96"/>
  <c r="D96"/>
  <c r="G95"/>
  <c r="F95"/>
  <c r="E95"/>
  <c r="D95"/>
  <c r="G94"/>
  <c r="F94"/>
  <c r="E94"/>
  <c r="D94"/>
  <c r="G93"/>
  <c r="F93"/>
  <c r="E93"/>
  <c r="D93"/>
  <c r="G92"/>
  <c r="F92"/>
  <c r="E92"/>
  <c r="D92"/>
  <c r="G91"/>
  <c r="F91"/>
  <c r="E91"/>
  <c r="D91"/>
  <c r="G90"/>
  <c r="F90"/>
  <c r="E90"/>
  <c r="D90"/>
  <c r="G89"/>
  <c r="F89"/>
  <c r="E89"/>
  <c r="D89"/>
  <c r="G88"/>
  <c r="F88"/>
  <c r="E88"/>
  <c r="D88"/>
  <c r="G87"/>
  <c r="F87"/>
  <c r="E87"/>
  <c r="D87"/>
  <c r="G86"/>
  <c r="F86"/>
  <c r="E86"/>
  <c r="D86"/>
  <c r="G85"/>
  <c r="F85"/>
  <c r="E85"/>
  <c r="D85"/>
  <c r="G84"/>
  <c r="F84"/>
  <c r="E84"/>
  <c r="D84"/>
  <c r="G83"/>
  <c r="F83"/>
  <c r="E83"/>
  <c r="D83"/>
  <c r="G82"/>
  <c r="F82"/>
  <c r="E82"/>
  <c r="D82"/>
  <c r="G81"/>
  <c r="F81"/>
  <c r="E81"/>
  <c r="D81"/>
  <c r="G80"/>
  <c r="F80"/>
  <c r="E80"/>
  <c r="D80"/>
  <c r="G79"/>
  <c r="F79"/>
  <c r="E79"/>
  <c r="D79"/>
  <c r="G78"/>
  <c r="F78"/>
  <c r="E78"/>
  <c r="D78"/>
  <c r="G77"/>
  <c r="F77"/>
  <c r="E77"/>
  <c r="D77"/>
  <c r="G76"/>
  <c r="F76"/>
  <c r="E76"/>
  <c r="D76"/>
  <c r="G75"/>
  <c r="F75"/>
  <c r="E75"/>
  <c r="D75"/>
  <c r="G74"/>
  <c r="F74"/>
  <c r="E74"/>
  <c r="D74"/>
  <c r="G73"/>
  <c r="F73"/>
  <c r="E73"/>
  <c r="D73"/>
  <c r="G72"/>
  <c r="F72"/>
  <c r="E72"/>
  <c r="D72"/>
  <c r="E69"/>
  <c r="E68"/>
  <c r="B67"/>
  <c r="O59"/>
  <c r="N59"/>
  <c r="M59"/>
  <c r="L59"/>
  <c r="G59"/>
  <c r="F59"/>
  <c r="E59"/>
  <c r="D59"/>
  <c r="O58"/>
  <c r="N58"/>
  <c r="M58"/>
  <c r="L58"/>
  <c r="G58"/>
  <c r="F58"/>
  <c r="E58"/>
  <c r="D58"/>
  <c r="O57"/>
  <c r="N57"/>
  <c r="M57"/>
  <c r="L57"/>
  <c r="G57"/>
  <c r="F57"/>
  <c r="E57"/>
  <c r="D57"/>
  <c r="O56"/>
  <c r="N56"/>
  <c r="M56"/>
  <c r="L56"/>
  <c r="G56"/>
  <c r="F56"/>
  <c r="E56"/>
  <c r="D56"/>
  <c r="O55"/>
  <c r="N55"/>
  <c r="M55"/>
  <c r="L55"/>
  <c r="G55"/>
  <c r="F55"/>
  <c r="E55"/>
  <c r="D55"/>
  <c r="O54"/>
  <c r="N54"/>
  <c r="M54"/>
  <c r="L54"/>
  <c r="G54"/>
  <c r="F54"/>
  <c r="E54"/>
  <c r="D54"/>
  <c r="O53"/>
  <c r="N53"/>
  <c r="M53"/>
  <c r="L53"/>
  <c r="G53"/>
  <c r="F53"/>
  <c r="E53"/>
  <c r="D53"/>
  <c r="O52"/>
  <c r="N52"/>
  <c r="M52"/>
  <c r="L52"/>
  <c r="G52"/>
  <c r="F52"/>
  <c r="E52"/>
  <c r="D52"/>
  <c r="O51"/>
  <c r="N51"/>
  <c r="M51"/>
  <c r="L51"/>
  <c r="G51"/>
  <c r="F51"/>
  <c r="E51"/>
  <c r="D51"/>
  <c r="O50"/>
  <c r="N50"/>
  <c r="M50"/>
  <c r="L50"/>
  <c r="G50"/>
  <c r="F50"/>
  <c r="E50"/>
  <c r="D50"/>
  <c r="O49"/>
  <c r="N49"/>
  <c r="M49"/>
  <c r="L49"/>
  <c r="G49"/>
  <c r="F49"/>
  <c r="E49"/>
  <c r="D49"/>
  <c r="O48"/>
  <c r="N48"/>
  <c r="M48"/>
  <c r="L48"/>
  <c r="G48"/>
  <c r="F48"/>
  <c r="E48"/>
  <c r="D48"/>
  <c r="O47"/>
  <c r="N47"/>
  <c r="M47"/>
  <c r="L47"/>
  <c r="G47"/>
  <c r="F47"/>
  <c r="E47"/>
  <c r="D47"/>
  <c r="O46"/>
  <c r="N46"/>
  <c r="M46"/>
  <c r="L46"/>
  <c r="G46"/>
  <c r="F46"/>
  <c r="E46"/>
  <c r="D46"/>
  <c r="O45"/>
  <c r="N45"/>
  <c r="M45"/>
  <c r="L45"/>
  <c r="G45"/>
  <c r="F45"/>
  <c r="E45"/>
  <c r="D45"/>
  <c r="O44"/>
  <c r="N44"/>
  <c r="M44"/>
  <c r="L44"/>
  <c r="G44"/>
  <c r="F44"/>
  <c r="E44"/>
  <c r="D44"/>
  <c r="O43"/>
  <c r="N43"/>
  <c r="M43"/>
  <c r="L43"/>
  <c r="G43"/>
  <c r="F43"/>
  <c r="E43"/>
  <c r="D43"/>
  <c r="O42"/>
  <c r="N42"/>
  <c r="M42"/>
  <c r="L42"/>
  <c r="G42"/>
  <c r="F42"/>
  <c r="E42"/>
  <c r="D42"/>
  <c r="O41"/>
  <c r="N41"/>
  <c r="M41"/>
  <c r="L41"/>
  <c r="G41"/>
  <c r="F41"/>
  <c r="E41"/>
  <c r="D41"/>
  <c r="O40"/>
  <c r="N40"/>
  <c r="M40"/>
  <c r="L40"/>
  <c r="G40"/>
  <c r="F40"/>
  <c r="E40"/>
  <c r="D40"/>
  <c r="O39"/>
  <c r="N39"/>
  <c r="M39"/>
  <c r="L39"/>
  <c r="G39"/>
  <c r="F39"/>
  <c r="E39"/>
  <c r="D39"/>
  <c r="O38"/>
  <c r="N38"/>
  <c r="M38"/>
  <c r="L38"/>
  <c r="G38"/>
  <c r="F38"/>
  <c r="E38"/>
  <c r="D38"/>
  <c r="O37"/>
  <c r="N37"/>
  <c r="M37"/>
  <c r="L37"/>
  <c r="G37"/>
  <c r="F37"/>
  <c r="E37"/>
  <c r="D37"/>
  <c r="O36"/>
  <c r="N36"/>
  <c r="M36"/>
  <c r="L36"/>
  <c r="G36"/>
  <c r="F36"/>
  <c r="E36"/>
  <c r="D36"/>
  <c r="O35"/>
  <c r="N35"/>
  <c r="M35"/>
  <c r="L35"/>
  <c r="G35"/>
  <c r="F35"/>
  <c r="E35"/>
  <c r="D35"/>
  <c r="O34"/>
  <c r="N34"/>
  <c r="M34"/>
  <c r="L34"/>
  <c r="G34"/>
  <c r="F34"/>
  <c r="E34"/>
  <c r="D34"/>
  <c r="O33"/>
  <c r="N33"/>
  <c r="M33"/>
  <c r="L33"/>
  <c r="G33"/>
  <c r="F33"/>
  <c r="E33"/>
  <c r="D33"/>
  <c r="O32"/>
  <c r="N32"/>
  <c r="M32"/>
  <c r="L32"/>
  <c r="G32"/>
  <c r="F32"/>
  <c r="E32"/>
  <c r="D32"/>
  <c r="O31"/>
  <c r="N31"/>
  <c r="M31"/>
  <c r="L31"/>
  <c r="G31"/>
  <c r="F31"/>
  <c r="E31"/>
  <c r="D31"/>
  <c r="O30"/>
  <c r="N30"/>
  <c r="M30"/>
  <c r="L30"/>
  <c r="G30"/>
  <c r="F30"/>
  <c r="E30"/>
  <c r="D30"/>
  <c r="O29"/>
  <c r="N29"/>
  <c r="M29"/>
  <c r="L29"/>
  <c r="G29"/>
  <c r="F29"/>
  <c r="E29"/>
  <c r="D29"/>
  <c r="O28"/>
  <c r="N28"/>
  <c r="M28"/>
  <c r="L28"/>
  <c r="G28"/>
  <c r="F28"/>
  <c r="E28"/>
  <c r="D28"/>
  <c r="O27"/>
  <c r="N27"/>
  <c r="M27"/>
  <c r="L27"/>
  <c r="G27"/>
  <c r="F27"/>
  <c r="E27"/>
  <c r="D27"/>
  <c r="O26"/>
  <c r="N26"/>
  <c r="M26"/>
  <c r="L26"/>
  <c r="G26"/>
  <c r="F26"/>
  <c r="E26"/>
  <c r="D26"/>
  <c r="O25"/>
  <c r="N25"/>
  <c r="M25"/>
  <c r="L25"/>
  <c r="G25"/>
  <c r="F25"/>
  <c r="E25"/>
  <c r="D25"/>
  <c r="O24"/>
  <c r="N24"/>
  <c r="M24"/>
  <c r="L24"/>
  <c r="G24"/>
  <c r="F24"/>
  <c r="E24"/>
  <c r="D24"/>
  <c r="O23"/>
  <c r="N23"/>
  <c r="M23"/>
  <c r="L23"/>
  <c r="G23"/>
  <c r="F23"/>
  <c r="E23"/>
  <c r="D23"/>
  <c r="O22"/>
  <c r="N22"/>
  <c r="M22"/>
  <c r="L22"/>
  <c r="G22"/>
  <c r="F22"/>
  <c r="E22"/>
  <c r="D22"/>
  <c r="O21"/>
  <c r="N21"/>
  <c r="M21"/>
  <c r="L21"/>
  <c r="G21"/>
  <c r="F21"/>
  <c r="E21"/>
  <c r="D21"/>
  <c r="O20"/>
  <c r="N20"/>
  <c r="M20"/>
  <c r="L20"/>
  <c r="G20"/>
  <c r="F20"/>
  <c r="E20"/>
  <c r="D20"/>
  <c r="O19"/>
  <c r="N19"/>
  <c r="M19"/>
  <c r="L19"/>
  <c r="G19"/>
  <c r="F19"/>
  <c r="E19"/>
  <c r="D19"/>
  <c r="O18"/>
  <c r="N18"/>
  <c r="M18"/>
  <c r="L18"/>
  <c r="G18"/>
  <c r="F18"/>
  <c r="E18"/>
  <c r="D18"/>
  <c r="O17"/>
  <c r="N17"/>
  <c r="M17"/>
  <c r="L17"/>
  <c r="G17"/>
  <c r="F17"/>
  <c r="E17"/>
  <c r="D17"/>
  <c r="O16"/>
  <c r="N16"/>
  <c r="M16"/>
  <c r="L16"/>
  <c r="G16"/>
  <c r="F16"/>
  <c r="E16"/>
  <c r="D16"/>
  <c r="O15"/>
  <c r="N15"/>
  <c r="M15"/>
  <c r="L15"/>
  <c r="G15"/>
  <c r="F15"/>
  <c r="E15"/>
  <c r="D15"/>
  <c r="O14"/>
  <c r="N14"/>
  <c r="M14"/>
  <c r="L14"/>
  <c r="G14"/>
  <c r="F14"/>
  <c r="E14"/>
  <c r="D14"/>
  <c r="O13"/>
  <c r="N13"/>
  <c r="M13"/>
  <c r="L13"/>
  <c r="G13"/>
  <c r="F13"/>
  <c r="E13"/>
  <c r="D13"/>
  <c r="O12"/>
  <c r="N12"/>
  <c r="M12"/>
  <c r="L12"/>
  <c r="G12"/>
  <c r="F12"/>
  <c r="E12"/>
  <c r="D12"/>
  <c r="M10"/>
  <c r="E70" s="1"/>
  <c r="M9"/>
  <c r="M8"/>
  <c r="J7"/>
  <c r="H7"/>
  <c r="H67" s="1"/>
  <c r="E7"/>
  <c r="M7" s="1"/>
  <c r="B7"/>
  <c r="E67" l="1"/>
  <c r="P7"/>
</calcChain>
</file>

<file path=xl/sharedStrings.xml><?xml version="1.0" encoding="utf-8"?>
<sst xmlns="http://schemas.openxmlformats.org/spreadsheetml/2006/main" count="204" uniqueCount="34">
  <si>
    <t xml:space="preserve">    «Утверждаю»</t>
  </si>
  <si>
    <t>Первый проректор</t>
  </si>
  <si>
    <t>___________Н.А. Круглая</t>
  </si>
  <si>
    <t>«_____» _________2025 г.</t>
  </si>
  <si>
    <t>Расписание занятий (1 семестр 2025/26 учебный год)</t>
  </si>
  <si>
    <t>Форма обучения:</t>
  </si>
  <si>
    <t>очная</t>
  </si>
  <si>
    <t>Курс:</t>
  </si>
  <si>
    <t>Неделя:</t>
  </si>
  <si>
    <t>Дни недели</t>
  </si>
  <si>
    <t>пара</t>
  </si>
  <si>
    <t>Вид занятий</t>
  </si>
  <si>
    <t>Дисциплина</t>
  </si>
  <si>
    <t>Преподаватель</t>
  </si>
  <si>
    <t>Ссылка</t>
  </si>
  <si>
    <t>понедельник</t>
  </si>
  <si>
    <r>
      <t xml:space="preserve">1 пара
</t>
    </r>
    <r>
      <rPr>
        <sz val="12"/>
        <rFont val="Times New Roman"/>
        <family val="1"/>
        <charset val="204"/>
      </rPr>
      <t>9.00-10.30</t>
    </r>
  </si>
  <si>
    <t>https://max.ru/join/M7wDISGvmShFMnRwwNWABqv4bmIdPah2zAI1ryedWA4</t>
  </si>
  <si>
    <r>
      <t xml:space="preserve">2 пара
</t>
    </r>
    <r>
      <rPr>
        <sz val="12"/>
        <rFont val="Times New Roman"/>
        <family val="1"/>
        <charset val="204"/>
      </rPr>
      <t>10.40-12.10</t>
    </r>
  </si>
  <si>
    <r>
      <t xml:space="preserve">3 пара
</t>
    </r>
    <r>
      <rPr>
        <sz val="12"/>
        <rFont val="Times New Roman"/>
        <family val="1"/>
        <charset val="204"/>
      </rPr>
      <t>12.30-14.00</t>
    </r>
  </si>
  <si>
    <r>
      <t xml:space="preserve">4 пара
</t>
    </r>
    <r>
      <rPr>
        <sz val="12"/>
        <rFont val="Times New Roman"/>
        <family val="1"/>
        <charset val="204"/>
      </rPr>
      <t>14.10-15.40</t>
    </r>
  </si>
  <si>
    <r>
      <t xml:space="preserve">5 пара
</t>
    </r>
    <r>
      <rPr>
        <sz val="12"/>
        <rFont val="Times New Roman"/>
        <family val="1"/>
        <charset val="204"/>
      </rPr>
      <t>15.50-17.20</t>
    </r>
  </si>
  <si>
    <r>
      <t xml:space="preserve">6 пара
</t>
    </r>
    <r>
      <rPr>
        <sz val="12"/>
        <rFont val="Times New Roman"/>
        <family val="1"/>
        <charset val="204"/>
      </rPr>
      <t>17.40-19.10</t>
    </r>
  </si>
  <si>
    <r>
      <t xml:space="preserve">7 пара
</t>
    </r>
    <r>
      <rPr>
        <sz val="12"/>
        <rFont val="Times New Roman"/>
        <family val="1"/>
        <charset val="204"/>
      </rPr>
      <t>19.20-20.50</t>
    </r>
  </si>
  <si>
    <t>вторник</t>
  </si>
  <si>
    <t>среда</t>
  </si>
  <si>
    <t>четверг</t>
  </si>
  <si>
    <t>https://max.ru/join/t257J4YJBJ8AiKVNLL3zOcaCz5ne73H9eWxMrfP7T5o</t>
  </si>
  <si>
    <t>пятница</t>
  </si>
  <si>
    <t>https://max.ru/join/yiMW5hnYBtZHcXFu4xRokqWJT9jXccqJxwXEav6pwkM</t>
  </si>
  <si>
    <t>https://max.ru/join/kwuS9eEwkiZcM2J4jlEJMBMD19izxuC_L2Mwjryv0Dk</t>
  </si>
  <si>
    <t>суббота</t>
  </si>
  <si>
    <t xml:space="preserve">Директор института </t>
  </si>
  <si>
    <t>Самчинская Я.Б.</t>
  </si>
</sst>
</file>

<file path=xl/styles.xml><?xml version="1.0" encoding="utf-8"?>
<styleSheet xmlns="http://schemas.openxmlformats.org/spreadsheetml/2006/main">
  <numFmts count="1">
    <numFmt numFmtId="164" formatCode="0;\-0;;\ @"/>
  </numFmts>
  <fonts count="17">
    <font>
      <sz val="10"/>
      <name val="Arial"/>
    </font>
    <font>
      <sz val="10"/>
      <name val="Arial"/>
      <family val="2"/>
      <charset val="204"/>
    </font>
    <font>
      <sz val="12"/>
      <color theme="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</font>
    <font>
      <b/>
      <i/>
      <sz val="14"/>
      <color indexed="8"/>
      <name val="Times New Roman"/>
      <family val="1"/>
    </font>
    <font>
      <b/>
      <sz val="12"/>
      <name val="Times New Roman"/>
      <family val="1"/>
      <charset val="204"/>
    </font>
    <font>
      <sz val="14"/>
      <color indexed="8"/>
      <name val="Times New Roman"/>
      <family val="1"/>
    </font>
    <font>
      <sz val="14"/>
      <name val="Times New Roman"/>
      <family val="1"/>
      <charset val="204"/>
    </font>
    <font>
      <u/>
      <sz val="10"/>
      <color theme="10"/>
      <name val="Arial"/>
      <family val="2"/>
      <charset val="204"/>
    </font>
    <font>
      <u/>
      <sz val="10"/>
      <name val="Arial"/>
      <family val="2"/>
      <charset val="204"/>
    </font>
    <font>
      <b/>
      <i/>
      <sz val="12"/>
      <color indexed="8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</cellStyleXfs>
  <cellXfs count="73">
    <xf numFmtId="0" fontId="0" fillId="0" borderId="0" xfId="0"/>
    <xf numFmtId="0" fontId="2" fillId="0" borderId="0" xfId="1" applyFont="1" applyFill="1" applyAlignment="1">
      <alignment horizontal="right"/>
    </xf>
    <xf numFmtId="0" fontId="3" fillId="0" borderId="0" xfId="1" applyFont="1" applyFill="1" applyAlignment="1">
      <alignment horizontal="right"/>
    </xf>
    <xf numFmtId="0" fontId="3" fillId="0" borderId="0" xfId="1" applyFont="1" applyFill="1" applyAlignment="1">
      <alignment horizontal="center" wrapText="1"/>
    </xf>
    <xf numFmtId="0" fontId="3" fillId="0" borderId="0" xfId="1" applyFont="1" applyFill="1"/>
    <xf numFmtId="0" fontId="4" fillId="0" borderId="0" xfId="1" applyFont="1" applyFill="1" applyAlignment="1" applyProtection="1">
      <alignment horizontal="left" vertical="center"/>
      <protection locked="0"/>
    </xf>
    <xf numFmtId="0" fontId="3" fillId="0" borderId="0" xfId="1" applyFont="1" applyFill="1" applyAlignment="1">
      <alignment horizontal="right" vertical="center"/>
    </xf>
    <xf numFmtId="0" fontId="4" fillId="0" borderId="0" xfId="1" applyFont="1" applyFill="1"/>
    <xf numFmtId="0" fontId="3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right" vertical="center" wrapText="1"/>
    </xf>
    <xf numFmtId="0" fontId="3" fillId="0" borderId="0" xfId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Alignment="1">
      <alignment horizontal="left"/>
    </xf>
    <xf numFmtId="0" fontId="4" fillId="0" borderId="1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textRotation="90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14" fontId="6" fillId="0" borderId="8" xfId="1" applyNumberFormat="1" applyFont="1" applyFill="1" applyBorder="1" applyAlignment="1">
      <alignment horizontal="center" vertical="center" textRotation="90" wrapText="1"/>
    </xf>
    <xf numFmtId="164" fontId="7" fillId="0" borderId="9" xfId="1" applyNumberFormat="1" applyFont="1" applyFill="1" applyBorder="1" applyAlignment="1">
      <alignment horizontal="center" vertical="center" textRotation="90" wrapText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164" fontId="9" fillId="0" borderId="11" xfId="1" applyNumberFormat="1" applyFont="1" applyFill="1" applyBorder="1" applyAlignment="1">
      <alignment horizontal="center" vertical="center" wrapText="1"/>
    </xf>
    <xf numFmtId="164" fontId="9" fillId="0" borderId="11" xfId="1" applyNumberFormat="1" applyFont="1" applyFill="1" applyBorder="1" applyAlignment="1">
      <alignment vertical="center" wrapText="1"/>
    </xf>
    <xf numFmtId="164" fontId="9" fillId="0" borderId="12" xfId="1" applyNumberFormat="1" applyFont="1" applyFill="1" applyBorder="1" applyAlignment="1">
      <alignment horizontal="left" vertical="center" wrapText="1"/>
    </xf>
    <xf numFmtId="164" fontId="9" fillId="0" borderId="13" xfId="1" applyNumberFormat="1" applyFont="1" applyFill="1" applyBorder="1" applyAlignment="1">
      <alignment horizontal="left" vertical="center" wrapText="1"/>
    </xf>
    <xf numFmtId="164" fontId="10" fillId="0" borderId="14" xfId="1" applyNumberFormat="1" applyFont="1" applyFill="1" applyBorder="1" applyAlignment="1">
      <alignment vertical="center" wrapText="1"/>
    </xf>
    <xf numFmtId="0" fontId="7" fillId="0" borderId="9" xfId="1" applyFont="1" applyFill="1" applyBorder="1" applyAlignment="1">
      <alignment horizontal="center" vertical="center" textRotation="90" wrapText="1"/>
    </xf>
    <xf numFmtId="164" fontId="11" fillId="0" borderId="15" xfId="2" applyNumberFormat="1" applyFill="1" applyBorder="1" applyAlignment="1">
      <alignment vertical="center" wrapText="1"/>
    </xf>
    <xf numFmtId="14" fontId="6" fillId="0" borderId="16" xfId="1" applyNumberFormat="1" applyFont="1" applyFill="1" applyBorder="1" applyAlignment="1">
      <alignment horizontal="center" vertical="center" textRotation="90" wrapText="1"/>
    </xf>
    <xf numFmtId="164" fontId="7" fillId="0" borderId="17" xfId="1" applyNumberFormat="1" applyFont="1" applyFill="1" applyBorder="1" applyAlignment="1">
      <alignment horizontal="center" vertical="center" textRotation="90" wrapText="1"/>
    </xf>
    <xf numFmtId="164" fontId="9" fillId="0" borderId="10" xfId="1" applyNumberFormat="1" applyFont="1" applyFill="1" applyBorder="1" applyAlignment="1">
      <alignment horizontal="center" vertical="center" wrapText="1"/>
    </xf>
    <xf numFmtId="164" fontId="9" fillId="0" borderId="10" xfId="1" applyNumberFormat="1" applyFont="1" applyFill="1" applyBorder="1" applyAlignment="1">
      <alignment vertical="center" wrapText="1"/>
    </xf>
    <xf numFmtId="164" fontId="9" fillId="0" borderId="18" xfId="1" applyNumberFormat="1" applyFont="1" applyFill="1" applyBorder="1" applyAlignment="1">
      <alignment horizontal="left" vertical="center" wrapText="1"/>
    </xf>
    <xf numFmtId="164" fontId="9" fillId="0" borderId="19" xfId="1" applyNumberFormat="1" applyFont="1" applyFill="1" applyBorder="1" applyAlignment="1">
      <alignment horizontal="left" vertical="center" wrapText="1"/>
    </xf>
    <xf numFmtId="164" fontId="10" fillId="0" borderId="15" xfId="1" applyNumberFormat="1" applyFont="1" applyFill="1" applyBorder="1" applyAlignment="1">
      <alignment vertical="center" wrapText="1"/>
    </xf>
    <xf numFmtId="0" fontId="6" fillId="0" borderId="16" xfId="1" applyFont="1" applyFill="1" applyBorder="1" applyAlignment="1">
      <alignment horizontal="center" vertical="center" textRotation="90" wrapText="1"/>
    </xf>
    <xf numFmtId="0" fontId="7" fillId="0" borderId="17" xfId="1" applyFont="1" applyFill="1" applyBorder="1" applyAlignment="1">
      <alignment horizontal="center" vertical="center" textRotation="90" wrapText="1"/>
    </xf>
    <xf numFmtId="164" fontId="12" fillId="0" borderId="15" xfId="2" applyNumberFormat="1" applyFont="1" applyFill="1" applyBorder="1" applyAlignment="1">
      <alignment vertical="center" wrapText="1"/>
    </xf>
    <xf numFmtId="14" fontId="6" fillId="0" borderId="20" xfId="1" applyNumberFormat="1" applyFont="1" applyFill="1" applyBorder="1" applyAlignment="1">
      <alignment horizontal="center" vertical="center" textRotation="90" wrapText="1"/>
    </xf>
    <xf numFmtId="164" fontId="7" fillId="0" borderId="21" xfId="1" applyNumberFormat="1" applyFont="1" applyFill="1" applyBorder="1" applyAlignment="1">
      <alignment horizontal="center" vertical="center" textRotation="90" wrapText="1"/>
    </xf>
    <xf numFmtId="0" fontId="3" fillId="0" borderId="22" xfId="1" applyFont="1" applyFill="1" applyBorder="1" applyAlignment="1">
      <alignment horizontal="center" vertical="center" wrapText="1"/>
    </xf>
    <xf numFmtId="164" fontId="9" fillId="0" borderId="22" xfId="1" applyNumberFormat="1" applyFont="1" applyFill="1" applyBorder="1" applyAlignment="1">
      <alignment horizontal="center" vertical="center" wrapText="1"/>
    </xf>
    <xf numFmtId="164" fontId="9" fillId="0" borderId="22" xfId="1" applyNumberFormat="1" applyFont="1" applyFill="1" applyBorder="1" applyAlignment="1">
      <alignment vertical="center" wrapText="1"/>
    </xf>
    <xf numFmtId="164" fontId="9" fillId="0" borderId="23" xfId="1" applyNumberFormat="1" applyFont="1" applyFill="1" applyBorder="1" applyAlignment="1">
      <alignment horizontal="left" vertical="center" wrapText="1"/>
    </xf>
    <xf numFmtId="164" fontId="9" fillId="0" borderId="24" xfId="1" applyNumberFormat="1" applyFont="1" applyFill="1" applyBorder="1" applyAlignment="1">
      <alignment horizontal="left" vertical="center" wrapText="1"/>
    </xf>
    <xf numFmtId="164" fontId="10" fillId="0" borderId="25" xfId="1" applyNumberFormat="1" applyFont="1" applyFill="1" applyBorder="1" applyAlignment="1">
      <alignment vertical="center" wrapText="1"/>
    </xf>
    <xf numFmtId="0" fontId="6" fillId="0" borderId="20" xfId="1" applyFont="1" applyFill="1" applyBorder="1" applyAlignment="1">
      <alignment horizontal="center" vertical="center" textRotation="90" wrapText="1"/>
    </xf>
    <xf numFmtId="0" fontId="7" fillId="0" borderId="21" xfId="1" applyFont="1" applyFill="1" applyBorder="1" applyAlignment="1">
      <alignment horizontal="center" vertical="center" textRotation="90" wrapText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164" fontId="11" fillId="0" borderId="14" xfId="2" applyNumberFormat="1" applyFill="1" applyBorder="1" applyAlignment="1">
      <alignment vertical="center" wrapText="1"/>
    </xf>
    <xf numFmtId="164" fontId="7" fillId="0" borderId="26" xfId="1" applyNumberFormat="1" applyFont="1" applyFill="1" applyBorder="1" applyAlignment="1">
      <alignment horizontal="center" vertical="center" textRotation="90" wrapText="1"/>
    </xf>
    <xf numFmtId="0" fontId="7" fillId="0" borderId="26" xfId="1" applyFont="1" applyFill="1" applyBorder="1" applyAlignment="1">
      <alignment horizontal="center" vertical="center" textRotation="90" wrapText="1"/>
    </xf>
    <xf numFmtId="164" fontId="7" fillId="0" borderId="27" xfId="1" applyNumberFormat="1" applyFont="1" applyFill="1" applyBorder="1" applyAlignment="1">
      <alignment horizontal="center" vertical="center" textRotation="90" wrapText="1"/>
    </xf>
    <xf numFmtId="0" fontId="7" fillId="0" borderId="27" xfId="1" applyFont="1" applyFill="1" applyBorder="1" applyAlignment="1">
      <alignment horizontal="center" vertical="center" textRotation="90" wrapText="1"/>
    </xf>
    <xf numFmtId="164" fontId="7" fillId="0" borderId="28" xfId="1" applyNumberFormat="1" applyFont="1" applyFill="1" applyBorder="1" applyAlignment="1">
      <alignment horizontal="center" vertical="center" textRotation="90" wrapText="1"/>
    </xf>
    <xf numFmtId="0" fontId="7" fillId="0" borderId="28" xfId="1" applyFont="1" applyFill="1" applyBorder="1" applyAlignment="1">
      <alignment horizontal="center" vertical="center" textRotation="90" wrapText="1"/>
    </xf>
    <xf numFmtId="0" fontId="2" fillId="0" borderId="29" xfId="1" applyFont="1" applyFill="1" applyBorder="1" applyAlignment="1">
      <alignment horizontal="right" vertical="center"/>
    </xf>
    <xf numFmtId="0" fontId="13" fillId="2" borderId="29" xfId="1" applyFont="1" applyFill="1" applyBorder="1" applyAlignment="1">
      <alignment horizontal="left" vertical="center"/>
    </xf>
    <xf numFmtId="0" fontId="3" fillId="2" borderId="29" xfId="1" applyFont="1" applyFill="1" applyBorder="1" applyAlignment="1">
      <alignment horizontal="left" vertical="center"/>
    </xf>
    <xf numFmtId="0" fontId="3" fillId="2" borderId="29" xfId="1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horizontal="left" vertical="center"/>
      <protection locked="0" hidden="1"/>
    </xf>
    <xf numFmtId="0" fontId="4" fillId="2" borderId="29" xfId="1" applyFont="1" applyFill="1" applyBorder="1" applyAlignment="1">
      <alignment vertical="center"/>
    </xf>
    <xf numFmtId="0" fontId="1" fillId="0" borderId="0" xfId="0" applyFont="1"/>
  </cellXfs>
  <cellStyles count="6">
    <cellStyle name="Гиперссылка" xfId="2" builtinId="8"/>
    <cellStyle name="Гиперссылка 2" xfId="3"/>
    <cellStyle name="Обычный" xfId="0" builtinId="0"/>
    <cellStyle name="Обычный 2" xfId="1"/>
    <cellStyle name="Обычный 3" xfId="4"/>
    <cellStyle name="Обычный 4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58</xdr:row>
      <xdr:rowOff>0</xdr:rowOff>
    </xdr:from>
    <xdr:to>
      <xdr:col>5</xdr:col>
      <xdr:colOff>395960</xdr:colOff>
      <xdr:row>59</xdr:row>
      <xdr:rowOff>395960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4EFBE050-7937-4CEF-A06B-D27A1B4F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21061680"/>
          <a:ext cx="395960" cy="3959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395960</xdr:colOff>
      <xdr:row>59</xdr:row>
      <xdr:rowOff>395960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BEC57FCD-3C10-410C-BED7-20981925F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871180" y="21061680"/>
          <a:ext cx="395960" cy="39596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395960</xdr:colOff>
      <xdr:row>119</xdr:row>
      <xdr:rowOff>395960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803E4D64-702A-4FB9-811C-FA322056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66460" y="42024300"/>
          <a:ext cx="395960" cy="3959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61;&#1043;&#1055;&#1059;%20&#1089;&#1077;&#1082;&#1088;&#1077;&#1090;&#1072;&#1088;&#1100;\&#1088;&#1072;&#1089;&#1087;&#1080;&#1089;&#1072;&#1085;&#1080;&#1077;\2025-2026_&#1041;&#1044;\&#1080;&#1085;&#1089;&#1090;_&#1048;&#1085;&#1092;_&#1058;&#1077;&#1093;&#1085;&#1086;&#1083;&#1086;&#1075;&#1080;&#1081;\&#1048;&#1085;&#1089;&#1090;_&#1048;&#1085;&#1092;_&#1058;&#1077;&#1093;&#1085;&#1086;&#1083;&#1086;&#1075;&#1080;&#1081;_&#1054;&#1095;&#1085;&#1086;&#1077;\5_&#1071;&#1085;&#1074;&#1072;&#1088;&#110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2;&#1089;&#1087;&#1080;&#1089;&#1072;&#1085;&#1080;&#1077;_&#1089;&#1077;&#1089;&#1089;&#1080;&#1103;_1_&#1089;&#1077;&#1084;_2025_2026_&#1091;&#1075;_&#1054;&#1060;&#1054;_&#1054;&#1047;&#1060;&#1054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одерж"/>
      <sheetName val="календарь"/>
      <sheetName val="Р_Январь"/>
      <sheetName val="ауд"/>
      <sheetName val="КАБИНЕТЫ"/>
      <sheetName val="РО"/>
      <sheetName val="препод"/>
      <sheetName val="1нед"/>
      <sheetName val="2нед"/>
      <sheetName val="3нед"/>
      <sheetName val="4нед"/>
      <sheetName val="5нед"/>
      <sheetName val="часы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Направление подготовки:</v>
          </cell>
        </row>
        <row r="59">
          <cell r="S59">
            <v>0</v>
          </cell>
          <cell r="T59">
            <v>0</v>
          </cell>
          <cell r="W59">
            <v>0</v>
          </cell>
          <cell r="X59">
            <v>0</v>
          </cell>
        </row>
        <row r="130">
          <cell r="T130" t="str">
            <v>09.04.04 Программная инженерия (Разработка программно-информационных систем)</v>
          </cell>
        </row>
        <row r="134">
          <cell r="T134" t="str">
            <v>12-25РПм</v>
          </cell>
        </row>
        <row r="136">
          <cell r="S136">
            <v>0</v>
          </cell>
          <cell r="T136">
            <v>0</v>
          </cell>
          <cell r="W136">
            <v>0</v>
          </cell>
          <cell r="X136">
            <v>0</v>
          </cell>
        </row>
        <row r="137">
          <cell r="S137">
            <v>0</v>
          </cell>
          <cell r="T137">
            <v>0</v>
          </cell>
          <cell r="W137">
            <v>0</v>
          </cell>
          <cell r="X137">
            <v>0</v>
          </cell>
        </row>
        <row r="138">
          <cell r="S138" t="str">
            <v>диф. зачет</v>
          </cell>
          <cell r="T138" t="str">
            <v>Управление ИТ-проектами</v>
          </cell>
          <cell r="W138" t="str">
            <v>Линник И.И.</v>
          </cell>
          <cell r="X138" t="str">
            <v>доцент, канд. наук</v>
          </cell>
        </row>
        <row r="139">
          <cell r="S139">
            <v>0</v>
          </cell>
          <cell r="T139">
            <v>0</v>
          </cell>
          <cell r="W139">
            <v>0</v>
          </cell>
          <cell r="X139">
            <v>0</v>
          </cell>
        </row>
        <row r="140">
          <cell r="S140">
            <v>0</v>
          </cell>
          <cell r="T140">
            <v>0</v>
          </cell>
          <cell r="W140">
            <v>0</v>
          </cell>
          <cell r="X140">
            <v>0</v>
          </cell>
        </row>
        <row r="141">
          <cell r="S141">
            <v>0</v>
          </cell>
          <cell r="T141">
            <v>0</v>
          </cell>
          <cell r="W141">
            <v>0</v>
          </cell>
          <cell r="X141">
            <v>0</v>
          </cell>
        </row>
        <row r="142">
          <cell r="S142">
            <v>0</v>
          </cell>
          <cell r="T142">
            <v>0</v>
          </cell>
          <cell r="W142">
            <v>0</v>
          </cell>
          <cell r="X142">
            <v>0</v>
          </cell>
        </row>
        <row r="143">
          <cell r="S143">
            <v>0</v>
          </cell>
          <cell r="T143">
            <v>0</v>
          </cell>
          <cell r="W143">
            <v>0</v>
          </cell>
          <cell r="X143">
            <v>0</v>
          </cell>
        </row>
        <row r="144">
          <cell r="S144" t="str">
            <v>диф. зачет</v>
          </cell>
          <cell r="T144" t="str">
            <v>Основы програмной инженерии</v>
          </cell>
          <cell r="W144" t="str">
            <v>Круглый Д.Г.</v>
          </cell>
          <cell r="X144" t="str">
            <v>профессор, д-р наук</v>
          </cell>
        </row>
        <row r="145">
          <cell r="S145">
            <v>0</v>
          </cell>
          <cell r="T145">
            <v>0</v>
          </cell>
          <cell r="W145">
            <v>0</v>
          </cell>
          <cell r="X145">
            <v>0</v>
          </cell>
        </row>
        <row r="146">
          <cell r="S146">
            <v>0</v>
          </cell>
          <cell r="T146">
            <v>0</v>
          </cell>
          <cell r="W146">
            <v>0</v>
          </cell>
          <cell r="X146">
            <v>0</v>
          </cell>
        </row>
        <row r="147">
          <cell r="S147">
            <v>0</v>
          </cell>
          <cell r="T147">
            <v>0</v>
          </cell>
          <cell r="W147">
            <v>0</v>
          </cell>
          <cell r="X147">
            <v>0</v>
          </cell>
        </row>
        <row r="148">
          <cell r="S148">
            <v>0</v>
          </cell>
          <cell r="T148">
            <v>0</v>
          </cell>
          <cell r="W148">
            <v>0</v>
          </cell>
          <cell r="X148">
            <v>0</v>
          </cell>
        </row>
        <row r="149">
          <cell r="S149">
            <v>0</v>
          </cell>
          <cell r="T149">
            <v>0</v>
          </cell>
          <cell r="W149">
            <v>0</v>
          </cell>
          <cell r="X149">
            <v>0</v>
          </cell>
        </row>
        <row r="150">
          <cell r="S150">
            <v>0</v>
          </cell>
          <cell r="T150">
            <v>0</v>
          </cell>
          <cell r="W150">
            <v>0</v>
          </cell>
          <cell r="X150">
            <v>0</v>
          </cell>
        </row>
        <row r="151">
          <cell r="S151">
            <v>0</v>
          </cell>
          <cell r="T151">
            <v>0</v>
          </cell>
          <cell r="W151">
            <v>0</v>
          </cell>
          <cell r="X151">
            <v>0</v>
          </cell>
        </row>
        <row r="152">
          <cell r="S152">
            <v>0</v>
          </cell>
          <cell r="T152">
            <v>0</v>
          </cell>
          <cell r="W152">
            <v>0</v>
          </cell>
          <cell r="X152">
            <v>0</v>
          </cell>
        </row>
        <row r="153">
          <cell r="S153">
            <v>0</v>
          </cell>
          <cell r="T153">
            <v>0</v>
          </cell>
          <cell r="W153">
            <v>0</v>
          </cell>
          <cell r="X153">
            <v>0</v>
          </cell>
        </row>
        <row r="154">
          <cell r="S154" t="str">
            <v>зачет</v>
          </cell>
          <cell r="T154" t="str">
            <v>Теоретико-множественный и информационный анализ</v>
          </cell>
          <cell r="W154" t="str">
            <v>Шерман М.И.</v>
          </cell>
          <cell r="X154" t="str">
            <v>профессор, д-р наук</v>
          </cell>
        </row>
        <row r="155">
          <cell r="S155">
            <v>0</v>
          </cell>
          <cell r="T155">
            <v>0</v>
          </cell>
          <cell r="W155">
            <v>0</v>
          </cell>
          <cell r="X155">
            <v>0</v>
          </cell>
        </row>
        <row r="156">
          <cell r="S156">
            <v>0</v>
          </cell>
          <cell r="T156">
            <v>0</v>
          </cell>
          <cell r="W156">
            <v>0</v>
          </cell>
          <cell r="X156">
            <v>0</v>
          </cell>
        </row>
        <row r="157">
          <cell r="S157">
            <v>0</v>
          </cell>
          <cell r="T157">
            <v>0</v>
          </cell>
          <cell r="W157">
            <v>0</v>
          </cell>
          <cell r="X157">
            <v>0</v>
          </cell>
        </row>
        <row r="158">
          <cell r="S158">
            <v>0</v>
          </cell>
          <cell r="T158">
            <v>0</v>
          </cell>
          <cell r="W158">
            <v>0</v>
          </cell>
          <cell r="X158">
            <v>0</v>
          </cell>
        </row>
        <row r="159">
          <cell r="S159">
            <v>0</v>
          </cell>
          <cell r="T159">
            <v>0</v>
          </cell>
          <cell r="W159">
            <v>0</v>
          </cell>
          <cell r="X159">
            <v>0</v>
          </cell>
        </row>
        <row r="160">
          <cell r="S160">
            <v>0</v>
          </cell>
          <cell r="T160">
            <v>0</v>
          </cell>
          <cell r="W160">
            <v>0</v>
          </cell>
          <cell r="X160">
            <v>0</v>
          </cell>
        </row>
        <row r="161">
          <cell r="S161" t="str">
            <v>зачет</v>
          </cell>
          <cell r="T161" t="str">
            <v>Иностранный язык для специальных целей</v>
          </cell>
          <cell r="W161" t="str">
            <v>Ермоленко И.И.</v>
          </cell>
          <cell r="X161" t="str">
            <v>доцент, канд. наук</v>
          </cell>
        </row>
        <row r="162">
          <cell r="S162">
            <v>0</v>
          </cell>
          <cell r="T162">
            <v>0</v>
          </cell>
          <cell r="W162">
            <v>0</v>
          </cell>
          <cell r="X162">
            <v>0</v>
          </cell>
        </row>
        <row r="163">
          <cell r="S163">
            <v>0</v>
          </cell>
          <cell r="T163">
            <v>0</v>
          </cell>
          <cell r="W163">
            <v>0</v>
          </cell>
          <cell r="X163">
            <v>0</v>
          </cell>
        </row>
        <row r="164">
          <cell r="S164">
            <v>0</v>
          </cell>
          <cell r="T164">
            <v>0</v>
          </cell>
          <cell r="W164">
            <v>0</v>
          </cell>
          <cell r="X164">
            <v>0</v>
          </cell>
        </row>
        <row r="165">
          <cell r="S165">
            <v>0</v>
          </cell>
          <cell r="T165">
            <v>0</v>
          </cell>
          <cell r="W165">
            <v>0</v>
          </cell>
          <cell r="X165">
            <v>0</v>
          </cell>
        </row>
        <row r="166">
          <cell r="S166">
            <v>0</v>
          </cell>
          <cell r="T166">
            <v>0</v>
          </cell>
          <cell r="W166">
            <v>0</v>
          </cell>
          <cell r="X166">
            <v>0</v>
          </cell>
        </row>
        <row r="167">
          <cell r="S167">
            <v>0</v>
          </cell>
          <cell r="T167">
            <v>0</v>
          </cell>
          <cell r="W167">
            <v>0</v>
          </cell>
          <cell r="X167">
            <v>0</v>
          </cell>
        </row>
        <row r="168">
          <cell r="S168">
            <v>0</v>
          </cell>
          <cell r="T168">
            <v>0</v>
          </cell>
          <cell r="W168">
            <v>0</v>
          </cell>
          <cell r="X168">
            <v>0</v>
          </cell>
        </row>
        <row r="169">
          <cell r="S169" t="str">
            <v>зачет</v>
          </cell>
          <cell r="T169" t="str">
            <v xml:space="preserve">Философия научного познания </v>
          </cell>
          <cell r="W169" t="str">
            <v>Солодухин Д.В.</v>
          </cell>
          <cell r="X169" t="str">
            <v>профессор, канд. наук</v>
          </cell>
        </row>
        <row r="170">
          <cell r="S170" t="str">
            <v>зачет</v>
          </cell>
          <cell r="T170" t="str">
            <v>Методология исследовательской деятельности</v>
          </cell>
          <cell r="W170" t="str">
            <v>Гуменюк А.Ю.</v>
          </cell>
          <cell r="X170" t="str">
            <v>доцент, канд. наук</v>
          </cell>
        </row>
        <row r="171">
          <cell r="S171">
            <v>0</v>
          </cell>
          <cell r="T171">
            <v>0</v>
          </cell>
          <cell r="W171">
            <v>0</v>
          </cell>
          <cell r="X171">
            <v>0</v>
          </cell>
        </row>
        <row r="172">
          <cell r="S172">
            <v>0</v>
          </cell>
          <cell r="T172">
            <v>0</v>
          </cell>
          <cell r="W172">
            <v>0</v>
          </cell>
          <cell r="X172">
            <v>0</v>
          </cell>
        </row>
        <row r="173">
          <cell r="S173">
            <v>0</v>
          </cell>
          <cell r="T173">
            <v>0</v>
          </cell>
          <cell r="W173">
            <v>0</v>
          </cell>
          <cell r="X173">
            <v>0</v>
          </cell>
        </row>
        <row r="174">
          <cell r="S174">
            <v>0</v>
          </cell>
          <cell r="T174">
            <v>0</v>
          </cell>
          <cell r="W174">
            <v>0</v>
          </cell>
          <cell r="X174">
            <v>0</v>
          </cell>
        </row>
        <row r="175">
          <cell r="S175">
            <v>0</v>
          </cell>
          <cell r="T175">
            <v>0</v>
          </cell>
          <cell r="W175">
            <v>0</v>
          </cell>
          <cell r="X175">
            <v>0</v>
          </cell>
        </row>
        <row r="176">
          <cell r="S176">
            <v>0</v>
          </cell>
          <cell r="T176">
            <v>0</v>
          </cell>
          <cell r="W176">
            <v>0</v>
          </cell>
          <cell r="X176">
            <v>0</v>
          </cell>
        </row>
        <row r="177">
          <cell r="S177">
            <v>0</v>
          </cell>
          <cell r="T177">
            <v>0</v>
          </cell>
          <cell r="W177">
            <v>0</v>
          </cell>
          <cell r="X177">
            <v>0</v>
          </cell>
        </row>
        <row r="178">
          <cell r="S178">
            <v>0</v>
          </cell>
          <cell r="T178">
            <v>0</v>
          </cell>
          <cell r="W178">
            <v>0</v>
          </cell>
          <cell r="X178">
            <v>0</v>
          </cell>
        </row>
        <row r="179">
          <cell r="S179">
            <v>0</v>
          </cell>
          <cell r="T179">
            <v>0</v>
          </cell>
          <cell r="W179">
            <v>0</v>
          </cell>
          <cell r="X179">
            <v>0</v>
          </cell>
        </row>
        <row r="180">
          <cell r="S180">
            <v>0</v>
          </cell>
          <cell r="T180">
            <v>0</v>
          </cell>
          <cell r="W180">
            <v>0</v>
          </cell>
          <cell r="X180">
            <v>0</v>
          </cell>
        </row>
        <row r="181">
          <cell r="S181">
            <v>0</v>
          </cell>
          <cell r="T181">
            <v>0</v>
          </cell>
          <cell r="W181">
            <v>0</v>
          </cell>
          <cell r="X181">
            <v>0</v>
          </cell>
        </row>
        <row r="182">
          <cell r="S182">
            <v>0</v>
          </cell>
          <cell r="T182">
            <v>0</v>
          </cell>
          <cell r="W182">
            <v>0</v>
          </cell>
          <cell r="X182">
            <v>0</v>
          </cell>
        </row>
      </sheetData>
      <sheetData sheetId="10">
        <row r="12">
          <cell r="C12">
            <v>0</v>
          </cell>
        </row>
        <row r="59">
          <cell r="S59">
            <v>0</v>
          </cell>
          <cell r="T59">
            <v>0</v>
          </cell>
          <cell r="W59">
            <v>0</v>
          </cell>
          <cell r="X59">
            <v>0</v>
          </cell>
        </row>
        <row r="136">
          <cell r="S136" t="str">
            <v>диф. зачет</v>
          </cell>
          <cell r="T136" t="str">
            <v>Применение методов искусственного интеллекта в анализе данных и управлении</v>
          </cell>
          <cell r="W136" t="str">
            <v>Гришин И.Ю.</v>
          </cell>
          <cell r="X136" t="str">
            <v>профессор, д-р наук</v>
          </cell>
        </row>
        <row r="137">
          <cell r="S137">
            <v>0</v>
          </cell>
          <cell r="T137">
            <v>0</v>
          </cell>
          <cell r="W137">
            <v>0</v>
          </cell>
          <cell r="X137">
            <v>0</v>
          </cell>
        </row>
        <row r="138">
          <cell r="S138">
            <v>0</v>
          </cell>
          <cell r="T138">
            <v>0</v>
          </cell>
          <cell r="W138">
            <v>0</v>
          </cell>
          <cell r="X138">
            <v>0</v>
          </cell>
        </row>
        <row r="139">
          <cell r="S139">
            <v>0</v>
          </cell>
          <cell r="T139">
            <v>0</v>
          </cell>
          <cell r="W139">
            <v>0</v>
          </cell>
          <cell r="X139">
            <v>0</v>
          </cell>
        </row>
        <row r="140">
          <cell r="S140">
            <v>0</v>
          </cell>
          <cell r="T140">
            <v>0</v>
          </cell>
          <cell r="W140">
            <v>0</v>
          </cell>
          <cell r="X140">
            <v>0</v>
          </cell>
        </row>
        <row r="141">
          <cell r="S141">
            <v>0</v>
          </cell>
          <cell r="T141">
            <v>0</v>
          </cell>
          <cell r="W141">
            <v>0</v>
          </cell>
          <cell r="X141">
            <v>0</v>
          </cell>
        </row>
        <row r="142">
          <cell r="S142">
            <v>0</v>
          </cell>
          <cell r="T142">
            <v>0</v>
          </cell>
          <cell r="W142">
            <v>0</v>
          </cell>
          <cell r="X142">
            <v>0</v>
          </cell>
        </row>
        <row r="143">
          <cell r="S143">
            <v>0</v>
          </cell>
          <cell r="T143">
            <v>0</v>
          </cell>
          <cell r="W143">
            <v>0</v>
          </cell>
          <cell r="X143">
            <v>0</v>
          </cell>
        </row>
        <row r="144">
          <cell r="S144">
            <v>0</v>
          </cell>
          <cell r="T144">
            <v>0</v>
          </cell>
          <cell r="W144">
            <v>0</v>
          </cell>
          <cell r="X144">
            <v>0</v>
          </cell>
        </row>
        <row r="145">
          <cell r="S145" t="str">
            <v>конс</v>
          </cell>
          <cell r="T145" t="str">
            <v>Машинное обучение и анализ данных</v>
          </cell>
          <cell r="W145" t="str">
            <v>Гришин И.Ю.</v>
          </cell>
          <cell r="X145" t="str">
            <v>профессор, д-р наук</v>
          </cell>
        </row>
        <row r="146">
          <cell r="S146">
            <v>0</v>
          </cell>
          <cell r="T146">
            <v>0</v>
          </cell>
          <cell r="W146">
            <v>0</v>
          </cell>
          <cell r="X146">
            <v>0</v>
          </cell>
        </row>
        <row r="147">
          <cell r="S147">
            <v>0</v>
          </cell>
          <cell r="T147">
            <v>0</v>
          </cell>
          <cell r="W147">
            <v>0</v>
          </cell>
          <cell r="X147">
            <v>0</v>
          </cell>
        </row>
        <row r="148">
          <cell r="S148">
            <v>0</v>
          </cell>
          <cell r="T148">
            <v>0</v>
          </cell>
          <cell r="W148">
            <v>0</v>
          </cell>
          <cell r="X148">
            <v>0</v>
          </cell>
        </row>
        <row r="149">
          <cell r="S149">
            <v>0</v>
          </cell>
          <cell r="T149">
            <v>0</v>
          </cell>
          <cell r="W149">
            <v>0</v>
          </cell>
          <cell r="X149">
            <v>0</v>
          </cell>
        </row>
        <row r="150">
          <cell r="S150">
            <v>0</v>
          </cell>
          <cell r="T150">
            <v>0</v>
          </cell>
          <cell r="W150">
            <v>0</v>
          </cell>
          <cell r="X150">
            <v>0</v>
          </cell>
        </row>
        <row r="151">
          <cell r="S151">
            <v>0</v>
          </cell>
          <cell r="T151">
            <v>0</v>
          </cell>
          <cell r="W151">
            <v>0</v>
          </cell>
          <cell r="X151">
            <v>0</v>
          </cell>
        </row>
        <row r="152">
          <cell r="S152">
            <v>0</v>
          </cell>
          <cell r="T152">
            <v>0</v>
          </cell>
          <cell r="W152">
            <v>0</v>
          </cell>
          <cell r="X152">
            <v>0</v>
          </cell>
        </row>
        <row r="153">
          <cell r="S153">
            <v>0</v>
          </cell>
          <cell r="T153">
            <v>0</v>
          </cell>
          <cell r="W153">
            <v>0</v>
          </cell>
          <cell r="X153">
            <v>0</v>
          </cell>
        </row>
        <row r="154">
          <cell r="S154">
            <v>0</v>
          </cell>
          <cell r="T154">
            <v>0</v>
          </cell>
          <cell r="W154">
            <v>0</v>
          </cell>
          <cell r="X154">
            <v>0</v>
          </cell>
        </row>
        <row r="155">
          <cell r="S155">
            <v>0</v>
          </cell>
          <cell r="T155">
            <v>0</v>
          </cell>
          <cell r="W155">
            <v>0</v>
          </cell>
          <cell r="X155">
            <v>0</v>
          </cell>
        </row>
        <row r="156">
          <cell r="S156">
            <v>0</v>
          </cell>
          <cell r="T156">
            <v>0</v>
          </cell>
          <cell r="W156">
            <v>0</v>
          </cell>
          <cell r="X156">
            <v>0</v>
          </cell>
        </row>
        <row r="157">
          <cell r="S157">
            <v>0</v>
          </cell>
          <cell r="T157">
            <v>0</v>
          </cell>
          <cell r="W157">
            <v>0</v>
          </cell>
          <cell r="X157">
            <v>0</v>
          </cell>
        </row>
        <row r="158">
          <cell r="S158">
            <v>0</v>
          </cell>
          <cell r="T158">
            <v>0</v>
          </cell>
          <cell r="W158">
            <v>0</v>
          </cell>
          <cell r="X158">
            <v>0</v>
          </cell>
        </row>
        <row r="159">
          <cell r="S159">
            <v>0</v>
          </cell>
          <cell r="T159">
            <v>0</v>
          </cell>
          <cell r="W159">
            <v>0</v>
          </cell>
          <cell r="X159">
            <v>0</v>
          </cell>
        </row>
        <row r="160">
          <cell r="S160">
            <v>0</v>
          </cell>
          <cell r="T160">
            <v>0</v>
          </cell>
          <cell r="W160">
            <v>0</v>
          </cell>
          <cell r="X160">
            <v>0</v>
          </cell>
        </row>
        <row r="161">
          <cell r="S161">
            <v>0</v>
          </cell>
          <cell r="T161">
            <v>0</v>
          </cell>
          <cell r="W161">
            <v>0</v>
          </cell>
          <cell r="X161">
            <v>0</v>
          </cell>
        </row>
        <row r="162">
          <cell r="S162">
            <v>0</v>
          </cell>
          <cell r="T162">
            <v>0</v>
          </cell>
          <cell r="W162">
            <v>0</v>
          </cell>
          <cell r="X162">
            <v>0</v>
          </cell>
        </row>
        <row r="163">
          <cell r="S163">
            <v>0</v>
          </cell>
          <cell r="T163">
            <v>0</v>
          </cell>
          <cell r="W163">
            <v>0</v>
          </cell>
          <cell r="X163">
            <v>0</v>
          </cell>
        </row>
        <row r="164">
          <cell r="S164">
            <v>0</v>
          </cell>
          <cell r="T164">
            <v>0</v>
          </cell>
          <cell r="W164">
            <v>0</v>
          </cell>
          <cell r="X164">
            <v>0</v>
          </cell>
        </row>
        <row r="165">
          <cell r="S165">
            <v>0</v>
          </cell>
          <cell r="T165">
            <v>0</v>
          </cell>
          <cell r="W165">
            <v>0</v>
          </cell>
          <cell r="X165">
            <v>0</v>
          </cell>
        </row>
        <row r="166">
          <cell r="S166">
            <v>0</v>
          </cell>
          <cell r="T166">
            <v>0</v>
          </cell>
          <cell r="W166">
            <v>0</v>
          </cell>
          <cell r="X166">
            <v>0</v>
          </cell>
        </row>
        <row r="167">
          <cell r="S167">
            <v>0</v>
          </cell>
          <cell r="T167">
            <v>0</v>
          </cell>
          <cell r="W167">
            <v>0</v>
          </cell>
          <cell r="X167">
            <v>0</v>
          </cell>
        </row>
        <row r="168">
          <cell r="S168">
            <v>0</v>
          </cell>
          <cell r="T168">
            <v>0</v>
          </cell>
          <cell r="W168">
            <v>0</v>
          </cell>
          <cell r="X168">
            <v>0</v>
          </cell>
        </row>
        <row r="169">
          <cell r="S169">
            <v>0</v>
          </cell>
          <cell r="T169">
            <v>0</v>
          </cell>
          <cell r="W169">
            <v>0</v>
          </cell>
          <cell r="X169">
            <v>0</v>
          </cell>
        </row>
        <row r="170">
          <cell r="S170">
            <v>0</v>
          </cell>
          <cell r="T170">
            <v>0</v>
          </cell>
          <cell r="W170">
            <v>0</v>
          </cell>
          <cell r="X170">
            <v>0</v>
          </cell>
        </row>
        <row r="171">
          <cell r="S171">
            <v>0</v>
          </cell>
          <cell r="T171">
            <v>0</v>
          </cell>
          <cell r="W171">
            <v>0</v>
          </cell>
          <cell r="X171">
            <v>0</v>
          </cell>
        </row>
        <row r="172">
          <cell r="S172">
            <v>0</v>
          </cell>
          <cell r="T172">
            <v>0</v>
          </cell>
          <cell r="W172">
            <v>0</v>
          </cell>
          <cell r="X172">
            <v>0</v>
          </cell>
        </row>
        <row r="173">
          <cell r="S173">
            <v>0</v>
          </cell>
          <cell r="T173">
            <v>0</v>
          </cell>
          <cell r="W173">
            <v>0</v>
          </cell>
          <cell r="X173">
            <v>0</v>
          </cell>
        </row>
        <row r="174">
          <cell r="S174">
            <v>0</v>
          </cell>
          <cell r="T174">
            <v>0</v>
          </cell>
          <cell r="W174">
            <v>0</v>
          </cell>
          <cell r="X174">
            <v>0</v>
          </cell>
        </row>
        <row r="175">
          <cell r="S175">
            <v>0</v>
          </cell>
          <cell r="T175">
            <v>0</v>
          </cell>
          <cell r="W175">
            <v>0</v>
          </cell>
          <cell r="X175">
            <v>0</v>
          </cell>
        </row>
        <row r="176">
          <cell r="S176">
            <v>0</v>
          </cell>
          <cell r="T176">
            <v>0</v>
          </cell>
          <cell r="W176">
            <v>0</v>
          </cell>
          <cell r="X176">
            <v>0</v>
          </cell>
        </row>
        <row r="177">
          <cell r="S177">
            <v>0</v>
          </cell>
          <cell r="T177">
            <v>0</v>
          </cell>
          <cell r="W177">
            <v>0</v>
          </cell>
          <cell r="X177">
            <v>0</v>
          </cell>
        </row>
        <row r="178">
          <cell r="S178">
            <v>0</v>
          </cell>
          <cell r="T178">
            <v>0</v>
          </cell>
          <cell r="W178">
            <v>0</v>
          </cell>
          <cell r="X178">
            <v>0</v>
          </cell>
        </row>
        <row r="179">
          <cell r="S179">
            <v>0</v>
          </cell>
          <cell r="T179">
            <v>0</v>
          </cell>
          <cell r="W179">
            <v>0</v>
          </cell>
          <cell r="X179">
            <v>0</v>
          </cell>
        </row>
        <row r="180">
          <cell r="S180">
            <v>0</v>
          </cell>
          <cell r="T180">
            <v>0</v>
          </cell>
          <cell r="W180">
            <v>0</v>
          </cell>
          <cell r="X180">
            <v>0</v>
          </cell>
        </row>
        <row r="181">
          <cell r="S181">
            <v>0</v>
          </cell>
          <cell r="T181">
            <v>0</v>
          </cell>
          <cell r="W181">
            <v>0</v>
          </cell>
          <cell r="X181">
            <v>0</v>
          </cell>
        </row>
        <row r="182">
          <cell r="S182">
            <v>0</v>
          </cell>
          <cell r="T182">
            <v>0</v>
          </cell>
          <cell r="W182">
            <v>0</v>
          </cell>
          <cell r="X182">
            <v>0</v>
          </cell>
        </row>
      </sheetData>
      <sheetData sheetId="11">
        <row r="12">
          <cell r="C12">
            <v>0</v>
          </cell>
        </row>
        <row r="59">
          <cell r="S59">
            <v>0</v>
          </cell>
          <cell r="T59">
            <v>0</v>
          </cell>
          <cell r="W59">
            <v>0</v>
          </cell>
          <cell r="X59">
            <v>0</v>
          </cell>
        </row>
        <row r="136">
          <cell r="S136">
            <v>0</v>
          </cell>
          <cell r="T136">
            <v>0</v>
          </cell>
          <cell r="W136">
            <v>0</v>
          </cell>
          <cell r="X136">
            <v>0</v>
          </cell>
        </row>
        <row r="137">
          <cell r="S137" t="str">
            <v>экзамен</v>
          </cell>
          <cell r="T137" t="str">
            <v>Машинное обучение и анализ данных</v>
          </cell>
          <cell r="W137" t="str">
            <v>Гришин И.Ю.</v>
          </cell>
          <cell r="X137" t="str">
            <v>профессор, д-р наук</v>
          </cell>
        </row>
        <row r="138">
          <cell r="S138">
            <v>0</v>
          </cell>
          <cell r="T138">
            <v>0</v>
          </cell>
          <cell r="W138">
            <v>0</v>
          </cell>
          <cell r="X138">
            <v>0</v>
          </cell>
        </row>
        <row r="139">
          <cell r="S139">
            <v>0</v>
          </cell>
          <cell r="T139">
            <v>0</v>
          </cell>
          <cell r="W139">
            <v>0</v>
          </cell>
          <cell r="X139">
            <v>0</v>
          </cell>
        </row>
        <row r="140">
          <cell r="S140">
            <v>0</v>
          </cell>
          <cell r="T140">
            <v>0</v>
          </cell>
          <cell r="W140">
            <v>0</v>
          </cell>
          <cell r="X140">
            <v>0</v>
          </cell>
        </row>
        <row r="141">
          <cell r="S141">
            <v>0</v>
          </cell>
          <cell r="T141">
            <v>0</v>
          </cell>
          <cell r="W141">
            <v>0</v>
          </cell>
          <cell r="X141">
            <v>0</v>
          </cell>
        </row>
        <row r="142">
          <cell r="S142">
            <v>0</v>
          </cell>
          <cell r="T142">
            <v>0</v>
          </cell>
          <cell r="W142">
            <v>0</v>
          </cell>
          <cell r="X142">
            <v>0</v>
          </cell>
        </row>
        <row r="143">
          <cell r="S143">
            <v>0</v>
          </cell>
          <cell r="T143">
            <v>0</v>
          </cell>
          <cell r="W143">
            <v>0</v>
          </cell>
          <cell r="X143">
            <v>0</v>
          </cell>
        </row>
        <row r="144">
          <cell r="S144">
            <v>0</v>
          </cell>
          <cell r="T144">
            <v>0</v>
          </cell>
          <cell r="W144">
            <v>0</v>
          </cell>
          <cell r="X144">
            <v>0</v>
          </cell>
        </row>
        <row r="145">
          <cell r="S145" t="str">
            <v>конс</v>
          </cell>
          <cell r="T145" t="str">
            <v>Теория систем и системный анализ</v>
          </cell>
          <cell r="W145" t="str">
            <v>Гришин И.Ю.</v>
          </cell>
          <cell r="X145" t="str">
            <v>профессор, д-р наук</v>
          </cell>
        </row>
        <row r="146">
          <cell r="S146">
            <v>0</v>
          </cell>
          <cell r="T146">
            <v>0</v>
          </cell>
          <cell r="W146">
            <v>0</v>
          </cell>
          <cell r="X146">
            <v>0</v>
          </cell>
        </row>
        <row r="147">
          <cell r="S147">
            <v>0</v>
          </cell>
          <cell r="T147">
            <v>0</v>
          </cell>
          <cell r="W147">
            <v>0</v>
          </cell>
          <cell r="X147">
            <v>0</v>
          </cell>
        </row>
        <row r="148">
          <cell r="S148">
            <v>0</v>
          </cell>
          <cell r="T148">
            <v>0</v>
          </cell>
          <cell r="W148">
            <v>0</v>
          </cell>
          <cell r="X148">
            <v>0</v>
          </cell>
        </row>
        <row r="149">
          <cell r="S149">
            <v>0</v>
          </cell>
          <cell r="T149">
            <v>0</v>
          </cell>
          <cell r="W149">
            <v>0</v>
          </cell>
          <cell r="X149">
            <v>0</v>
          </cell>
        </row>
        <row r="150">
          <cell r="S150">
            <v>0</v>
          </cell>
          <cell r="T150">
            <v>0</v>
          </cell>
          <cell r="W150">
            <v>0</v>
          </cell>
          <cell r="X150">
            <v>0</v>
          </cell>
        </row>
        <row r="151">
          <cell r="S151">
            <v>0</v>
          </cell>
          <cell r="T151">
            <v>0</v>
          </cell>
          <cell r="W151">
            <v>0</v>
          </cell>
          <cell r="X151">
            <v>0</v>
          </cell>
        </row>
        <row r="152">
          <cell r="S152">
            <v>0</v>
          </cell>
          <cell r="T152">
            <v>0</v>
          </cell>
          <cell r="W152">
            <v>0</v>
          </cell>
          <cell r="X152">
            <v>0</v>
          </cell>
        </row>
        <row r="153">
          <cell r="S153">
            <v>0</v>
          </cell>
          <cell r="T153">
            <v>0</v>
          </cell>
          <cell r="W153">
            <v>0</v>
          </cell>
          <cell r="X153">
            <v>0</v>
          </cell>
        </row>
        <row r="154">
          <cell r="S154">
            <v>0</v>
          </cell>
          <cell r="T154">
            <v>0</v>
          </cell>
          <cell r="W154">
            <v>0</v>
          </cell>
          <cell r="X154">
            <v>0</v>
          </cell>
        </row>
        <row r="155">
          <cell r="S155">
            <v>0</v>
          </cell>
          <cell r="T155">
            <v>0</v>
          </cell>
          <cell r="W155">
            <v>0</v>
          </cell>
          <cell r="X155">
            <v>0</v>
          </cell>
        </row>
        <row r="156">
          <cell r="S156">
            <v>0</v>
          </cell>
          <cell r="T156">
            <v>0</v>
          </cell>
          <cell r="W156">
            <v>0</v>
          </cell>
          <cell r="X156">
            <v>0</v>
          </cell>
        </row>
        <row r="157">
          <cell r="S157">
            <v>0</v>
          </cell>
          <cell r="T157">
            <v>0</v>
          </cell>
          <cell r="W157">
            <v>0</v>
          </cell>
          <cell r="X157">
            <v>0</v>
          </cell>
        </row>
        <row r="158">
          <cell r="S158">
            <v>0</v>
          </cell>
          <cell r="T158">
            <v>0</v>
          </cell>
          <cell r="W158">
            <v>0</v>
          </cell>
          <cell r="X158">
            <v>0</v>
          </cell>
        </row>
        <row r="159">
          <cell r="S159">
            <v>0</v>
          </cell>
          <cell r="T159">
            <v>0</v>
          </cell>
          <cell r="W159">
            <v>0</v>
          </cell>
          <cell r="X159">
            <v>0</v>
          </cell>
        </row>
        <row r="160">
          <cell r="S160">
            <v>0</v>
          </cell>
          <cell r="T160">
            <v>0</v>
          </cell>
          <cell r="W160">
            <v>0</v>
          </cell>
          <cell r="X160">
            <v>0</v>
          </cell>
        </row>
        <row r="161">
          <cell r="S161">
            <v>0</v>
          </cell>
          <cell r="T161">
            <v>0</v>
          </cell>
          <cell r="W161">
            <v>0</v>
          </cell>
          <cell r="X161">
            <v>0</v>
          </cell>
        </row>
        <row r="162">
          <cell r="S162">
            <v>0</v>
          </cell>
          <cell r="T162">
            <v>0</v>
          </cell>
          <cell r="W162">
            <v>0</v>
          </cell>
          <cell r="X162">
            <v>0</v>
          </cell>
        </row>
        <row r="163">
          <cell r="S163">
            <v>0</v>
          </cell>
          <cell r="T163">
            <v>0</v>
          </cell>
          <cell r="W163">
            <v>0</v>
          </cell>
          <cell r="X163">
            <v>0</v>
          </cell>
        </row>
        <row r="164">
          <cell r="S164">
            <v>0</v>
          </cell>
          <cell r="T164">
            <v>0</v>
          </cell>
          <cell r="W164">
            <v>0</v>
          </cell>
          <cell r="X164">
            <v>0</v>
          </cell>
        </row>
        <row r="165">
          <cell r="S165">
            <v>0</v>
          </cell>
          <cell r="T165">
            <v>0</v>
          </cell>
          <cell r="W165">
            <v>0</v>
          </cell>
          <cell r="X165">
            <v>0</v>
          </cell>
        </row>
        <row r="166">
          <cell r="S166">
            <v>0</v>
          </cell>
          <cell r="T166">
            <v>0</v>
          </cell>
          <cell r="W166">
            <v>0</v>
          </cell>
          <cell r="X166">
            <v>0</v>
          </cell>
        </row>
        <row r="167">
          <cell r="S167">
            <v>0</v>
          </cell>
          <cell r="T167">
            <v>0</v>
          </cell>
          <cell r="W167">
            <v>0</v>
          </cell>
          <cell r="X167">
            <v>0</v>
          </cell>
        </row>
        <row r="168">
          <cell r="S168">
            <v>0</v>
          </cell>
          <cell r="T168">
            <v>0</v>
          </cell>
          <cell r="W168">
            <v>0</v>
          </cell>
          <cell r="X168">
            <v>0</v>
          </cell>
        </row>
        <row r="169">
          <cell r="S169" t="str">
            <v>экзамен</v>
          </cell>
          <cell r="T169" t="str">
            <v>Теория систем и системный анализ</v>
          </cell>
          <cell r="W169" t="str">
            <v>Гришин И.Ю.</v>
          </cell>
          <cell r="X169" t="str">
            <v>профессор, д-р наук</v>
          </cell>
        </row>
        <row r="170">
          <cell r="S170">
            <v>0</v>
          </cell>
          <cell r="T170">
            <v>0</v>
          </cell>
          <cell r="W170">
            <v>0</v>
          </cell>
          <cell r="X170">
            <v>0</v>
          </cell>
        </row>
        <row r="171">
          <cell r="S171">
            <v>0</v>
          </cell>
          <cell r="T171">
            <v>0</v>
          </cell>
          <cell r="W171">
            <v>0</v>
          </cell>
          <cell r="X171">
            <v>0</v>
          </cell>
        </row>
        <row r="172">
          <cell r="S172">
            <v>0</v>
          </cell>
          <cell r="T172">
            <v>0</v>
          </cell>
          <cell r="W172">
            <v>0</v>
          </cell>
          <cell r="X172">
            <v>0</v>
          </cell>
        </row>
        <row r="173">
          <cell r="S173">
            <v>0</v>
          </cell>
          <cell r="T173">
            <v>0</v>
          </cell>
          <cell r="W173">
            <v>0</v>
          </cell>
          <cell r="X173">
            <v>0</v>
          </cell>
        </row>
        <row r="174">
          <cell r="S174">
            <v>0</v>
          </cell>
          <cell r="T174">
            <v>0</v>
          </cell>
          <cell r="W174">
            <v>0</v>
          </cell>
          <cell r="X174">
            <v>0</v>
          </cell>
        </row>
        <row r="175">
          <cell r="S175">
            <v>0</v>
          </cell>
          <cell r="T175">
            <v>0</v>
          </cell>
          <cell r="W175">
            <v>0</v>
          </cell>
          <cell r="X175">
            <v>0</v>
          </cell>
        </row>
        <row r="176">
          <cell r="S176">
            <v>0</v>
          </cell>
          <cell r="T176">
            <v>0</v>
          </cell>
          <cell r="W176">
            <v>0</v>
          </cell>
          <cell r="X176">
            <v>0</v>
          </cell>
        </row>
        <row r="177">
          <cell r="S177">
            <v>0</v>
          </cell>
          <cell r="T177">
            <v>0</v>
          </cell>
          <cell r="W177">
            <v>0</v>
          </cell>
          <cell r="X177">
            <v>0</v>
          </cell>
        </row>
        <row r="178">
          <cell r="S178">
            <v>0</v>
          </cell>
          <cell r="T178">
            <v>0</v>
          </cell>
          <cell r="W178">
            <v>0</v>
          </cell>
          <cell r="X178">
            <v>0</v>
          </cell>
        </row>
        <row r="179">
          <cell r="S179">
            <v>0</v>
          </cell>
          <cell r="T179">
            <v>0</v>
          </cell>
          <cell r="W179">
            <v>0</v>
          </cell>
          <cell r="X179">
            <v>0</v>
          </cell>
        </row>
        <row r="180">
          <cell r="S180">
            <v>0</v>
          </cell>
          <cell r="T180">
            <v>0</v>
          </cell>
          <cell r="W180">
            <v>0</v>
          </cell>
          <cell r="X180">
            <v>0</v>
          </cell>
        </row>
        <row r="181">
          <cell r="S181">
            <v>0</v>
          </cell>
          <cell r="T181">
            <v>0</v>
          </cell>
          <cell r="W181">
            <v>0</v>
          </cell>
          <cell r="X181">
            <v>0</v>
          </cell>
        </row>
        <row r="182">
          <cell r="S182">
            <v>0</v>
          </cell>
          <cell r="T182">
            <v>0</v>
          </cell>
          <cell r="W182">
            <v>0</v>
          </cell>
          <cell r="X182">
            <v>0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2-25ПИ"/>
      <sheetName val="12-24ПИ"/>
      <sheetName val="12-23ПИ"/>
      <sheetName val="12-22ПИ"/>
      <sheetName val="12-25ПИоз"/>
      <sheetName val="12-24ПИоз"/>
      <sheetName val="12-25МИоз"/>
      <sheetName val="12-24МИоз"/>
      <sheetName val="12-25РПм"/>
      <sheetName val="12-24МЭоз"/>
      <sheetName val="12-25МЭо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x.ru/join/M7wDISGvmShFMnRwwNWABqv4bmIdPah2zAI1ryedWA4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max.ru/join/M7wDISGvmShFMnRwwNWABqv4bmIdPah2zAI1ryedWA4" TargetMode="External"/><Relationship Id="rId7" Type="http://schemas.openxmlformats.org/officeDocument/2006/relationships/hyperlink" Target="https://max.ru/join/M7wDISGvmShFMnRwwNWABqv4bmIdPah2zAI1ryedWA4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ax.ru/join/M7wDISGvmShFMnRwwNWABqv4bmIdPah2zAI1ryedWA4" TargetMode="External"/><Relationship Id="rId1" Type="http://schemas.openxmlformats.org/officeDocument/2006/relationships/hyperlink" Target="https://max.ru/join/M7wDISGvmShFMnRwwNWABqv4bmIdPah2zAI1ryedWA4" TargetMode="External"/><Relationship Id="rId6" Type="http://schemas.openxmlformats.org/officeDocument/2006/relationships/hyperlink" Target="https://max.ru/join/M7wDISGvmShFMnRwwNWABqv4bmIdPah2zAI1ryedWA4" TargetMode="External"/><Relationship Id="rId11" Type="http://schemas.openxmlformats.org/officeDocument/2006/relationships/hyperlink" Target="https://max.ru/join/kwuS9eEwkiZcM2J4jlEJMBMD19izxuC_L2Mwjryv0Dk" TargetMode="External"/><Relationship Id="rId5" Type="http://schemas.openxmlformats.org/officeDocument/2006/relationships/hyperlink" Target="https://max.ru/join/M7wDISGvmShFMnRwwNWABqv4bmIdPah2zAI1ryedWA4" TargetMode="External"/><Relationship Id="rId10" Type="http://schemas.openxmlformats.org/officeDocument/2006/relationships/hyperlink" Target="https://max.ru/join/yiMW5hnYBtZHcXFu4xRokqWJT9jXccqJxwXEav6pwkM" TargetMode="External"/><Relationship Id="rId4" Type="http://schemas.openxmlformats.org/officeDocument/2006/relationships/hyperlink" Target="https://max.ru/join/M7wDISGvmShFMnRwwNWABqv4bmIdPah2zAI1ryedWA4" TargetMode="External"/><Relationship Id="rId9" Type="http://schemas.openxmlformats.org/officeDocument/2006/relationships/hyperlink" Target="https://max.ru/join/t257J4YJBJ8AiKVNLL3zOcaCz5ne73H9eWxMrfP7T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view="pageBreakPreview" zoomScale="47" zoomScaleNormal="55" zoomScaleSheetLayoutView="47" workbookViewId="0">
      <selection activeCell="H73" sqref="H73"/>
    </sheetView>
  </sheetViews>
  <sheetFormatPr defaultRowHeight="13.2"/>
  <cols>
    <col min="1" max="1" width="5.88671875" customWidth="1"/>
    <col min="2" max="2" width="4.109375" customWidth="1"/>
    <col min="3" max="3" width="13.5546875" customWidth="1"/>
    <col min="4" max="4" width="11.88671875" customWidth="1"/>
    <col min="5" max="5" width="51.5546875" customWidth="1"/>
    <col min="6" max="6" width="28" customWidth="1"/>
    <col min="7" max="7" width="30" customWidth="1"/>
    <col min="8" max="8" width="72.33203125" style="72" customWidth="1"/>
    <col min="9" max="9" width="5.88671875" customWidth="1"/>
    <col min="10" max="10" width="4.109375" customWidth="1"/>
    <col min="11" max="11" width="13.5546875" customWidth="1"/>
    <col min="12" max="12" width="11.88671875" customWidth="1"/>
    <col min="13" max="13" width="51.5546875" customWidth="1"/>
    <col min="14" max="14" width="30.88671875" customWidth="1"/>
    <col min="15" max="15" width="29.33203125" customWidth="1"/>
    <col min="16" max="16" width="71.44140625" style="72" customWidth="1"/>
  </cols>
  <sheetData>
    <row r="1" spans="1:16" ht="15.6">
      <c r="A1" s="1"/>
      <c r="B1" s="2"/>
      <c r="C1" s="3"/>
      <c r="D1" s="4"/>
      <c r="E1" s="4"/>
      <c r="F1" s="4"/>
      <c r="G1" s="4"/>
      <c r="H1" s="5" t="s">
        <v>0</v>
      </c>
      <c r="I1" s="1"/>
      <c r="J1" s="2"/>
      <c r="K1" s="3"/>
      <c r="L1" s="4"/>
      <c r="M1" s="4"/>
      <c r="N1" s="4"/>
      <c r="O1" s="4"/>
      <c r="P1" s="5" t="s">
        <v>0</v>
      </c>
    </row>
    <row r="2" spans="1:16" ht="15.6">
      <c r="A2" s="1"/>
      <c r="B2" s="2"/>
      <c r="C2" s="3"/>
      <c r="D2" s="4"/>
      <c r="E2" s="4"/>
      <c r="F2" s="4"/>
      <c r="G2" s="4"/>
      <c r="H2" s="5" t="s">
        <v>1</v>
      </c>
      <c r="I2" s="1"/>
      <c r="J2" s="2"/>
      <c r="K2" s="3"/>
      <c r="L2" s="4"/>
      <c r="M2" s="4"/>
      <c r="N2" s="4"/>
      <c r="O2" s="4"/>
      <c r="P2" s="5" t="s">
        <v>1</v>
      </c>
    </row>
    <row r="3" spans="1:16" ht="15.6">
      <c r="A3" s="1"/>
      <c r="B3" s="2"/>
      <c r="C3" s="3"/>
      <c r="D3" s="4"/>
      <c r="E3" s="4"/>
      <c r="F3" s="4"/>
      <c r="G3" s="4"/>
      <c r="H3" s="5" t="s">
        <v>2</v>
      </c>
      <c r="I3" s="1"/>
      <c r="J3" s="2"/>
      <c r="K3" s="3"/>
      <c r="L3" s="4"/>
      <c r="M3" s="4"/>
      <c r="N3" s="4"/>
      <c r="O3" s="4"/>
      <c r="P3" s="5" t="s">
        <v>2</v>
      </c>
    </row>
    <row r="4" spans="1:16" ht="15.6">
      <c r="A4" s="1"/>
      <c r="B4" s="2"/>
      <c r="C4" s="3"/>
      <c r="D4" s="4"/>
      <c r="E4" s="4"/>
      <c r="F4" s="4"/>
      <c r="G4" s="4"/>
      <c r="H4" s="5" t="s">
        <v>3</v>
      </c>
      <c r="I4" s="1"/>
      <c r="J4" s="2"/>
      <c r="K4" s="3"/>
      <c r="L4" s="4"/>
      <c r="M4" s="4"/>
      <c r="N4" s="4"/>
      <c r="O4" s="4"/>
      <c r="P4" s="5" t="s">
        <v>3</v>
      </c>
    </row>
    <row r="5" spans="1:16" ht="15.6">
      <c r="A5" s="1"/>
      <c r="B5" s="6"/>
      <c r="C5" s="3"/>
      <c r="D5" s="4"/>
      <c r="E5" s="4"/>
      <c r="F5" s="4"/>
      <c r="G5" s="4"/>
      <c r="H5" s="7"/>
      <c r="I5" s="1"/>
      <c r="J5" s="6"/>
      <c r="K5" s="3"/>
      <c r="L5" s="4"/>
      <c r="M5" s="4"/>
      <c r="N5" s="4"/>
      <c r="O5" s="4"/>
      <c r="P5" s="7"/>
    </row>
    <row r="6" spans="1:16" ht="15.6">
      <c r="A6" s="1"/>
      <c r="B6" s="8" t="s">
        <v>4</v>
      </c>
      <c r="C6" s="8"/>
      <c r="D6" s="8"/>
      <c r="E6" s="8"/>
      <c r="F6" s="8"/>
      <c r="G6" s="8"/>
      <c r="H6" s="8"/>
      <c r="I6" s="1"/>
      <c r="J6" s="8" t="s">
        <v>4</v>
      </c>
      <c r="K6" s="8"/>
      <c r="L6" s="8"/>
      <c r="M6" s="8"/>
      <c r="N6" s="8"/>
      <c r="O6" s="8"/>
      <c r="P6" s="8"/>
    </row>
    <row r="7" spans="1:16" ht="15.6">
      <c r="A7" s="9"/>
      <c r="B7" s="10" t="str">
        <f>'[1]3нед'!$A$6</f>
        <v>Направление подготовки:</v>
      </c>
      <c r="C7" s="11"/>
      <c r="D7" s="12"/>
      <c r="E7" s="13" t="str">
        <f>'[1]3нед'!$T$130</f>
        <v>09.04.04 Программная инженерия (Разработка программно-информационных систем)</v>
      </c>
      <c r="F7" s="12"/>
      <c r="G7" s="12"/>
      <c r="H7" s="14" t="str">
        <f>'[1]3нед'!$T$134</f>
        <v>12-25РПм</v>
      </c>
      <c r="I7" s="9"/>
      <c r="J7" s="10" t="str">
        <f>'[1]3нед'!$A$6</f>
        <v>Направление подготовки:</v>
      </c>
      <c r="K7" s="11"/>
      <c r="L7" s="12"/>
      <c r="M7" s="13" t="str">
        <f>E7</f>
        <v>09.04.04 Программная инженерия (Разработка программно-информационных систем)</v>
      </c>
      <c r="N7" s="12"/>
      <c r="O7" s="12"/>
      <c r="P7" s="14" t="str">
        <f>H7</f>
        <v>12-25РПм</v>
      </c>
    </row>
    <row r="8" spans="1:16" ht="15.6">
      <c r="A8" s="1"/>
      <c r="B8" s="15" t="s">
        <v>5</v>
      </c>
      <c r="C8" s="15"/>
      <c r="D8" s="15"/>
      <c r="E8" s="15" t="s">
        <v>6</v>
      </c>
      <c r="F8" s="15"/>
      <c r="G8" s="15"/>
      <c r="H8" s="15"/>
      <c r="I8" s="1"/>
      <c r="J8" s="15" t="s">
        <v>5</v>
      </c>
      <c r="K8" s="15"/>
      <c r="L8" s="15"/>
      <c r="M8" s="15" t="str">
        <f t="shared" ref="M8" si="0">E8</f>
        <v>очная</v>
      </c>
      <c r="N8" s="15"/>
      <c r="O8" s="15"/>
      <c r="P8" s="15"/>
    </row>
    <row r="9" spans="1:16" ht="15.6">
      <c r="A9" s="1"/>
      <c r="B9" s="15" t="s">
        <v>7</v>
      </c>
      <c r="C9" s="15"/>
      <c r="D9" s="15"/>
      <c r="E9" s="10">
        <v>1</v>
      </c>
      <c r="F9" s="10"/>
      <c r="G9" s="10"/>
      <c r="H9" s="7"/>
      <c r="I9" s="1"/>
      <c r="J9" s="15" t="s">
        <v>7</v>
      </c>
      <c r="K9" s="15"/>
      <c r="L9" s="15"/>
      <c r="M9" s="10">
        <f>E9</f>
        <v>1</v>
      </c>
      <c r="N9" s="10"/>
      <c r="O9" s="10"/>
      <c r="P9" s="7"/>
    </row>
    <row r="10" spans="1:16" ht="16.2" thickBot="1">
      <c r="A10" s="1"/>
      <c r="B10" s="16" t="s">
        <v>8</v>
      </c>
      <c r="C10" s="16"/>
      <c r="D10" s="16"/>
      <c r="E10" s="17">
        <v>20</v>
      </c>
      <c r="F10" s="17"/>
      <c r="G10" s="17"/>
      <c r="H10" s="18"/>
      <c r="I10" s="1"/>
      <c r="J10" s="19" t="s">
        <v>8</v>
      </c>
      <c r="K10" s="19"/>
      <c r="L10" s="19"/>
      <c r="M10" s="17">
        <f>E10+1</f>
        <v>21</v>
      </c>
      <c r="N10" s="17"/>
      <c r="O10" s="17"/>
      <c r="P10" s="18"/>
    </row>
    <row r="11" spans="1:16" ht="46.5" customHeight="1" thickTop="1" thickBot="1">
      <c r="A11" s="20" t="s">
        <v>9</v>
      </c>
      <c r="B11" s="21"/>
      <c r="C11" s="22" t="s">
        <v>10</v>
      </c>
      <c r="D11" s="23" t="s">
        <v>11</v>
      </c>
      <c r="E11" s="24" t="s">
        <v>12</v>
      </c>
      <c r="F11" s="25" t="s">
        <v>13</v>
      </c>
      <c r="G11" s="26"/>
      <c r="H11" s="27" t="s">
        <v>14</v>
      </c>
      <c r="I11" s="20" t="s">
        <v>9</v>
      </c>
      <c r="J11" s="21"/>
      <c r="K11" s="22" t="s">
        <v>10</v>
      </c>
      <c r="L11" s="23" t="s">
        <v>11</v>
      </c>
      <c r="M11" s="24" t="s">
        <v>12</v>
      </c>
      <c r="N11" s="25" t="s">
        <v>13</v>
      </c>
      <c r="O11" s="26"/>
      <c r="P11" s="27" t="s">
        <v>14</v>
      </c>
    </row>
    <row r="12" spans="1:16" ht="34.950000000000003" customHeight="1" thickTop="1">
      <c r="A12" s="28">
        <v>46034</v>
      </c>
      <c r="B12" s="29" t="s">
        <v>15</v>
      </c>
      <c r="C12" s="30" t="s">
        <v>16</v>
      </c>
      <c r="D12" s="31">
        <f>'[1]3нед'!S136</f>
        <v>0</v>
      </c>
      <c r="E12" s="32">
        <f>'[1]3нед'!T136</f>
        <v>0</v>
      </c>
      <c r="F12" s="33">
        <f>'[1]3нед'!W136</f>
        <v>0</v>
      </c>
      <c r="G12" s="34">
        <f>'[1]3нед'!X136</f>
        <v>0</v>
      </c>
      <c r="H12" s="35"/>
      <c r="I12" s="28">
        <v>46041</v>
      </c>
      <c r="J12" s="36" t="s">
        <v>15</v>
      </c>
      <c r="K12" s="30" t="s">
        <v>16</v>
      </c>
      <c r="L12" s="31" t="str">
        <f>'[1]4нед'!S136</f>
        <v>диф. зачет</v>
      </c>
      <c r="M12" s="32" t="str">
        <f>'[1]4нед'!T136</f>
        <v>Применение методов искусственного интеллекта в анализе данных и управлении</v>
      </c>
      <c r="N12" s="33" t="str">
        <f>'[1]4нед'!W136</f>
        <v>Гришин И.Ю.</v>
      </c>
      <c r="O12" s="34" t="str">
        <f>'[1]4нед'!X136</f>
        <v>профессор, д-р наук</v>
      </c>
      <c r="P12" s="37" t="s">
        <v>17</v>
      </c>
    </row>
    <row r="13" spans="1:16" ht="31.2">
      <c r="A13" s="38"/>
      <c r="B13" s="39"/>
      <c r="C13" s="30" t="s">
        <v>18</v>
      </c>
      <c r="D13" s="40">
        <f>'[1]3нед'!S137</f>
        <v>0</v>
      </c>
      <c r="E13" s="41">
        <f>'[1]3нед'!T137</f>
        <v>0</v>
      </c>
      <c r="F13" s="42">
        <f>'[1]3нед'!W137</f>
        <v>0</v>
      </c>
      <c r="G13" s="43">
        <f>'[1]3нед'!X137</f>
        <v>0</v>
      </c>
      <c r="H13" s="44"/>
      <c r="I13" s="45"/>
      <c r="J13" s="46"/>
      <c r="K13" s="30" t="s">
        <v>18</v>
      </c>
      <c r="L13" s="40">
        <f>'[1]4нед'!S137</f>
        <v>0</v>
      </c>
      <c r="M13" s="41">
        <f>'[1]4нед'!T137</f>
        <v>0</v>
      </c>
      <c r="N13" s="42">
        <f>'[1]4нед'!W137</f>
        <v>0</v>
      </c>
      <c r="O13" s="43">
        <f>'[1]4нед'!X137</f>
        <v>0</v>
      </c>
      <c r="P13" s="47"/>
    </row>
    <row r="14" spans="1:16" ht="36">
      <c r="A14" s="38"/>
      <c r="B14" s="39"/>
      <c r="C14" s="30" t="s">
        <v>19</v>
      </c>
      <c r="D14" s="40" t="str">
        <f>'[1]3нед'!S138</f>
        <v>диф. зачет</v>
      </c>
      <c r="E14" s="41" t="str">
        <f>'[1]3нед'!T138</f>
        <v>Управление ИТ-проектами</v>
      </c>
      <c r="F14" s="42" t="str">
        <f>'[1]3нед'!W138</f>
        <v>Линник И.И.</v>
      </c>
      <c r="G14" s="43" t="str">
        <f>'[1]3нед'!X138</f>
        <v>доцент, канд. наук</v>
      </c>
      <c r="H14" s="37" t="s">
        <v>17</v>
      </c>
      <c r="I14" s="45"/>
      <c r="J14" s="46"/>
      <c r="K14" s="30" t="s">
        <v>19</v>
      </c>
      <c r="L14" s="40">
        <f>'[1]4нед'!S138</f>
        <v>0</v>
      </c>
      <c r="M14" s="41">
        <f>'[1]4нед'!T138</f>
        <v>0</v>
      </c>
      <c r="N14" s="42">
        <f>'[1]4нед'!W138</f>
        <v>0</v>
      </c>
      <c r="O14" s="43">
        <f>'[1]4нед'!X138</f>
        <v>0</v>
      </c>
      <c r="P14" s="47"/>
    </row>
    <row r="15" spans="1:16" ht="31.2">
      <c r="A15" s="38"/>
      <c r="B15" s="39"/>
      <c r="C15" s="30" t="s">
        <v>20</v>
      </c>
      <c r="D15" s="40">
        <f>'[1]3нед'!S139</f>
        <v>0</v>
      </c>
      <c r="E15" s="41">
        <f>'[1]3нед'!T139</f>
        <v>0</v>
      </c>
      <c r="F15" s="42">
        <f>'[1]3нед'!W139</f>
        <v>0</v>
      </c>
      <c r="G15" s="43">
        <f>'[1]3нед'!X139</f>
        <v>0</v>
      </c>
      <c r="H15" s="44"/>
      <c r="I15" s="45"/>
      <c r="J15" s="46"/>
      <c r="K15" s="30" t="s">
        <v>20</v>
      </c>
      <c r="L15" s="40">
        <f>'[1]4нед'!S139</f>
        <v>0</v>
      </c>
      <c r="M15" s="41">
        <f>'[1]4нед'!T139</f>
        <v>0</v>
      </c>
      <c r="N15" s="42">
        <f>'[1]4нед'!W139</f>
        <v>0</v>
      </c>
      <c r="O15" s="43">
        <f>'[1]4нед'!X139</f>
        <v>0</v>
      </c>
      <c r="P15" s="44"/>
    </row>
    <row r="16" spans="1:16" ht="31.2">
      <c r="A16" s="38"/>
      <c r="B16" s="39"/>
      <c r="C16" s="30" t="s">
        <v>21</v>
      </c>
      <c r="D16" s="40">
        <f>'[1]3нед'!S140</f>
        <v>0</v>
      </c>
      <c r="E16" s="41">
        <f>'[1]3нед'!T140</f>
        <v>0</v>
      </c>
      <c r="F16" s="42">
        <f>'[1]3нед'!W140</f>
        <v>0</v>
      </c>
      <c r="G16" s="43">
        <f>'[1]3нед'!X140</f>
        <v>0</v>
      </c>
      <c r="H16" s="44"/>
      <c r="I16" s="45"/>
      <c r="J16" s="46"/>
      <c r="K16" s="30" t="s">
        <v>21</v>
      </c>
      <c r="L16" s="40">
        <f>'[1]4нед'!S140</f>
        <v>0</v>
      </c>
      <c r="M16" s="41">
        <f>'[1]4нед'!T140</f>
        <v>0</v>
      </c>
      <c r="N16" s="42">
        <f>'[1]4нед'!W140</f>
        <v>0</v>
      </c>
      <c r="O16" s="43">
        <f>'[1]4нед'!X140</f>
        <v>0</v>
      </c>
      <c r="P16" s="44"/>
    </row>
    <row r="17" spans="1:16" ht="31.2">
      <c r="A17" s="38"/>
      <c r="B17" s="39"/>
      <c r="C17" s="30" t="s">
        <v>22</v>
      </c>
      <c r="D17" s="40">
        <f>'[1]3нед'!S141</f>
        <v>0</v>
      </c>
      <c r="E17" s="41">
        <f>'[1]3нед'!T141</f>
        <v>0</v>
      </c>
      <c r="F17" s="42">
        <f>'[1]3нед'!W141</f>
        <v>0</v>
      </c>
      <c r="G17" s="43">
        <f>'[1]3нед'!X141</f>
        <v>0</v>
      </c>
      <c r="H17" s="44"/>
      <c r="I17" s="45"/>
      <c r="J17" s="46"/>
      <c r="K17" s="30" t="s">
        <v>22</v>
      </c>
      <c r="L17" s="40">
        <f>'[1]4нед'!S141</f>
        <v>0</v>
      </c>
      <c r="M17" s="41">
        <f>'[1]4нед'!T141</f>
        <v>0</v>
      </c>
      <c r="N17" s="42">
        <f>'[1]4нед'!W141</f>
        <v>0</v>
      </c>
      <c r="O17" s="43">
        <f>'[1]4нед'!X141</f>
        <v>0</v>
      </c>
      <c r="P17" s="44"/>
    </row>
    <row r="18" spans="1:16" ht="31.8" thickBot="1">
      <c r="A18" s="38"/>
      <c r="B18" s="39"/>
      <c r="C18" s="30" t="s">
        <v>23</v>
      </c>
      <c r="D18" s="40">
        <f>'[1]3нед'!S142</f>
        <v>0</v>
      </c>
      <c r="E18" s="41">
        <f>'[1]3нед'!T142</f>
        <v>0</v>
      </c>
      <c r="F18" s="42">
        <f>'[1]3нед'!W142</f>
        <v>0</v>
      </c>
      <c r="G18" s="43">
        <f>'[1]3нед'!X142</f>
        <v>0</v>
      </c>
      <c r="H18" s="44"/>
      <c r="I18" s="45"/>
      <c r="J18" s="46"/>
      <c r="K18" s="30" t="s">
        <v>23</v>
      </c>
      <c r="L18" s="40">
        <f>'[1]4нед'!S142</f>
        <v>0</v>
      </c>
      <c r="M18" s="41">
        <f>'[1]4нед'!T142</f>
        <v>0</v>
      </c>
      <c r="N18" s="42">
        <f>'[1]4нед'!W142</f>
        <v>0</v>
      </c>
      <c r="O18" s="43">
        <f>'[1]4нед'!X142</f>
        <v>0</v>
      </c>
      <c r="P18" s="44"/>
    </row>
    <row r="19" spans="1:16" ht="18.45" hidden="1" customHeight="1" thickBot="1">
      <c r="A19" s="48"/>
      <c r="B19" s="49"/>
      <c r="C19" s="50"/>
      <c r="D19" s="51">
        <f>'[1]3нед'!S143</f>
        <v>0</v>
      </c>
      <c r="E19" s="52">
        <f>'[1]3нед'!T143</f>
        <v>0</v>
      </c>
      <c r="F19" s="53">
        <f>'[1]3нед'!W143</f>
        <v>0</v>
      </c>
      <c r="G19" s="54">
        <f>'[1]3нед'!X143</f>
        <v>0</v>
      </c>
      <c r="H19" s="55"/>
      <c r="I19" s="56"/>
      <c r="J19" s="57"/>
      <c r="K19" s="50"/>
      <c r="L19" s="51">
        <f>'[1]4нед'!S143</f>
        <v>0</v>
      </c>
      <c r="M19" s="52">
        <f>'[1]4нед'!T143</f>
        <v>0</v>
      </c>
      <c r="N19" s="53">
        <f>'[1]4нед'!W143</f>
        <v>0</v>
      </c>
      <c r="O19" s="54">
        <f>'[1]4нед'!X143</f>
        <v>0</v>
      </c>
      <c r="P19" s="55"/>
    </row>
    <row r="20" spans="1:16" ht="32.25" customHeight="1" thickTop="1">
      <c r="A20" s="28">
        <v>46035</v>
      </c>
      <c r="B20" s="29" t="s">
        <v>24</v>
      </c>
      <c r="C20" s="58" t="s">
        <v>16</v>
      </c>
      <c r="D20" s="31" t="str">
        <f>'[1]3нед'!S144</f>
        <v>диф. зачет</v>
      </c>
      <c r="E20" s="32" t="str">
        <f>'[1]3нед'!T144</f>
        <v>Основы програмной инженерии</v>
      </c>
      <c r="F20" s="33" t="str">
        <f>'[1]3нед'!W144</f>
        <v>Круглый Д.Г.</v>
      </c>
      <c r="G20" s="34" t="str">
        <f>'[1]3нед'!X144</f>
        <v>профессор, д-р наук</v>
      </c>
      <c r="H20" s="59" t="s">
        <v>17</v>
      </c>
      <c r="I20" s="28">
        <v>46042</v>
      </c>
      <c r="J20" s="36" t="s">
        <v>24</v>
      </c>
      <c r="K20" s="58" t="s">
        <v>16</v>
      </c>
      <c r="L20" s="31">
        <f>'[1]4нед'!S144</f>
        <v>0</v>
      </c>
      <c r="M20" s="32">
        <f>'[1]4нед'!T144</f>
        <v>0</v>
      </c>
      <c r="N20" s="33">
        <f>'[1]4нед'!W144</f>
        <v>0</v>
      </c>
      <c r="O20" s="34">
        <f>'[1]4нед'!X144</f>
        <v>0</v>
      </c>
      <c r="P20" s="59"/>
    </row>
    <row r="21" spans="1:16" ht="31.2">
      <c r="A21" s="38"/>
      <c r="B21" s="39"/>
      <c r="C21" s="30" t="s">
        <v>18</v>
      </c>
      <c r="D21" s="40">
        <f>'[1]3нед'!S145</f>
        <v>0</v>
      </c>
      <c r="E21" s="41">
        <f>'[1]3нед'!T145</f>
        <v>0</v>
      </c>
      <c r="F21" s="42">
        <f>'[1]3нед'!W145</f>
        <v>0</v>
      </c>
      <c r="G21" s="43">
        <f>'[1]3нед'!X145</f>
        <v>0</v>
      </c>
      <c r="H21" s="44"/>
      <c r="I21" s="45"/>
      <c r="J21" s="46"/>
      <c r="K21" s="30" t="s">
        <v>18</v>
      </c>
      <c r="L21" s="40" t="str">
        <f>'[1]4нед'!S145</f>
        <v>конс</v>
      </c>
      <c r="M21" s="41" t="str">
        <f>'[1]4нед'!T145</f>
        <v>Машинное обучение и анализ данных</v>
      </c>
      <c r="N21" s="42" t="str">
        <f>'[1]4нед'!W145</f>
        <v>Гришин И.Ю.</v>
      </c>
      <c r="O21" s="43" t="str">
        <f>'[1]4нед'!X145</f>
        <v>профессор, д-р наук</v>
      </c>
      <c r="P21" s="37" t="s">
        <v>17</v>
      </c>
    </row>
    <row r="22" spans="1:16" ht="35.700000000000003" customHeight="1">
      <c r="A22" s="38"/>
      <c r="B22" s="39"/>
      <c r="C22" s="30" t="s">
        <v>19</v>
      </c>
      <c r="D22" s="40">
        <f>'[1]3нед'!S146</f>
        <v>0</v>
      </c>
      <c r="E22" s="41">
        <f>'[1]3нед'!T146</f>
        <v>0</v>
      </c>
      <c r="F22" s="42">
        <f>'[1]3нед'!W146</f>
        <v>0</v>
      </c>
      <c r="G22" s="43">
        <f>'[1]3нед'!X146</f>
        <v>0</v>
      </c>
      <c r="H22" s="37"/>
      <c r="I22" s="45"/>
      <c r="J22" s="46"/>
      <c r="K22" s="30" t="s">
        <v>19</v>
      </c>
      <c r="L22" s="40">
        <f>'[1]4нед'!S146</f>
        <v>0</v>
      </c>
      <c r="M22" s="41">
        <f>'[1]4нед'!T146</f>
        <v>0</v>
      </c>
      <c r="N22" s="42">
        <f>'[1]4нед'!W146</f>
        <v>0</v>
      </c>
      <c r="O22" s="43">
        <f>'[1]4нед'!X146</f>
        <v>0</v>
      </c>
      <c r="P22" s="47"/>
    </row>
    <row r="23" spans="1:16" ht="53.7" customHeight="1">
      <c r="A23" s="38"/>
      <c r="B23" s="39"/>
      <c r="C23" s="30" t="s">
        <v>20</v>
      </c>
      <c r="D23" s="40">
        <f>'[1]3нед'!S147</f>
        <v>0</v>
      </c>
      <c r="E23" s="41">
        <f>'[1]3нед'!T147</f>
        <v>0</v>
      </c>
      <c r="F23" s="42">
        <f>'[1]3нед'!W147</f>
        <v>0</v>
      </c>
      <c r="G23" s="43">
        <f>'[1]3нед'!X147</f>
        <v>0</v>
      </c>
      <c r="H23" s="47"/>
      <c r="I23" s="45"/>
      <c r="J23" s="46"/>
      <c r="K23" s="30" t="s">
        <v>20</v>
      </c>
      <c r="L23" s="40">
        <f>'[1]4нед'!S147</f>
        <v>0</v>
      </c>
      <c r="M23" s="41">
        <f>'[1]4нед'!T147</f>
        <v>0</v>
      </c>
      <c r="N23" s="42">
        <f>'[1]4нед'!W147</f>
        <v>0</v>
      </c>
      <c r="O23" s="43">
        <f>'[1]4нед'!X147</f>
        <v>0</v>
      </c>
      <c r="P23" s="44"/>
    </row>
    <row r="24" spans="1:16" ht="31.2">
      <c r="A24" s="38"/>
      <c r="B24" s="39"/>
      <c r="C24" s="30" t="s">
        <v>21</v>
      </c>
      <c r="D24" s="40">
        <f>'[1]3нед'!S148</f>
        <v>0</v>
      </c>
      <c r="E24" s="41">
        <f>'[1]3нед'!T148</f>
        <v>0</v>
      </c>
      <c r="F24" s="42">
        <f>'[1]3нед'!W148</f>
        <v>0</v>
      </c>
      <c r="G24" s="43">
        <f>'[1]3нед'!X148</f>
        <v>0</v>
      </c>
      <c r="H24" s="44"/>
      <c r="I24" s="45"/>
      <c r="J24" s="46"/>
      <c r="K24" s="30" t="s">
        <v>21</v>
      </c>
      <c r="L24" s="40">
        <f>'[1]4нед'!S148</f>
        <v>0</v>
      </c>
      <c r="M24" s="41">
        <f>'[1]4нед'!T148</f>
        <v>0</v>
      </c>
      <c r="N24" s="42">
        <f>'[1]4нед'!W148</f>
        <v>0</v>
      </c>
      <c r="O24" s="43">
        <f>'[1]4нед'!X148</f>
        <v>0</v>
      </c>
      <c r="P24" s="44"/>
    </row>
    <row r="25" spans="1:16" ht="31.2">
      <c r="A25" s="38"/>
      <c r="B25" s="39"/>
      <c r="C25" s="30" t="s">
        <v>22</v>
      </c>
      <c r="D25" s="40">
        <f>'[1]3нед'!S149</f>
        <v>0</v>
      </c>
      <c r="E25" s="41">
        <f>'[1]3нед'!T149</f>
        <v>0</v>
      </c>
      <c r="F25" s="42">
        <f>'[1]3нед'!W149</f>
        <v>0</v>
      </c>
      <c r="G25" s="43">
        <f>'[1]3нед'!X149</f>
        <v>0</v>
      </c>
      <c r="H25" s="44"/>
      <c r="I25" s="45"/>
      <c r="J25" s="46"/>
      <c r="K25" s="30" t="s">
        <v>22</v>
      </c>
      <c r="L25" s="40">
        <f>'[1]4нед'!S149</f>
        <v>0</v>
      </c>
      <c r="M25" s="41">
        <f>'[1]4нед'!T149</f>
        <v>0</v>
      </c>
      <c r="N25" s="42">
        <f>'[1]4нед'!W149</f>
        <v>0</v>
      </c>
      <c r="O25" s="43">
        <f>'[1]4нед'!X149</f>
        <v>0</v>
      </c>
      <c r="P25" s="44"/>
    </row>
    <row r="26" spans="1:16" ht="31.8" thickBot="1">
      <c r="A26" s="38"/>
      <c r="B26" s="39"/>
      <c r="C26" s="30" t="s">
        <v>23</v>
      </c>
      <c r="D26" s="40">
        <f>'[1]3нед'!S150</f>
        <v>0</v>
      </c>
      <c r="E26" s="41">
        <f>'[1]3нед'!T150</f>
        <v>0</v>
      </c>
      <c r="F26" s="42">
        <f>'[1]3нед'!W150</f>
        <v>0</v>
      </c>
      <c r="G26" s="43">
        <f>'[1]3нед'!X150</f>
        <v>0</v>
      </c>
      <c r="H26" s="44"/>
      <c r="I26" s="45"/>
      <c r="J26" s="46"/>
      <c r="K26" s="30" t="s">
        <v>23</v>
      </c>
      <c r="L26" s="40">
        <f>'[1]4нед'!S150</f>
        <v>0</v>
      </c>
      <c r="M26" s="41">
        <f>'[1]4нед'!T150</f>
        <v>0</v>
      </c>
      <c r="N26" s="42">
        <f>'[1]4нед'!W150</f>
        <v>0</v>
      </c>
      <c r="O26" s="43">
        <f>'[1]4нед'!X150</f>
        <v>0</v>
      </c>
      <c r="P26" s="44"/>
    </row>
    <row r="27" spans="1:16" ht="18.45" hidden="1" customHeight="1" thickBot="1">
      <c r="A27" s="48"/>
      <c r="B27" s="49"/>
      <c r="C27" s="50"/>
      <c r="D27" s="51">
        <f>'[1]3нед'!S151</f>
        <v>0</v>
      </c>
      <c r="E27" s="52">
        <f>'[1]3нед'!T151</f>
        <v>0</v>
      </c>
      <c r="F27" s="53">
        <f>'[1]3нед'!W151</f>
        <v>0</v>
      </c>
      <c r="G27" s="54">
        <f>'[1]3нед'!X151</f>
        <v>0</v>
      </c>
      <c r="H27" s="55"/>
      <c r="I27" s="56"/>
      <c r="J27" s="57"/>
      <c r="K27" s="50"/>
      <c r="L27" s="51">
        <f>'[1]4нед'!S151</f>
        <v>0</v>
      </c>
      <c r="M27" s="52">
        <f>'[1]4нед'!T151</f>
        <v>0</v>
      </c>
      <c r="N27" s="53">
        <f>'[1]4нед'!W151</f>
        <v>0</v>
      </c>
      <c r="O27" s="54">
        <f>'[1]4нед'!X151</f>
        <v>0</v>
      </c>
      <c r="P27" s="55"/>
    </row>
    <row r="28" spans="1:16" ht="48" customHeight="1" thickTop="1">
      <c r="A28" s="28">
        <v>46036</v>
      </c>
      <c r="B28" s="60" t="s">
        <v>25</v>
      </c>
      <c r="C28" s="58" t="s">
        <v>16</v>
      </c>
      <c r="D28" s="31">
        <f>'[1]3нед'!S152</f>
        <v>0</v>
      </c>
      <c r="E28" s="32">
        <f>'[1]3нед'!T152</f>
        <v>0</v>
      </c>
      <c r="F28" s="33">
        <f>'[1]3нед'!W152</f>
        <v>0</v>
      </c>
      <c r="G28" s="34">
        <f>'[1]3нед'!X152</f>
        <v>0</v>
      </c>
      <c r="H28" s="35"/>
      <c r="I28" s="28">
        <v>46043</v>
      </c>
      <c r="J28" s="61" t="s">
        <v>25</v>
      </c>
      <c r="K28" s="58" t="s">
        <v>16</v>
      </c>
      <c r="L28" s="31">
        <f>'[1]4нед'!S152</f>
        <v>0</v>
      </c>
      <c r="M28" s="32">
        <f>'[1]4нед'!T152</f>
        <v>0</v>
      </c>
      <c r="N28" s="33">
        <f>'[1]4нед'!W152</f>
        <v>0</v>
      </c>
      <c r="O28" s="34">
        <f>'[1]4нед'!X152</f>
        <v>0</v>
      </c>
      <c r="P28" s="35"/>
    </row>
    <row r="29" spans="1:16" ht="31.2">
      <c r="A29" s="38"/>
      <c r="B29" s="62"/>
      <c r="C29" s="30" t="s">
        <v>18</v>
      </c>
      <c r="D29" s="40">
        <f>'[1]3нед'!S153</f>
        <v>0</v>
      </c>
      <c r="E29" s="41">
        <f>'[1]3нед'!T153</f>
        <v>0</v>
      </c>
      <c r="F29" s="42">
        <f>'[1]3нед'!W153</f>
        <v>0</v>
      </c>
      <c r="G29" s="43">
        <f>'[1]3нед'!X153</f>
        <v>0</v>
      </c>
      <c r="H29" s="44"/>
      <c r="I29" s="45"/>
      <c r="J29" s="63"/>
      <c r="K29" s="30" t="s">
        <v>18</v>
      </c>
      <c r="L29" s="40">
        <f>'[1]4нед'!S153</f>
        <v>0</v>
      </c>
      <c r="M29" s="41">
        <f>'[1]4нед'!T153</f>
        <v>0</v>
      </c>
      <c r="N29" s="42">
        <f>'[1]4нед'!W153</f>
        <v>0</v>
      </c>
      <c r="O29" s="43">
        <f>'[1]4нед'!X153</f>
        <v>0</v>
      </c>
      <c r="P29" s="37"/>
    </row>
    <row r="30" spans="1:16" ht="35.700000000000003" customHeight="1">
      <c r="A30" s="38"/>
      <c r="B30" s="62"/>
      <c r="C30" s="30" t="s">
        <v>19</v>
      </c>
      <c r="D30" s="40" t="str">
        <f>'[1]3нед'!S154</f>
        <v>зачет</v>
      </c>
      <c r="E30" s="41" t="str">
        <f>'[1]3нед'!T154</f>
        <v>Теоретико-множественный и информационный анализ</v>
      </c>
      <c r="F30" s="42" t="str">
        <f>'[1]3нед'!W154</f>
        <v>Шерман М.И.</v>
      </c>
      <c r="G30" s="43" t="str">
        <f>'[1]3нед'!X154</f>
        <v>профессор, д-р наук</v>
      </c>
      <c r="H30" s="37" t="s">
        <v>17</v>
      </c>
      <c r="I30" s="45"/>
      <c r="J30" s="63"/>
      <c r="K30" s="30" t="s">
        <v>19</v>
      </c>
      <c r="L30" s="40">
        <f>'[1]4нед'!S154</f>
        <v>0</v>
      </c>
      <c r="M30" s="41">
        <f>'[1]4нед'!T154</f>
        <v>0</v>
      </c>
      <c r="N30" s="42">
        <f>'[1]4нед'!W154</f>
        <v>0</v>
      </c>
      <c r="O30" s="43">
        <f>'[1]4нед'!X154</f>
        <v>0</v>
      </c>
      <c r="P30" s="37"/>
    </row>
    <row r="31" spans="1:16" ht="35.700000000000003" customHeight="1">
      <c r="A31" s="38"/>
      <c r="B31" s="62"/>
      <c r="C31" s="30" t="s">
        <v>20</v>
      </c>
      <c r="D31" s="40">
        <f>'[1]3нед'!S155</f>
        <v>0</v>
      </c>
      <c r="E31" s="41">
        <f>'[1]3нед'!T155</f>
        <v>0</v>
      </c>
      <c r="F31" s="42">
        <f>'[1]3нед'!W155</f>
        <v>0</v>
      </c>
      <c r="G31" s="43">
        <f>'[1]3нед'!X155</f>
        <v>0</v>
      </c>
      <c r="H31" s="47"/>
      <c r="I31" s="45"/>
      <c r="J31" s="63"/>
      <c r="K31" s="30" t="s">
        <v>20</v>
      </c>
      <c r="L31" s="40">
        <f>'[1]4нед'!S155</f>
        <v>0</v>
      </c>
      <c r="M31" s="41">
        <f>'[1]4нед'!T155</f>
        <v>0</v>
      </c>
      <c r="N31" s="42">
        <f>'[1]4нед'!W155</f>
        <v>0</v>
      </c>
      <c r="O31" s="43">
        <f>'[1]4нед'!X155</f>
        <v>0</v>
      </c>
      <c r="P31" s="37"/>
    </row>
    <row r="32" spans="1:16" ht="31.2">
      <c r="A32" s="38"/>
      <c r="B32" s="62"/>
      <c r="C32" s="30" t="s">
        <v>21</v>
      </c>
      <c r="D32" s="40">
        <f>'[1]3нед'!S156</f>
        <v>0</v>
      </c>
      <c r="E32" s="41">
        <f>'[1]3нед'!T156</f>
        <v>0</v>
      </c>
      <c r="F32" s="42">
        <f>'[1]3нед'!W156</f>
        <v>0</v>
      </c>
      <c r="G32" s="43">
        <f>'[1]3нед'!X156</f>
        <v>0</v>
      </c>
      <c r="H32" s="44"/>
      <c r="I32" s="45"/>
      <c r="J32" s="63"/>
      <c r="K32" s="30" t="s">
        <v>21</v>
      </c>
      <c r="L32" s="40">
        <f>'[1]4нед'!S156</f>
        <v>0</v>
      </c>
      <c r="M32" s="41">
        <f>'[1]4нед'!T156</f>
        <v>0</v>
      </c>
      <c r="N32" s="42">
        <f>'[1]4нед'!W156</f>
        <v>0</v>
      </c>
      <c r="O32" s="43">
        <f>'[1]4нед'!X156</f>
        <v>0</v>
      </c>
      <c r="P32" s="44"/>
    </row>
    <row r="33" spans="1:16" ht="31.2">
      <c r="A33" s="38"/>
      <c r="B33" s="62"/>
      <c r="C33" s="30" t="s">
        <v>22</v>
      </c>
      <c r="D33" s="40">
        <f>'[1]3нед'!S157</f>
        <v>0</v>
      </c>
      <c r="E33" s="41">
        <f>'[1]3нед'!T157</f>
        <v>0</v>
      </c>
      <c r="F33" s="42">
        <f>'[1]3нед'!W157</f>
        <v>0</v>
      </c>
      <c r="G33" s="43">
        <f>'[1]3нед'!X157</f>
        <v>0</v>
      </c>
      <c r="H33" s="44"/>
      <c r="I33" s="45"/>
      <c r="J33" s="63"/>
      <c r="K33" s="30" t="s">
        <v>22</v>
      </c>
      <c r="L33" s="40">
        <f>'[1]4нед'!S157</f>
        <v>0</v>
      </c>
      <c r="M33" s="41">
        <f>'[1]4нед'!T157</f>
        <v>0</v>
      </c>
      <c r="N33" s="42">
        <f>'[1]4нед'!W157</f>
        <v>0</v>
      </c>
      <c r="O33" s="43">
        <f>'[1]4нед'!X157</f>
        <v>0</v>
      </c>
      <c r="P33" s="44"/>
    </row>
    <row r="34" spans="1:16" ht="31.8" thickBot="1">
      <c r="A34" s="38"/>
      <c r="B34" s="62"/>
      <c r="C34" s="30" t="s">
        <v>23</v>
      </c>
      <c r="D34" s="40">
        <f>'[1]3нед'!S158</f>
        <v>0</v>
      </c>
      <c r="E34" s="41">
        <f>'[1]3нед'!T158</f>
        <v>0</v>
      </c>
      <c r="F34" s="42">
        <f>'[1]3нед'!W158</f>
        <v>0</v>
      </c>
      <c r="G34" s="43">
        <f>'[1]3нед'!X158</f>
        <v>0</v>
      </c>
      <c r="H34" s="44"/>
      <c r="I34" s="45"/>
      <c r="J34" s="63"/>
      <c r="K34" s="30" t="s">
        <v>23</v>
      </c>
      <c r="L34" s="40">
        <f>'[1]4нед'!S158</f>
        <v>0</v>
      </c>
      <c r="M34" s="41">
        <f>'[1]4нед'!T158</f>
        <v>0</v>
      </c>
      <c r="N34" s="42">
        <f>'[1]4нед'!W158</f>
        <v>0</v>
      </c>
      <c r="O34" s="43">
        <f>'[1]4нед'!X158</f>
        <v>0</v>
      </c>
      <c r="P34" s="44"/>
    </row>
    <row r="35" spans="1:16" ht="18.45" hidden="1" customHeight="1" thickBot="1">
      <c r="A35" s="48"/>
      <c r="B35" s="64"/>
      <c r="C35" s="50"/>
      <c r="D35" s="51">
        <f>'[1]3нед'!S159</f>
        <v>0</v>
      </c>
      <c r="E35" s="52">
        <f>'[1]3нед'!T159</f>
        <v>0</v>
      </c>
      <c r="F35" s="53">
        <f>'[1]3нед'!W159</f>
        <v>0</v>
      </c>
      <c r="G35" s="54">
        <f>'[1]3нед'!X159</f>
        <v>0</v>
      </c>
      <c r="H35" s="55"/>
      <c r="I35" s="56"/>
      <c r="J35" s="65"/>
      <c r="K35" s="50"/>
      <c r="L35" s="51">
        <f>'[1]4нед'!S159</f>
        <v>0</v>
      </c>
      <c r="M35" s="52">
        <f>'[1]4нед'!T159</f>
        <v>0</v>
      </c>
      <c r="N35" s="53">
        <f>'[1]4нед'!W159</f>
        <v>0</v>
      </c>
      <c r="O35" s="54">
        <f>'[1]4нед'!X159</f>
        <v>0</v>
      </c>
      <c r="P35" s="55"/>
    </row>
    <row r="36" spans="1:16" ht="48" customHeight="1" thickTop="1">
      <c r="A36" s="28">
        <v>46037</v>
      </c>
      <c r="B36" s="29" t="s">
        <v>26</v>
      </c>
      <c r="C36" s="58" t="s">
        <v>16</v>
      </c>
      <c r="D36" s="31">
        <f>'[1]3нед'!S160</f>
        <v>0</v>
      </c>
      <c r="E36" s="32">
        <f>'[1]3нед'!T160</f>
        <v>0</v>
      </c>
      <c r="F36" s="33">
        <f>'[1]3нед'!W160</f>
        <v>0</v>
      </c>
      <c r="G36" s="34">
        <f>'[1]3нед'!X160</f>
        <v>0</v>
      </c>
      <c r="H36" s="35"/>
      <c r="I36" s="28">
        <v>46044</v>
      </c>
      <c r="J36" s="36" t="s">
        <v>26</v>
      </c>
      <c r="K36" s="58" t="s">
        <v>16</v>
      </c>
      <c r="L36" s="31">
        <f>'[1]4нед'!S160</f>
        <v>0</v>
      </c>
      <c r="M36" s="32">
        <f>'[1]4нед'!T160</f>
        <v>0</v>
      </c>
      <c r="N36" s="33">
        <f>'[1]4нед'!W160</f>
        <v>0</v>
      </c>
      <c r="O36" s="34">
        <f>'[1]4нед'!X160</f>
        <v>0</v>
      </c>
      <c r="P36" s="35"/>
    </row>
    <row r="37" spans="1:16" ht="35.700000000000003" customHeight="1">
      <c r="A37" s="38"/>
      <c r="B37" s="39"/>
      <c r="C37" s="30" t="s">
        <v>18</v>
      </c>
      <c r="D37" s="40" t="str">
        <f>'[1]3нед'!S161</f>
        <v>зачет</v>
      </c>
      <c r="E37" s="41" t="str">
        <f>'[1]3нед'!T161</f>
        <v>Иностранный язык для специальных целей</v>
      </c>
      <c r="F37" s="42" t="str">
        <f>'[1]3нед'!W161</f>
        <v>Ермоленко И.И.</v>
      </c>
      <c r="G37" s="43" t="str">
        <f>'[1]3нед'!X161</f>
        <v>доцент, канд. наук</v>
      </c>
      <c r="H37" s="37" t="s">
        <v>27</v>
      </c>
      <c r="I37" s="45"/>
      <c r="J37" s="46"/>
      <c r="K37" s="30" t="s">
        <v>18</v>
      </c>
      <c r="L37" s="40">
        <f>'[1]4нед'!S161</f>
        <v>0</v>
      </c>
      <c r="M37" s="41">
        <f>'[1]4нед'!T161</f>
        <v>0</v>
      </c>
      <c r="N37" s="42">
        <f>'[1]4нед'!W161</f>
        <v>0</v>
      </c>
      <c r="O37" s="43">
        <f>'[1]4нед'!X161</f>
        <v>0</v>
      </c>
      <c r="P37" s="47"/>
    </row>
    <row r="38" spans="1:16" ht="31.2">
      <c r="A38" s="38"/>
      <c r="B38" s="39"/>
      <c r="C38" s="30" t="s">
        <v>19</v>
      </c>
      <c r="D38" s="40">
        <f>'[1]3нед'!S162</f>
        <v>0</v>
      </c>
      <c r="E38" s="41">
        <f>'[1]3нед'!T162</f>
        <v>0</v>
      </c>
      <c r="F38" s="42">
        <f>'[1]3нед'!W162</f>
        <v>0</v>
      </c>
      <c r="G38" s="43">
        <f>'[1]3нед'!X162</f>
        <v>0</v>
      </c>
      <c r="H38" s="47"/>
      <c r="I38" s="45"/>
      <c r="J38" s="46"/>
      <c r="K38" s="30" t="s">
        <v>19</v>
      </c>
      <c r="L38" s="40">
        <f>'[1]4нед'!S162</f>
        <v>0</v>
      </c>
      <c r="M38" s="41">
        <f>'[1]4нед'!T162</f>
        <v>0</v>
      </c>
      <c r="N38" s="42">
        <f>'[1]4нед'!W162</f>
        <v>0</v>
      </c>
      <c r="O38" s="43">
        <f>'[1]4нед'!X162</f>
        <v>0</v>
      </c>
      <c r="P38" s="47"/>
    </row>
    <row r="39" spans="1:16" ht="31.2">
      <c r="A39" s="38"/>
      <c r="B39" s="39"/>
      <c r="C39" s="30" t="s">
        <v>20</v>
      </c>
      <c r="D39" s="40">
        <f>'[1]3нед'!S163</f>
        <v>0</v>
      </c>
      <c r="E39" s="41">
        <f>'[1]3нед'!T163</f>
        <v>0</v>
      </c>
      <c r="F39" s="42">
        <f>'[1]3нед'!W163</f>
        <v>0</v>
      </c>
      <c r="G39" s="43">
        <f>'[1]3нед'!X163</f>
        <v>0</v>
      </c>
      <c r="H39" s="47"/>
      <c r="I39" s="45"/>
      <c r="J39" s="46"/>
      <c r="K39" s="30" t="s">
        <v>20</v>
      </c>
      <c r="L39" s="40">
        <f>'[1]4нед'!S163</f>
        <v>0</v>
      </c>
      <c r="M39" s="41">
        <f>'[1]4нед'!T163</f>
        <v>0</v>
      </c>
      <c r="N39" s="42">
        <f>'[1]4нед'!W163</f>
        <v>0</v>
      </c>
      <c r="O39" s="43">
        <f>'[1]4нед'!X163</f>
        <v>0</v>
      </c>
      <c r="P39" s="37"/>
    </row>
    <row r="40" spans="1:16" ht="31.2">
      <c r="A40" s="38"/>
      <c r="B40" s="39"/>
      <c r="C40" s="30" t="s">
        <v>21</v>
      </c>
      <c r="D40" s="40">
        <f>'[1]3нед'!S164</f>
        <v>0</v>
      </c>
      <c r="E40" s="41">
        <f>'[1]3нед'!T164</f>
        <v>0</v>
      </c>
      <c r="F40" s="42">
        <f>'[1]3нед'!W164</f>
        <v>0</v>
      </c>
      <c r="G40" s="43">
        <f>'[1]3нед'!X164</f>
        <v>0</v>
      </c>
      <c r="H40" s="44"/>
      <c r="I40" s="45"/>
      <c r="J40" s="46"/>
      <c r="K40" s="30" t="s">
        <v>21</v>
      </c>
      <c r="L40" s="40">
        <f>'[1]4нед'!S164</f>
        <v>0</v>
      </c>
      <c r="M40" s="41">
        <f>'[1]4нед'!T164</f>
        <v>0</v>
      </c>
      <c r="N40" s="42">
        <f>'[1]4нед'!W164</f>
        <v>0</v>
      </c>
      <c r="O40" s="43">
        <f>'[1]4нед'!X164</f>
        <v>0</v>
      </c>
      <c r="P40" s="44"/>
    </row>
    <row r="41" spans="1:16" ht="31.2">
      <c r="A41" s="38"/>
      <c r="B41" s="39"/>
      <c r="C41" s="30" t="s">
        <v>22</v>
      </c>
      <c r="D41" s="40">
        <f>'[1]3нед'!S165</f>
        <v>0</v>
      </c>
      <c r="E41" s="41">
        <f>'[1]3нед'!T165</f>
        <v>0</v>
      </c>
      <c r="F41" s="42">
        <f>'[1]3нед'!W165</f>
        <v>0</v>
      </c>
      <c r="G41" s="43">
        <f>'[1]3нед'!X165</f>
        <v>0</v>
      </c>
      <c r="H41" s="44"/>
      <c r="I41" s="45"/>
      <c r="J41" s="46"/>
      <c r="K41" s="30" t="s">
        <v>22</v>
      </c>
      <c r="L41" s="40">
        <f>'[1]4нед'!S165</f>
        <v>0</v>
      </c>
      <c r="M41" s="41">
        <f>'[1]4нед'!T165</f>
        <v>0</v>
      </c>
      <c r="N41" s="42">
        <f>'[1]4нед'!W165</f>
        <v>0</v>
      </c>
      <c r="O41" s="43">
        <f>'[1]4нед'!X165</f>
        <v>0</v>
      </c>
      <c r="P41" s="44"/>
    </row>
    <row r="42" spans="1:16" ht="31.8" thickBot="1">
      <c r="A42" s="38"/>
      <c r="B42" s="39"/>
      <c r="C42" s="30" t="s">
        <v>23</v>
      </c>
      <c r="D42" s="40">
        <f>'[1]3нед'!S166</f>
        <v>0</v>
      </c>
      <c r="E42" s="41">
        <f>'[1]3нед'!T166</f>
        <v>0</v>
      </c>
      <c r="F42" s="42">
        <f>'[1]3нед'!W166</f>
        <v>0</v>
      </c>
      <c r="G42" s="43">
        <f>'[1]3нед'!X166</f>
        <v>0</v>
      </c>
      <c r="H42" s="44"/>
      <c r="I42" s="45"/>
      <c r="J42" s="46"/>
      <c r="K42" s="30" t="s">
        <v>23</v>
      </c>
      <c r="L42" s="40">
        <f>'[1]4нед'!S166</f>
        <v>0</v>
      </c>
      <c r="M42" s="41">
        <f>'[1]4нед'!T166</f>
        <v>0</v>
      </c>
      <c r="N42" s="42">
        <f>'[1]4нед'!W166</f>
        <v>0</v>
      </c>
      <c r="O42" s="43">
        <f>'[1]4нед'!X166</f>
        <v>0</v>
      </c>
      <c r="P42" s="44"/>
    </row>
    <row r="43" spans="1:16" ht="18.45" hidden="1" customHeight="1" thickBot="1">
      <c r="A43" s="48"/>
      <c r="B43" s="49"/>
      <c r="C43" s="50"/>
      <c r="D43" s="51">
        <f>'[1]3нед'!S167</f>
        <v>0</v>
      </c>
      <c r="E43" s="52">
        <f>'[1]3нед'!T167</f>
        <v>0</v>
      </c>
      <c r="F43" s="53">
        <f>'[1]3нед'!W167</f>
        <v>0</v>
      </c>
      <c r="G43" s="54">
        <f>'[1]3нед'!X167</f>
        <v>0</v>
      </c>
      <c r="H43" s="55"/>
      <c r="I43" s="56"/>
      <c r="J43" s="57"/>
      <c r="K43" s="50"/>
      <c r="L43" s="51">
        <f>'[1]4нед'!S167</f>
        <v>0</v>
      </c>
      <c r="M43" s="52">
        <f>'[1]4нед'!T167</f>
        <v>0</v>
      </c>
      <c r="N43" s="53">
        <f>'[1]4нед'!W167</f>
        <v>0</v>
      </c>
      <c r="O43" s="54">
        <f>'[1]4нед'!X167</f>
        <v>0</v>
      </c>
      <c r="P43" s="55"/>
    </row>
    <row r="44" spans="1:16" ht="48" customHeight="1" thickTop="1">
      <c r="A44" s="28">
        <v>46038</v>
      </c>
      <c r="B44" s="29" t="s">
        <v>28</v>
      </c>
      <c r="C44" s="58" t="s">
        <v>16</v>
      </c>
      <c r="D44" s="31">
        <f>'[1]3нед'!S168</f>
        <v>0</v>
      </c>
      <c r="E44" s="32">
        <f>'[1]3нед'!T168</f>
        <v>0</v>
      </c>
      <c r="F44" s="33">
        <f>'[1]3нед'!W168</f>
        <v>0</v>
      </c>
      <c r="G44" s="34">
        <f>'[1]3нед'!X168</f>
        <v>0</v>
      </c>
      <c r="H44" s="35"/>
      <c r="I44" s="28">
        <v>46045</v>
      </c>
      <c r="J44" s="36" t="s">
        <v>28</v>
      </c>
      <c r="K44" s="58" t="s">
        <v>16</v>
      </c>
      <c r="L44" s="31">
        <f>'[1]4нед'!S168</f>
        <v>0</v>
      </c>
      <c r="M44" s="32">
        <f>'[1]4нед'!T168</f>
        <v>0</v>
      </c>
      <c r="N44" s="33">
        <f>'[1]4нед'!W168</f>
        <v>0</v>
      </c>
      <c r="O44" s="34">
        <f>'[1]4нед'!X168</f>
        <v>0</v>
      </c>
      <c r="P44" s="35"/>
    </row>
    <row r="45" spans="1:16" ht="31.2">
      <c r="A45" s="38"/>
      <c r="B45" s="39"/>
      <c r="C45" s="30" t="s">
        <v>18</v>
      </c>
      <c r="D45" s="40" t="str">
        <f>'[1]3нед'!S169</f>
        <v>зачет</v>
      </c>
      <c r="E45" s="41" t="str">
        <f>'[1]3нед'!T169</f>
        <v xml:space="preserve">Философия научного познания </v>
      </c>
      <c r="F45" s="42" t="str">
        <f>'[1]3нед'!W169</f>
        <v>Солодухин Д.В.</v>
      </c>
      <c r="G45" s="43" t="str">
        <f>'[1]3нед'!X169</f>
        <v>профессор, канд. наук</v>
      </c>
      <c r="H45" s="37" t="s">
        <v>29</v>
      </c>
      <c r="I45" s="45"/>
      <c r="J45" s="46"/>
      <c r="K45" s="30" t="s">
        <v>18</v>
      </c>
      <c r="L45" s="40">
        <f>'[1]4нед'!S169</f>
        <v>0</v>
      </c>
      <c r="M45" s="41">
        <f>'[1]4нед'!T169</f>
        <v>0</v>
      </c>
      <c r="N45" s="42">
        <f>'[1]4нед'!W169</f>
        <v>0</v>
      </c>
      <c r="O45" s="43">
        <f>'[1]4нед'!X169</f>
        <v>0</v>
      </c>
      <c r="P45" s="47"/>
    </row>
    <row r="46" spans="1:16" ht="35.700000000000003" customHeight="1">
      <c r="A46" s="38"/>
      <c r="B46" s="39"/>
      <c r="C46" s="30" t="s">
        <v>19</v>
      </c>
      <c r="D46" s="40" t="str">
        <f>'[1]3нед'!S170</f>
        <v>зачет</v>
      </c>
      <c r="E46" s="41" t="str">
        <f>'[1]3нед'!T170</f>
        <v>Методология исследовательской деятельности</v>
      </c>
      <c r="F46" s="42" t="str">
        <f>'[1]3нед'!W170</f>
        <v>Гуменюк А.Ю.</v>
      </c>
      <c r="G46" s="43" t="str">
        <f>'[1]3нед'!X170</f>
        <v>доцент, канд. наук</v>
      </c>
      <c r="H46" s="37" t="s">
        <v>30</v>
      </c>
      <c r="I46" s="45"/>
      <c r="J46" s="46"/>
      <c r="K46" s="30" t="s">
        <v>19</v>
      </c>
      <c r="L46" s="40">
        <f>'[1]4нед'!S170</f>
        <v>0</v>
      </c>
      <c r="M46" s="41">
        <f>'[1]4нед'!T170</f>
        <v>0</v>
      </c>
      <c r="N46" s="42">
        <f>'[1]4нед'!W170</f>
        <v>0</v>
      </c>
      <c r="O46" s="43">
        <f>'[1]4нед'!X170</f>
        <v>0</v>
      </c>
      <c r="P46" s="47"/>
    </row>
    <row r="47" spans="1:16" ht="31.2">
      <c r="A47" s="38"/>
      <c r="B47" s="39"/>
      <c r="C47" s="30" t="s">
        <v>20</v>
      </c>
      <c r="D47" s="40">
        <f>'[1]3нед'!S171</f>
        <v>0</v>
      </c>
      <c r="E47" s="41">
        <f>'[1]3нед'!T171</f>
        <v>0</v>
      </c>
      <c r="F47" s="42">
        <f>'[1]3нед'!W171</f>
        <v>0</v>
      </c>
      <c r="G47" s="43">
        <f>'[1]3нед'!X171</f>
        <v>0</v>
      </c>
      <c r="H47" s="44"/>
      <c r="I47" s="45"/>
      <c r="J47" s="46"/>
      <c r="K47" s="30" t="s">
        <v>20</v>
      </c>
      <c r="L47" s="40">
        <f>'[1]4нед'!S171</f>
        <v>0</v>
      </c>
      <c r="M47" s="41">
        <f>'[1]4нед'!T171</f>
        <v>0</v>
      </c>
      <c r="N47" s="42">
        <f>'[1]4нед'!W171</f>
        <v>0</v>
      </c>
      <c r="O47" s="43">
        <f>'[1]4нед'!X171</f>
        <v>0</v>
      </c>
      <c r="P47" s="44"/>
    </row>
    <row r="48" spans="1:16" ht="31.2">
      <c r="A48" s="38"/>
      <c r="B48" s="39"/>
      <c r="C48" s="30" t="s">
        <v>21</v>
      </c>
      <c r="D48" s="40">
        <f>'[1]3нед'!S172</f>
        <v>0</v>
      </c>
      <c r="E48" s="41">
        <f>'[1]3нед'!T172</f>
        <v>0</v>
      </c>
      <c r="F48" s="42">
        <f>'[1]3нед'!W172</f>
        <v>0</v>
      </c>
      <c r="G48" s="43">
        <f>'[1]3нед'!X172</f>
        <v>0</v>
      </c>
      <c r="H48" s="44"/>
      <c r="I48" s="45"/>
      <c r="J48" s="46"/>
      <c r="K48" s="30" t="s">
        <v>21</v>
      </c>
      <c r="L48" s="40">
        <f>'[1]4нед'!S172</f>
        <v>0</v>
      </c>
      <c r="M48" s="41">
        <f>'[1]4нед'!T172</f>
        <v>0</v>
      </c>
      <c r="N48" s="42">
        <f>'[1]4нед'!W172</f>
        <v>0</v>
      </c>
      <c r="O48" s="43">
        <f>'[1]4нед'!X172</f>
        <v>0</v>
      </c>
      <c r="P48" s="44"/>
    </row>
    <row r="49" spans="1:16" ht="31.2">
      <c r="A49" s="38"/>
      <c r="B49" s="39"/>
      <c r="C49" s="30" t="s">
        <v>22</v>
      </c>
      <c r="D49" s="40">
        <f>'[1]3нед'!S173</f>
        <v>0</v>
      </c>
      <c r="E49" s="41">
        <f>'[1]3нед'!T173</f>
        <v>0</v>
      </c>
      <c r="F49" s="42">
        <f>'[1]3нед'!W173</f>
        <v>0</v>
      </c>
      <c r="G49" s="43">
        <f>'[1]3нед'!X173</f>
        <v>0</v>
      </c>
      <c r="H49" s="44"/>
      <c r="I49" s="45"/>
      <c r="J49" s="46"/>
      <c r="K49" s="30" t="s">
        <v>22</v>
      </c>
      <c r="L49" s="40">
        <f>'[1]4нед'!S173</f>
        <v>0</v>
      </c>
      <c r="M49" s="41">
        <f>'[1]4нед'!T173</f>
        <v>0</v>
      </c>
      <c r="N49" s="42">
        <f>'[1]4нед'!W173</f>
        <v>0</v>
      </c>
      <c r="O49" s="43">
        <f>'[1]4нед'!X173</f>
        <v>0</v>
      </c>
      <c r="P49" s="44"/>
    </row>
    <row r="50" spans="1:16" ht="31.8" thickBot="1">
      <c r="A50" s="38"/>
      <c r="B50" s="39"/>
      <c r="C50" s="30" t="s">
        <v>23</v>
      </c>
      <c r="D50" s="40">
        <f>'[1]3нед'!S174</f>
        <v>0</v>
      </c>
      <c r="E50" s="41">
        <f>'[1]3нед'!T174</f>
        <v>0</v>
      </c>
      <c r="F50" s="42">
        <f>'[1]3нед'!W174</f>
        <v>0</v>
      </c>
      <c r="G50" s="43">
        <f>'[1]3нед'!X174</f>
        <v>0</v>
      </c>
      <c r="H50" s="44"/>
      <c r="I50" s="45"/>
      <c r="J50" s="46"/>
      <c r="K50" s="30" t="s">
        <v>23</v>
      </c>
      <c r="L50" s="40">
        <f>'[1]4нед'!S174</f>
        <v>0</v>
      </c>
      <c r="M50" s="41">
        <f>'[1]4нед'!T174</f>
        <v>0</v>
      </c>
      <c r="N50" s="42">
        <f>'[1]4нед'!W174</f>
        <v>0</v>
      </c>
      <c r="O50" s="43">
        <f>'[1]4нед'!X174</f>
        <v>0</v>
      </c>
      <c r="P50" s="44"/>
    </row>
    <row r="51" spans="1:16" ht="18.45" hidden="1" customHeight="1" thickBot="1">
      <c r="A51" s="48"/>
      <c r="B51" s="49"/>
      <c r="C51" s="50"/>
      <c r="D51" s="51">
        <f>'[1]3нед'!S175</f>
        <v>0</v>
      </c>
      <c r="E51" s="52">
        <f>'[1]3нед'!T175</f>
        <v>0</v>
      </c>
      <c r="F51" s="53">
        <f>'[1]3нед'!W175</f>
        <v>0</v>
      </c>
      <c r="G51" s="54">
        <f>'[1]3нед'!X175</f>
        <v>0</v>
      </c>
      <c r="H51" s="55"/>
      <c r="I51" s="56"/>
      <c r="J51" s="57"/>
      <c r="K51" s="50"/>
      <c r="L51" s="51">
        <f>'[1]4нед'!S175</f>
        <v>0</v>
      </c>
      <c r="M51" s="52">
        <f>'[1]4нед'!T175</f>
        <v>0</v>
      </c>
      <c r="N51" s="53">
        <f>'[1]4нед'!W175</f>
        <v>0</v>
      </c>
      <c r="O51" s="54">
        <f>'[1]4нед'!X175</f>
        <v>0</v>
      </c>
      <c r="P51" s="55"/>
    </row>
    <row r="52" spans="1:16" ht="48" customHeight="1" thickTop="1">
      <c r="A52" s="28">
        <v>46039</v>
      </c>
      <c r="B52" s="29" t="s">
        <v>31</v>
      </c>
      <c r="C52" s="58" t="s">
        <v>16</v>
      </c>
      <c r="D52" s="31">
        <f>'[1]3нед'!S176</f>
        <v>0</v>
      </c>
      <c r="E52" s="32">
        <f>'[1]3нед'!T176</f>
        <v>0</v>
      </c>
      <c r="F52" s="33">
        <f>'[1]3нед'!W176</f>
        <v>0</v>
      </c>
      <c r="G52" s="34">
        <f>'[1]3нед'!X176</f>
        <v>0</v>
      </c>
      <c r="H52" s="35"/>
      <c r="I52" s="28">
        <v>46046</v>
      </c>
      <c r="J52" s="36" t="s">
        <v>31</v>
      </c>
      <c r="K52" s="58" t="s">
        <v>16</v>
      </c>
      <c r="L52" s="31">
        <f>'[1]4нед'!S176</f>
        <v>0</v>
      </c>
      <c r="M52" s="32">
        <f>'[1]4нед'!T176</f>
        <v>0</v>
      </c>
      <c r="N52" s="33">
        <f>'[1]4нед'!W176</f>
        <v>0</v>
      </c>
      <c r="O52" s="34">
        <f>'[1]4нед'!X176</f>
        <v>0</v>
      </c>
      <c r="P52" s="35"/>
    </row>
    <row r="53" spans="1:16" ht="31.2">
      <c r="A53" s="38"/>
      <c r="B53" s="39"/>
      <c r="C53" s="30" t="s">
        <v>18</v>
      </c>
      <c r="D53" s="40">
        <f>'[1]3нед'!S177</f>
        <v>0</v>
      </c>
      <c r="E53" s="41">
        <f>'[1]3нед'!T177</f>
        <v>0</v>
      </c>
      <c r="F53" s="42">
        <f>'[1]3нед'!W177</f>
        <v>0</v>
      </c>
      <c r="G53" s="43">
        <f>'[1]3нед'!X177</f>
        <v>0</v>
      </c>
      <c r="H53" s="44"/>
      <c r="I53" s="45"/>
      <c r="J53" s="46"/>
      <c r="K53" s="30" t="s">
        <v>18</v>
      </c>
      <c r="L53" s="40">
        <f>'[1]4нед'!S177</f>
        <v>0</v>
      </c>
      <c r="M53" s="41">
        <f>'[1]4нед'!T177</f>
        <v>0</v>
      </c>
      <c r="N53" s="42">
        <f>'[1]4нед'!W177</f>
        <v>0</v>
      </c>
      <c r="O53" s="43">
        <f>'[1]4нед'!X177</f>
        <v>0</v>
      </c>
      <c r="P53" s="44"/>
    </row>
    <row r="54" spans="1:16" ht="53.7" customHeight="1">
      <c r="A54" s="38"/>
      <c r="B54" s="39"/>
      <c r="C54" s="30" t="s">
        <v>19</v>
      </c>
      <c r="D54" s="40">
        <f>'[1]3нед'!S178</f>
        <v>0</v>
      </c>
      <c r="E54" s="41">
        <f>'[1]3нед'!T178</f>
        <v>0</v>
      </c>
      <c r="F54" s="42">
        <f>'[1]3нед'!W178</f>
        <v>0</v>
      </c>
      <c r="G54" s="43">
        <f>'[1]3нед'!X178</f>
        <v>0</v>
      </c>
      <c r="H54" s="44"/>
      <c r="I54" s="45"/>
      <c r="J54" s="46"/>
      <c r="K54" s="30" t="s">
        <v>19</v>
      </c>
      <c r="L54" s="40">
        <f>'[1]4нед'!S178</f>
        <v>0</v>
      </c>
      <c r="M54" s="41">
        <f>'[1]4нед'!T178</f>
        <v>0</v>
      </c>
      <c r="N54" s="42">
        <f>'[1]4нед'!W178</f>
        <v>0</v>
      </c>
      <c r="O54" s="43">
        <f>'[1]4нед'!X178</f>
        <v>0</v>
      </c>
      <c r="P54" s="37"/>
    </row>
    <row r="55" spans="1:16" ht="31.2">
      <c r="A55" s="38"/>
      <c r="B55" s="39"/>
      <c r="C55" s="30" t="s">
        <v>20</v>
      </c>
      <c r="D55" s="40">
        <f>'[1]3нед'!S179</f>
        <v>0</v>
      </c>
      <c r="E55" s="41">
        <f>'[1]3нед'!T179</f>
        <v>0</v>
      </c>
      <c r="F55" s="42">
        <f>'[1]3нед'!W179</f>
        <v>0</v>
      </c>
      <c r="G55" s="43">
        <f>'[1]3нед'!X179</f>
        <v>0</v>
      </c>
      <c r="H55" s="44"/>
      <c r="I55" s="45"/>
      <c r="J55" s="46"/>
      <c r="K55" s="30" t="s">
        <v>20</v>
      </c>
      <c r="L55" s="40">
        <f>'[1]4нед'!S179</f>
        <v>0</v>
      </c>
      <c r="M55" s="41">
        <f>'[1]4нед'!T179</f>
        <v>0</v>
      </c>
      <c r="N55" s="42">
        <f>'[1]4нед'!W179</f>
        <v>0</v>
      </c>
      <c r="O55" s="43">
        <f>'[1]4нед'!X179</f>
        <v>0</v>
      </c>
      <c r="P55" s="37"/>
    </row>
    <row r="56" spans="1:16" ht="31.2">
      <c r="A56" s="38"/>
      <c r="B56" s="39"/>
      <c r="C56" s="30" t="s">
        <v>21</v>
      </c>
      <c r="D56" s="40">
        <f>'[1]3нед'!S180</f>
        <v>0</v>
      </c>
      <c r="E56" s="41">
        <f>'[1]3нед'!T180</f>
        <v>0</v>
      </c>
      <c r="F56" s="42">
        <f>'[1]3нед'!W180</f>
        <v>0</v>
      </c>
      <c r="G56" s="43">
        <f>'[1]3нед'!X180</f>
        <v>0</v>
      </c>
      <c r="H56" s="44"/>
      <c r="I56" s="45"/>
      <c r="J56" s="46"/>
      <c r="K56" s="30" t="s">
        <v>21</v>
      </c>
      <c r="L56" s="40">
        <f>'[1]4нед'!S180</f>
        <v>0</v>
      </c>
      <c r="M56" s="41">
        <f>'[1]4нед'!T180</f>
        <v>0</v>
      </c>
      <c r="N56" s="42">
        <f>'[1]4нед'!W180</f>
        <v>0</v>
      </c>
      <c r="O56" s="43">
        <f>'[1]4нед'!X180</f>
        <v>0</v>
      </c>
      <c r="P56" s="37"/>
    </row>
    <row r="57" spans="1:16" ht="31.2">
      <c r="A57" s="38"/>
      <c r="B57" s="39"/>
      <c r="C57" s="30" t="s">
        <v>22</v>
      </c>
      <c r="D57" s="40">
        <f>'[1]3нед'!S181</f>
        <v>0</v>
      </c>
      <c r="E57" s="41">
        <f>'[1]3нед'!T181</f>
        <v>0</v>
      </c>
      <c r="F57" s="42">
        <f>'[1]3нед'!W181</f>
        <v>0</v>
      </c>
      <c r="G57" s="43">
        <f>'[1]3нед'!X181</f>
        <v>0</v>
      </c>
      <c r="H57" s="44"/>
      <c r="I57" s="45"/>
      <c r="J57" s="46"/>
      <c r="K57" s="30" t="s">
        <v>22</v>
      </c>
      <c r="L57" s="40">
        <f>'[1]4нед'!S181</f>
        <v>0</v>
      </c>
      <c r="M57" s="41">
        <f>'[1]4нед'!T181</f>
        <v>0</v>
      </c>
      <c r="N57" s="42">
        <f>'[1]4нед'!W181</f>
        <v>0</v>
      </c>
      <c r="O57" s="43">
        <f>'[1]4нед'!X181</f>
        <v>0</v>
      </c>
      <c r="P57" s="44"/>
    </row>
    <row r="58" spans="1:16" ht="31.8" thickBot="1">
      <c r="A58" s="38"/>
      <c r="B58" s="39"/>
      <c r="C58" s="30" t="s">
        <v>23</v>
      </c>
      <c r="D58" s="40">
        <f>'[1]3нед'!S182</f>
        <v>0</v>
      </c>
      <c r="E58" s="41">
        <f>'[1]3нед'!T182</f>
        <v>0</v>
      </c>
      <c r="F58" s="42">
        <f>'[1]3нед'!W182</f>
        <v>0</v>
      </c>
      <c r="G58" s="43">
        <f>'[1]3нед'!X182</f>
        <v>0</v>
      </c>
      <c r="H58" s="44"/>
      <c r="I58" s="45"/>
      <c r="J58" s="46"/>
      <c r="K58" s="30" t="s">
        <v>23</v>
      </c>
      <c r="L58" s="40">
        <f>'[1]4нед'!S182</f>
        <v>0</v>
      </c>
      <c r="M58" s="41">
        <f>'[1]4нед'!T182</f>
        <v>0</v>
      </c>
      <c r="N58" s="42">
        <f>'[1]4нед'!W182</f>
        <v>0</v>
      </c>
      <c r="O58" s="43">
        <f>'[1]4нед'!X182</f>
        <v>0</v>
      </c>
      <c r="P58" s="44"/>
    </row>
    <row r="59" spans="1:16" ht="18.45" hidden="1" customHeight="1" thickBot="1">
      <c r="A59" s="48"/>
      <c r="B59" s="49"/>
      <c r="C59" s="50"/>
      <c r="D59" s="51">
        <f>'[1]3нед'!S59</f>
        <v>0</v>
      </c>
      <c r="E59" s="52">
        <f>'[1]3нед'!T59</f>
        <v>0</v>
      </c>
      <c r="F59" s="53">
        <f>'[1]3нед'!W59</f>
        <v>0</v>
      </c>
      <c r="G59" s="54">
        <f>'[1]3нед'!X59</f>
        <v>0</v>
      </c>
      <c r="H59" s="55"/>
      <c r="I59" s="56"/>
      <c r="J59" s="57"/>
      <c r="K59" s="50"/>
      <c r="L59" s="51">
        <f>'[1]4нед'!S59</f>
        <v>0</v>
      </c>
      <c r="M59" s="52">
        <f>'[1]4нед'!T59</f>
        <v>0</v>
      </c>
      <c r="N59" s="53">
        <f>'[1]4нед'!W59</f>
        <v>0</v>
      </c>
      <c r="O59" s="54">
        <f>'[1]4нед'!X59</f>
        <v>0</v>
      </c>
      <c r="P59" s="55"/>
    </row>
    <row r="60" spans="1:16" ht="39" customHeight="1" thickTop="1">
      <c r="A60" s="66"/>
      <c r="B60" s="67"/>
      <c r="C60" s="68"/>
      <c r="D60" s="69"/>
      <c r="E60" s="69" t="s">
        <v>32</v>
      </c>
      <c r="F60" s="69"/>
      <c r="G60" s="70" t="s">
        <v>33</v>
      </c>
      <c r="H60" s="71"/>
      <c r="I60" s="66"/>
      <c r="J60" s="67"/>
      <c r="K60" s="68"/>
      <c r="L60" s="69"/>
      <c r="M60" s="69" t="s">
        <v>32</v>
      </c>
      <c r="N60" s="69"/>
      <c r="O60" s="70" t="s">
        <v>33</v>
      </c>
      <c r="P60" s="71"/>
    </row>
    <row r="61" spans="1:16" ht="15.6">
      <c r="A61" s="1"/>
      <c r="B61" s="2"/>
      <c r="C61" s="3"/>
      <c r="D61" s="4"/>
      <c r="E61" s="4"/>
      <c r="F61" s="4"/>
      <c r="G61" s="4"/>
      <c r="H61" s="5" t="s">
        <v>0</v>
      </c>
      <c r="I61" s="1"/>
      <c r="J61" s="2"/>
      <c r="K61" s="3"/>
      <c r="L61" s="4"/>
      <c r="M61" s="4"/>
      <c r="N61" s="4"/>
      <c r="O61" s="4"/>
      <c r="P61" s="5"/>
    </row>
    <row r="62" spans="1:16" ht="15.6">
      <c r="A62" s="1"/>
      <c r="B62" s="2"/>
      <c r="C62" s="3"/>
      <c r="D62" s="4"/>
      <c r="E62" s="4"/>
      <c r="F62" s="4"/>
      <c r="G62" s="4"/>
      <c r="H62" s="5" t="s">
        <v>1</v>
      </c>
      <c r="I62" s="1"/>
      <c r="J62" s="2"/>
      <c r="K62" s="3"/>
      <c r="L62" s="4"/>
      <c r="M62" s="4"/>
      <c r="N62" s="4"/>
      <c r="O62" s="4"/>
      <c r="P62" s="5"/>
    </row>
    <row r="63" spans="1:16" ht="15.6">
      <c r="A63" s="1"/>
      <c r="B63" s="2"/>
      <c r="C63" s="3"/>
      <c r="D63" s="4"/>
      <c r="E63" s="4"/>
      <c r="F63" s="4"/>
      <c r="G63" s="4"/>
      <c r="H63" s="5" t="s">
        <v>2</v>
      </c>
      <c r="I63" s="1"/>
      <c r="J63" s="2"/>
      <c r="K63" s="3"/>
      <c r="L63" s="4"/>
      <c r="M63" s="4"/>
      <c r="N63" s="4"/>
      <c r="O63" s="4"/>
      <c r="P63" s="5"/>
    </row>
    <row r="64" spans="1:16" ht="15.6">
      <c r="A64" s="1"/>
      <c r="B64" s="2"/>
      <c r="C64" s="3"/>
      <c r="D64" s="4"/>
      <c r="E64" s="4"/>
      <c r="F64" s="4"/>
      <c r="G64" s="4"/>
      <c r="H64" s="5" t="s">
        <v>3</v>
      </c>
      <c r="I64" s="1"/>
      <c r="J64" s="2"/>
      <c r="K64" s="3"/>
      <c r="L64" s="4"/>
      <c r="M64" s="4"/>
      <c r="N64" s="4"/>
      <c r="O64" s="4"/>
      <c r="P64" s="5"/>
    </row>
    <row r="65" spans="1:16" ht="15.6">
      <c r="A65" s="1"/>
      <c r="B65" s="6"/>
      <c r="C65" s="3"/>
      <c r="D65" s="4"/>
      <c r="E65" s="4"/>
      <c r="F65" s="4"/>
      <c r="G65" s="4"/>
      <c r="H65" s="7"/>
      <c r="I65" s="1"/>
      <c r="J65" s="6"/>
      <c r="K65" s="3"/>
      <c r="L65" s="4"/>
      <c r="M65" s="4"/>
      <c r="N65" s="4"/>
      <c r="O65" s="4"/>
      <c r="P65" s="7"/>
    </row>
    <row r="66" spans="1:16" ht="15.6">
      <c r="A66" s="1"/>
      <c r="B66" s="8" t="s">
        <v>4</v>
      </c>
      <c r="C66" s="8"/>
      <c r="D66" s="8"/>
      <c r="E66" s="8"/>
      <c r="F66" s="8"/>
      <c r="G66" s="8"/>
      <c r="H66" s="8"/>
      <c r="I66" s="1"/>
      <c r="J66" s="8"/>
      <c r="K66" s="8"/>
      <c r="L66" s="8"/>
      <c r="M66" s="8"/>
      <c r="N66" s="8"/>
      <c r="O66" s="8"/>
      <c r="P66" s="8"/>
    </row>
    <row r="67" spans="1:16" ht="15.6">
      <c r="A67" s="9"/>
      <c r="B67" s="10" t="str">
        <f>'[1]3нед'!$A$6</f>
        <v>Направление подготовки:</v>
      </c>
      <c r="C67" s="11"/>
      <c r="D67" s="12"/>
      <c r="E67" s="13" t="str">
        <f>E7</f>
        <v>09.04.04 Программная инженерия (Разработка программно-информационных систем)</v>
      </c>
      <c r="F67" s="12"/>
      <c r="G67" s="12"/>
      <c r="H67" s="14" t="str">
        <f>H7</f>
        <v>12-25РПм</v>
      </c>
      <c r="I67" s="9"/>
      <c r="J67" s="10"/>
      <c r="K67" s="11"/>
      <c r="L67" s="12"/>
      <c r="M67" s="13"/>
      <c r="N67" s="12"/>
      <c r="O67" s="12"/>
      <c r="P67" s="14"/>
    </row>
    <row r="68" spans="1:16" ht="15.6">
      <c r="A68" s="1"/>
      <c r="B68" s="15" t="s">
        <v>5</v>
      </c>
      <c r="C68" s="15"/>
      <c r="D68" s="15"/>
      <c r="E68" s="15" t="str">
        <f>E8</f>
        <v>очная</v>
      </c>
      <c r="F68" s="15"/>
      <c r="G68" s="15"/>
      <c r="H68" s="15"/>
      <c r="I68" s="1"/>
      <c r="J68" s="15"/>
      <c r="K68" s="15"/>
      <c r="L68" s="15"/>
      <c r="M68" s="15"/>
      <c r="N68" s="15"/>
      <c r="O68" s="15"/>
      <c r="P68" s="15"/>
    </row>
    <row r="69" spans="1:16" ht="15.6">
      <c r="A69" s="1"/>
      <c r="B69" s="15" t="s">
        <v>7</v>
      </c>
      <c r="C69" s="15"/>
      <c r="D69" s="15"/>
      <c r="E69" s="10">
        <f>E9</f>
        <v>1</v>
      </c>
      <c r="F69" s="10"/>
      <c r="G69" s="10"/>
      <c r="H69" s="7"/>
      <c r="I69" s="1"/>
      <c r="J69" s="15"/>
      <c r="K69" s="15"/>
      <c r="L69" s="15"/>
      <c r="M69" s="10"/>
      <c r="N69" s="10"/>
      <c r="O69" s="10"/>
      <c r="P69" s="7"/>
    </row>
    <row r="70" spans="1:16" ht="16.2" thickBot="1">
      <c r="A70" s="1"/>
      <c r="B70" s="16" t="s">
        <v>8</v>
      </c>
      <c r="C70" s="16"/>
      <c r="D70" s="16"/>
      <c r="E70" s="17">
        <f>M10+1</f>
        <v>22</v>
      </c>
      <c r="F70" s="17"/>
      <c r="G70" s="17"/>
      <c r="H70" s="18"/>
      <c r="I70" s="1"/>
      <c r="J70" s="2"/>
      <c r="K70" s="3"/>
      <c r="L70" s="4"/>
      <c r="M70" s="4"/>
      <c r="N70" s="4"/>
      <c r="O70" s="4"/>
      <c r="P70" s="5"/>
    </row>
    <row r="71" spans="1:16" ht="46.5" customHeight="1" thickTop="1" thickBot="1">
      <c r="A71" s="20" t="s">
        <v>9</v>
      </c>
      <c r="B71" s="21"/>
      <c r="C71" s="22" t="s">
        <v>10</v>
      </c>
      <c r="D71" s="23" t="s">
        <v>11</v>
      </c>
      <c r="E71" s="24" t="s">
        <v>12</v>
      </c>
      <c r="F71" s="25" t="s">
        <v>13</v>
      </c>
      <c r="G71" s="26"/>
      <c r="H71" s="27" t="s">
        <v>14</v>
      </c>
      <c r="I71" s="1"/>
      <c r="J71" s="6"/>
      <c r="K71" s="3"/>
      <c r="L71" s="4"/>
      <c r="M71" s="4"/>
      <c r="N71" s="4"/>
      <c r="O71" s="4"/>
      <c r="P71" s="7"/>
    </row>
    <row r="72" spans="1:16" ht="32.25" customHeight="1" thickTop="1">
      <c r="A72" s="28">
        <v>46048</v>
      </c>
      <c r="B72" s="29" t="s">
        <v>15</v>
      </c>
      <c r="C72" s="30" t="s">
        <v>16</v>
      </c>
      <c r="D72" s="31">
        <f>'[1]5нед'!S136</f>
        <v>0</v>
      </c>
      <c r="E72" s="32">
        <f>'[1]5нед'!T136</f>
        <v>0</v>
      </c>
      <c r="F72" s="33">
        <f>'[1]5нед'!W136</f>
        <v>0</v>
      </c>
      <c r="G72" s="34">
        <f>'[1]5нед'!X136</f>
        <v>0</v>
      </c>
      <c r="H72" s="59"/>
      <c r="I72" s="1"/>
      <c r="J72" s="8"/>
      <c r="K72" s="8"/>
      <c r="L72" s="8"/>
      <c r="M72" s="8"/>
      <c r="N72" s="8"/>
      <c r="O72" s="8"/>
      <c r="P72" s="8"/>
    </row>
    <row r="73" spans="1:16" ht="31.2">
      <c r="A73" s="38"/>
      <c r="B73" s="39"/>
      <c r="C73" s="30" t="s">
        <v>18</v>
      </c>
      <c r="D73" s="40" t="str">
        <f>'[1]5нед'!S137</f>
        <v>экзамен</v>
      </c>
      <c r="E73" s="41" t="str">
        <f>'[1]5нед'!T137</f>
        <v>Машинное обучение и анализ данных</v>
      </c>
      <c r="F73" s="42" t="str">
        <f>'[1]5нед'!W137</f>
        <v>Гришин И.Ю.</v>
      </c>
      <c r="G73" s="43" t="str">
        <f>'[1]5нед'!X137</f>
        <v>профессор, д-р наук</v>
      </c>
      <c r="H73" s="37" t="s">
        <v>17</v>
      </c>
      <c r="I73" s="9"/>
      <c r="J73" s="10"/>
      <c r="K73" s="11"/>
      <c r="L73" s="12"/>
      <c r="M73" s="13"/>
      <c r="N73" s="12"/>
      <c r="O73" s="12"/>
      <c r="P73" s="14"/>
    </row>
    <row r="74" spans="1:16" ht="31.2">
      <c r="A74" s="38"/>
      <c r="B74" s="39"/>
      <c r="C74" s="30" t="s">
        <v>19</v>
      </c>
      <c r="D74" s="40">
        <f>'[1]5нед'!S138</f>
        <v>0</v>
      </c>
      <c r="E74" s="41">
        <f>'[1]5нед'!T138</f>
        <v>0</v>
      </c>
      <c r="F74" s="42">
        <f>'[1]5нед'!W138</f>
        <v>0</v>
      </c>
      <c r="G74" s="43">
        <f>'[1]5нед'!X138</f>
        <v>0</v>
      </c>
      <c r="H74" s="44"/>
      <c r="I74" s="1"/>
      <c r="J74" s="2"/>
      <c r="K74" s="3"/>
      <c r="L74" s="4"/>
      <c r="M74" s="4"/>
      <c r="N74" s="4"/>
      <c r="O74" s="4"/>
      <c r="P74" s="5"/>
    </row>
    <row r="75" spans="1:16" ht="31.2">
      <c r="A75" s="38"/>
      <c r="B75" s="39"/>
      <c r="C75" s="30" t="s">
        <v>20</v>
      </c>
      <c r="D75" s="40">
        <f>'[1]5нед'!S139</f>
        <v>0</v>
      </c>
      <c r="E75" s="41">
        <f>'[1]5нед'!T139</f>
        <v>0</v>
      </c>
      <c r="F75" s="42">
        <f>'[1]5нед'!W139</f>
        <v>0</v>
      </c>
      <c r="G75" s="43">
        <f>'[1]5нед'!X139</f>
        <v>0</v>
      </c>
      <c r="H75" s="44"/>
      <c r="I75" s="1"/>
      <c r="J75" s="6"/>
      <c r="K75" s="3"/>
      <c r="L75" s="4"/>
      <c r="M75" s="4"/>
      <c r="N75" s="4"/>
      <c r="O75" s="4"/>
      <c r="P75" s="7"/>
    </row>
    <row r="76" spans="1:16" ht="31.2">
      <c r="A76" s="38"/>
      <c r="B76" s="39"/>
      <c r="C76" s="30" t="s">
        <v>21</v>
      </c>
      <c r="D76" s="40">
        <f>'[1]5нед'!S140</f>
        <v>0</v>
      </c>
      <c r="E76" s="41">
        <f>'[1]5нед'!T140</f>
        <v>0</v>
      </c>
      <c r="F76" s="42">
        <f>'[1]5нед'!W140</f>
        <v>0</v>
      </c>
      <c r="G76" s="43">
        <f>'[1]5нед'!X140</f>
        <v>0</v>
      </c>
      <c r="H76" s="44"/>
      <c r="I76" s="1"/>
      <c r="J76" s="8"/>
      <c r="K76" s="8"/>
      <c r="L76" s="8"/>
      <c r="M76" s="8"/>
      <c r="N76" s="8"/>
      <c r="O76" s="8"/>
      <c r="P76" s="8"/>
    </row>
    <row r="77" spans="1:16" ht="31.2">
      <c r="A77" s="38"/>
      <c r="B77" s="39"/>
      <c r="C77" s="30" t="s">
        <v>22</v>
      </c>
      <c r="D77" s="40">
        <f>'[1]5нед'!S141</f>
        <v>0</v>
      </c>
      <c r="E77" s="41">
        <f>'[1]5нед'!T141</f>
        <v>0</v>
      </c>
      <c r="F77" s="42">
        <f>'[1]5нед'!W141</f>
        <v>0</v>
      </c>
      <c r="G77" s="43">
        <f>'[1]5нед'!X141</f>
        <v>0</v>
      </c>
      <c r="H77" s="44"/>
      <c r="I77" s="9"/>
      <c r="J77" s="10"/>
      <c r="K77" s="11"/>
      <c r="L77" s="12"/>
      <c r="M77" s="13"/>
      <c r="N77" s="12"/>
      <c r="O77" s="12"/>
      <c r="P77" s="14"/>
    </row>
    <row r="78" spans="1:16" ht="31.8" thickBot="1">
      <c r="A78" s="38"/>
      <c r="B78" s="39"/>
      <c r="C78" s="30" t="s">
        <v>23</v>
      </c>
      <c r="D78" s="40">
        <f>'[1]5нед'!S142</f>
        <v>0</v>
      </c>
      <c r="E78" s="41">
        <f>'[1]5нед'!T142</f>
        <v>0</v>
      </c>
      <c r="F78" s="42">
        <f>'[1]5нед'!W142</f>
        <v>0</v>
      </c>
      <c r="G78" s="43">
        <f>'[1]5нед'!X142</f>
        <v>0</v>
      </c>
      <c r="H78" s="44"/>
      <c r="I78" s="1"/>
      <c r="J78" s="2"/>
      <c r="K78" s="3"/>
      <c r="L78" s="4"/>
      <c r="M78" s="4"/>
      <c r="N78" s="4"/>
      <c r="O78" s="4"/>
      <c r="P78" s="5"/>
    </row>
    <row r="79" spans="1:16" ht="18.45" hidden="1" customHeight="1" thickBot="1">
      <c r="A79" s="48"/>
      <c r="B79" s="49"/>
      <c r="C79" s="50"/>
      <c r="D79" s="51">
        <f>'[1]5нед'!S143</f>
        <v>0</v>
      </c>
      <c r="E79" s="52">
        <f>'[1]5нед'!T143</f>
        <v>0</v>
      </c>
      <c r="F79" s="53">
        <f>'[1]5нед'!W143</f>
        <v>0</v>
      </c>
      <c r="G79" s="54">
        <f>'[1]5нед'!X143</f>
        <v>0</v>
      </c>
      <c r="H79" s="55"/>
      <c r="I79" s="1"/>
      <c r="J79" s="6"/>
      <c r="K79" s="3"/>
      <c r="L79" s="4"/>
      <c r="M79" s="4"/>
      <c r="N79" s="4"/>
      <c r="O79" s="4"/>
      <c r="P79" s="7"/>
    </row>
    <row r="80" spans="1:16" ht="32.25" customHeight="1" thickTop="1">
      <c r="A80" s="28">
        <v>46049</v>
      </c>
      <c r="B80" s="29" t="s">
        <v>24</v>
      </c>
      <c r="C80" s="58" t="s">
        <v>16</v>
      </c>
      <c r="D80" s="31">
        <f>'[1]5нед'!S144</f>
        <v>0</v>
      </c>
      <c r="E80" s="32">
        <f>'[1]5нед'!T144</f>
        <v>0</v>
      </c>
      <c r="F80" s="33">
        <f>'[1]5нед'!W144</f>
        <v>0</v>
      </c>
      <c r="G80" s="34">
        <f>'[1]5нед'!X144</f>
        <v>0</v>
      </c>
      <c r="H80" s="35"/>
      <c r="I80" s="1"/>
      <c r="J80" s="8"/>
      <c r="K80" s="8"/>
      <c r="L80" s="8"/>
      <c r="M80" s="8"/>
      <c r="N80" s="8"/>
      <c r="O80" s="8"/>
      <c r="P80" s="8"/>
    </row>
    <row r="81" spans="1:16" ht="31.2">
      <c r="A81" s="38"/>
      <c r="B81" s="39"/>
      <c r="C81" s="30" t="s">
        <v>18</v>
      </c>
      <c r="D81" s="40" t="str">
        <f>'[1]5нед'!S145</f>
        <v>конс</v>
      </c>
      <c r="E81" s="41" t="str">
        <f>'[1]5нед'!T145</f>
        <v>Теория систем и системный анализ</v>
      </c>
      <c r="F81" s="42" t="str">
        <f>'[1]5нед'!W145</f>
        <v>Гришин И.Ю.</v>
      </c>
      <c r="G81" s="43" t="str">
        <f>'[1]5нед'!X145</f>
        <v>профессор, д-р наук</v>
      </c>
      <c r="H81" s="37" t="s">
        <v>17</v>
      </c>
      <c r="I81" s="9"/>
      <c r="J81" s="10"/>
      <c r="K81" s="11"/>
      <c r="L81" s="12"/>
      <c r="M81" s="13"/>
      <c r="N81" s="12"/>
      <c r="O81" s="12"/>
      <c r="P81" s="14"/>
    </row>
    <row r="82" spans="1:16" ht="31.2">
      <c r="A82" s="38"/>
      <c r="B82" s="39"/>
      <c r="C82" s="30" t="s">
        <v>19</v>
      </c>
      <c r="D82" s="40">
        <f>'[1]5нед'!S146</f>
        <v>0</v>
      </c>
      <c r="E82" s="41">
        <f>'[1]5нед'!T146</f>
        <v>0</v>
      </c>
      <c r="F82" s="42">
        <f>'[1]5нед'!W146</f>
        <v>0</v>
      </c>
      <c r="G82" s="43">
        <f>'[1]5нед'!X146</f>
        <v>0</v>
      </c>
      <c r="H82" s="47"/>
      <c r="I82" s="1"/>
      <c r="J82" s="2"/>
      <c r="K82" s="3"/>
      <c r="L82" s="4"/>
      <c r="M82" s="4"/>
      <c r="N82" s="4"/>
      <c r="O82" s="4"/>
      <c r="P82" s="5"/>
    </row>
    <row r="83" spans="1:16" ht="53.7" customHeight="1">
      <c r="A83" s="38"/>
      <c r="B83" s="39"/>
      <c r="C83" s="30" t="s">
        <v>20</v>
      </c>
      <c r="D83" s="40">
        <f>'[1]5нед'!S147</f>
        <v>0</v>
      </c>
      <c r="E83" s="41">
        <f>'[1]5нед'!T147</f>
        <v>0</v>
      </c>
      <c r="F83" s="42">
        <f>'[1]5нед'!W147</f>
        <v>0</v>
      </c>
      <c r="G83" s="43">
        <f>'[1]5нед'!X147</f>
        <v>0</v>
      </c>
      <c r="H83" s="47"/>
      <c r="I83" s="1"/>
      <c r="J83" s="6"/>
      <c r="K83" s="3"/>
      <c r="L83" s="4"/>
      <c r="M83" s="4"/>
      <c r="N83" s="4"/>
      <c r="O83" s="4"/>
      <c r="P83" s="7"/>
    </row>
    <row r="84" spans="1:16" ht="31.2">
      <c r="A84" s="38"/>
      <c r="B84" s="39"/>
      <c r="C84" s="30" t="s">
        <v>21</v>
      </c>
      <c r="D84" s="40">
        <f>'[1]5нед'!S148</f>
        <v>0</v>
      </c>
      <c r="E84" s="41">
        <f>'[1]5нед'!T148</f>
        <v>0</v>
      </c>
      <c r="F84" s="42">
        <f>'[1]5нед'!W148</f>
        <v>0</v>
      </c>
      <c r="G84" s="43">
        <f>'[1]5нед'!X148</f>
        <v>0</v>
      </c>
      <c r="H84" s="44"/>
      <c r="I84" s="1"/>
      <c r="J84" s="8"/>
      <c r="K84" s="8"/>
      <c r="L84" s="8"/>
      <c r="M84" s="8"/>
      <c r="N84" s="8"/>
      <c r="O84" s="8"/>
      <c r="P84" s="8"/>
    </row>
    <row r="85" spans="1:16" ht="31.2">
      <c r="A85" s="38"/>
      <c r="B85" s="39"/>
      <c r="C85" s="30" t="s">
        <v>22</v>
      </c>
      <c r="D85" s="40">
        <f>'[1]5нед'!S149</f>
        <v>0</v>
      </c>
      <c r="E85" s="41">
        <f>'[1]5нед'!T149</f>
        <v>0</v>
      </c>
      <c r="F85" s="42">
        <f>'[1]5нед'!W149</f>
        <v>0</v>
      </c>
      <c r="G85" s="43">
        <f>'[1]5нед'!X149</f>
        <v>0</v>
      </c>
      <c r="H85" s="44"/>
      <c r="I85" s="9"/>
      <c r="J85" s="10"/>
      <c r="K85" s="11"/>
      <c r="L85" s="12"/>
      <c r="M85" s="13"/>
      <c r="N85" s="12"/>
      <c r="O85" s="12"/>
      <c r="P85" s="14"/>
    </row>
    <row r="86" spans="1:16" ht="31.8" thickBot="1">
      <c r="A86" s="38"/>
      <c r="B86" s="39"/>
      <c r="C86" s="30" t="s">
        <v>23</v>
      </c>
      <c r="D86" s="40">
        <f>'[1]5нед'!S150</f>
        <v>0</v>
      </c>
      <c r="E86" s="41">
        <f>'[1]5нед'!T150</f>
        <v>0</v>
      </c>
      <c r="F86" s="42">
        <f>'[1]5нед'!W150</f>
        <v>0</v>
      </c>
      <c r="G86" s="43">
        <f>'[1]5нед'!X150</f>
        <v>0</v>
      </c>
      <c r="H86" s="44"/>
      <c r="I86" s="1"/>
      <c r="J86" s="2"/>
      <c r="K86" s="3"/>
      <c r="L86" s="4"/>
      <c r="M86" s="4"/>
      <c r="N86" s="4"/>
      <c r="O86" s="4"/>
      <c r="P86" s="5"/>
    </row>
    <row r="87" spans="1:16" ht="18.45" hidden="1" customHeight="1" thickBot="1">
      <c r="A87" s="48"/>
      <c r="B87" s="49"/>
      <c r="C87" s="50"/>
      <c r="D87" s="51">
        <f>'[1]5нед'!S151</f>
        <v>0</v>
      </c>
      <c r="E87" s="52">
        <f>'[1]5нед'!T151</f>
        <v>0</v>
      </c>
      <c r="F87" s="53">
        <f>'[1]5нед'!W151</f>
        <v>0</v>
      </c>
      <c r="G87" s="54">
        <f>'[1]5нед'!X151</f>
        <v>0</v>
      </c>
      <c r="H87" s="55"/>
      <c r="I87" s="1"/>
      <c r="J87" s="6"/>
      <c r="K87" s="3"/>
      <c r="L87" s="4"/>
      <c r="M87" s="4"/>
      <c r="N87" s="4"/>
      <c r="O87" s="4"/>
      <c r="P87" s="7"/>
    </row>
    <row r="88" spans="1:16" ht="48" customHeight="1" thickTop="1">
      <c r="A88" s="28">
        <v>46050</v>
      </c>
      <c r="B88" s="60" t="s">
        <v>25</v>
      </c>
      <c r="C88" s="58" t="s">
        <v>16</v>
      </c>
      <c r="D88" s="31">
        <f>'[1]5нед'!S152</f>
        <v>0</v>
      </c>
      <c r="E88" s="32">
        <f>'[1]5нед'!T152</f>
        <v>0</v>
      </c>
      <c r="F88" s="33">
        <f>'[1]5нед'!W152</f>
        <v>0</v>
      </c>
      <c r="G88" s="34">
        <f>'[1]5нед'!X152</f>
        <v>0</v>
      </c>
      <c r="H88" s="35"/>
      <c r="I88" s="1"/>
      <c r="J88" s="8"/>
      <c r="K88" s="8"/>
      <c r="L88" s="8"/>
      <c r="M88" s="8"/>
      <c r="N88" s="8"/>
      <c r="O88" s="8"/>
      <c r="P88" s="8"/>
    </row>
    <row r="89" spans="1:16" ht="31.2">
      <c r="A89" s="38"/>
      <c r="B89" s="62"/>
      <c r="C89" s="30" t="s">
        <v>18</v>
      </c>
      <c r="D89" s="40">
        <f>'[1]5нед'!S153</f>
        <v>0</v>
      </c>
      <c r="E89" s="41">
        <f>'[1]5нед'!T153</f>
        <v>0</v>
      </c>
      <c r="F89" s="42">
        <f>'[1]5нед'!W153</f>
        <v>0</v>
      </c>
      <c r="G89" s="43">
        <f>'[1]5нед'!X153</f>
        <v>0</v>
      </c>
      <c r="H89" s="44"/>
      <c r="I89" s="9"/>
      <c r="J89" s="10"/>
      <c r="K89" s="11"/>
      <c r="L89" s="12"/>
      <c r="M89" s="13"/>
      <c r="N89" s="12"/>
      <c r="O89" s="12"/>
      <c r="P89" s="14"/>
    </row>
    <row r="90" spans="1:16" ht="35.700000000000003" customHeight="1">
      <c r="A90" s="38"/>
      <c r="B90" s="62"/>
      <c r="C90" s="30" t="s">
        <v>19</v>
      </c>
      <c r="D90" s="40">
        <f>'[1]5нед'!S154</f>
        <v>0</v>
      </c>
      <c r="E90" s="41">
        <f>'[1]5нед'!T154</f>
        <v>0</v>
      </c>
      <c r="F90" s="42">
        <f>'[1]5нед'!W154</f>
        <v>0</v>
      </c>
      <c r="G90" s="43">
        <f>'[1]5нед'!X154</f>
        <v>0</v>
      </c>
      <c r="H90" s="47"/>
      <c r="I90" s="1"/>
      <c r="J90" s="2"/>
      <c r="K90" s="3"/>
      <c r="L90" s="4"/>
      <c r="M90" s="4"/>
      <c r="N90" s="4"/>
      <c r="O90" s="4"/>
      <c r="P90" s="5"/>
    </row>
    <row r="91" spans="1:16" ht="31.2">
      <c r="A91" s="38"/>
      <c r="B91" s="62"/>
      <c r="C91" s="30" t="s">
        <v>20</v>
      </c>
      <c r="D91" s="40">
        <f>'[1]5нед'!S155</f>
        <v>0</v>
      </c>
      <c r="E91" s="41">
        <f>'[1]5нед'!T155</f>
        <v>0</v>
      </c>
      <c r="F91" s="42">
        <f>'[1]5нед'!W155</f>
        <v>0</v>
      </c>
      <c r="G91" s="43">
        <f>'[1]5нед'!X155</f>
        <v>0</v>
      </c>
      <c r="H91" s="47"/>
      <c r="I91" s="1"/>
      <c r="J91" s="6"/>
      <c r="K91" s="3"/>
      <c r="L91" s="4"/>
      <c r="M91" s="4"/>
      <c r="N91" s="4"/>
      <c r="O91" s="4"/>
      <c r="P91" s="7"/>
    </row>
    <row r="92" spans="1:16" ht="31.2">
      <c r="A92" s="38"/>
      <c r="B92" s="62"/>
      <c r="C92" s="30" t="s">
        <v>21</v>
      </c>
      <c r="D92" s="40">
        <f>'[1]5нед'!S156</f>
        <v>0</v>
      </c>
      <c r="E92" s="41">
        <f>'[1]5нед'!T156</f>
        <v>0</v>
      </c>
      <c r="F92" s="42">
        <f>'[1]5нед'!W156</f>
        <v>0</v>
      </c>
      <c r="G92" s="43">
        <f>'[1]5нед'!X156</f>
        <v>0</v>
      </c>
      <c r="H92" s="44"/>
      <c r="I92" s="1"/>
      <c r="J92" s="8"/>
      <c r="K92" s="8"/>
      <c r="L92" s="8"/>
      <c r="M92" s="8"/>
      <c r="N92" s="8"/>
      <c r="O92" s="8"/>
      <c r="P92" s="8"/>
    </row>
    <row r="93" spans="1:16" ht="31.2">
      <c r="A93" s="38"/>
      <c r="B93" s="62"/>
      <c r="C93" s="30" t="s">
        <v>22</v>
      </c>
      <c r="D93" s="40">
        <f>'[1]5нед'!S157</f>
        <v>0</v>
      </c>
      <c r="E93" s="41">
        <f>'[1]5нед'!T157</f>
        <v>0</v>
      </c>
      <c r="F93" s="42">
        <f>'[1]5нед'!W157</f>
        <v>0</v>
      </c>
      <c r="G93" s="43">
        <f>'[1]5нед'!X157</f>
        <v>0</v>
      </c>
      <c r="H93" s="44"/>
      <c r="I93" s="9"/>
      <c r="J93" s="10"/>
      <c r="K93" s="11"/>
      <c r="L93" s="12"/>
      <c r="M93" s="13"/>
      <c r="N93" s="12"/>
      <c r="O93" s="12"/>
      <c r="P93" s="14"/>
    </row>
    <row r="94" spans="1:16" ht="31.8" thickBot="1">
      <c r="A94" s="38"/>
      <c r="B94" s="62"/>
      <c r="C94" s="30" t="s">
        <v>23</v>
      </c>
      <c r="D94" s="40">
        <f>'[1]5нед'!S158</f>
        <v>0</v>
      </c>
      <c r="E94" s="41">
        <f>'[1]5нед'!T158</f>
        <v>0</v>
      </c>
      <c r="F94" s="42">
        <f>'[1]5нед'!W158</f>
        <v>0</v>
      </c>
      <c r="G94" s="43">
        <f>'[1]5нед'!X158</f>
        <v>0</v>
      </c>
      <c r="H94" s="44"/>
      <c r="I94" s="1"/>
      <c r="J94" s="2"/>
      <c r="K94" s="3"/>
      <c r="L94" s="4"/>
      <c r="M94" s="4"/>
      <c r="N94" s="4"/>
      <c r="O94" s="4"/>
      <c r="P94" s="5"/>
    </row>
    <row r="95" spans="1:16" ht="18.45" hidden="1" customHeight="1" thickBot="1">
      <c r="A95" s="48"/>
      <c r="B95" s="64"/>
      <c r="C95" s="50"/>
      <c r="D95" s="51">
        <f>'[1]5нед'!S159</f>
        <v>0</v>
      </c>
      <c r="E95" s="52">
        <f>'[1]5нед'!T159</f>
        <v>0</v>
      </c>
      <c r="F95" s="53">
        <f>'[1]5нед'!W159</f>
        <v>0</v>
      </c>
      <c r="G95" s="54">
        <f>'[1]5нед'!X159</f>
        <v>0</v>
      </c>
      <c r="H95" s="55"/>
      <c r="I95" s="1"/>
      <c r="J95" s="6"/>
      <c r="K95" s="3"/>
      <c r="L95" s="4"/>
      <c r="M95" s="4"/>
      <c r="N95" s="4"/>
      <c r="O95" s="4"/>
      <c r="P95" s="7"/>
    </row>
    <row r="96" spans="1:16" ht="48" customHeight="1" thickTop="1">
      <c r="A96" s="28">
        <v>46051</v>
      </c>
      <c r="B96" s="29" t="s">
        <v>26</v>
      </c>
      <c r="C96" s="58" t="s">
        <v>16</v>
      </c>
      <c r="D96" s="31">
        <f>'[1]5нед'!S160</f>
        <v>0</v>
      </c>
      <c r="E96" s="32">
        <f>'[1]5нед'!T160</f>
        <v>0</v>
      </c>
      <c r="F96" s="33">
        <f>'[1]5нед'!W160</f>
        <v>0</v>
      </c>
      <c r="G96" s="34">
        <f>'[1]5нед'!X160</f>
        <v>0</v>
      </c>
      <c r="H96" s="35"/>
      <c r="I96" s="1"/>
      <c r="J96" s="8"/>
      <c r="K96" s="8"/>
      <c r="L96" s="8"/>
      <c r="M96" s="8"/>
      <c r="N96" s="8"/>
      <c r="O96" s="8"/>
      <c r="P96" s="8"/>
    </row>
    <row r="97" spans="1:16" ht="31.2">
      <c r="A97" s="38"/>
      <c r="B97" s="39"/>
      <c r="C97" s="30" t="s">
        <v>18</v>
      </c>
      <c r="D97" s="40">
        <f>'[1]5нед'!S161</f>
        <v>0</v>
      </c>
      <c r="E97" s="41">
        <f>'[1]5нед'!T161</f>
        <v>0</v>
      </c>
      <c r="F97" s="42">
        <f>'[1]5нед'!W161</f>
        <v>0</v>
      </c>
      <c r="G97" s="43">
        <f>'[1]5нед'!X161</f>
        <v>0</v>
      </c>
      <c r="H97" s="47"/>
      <c r="I97" s="9"/>
      <c r="J97" s="10"/>
      <c r="K97" s="11"/>
      <c r="L97" s="12"/>
      <c r="M97" s="13"/>
      <c r="N97" s="12"/>
      <c r="O97" s="12"/>
      <c r="P97" s="14"/>
    </row>
    <row r="98" spans="1:16" ht="31.2">
      <c r="A98" s="38"/>
      <c r="B98" s="39"/>
      <c r="C98" s="30" t="s">
        <v>19</v>
      </c>
      <c r="D98" s="40">
        <f>'[1]5нед'!S162</f>
        <v>0</v>
      </c>
      <c r="E98" s="41">
        <f>'[1]5нед'!T162</f>
        <v>0</v>
      </c>
      <c r="F98" s="42">
        <f>'[1]5нед'!W162</f>
        <v>0</v>
      </c>
      <c r="G98" s="43">
        <f>'[1]5нед'!X162</f>
        <v>0</v>
      </c>
      <c r="H98" s="47"/>
      <c r="I98" s="1"/>
      <c r="J98" s="2"/>
      <c r="K98" s="3"/>
      <c r="L98" s="4"/>
      <c r="M98" s="4"/>
      <c r="N98" s="4"/>
      <c r="O98" s="4"/>
      <c r="P98" s="5"/>
    </row>
    <row r="99" spans="1:16" ht="31.2">
      <c r="A99" s="38"/>
      <c r="B99" s="39"/>
      <c r="C99" s="30" t="s">
        <v>20</v>
      </c>
      <c r="D99" s="40">
        <f>'[1]5нед'!S163</f>
        <v>0</v>
      </c>
      <c r="E99" s="41">
        <f>'[1]5нед'!T163</f>
        <v>0</v>
      </c>
      <c r="F99" s="42">
        <f>'[1]5нед'!W163</f>
        <v>0</v>
      </c>
      <c r="G99" s="43">
        <f>'[1]5нед'!X163</f>
        <v>0</v>
      </c>
      <c r="H99" s="47"/>
      <c r="I99" s="1"/>
      <c r="J99" s="6"/>
      <c r="K99" s="3"/>
      <c r="L99" s="4"/>
      <c r="M99" s="4"/>
      <c r="N99" s="4"/>
      <c r="O99" s="4"/>
      <c r="P99" s="7"/>
    </row>
    <row r="100" spans="1:16" ht="31.2">
      <c r="A100" s="38"/>
      <c r="B100" s="39"/>
      <c r="C100" s="30" t="s">
        <v>21</v>
      </c>
      <c r="D100" s="40">
        <f>'[1]5нед'!S164</f>
        <v>0</v>
      </c>
      <c r="E100" s="41">
        <f>'[1]5нед'!T164</f>
        <v>0</v>
      </c>
      <c r="F100" s="42">
        <f>'[1]5нед'!W164</f>
        <v>0</v>
      </c>
      <c r="G100" s="43">
        <f>'[1]5нед'!X164</f>
        <v>0</v>
      </c>
      <c r="H100" s="44"/>
      <c r="I100" s="1"/>
      <c r="J100" s="8"/>
      <c r="K100" s="8"/>
      <c r="L100" s="8"/>
      <c r="M100" s="8"/>
      <c r="N100" s="8"/>
      <c r="O100" s="8"/>
      <c r="P100" s="8"/>
    </row>
    <row r="101" spans="1:16" ht="31.2">
      <c r="A101" s="38"/>
      <c r="B101" s="39"/>
      <c r="C101" s="30" t="s">
        <v>22</v>
      </c>
      <c r="D101" s="40">
        <f>'[1]5нед'!S165</f>
        <v>0</v>
      </c>
      <c r="E101" s="41">
        <f>'[1]5нед'!T165</f>
        <v>0</v>
      </c>
      <c r="F101" s="42">
        <f>'[1]5нед'!W165</f>
        <v>0</v>
      </c>
      <c r="G101" s="43">
        <f>'[1]5нед'!X165</f>
        <v>0</v>
      </c>
      <c r="H101" s="44"/>
      <c r="I101" s="9"/>
      <c r="J101" s="10"/>
      <c r="K101" s="11"/>
      <c r="L101" s="12"/>
      <c r="M101" s="13"/>
      <c r="N101" s="12"/>
      <c r="O101" s="12"/>
      <c r="P101" s="14"/>
    </row>
    <row r="102" spans="1:16" ht="31.8" thickBot="1">
      <c r="A102" s="38"/>
      <c r="B102" s="39"/>
      <c r="C102" s="30" t="s">
        <v>23</v>
      </c>
      <c r="D102" s="40">
        <f>'[1]5нед'!S166</f>
        <v>0</v>
      </c>
      <c r="E102" s="41">
        <f>'[1]5нед'!T166</f>
        <v>0</v>
      </c>
      <c r="F102" s="42">
        <f>'[1]5нед'!W166</f>
        <v>0</v>
      </c>
      <c r="G102" s="43">
        <f>'[1]5нед'!X166</f>
        <v>0</v>
      </c>
      <c r="H102" s="44"/>
      <c r="I102" s="1"/>
      <c r="J102" s="2"/>
      <c r="K102" s="3"/>
      <c r="L102" s="4"/>
      <c r="M102" s="4"/>
      <c r="N102" s="4"/>
      <c r="O102" s="4"/>
      <c r="P102" s="5"/>
    </row>
    <row r="103" spans="1:16" ht="18.45" hidden="1" customHeight="1" thickBot="1">
      <c r="A103" s="48"/>
      <c r="B103" s="49"/>
      <c r="C103" s="50"/>
      <c r="D103" s="51">
        <f>'[1]5нед'!S167</f>
        <v>0</v>
      </c>
      <c r="E103" s="52">
        <f>'[1]5нед'!T167</f>
        <v>0</v>
      </c>
      <c r="F103" s="53">
        <f>'[1]5нед'!W167</f>
        <v>0</v>
      </c>
      <c r="G103" s="54">
        <f>'[1]5нед'!X167</f>
        <v>0</v>
      </c>
      <c r="H103" s="55"/>
      <c r="I103" s="1"/>
      <c r="J103" s="6"/>
      <c r="K103" s="3"/>
      <c r="L103" s="4"/>
      <c r="M103" s="4"/>
      <c r="N103" s="4"/>
      <c r="O103" s="4"/>
      <c r="P103" s="7"/>
    </row>
    <row r="104" spans="1:16" ht="48" customHeight="1" thickTop="1">
      <c r="A104" s="28">
        <v>46052</v>
      </c>
      <c r="B104" s="29" t="s">
        <v>28</v>
      </c>
      <c r="C104" s="58" t="s">
        <v>16</v>
      </c>
      <c r="D104" s="31">
        <f>'[1]5нед'!S168</f>
        <v>0</v>
      </c>
      <c r="E104" s="32">
        <f>'[1]5нед'!T168</f>
        <v>0</v>
      </c>
      <c r="F104" s="33">
        <f>'[1]5нед'!W168</f>
        <v>0</v>
      </c>
      <c r="G104" s="34">
        <f>'[1]5нед'!X168</f>
        <v>0</v>
      </c>
      <c r="H104" s="35"/>
      <c r="I104" s="1"/>
      <c r="J104" s="8"/>
      <c r="K104" s="8"/>
      <c r="L104" s="8"/>
      <c r="M104" s="8"/>
      <c r="N104" s="8"/>
      <c r="O104" s="8"/>
      <c r="P104" s="8"/>
    </row>
    <row r="105" spans="1:16" ht="31.2">
      <c r="A105" s="38"/>
      <c r="B105" s="39"/>
      <c r="C105" s="30" t="s">
        <v>18</v>
      </c>
      <c r="D105" s="40" t="str">
        <f>'[1]5нед'!S169</f>
        <v>экзамен</v>
      </c>
      <c r="E105" s="41" t="str">
        <f>'[1]5нед'!T169</f>
        <v>Теория систем и системный анализ</v>
      </c>
      <c r="F105" s="42" t="str">
        <f>'[1]5нед'!W169</f>
        <v>Гришин И.Ю.</v>
      </c>
      <c r="G105" s="43" t="str">
        <f>'[1]5нед'!X169</f>
        <v>профессор, д-р наук</v>
      </c>
      <c r="H105" s="37" t="s">
        <v>17</v>
      </c>
      <c r="I105" s="9"/>
      <c r="J105" s="10"/>
      <c r="K105" s="11"/>
      <c r="L105" s="12"/>
      <c r="M105" s="13"/>
      <c r="N105" s="12"/>
      <c r="O105" s="12"/>
      <c r="P105" s="14"/>
    </row>
    <row r="106" spans="1:16" ht="31.2">
      <c r="A106" s="38"/>
      <c r="B106" s="39"/>
      <c r="C106" s="30" t="s">
        <v>19</v>
      </c>
      <c r="D106" s="40">
        <f>'[1]5нед'!S170</f>
        <v>0</v>
      </c>
      <c r="E106" s="41">
        <f>'[1]5нед'!T170</f>
        <v>0</v>
      </c>
      <c r="F106" s="42">
        <f>'[1]5нед'!W170</f>
        <v>0</v>
      </c>
      <c r="G106" s="43">
        <f>'[1]5нед'!X170</f>
        <v>0</v>
      </c>
      <c r="H106" s="47"/>
      <c r="I106" s="1"/>
      <c r="J106" s="2"/>
      <c r="K106" s="3"/>
      <c r="L106" s="4"/>
      <c r="M106" s="4"/>
      <c r="N106" s="4"/>
      <c r="O106" s="4"/>
      <c r="P106" s="5"/>
    </row>
    <row r="107" spans="1:16" ht="31.2">
      <c r="A107" s="38"/>
      <c r="B107" s="39"/>
      <c r="C107" s="30" t="s">
        <v>20</v>
      </c>
      <c r="D107" s="40">
        <f>'[1]5нед'!S171</f>
        <v>0</v>
      </c>
      <c r="E107" s="41">
        <f>'[1]5нед'!T171</f>
        <v>0</v>
      </c>
      <c r="F107" s="42">
        <f>'[1]5нед'!W171</f>
        <v>0</v>
      </c>
      <c r="G107" s="43">
        <f>'[1]5нед'!X171</f>
        <v>0</v>
      </c>
      <c r="H107" s="44"/>
      <c r="I107" s="1"/>
      <c r="J107" s="6"/>
      <c r="K107" s="3"/>
      <c r="L107" s="4"/>
      <c r="M107" s="4"/>
      <c r="N107" s="4"/>
      <c r="O107" s="4"/>
      <c r="P107" s="7"/>
    </row>
    <row r="108" spans="1:16" ht="31.2">
      <c r="A108" s="38"/>
      <c r="B108" s="39"/>
      <c r="C108" s="30" t="s">
        <v>21</v>
      </c>
      <c r="D108" s="40">
        <f>'[1]5нед'!S172</f>
        <v>0</v>
      </c>
      <c r="E108" s="41">
        <f>'[1]5нед'!T172</f>
        <v>0</v>
      </c>
      <c r="F108" s="42">
        <f>'[1]5нед'!W172</f>
        <v>0</v>
      </c>
      <c r="G108" s="43">
        <f>'[1]5нед'!X172</f>
        <v>0</v>
      </c>
      <c r="H108" s="44"/>
      <c r="I108" s="1"/>
      <c r="J108" s="8"/>
      <c r="K108" s="8"/>
      <c r="L108" s="8"/>
      <c r="M108" s="8"/>
      <c r="N108" s="8"/>
      <c r="O108" s="8"/>
      <c r="P108" s="8"/>
    </row>
    <row r="109" spans="1:16" ht="31.2">
      <c r="A109" s="38"/>
      <c r="B109" s="39"/>
      <c r="C109" s="30" t="s">
        <v>22</v>
      </c>
      <c r="D109" s="40">
        <f>'[1]5нед'!S173</f>
        <v>0</v>
      </c>
      <c r="E109" s="41">
        <f>'[1]5нед'!T173</f>
        <v>0</v>
      </c>
      <c r="F109" s="42">
        <f>'[1]5нед'!W173</f>
        <v>0</v>
      </c>
      <c r="G109" s="43">
        <f>'[1]5нед'!X173</f>
        <v>0</v>
      </c>
      <c r="H109" s="44"/>
      <c r="I109" s="9"/>
      <c r="J109" s="10"/>
      <c r="K109" s="11"/>
      <c r="L109" s="12"/>
      <c r="M109" s="13"/>
      <c r="N109" s="12"/>
      <c r="O109" s="12"/>
      <c r="P109" s="14"/>
    </row>
    <row r="110" spans="1:16" ht="31.8" thickBot="1">
      <c r="A110" s="38"/>
      <c r="B110" s="39"/>
      <c r="C110" s="30" t="s">
        <v>23</v>
      </c>
      <c r="D110" s="40">
        <f>'[1]5нед'!S174</f>
        <v>0</v>
      </c>
      <c r="E110" s="41">
        <f>'[1]5нед'!T174</f>
        <v>0</v>
      </c>
      <c r="F110" s="42">
        <f>'[1]5нед'!W174</f>
        <v>0</v>
      </c>
      <c r="G110" s="43">
        <f>'[1]5нед'!X174</f>
        <v>0</v>
      </c>
      <c r="H110" s="44"/>
      <c r="I110" s="1"/>
      <c r="J110" s="2"/>
      <c r="K110" s="3"/>
      <c r="L110" s="4"/>
      <c r="M110" s="4"/>
      <c r="N110" s="4"/>
      <c r="O110" s="4"/>
      <c r="P110" s="5"/>
    </row>
    <row r="111" spans="1:16" ht="18.45" hidden="1" customHeight="1" thickBot="1">
      <c r="A111" s="48"/>
      <c r="B111" s="49"/>
      <c r="C111" s="50"/>
      <c r="D111" s="51">
        <f>'[1]5нед'!S175</f>
        <v>0</v>
      </c>
      <c r="E111" s="52">
        <f>'[1]5нед'!T175</f>
        <v>0</v>
      </c>
      <c r="F111" s="53">
        <f>'[1]5нед'!W175</f>
        <v>0</v>
      </c>
      <c r="G111" s="54">
        <f>'[1]5нед'!X175</f>
        <v>0</v>
      </c>
      <c r="H111" s="55"/>
      <c r="I111" s="1"/>
      <c r="J111" s="6"/>
      <c r="K111" s="3"/>
      <c r="L111" s="4"/>
      <c r="M111" s="4"/>
      <c r="N111" s="4"/>
      <c r="O111" s="4"/>
      <c r="P111" s="7"/>
    </row>
    <row r="112" spans="1:16" ht="48" customHeight="1" thickTop="1">
      <c r="A112" s="28">
        <v>46053</v>
      </c>
      <c r="B112" s="29" t="s">
        <v>31</v>
      </c>
      <c r="C112" s="58" t="s">
        <v>16</v>
      </c>
      <c r="D112" s="31">
        <f>'[1]5нед'!S176</f>
        <v>0</v>
      </c>
      <c r="E112" s="32">
        <f>'[1]5нед'!T176</f>
        <v>0</v>
      </c>
      <c r="F112" s="33">
        <f>'[1]5нед'!W176</f>
        <v>0</v>
      </c>
      <c r="G112" s="34">
        <f>'[1]5нед'!X176</f>
        <v>0</v>
      </c>
      <c r="H112" s="35"/>
      <c r="I112" s="1"/>
      <c r="J112" s="8"/>
      <c r="K112" s="8"/>
      <c r="L112" s="8"/>
      <c r="M112" s="8"/>
      <c r="N112" s="8"/>
      <c r="O112" s="8"/>
      <c r="P112" s="8"/>
    </row>
    <row r="113" spans="1:16" ht="31.2">
      <c r="A113" s="38"/>
      <c r="B113" s="39"/>
      <c r="C113" s="30" t="s">
        <v>18</v>
      </c>
      <c r="D113" s="40">
        <f>'[1]5нед'!S177</f>
        <v>0</v>
      </c>
      <c r="E113" s="41">
        <f>'[1]5нед'!T177</f>
        <v>0</v>
      </c>
      <c r="F113" s="42">
        <f>'[1]5нед'!W177</f>
        <v>0</v>
      </c>
      <c r="G113" s="43">
        <f>'[1]5нед'!X177</f>
        <v>0</v>
      </c>
      <c r="H113" s="44"/>
      <c r="I113" s="9"/>
      <c r="J113" s="10"/>
      <c r="K113" s="11"/>
      <c r="L113" s="12"/>
      <c r="M113" s="13"/>
      <c r="N113" s="12"/>
      <c r="O113" s="12"/>
      <c r="P113" s="14"/>
    </row>
    <row r="114" spans="1:16" ht="31.2">
      <c r="A114" s="38"/>
      <c r="B114" s="39"/>
      <c r="C114" s="30" t="s">
        <v>19</v>
      </c>
      <c r="D114" s="40">
        <f>'[1]5нед'!S178</f>
        <v>0</v>
      </c>
      <c r="E114" s="41">
        <f>'[1]5нед'!T178</f>
        <v>0</v>
      </c>
      <c r="F114" s="42">
        <f>'[1]5нед'!W178</f>
        <v>0</v>
      </c>
      <c r="G114" s="43">
        <f>'[1]5нед'!X178</f>
        <v>0</v>
      </c>
      <c r="H114" s="44"/>
      <c r="I114" s="1"/>
      <c r="J114" s="2"/>
      <c r="K114" s="3"/>
      <c r="L114" s="4"/>
      <c r="M114" s="4"/>
      <c r="N114" s="4"/>
      <c r="O114" s="4"/>
      <c r="P114" s="5"/>
    </row>
    <row r="115" spans="1:16" ht="31.2">
      <c r="A115" s="38"/>
      <c r="B115" s="39"/>
      <c r="C115" s="30" t="s">
        <v>20</v>
      </c>
      <c r="D115" s="40">
        <f>'[1]5нед'!S179</f>
        <v>0</v>
      </c>
      <c r="E115" s="41">
        <f>'[1]5нед'!T179</f>
        <v>0</v>
      </c>
      <c r="F115" s="42">
        <f>'[1]5нед'!W179</f>
        <v>0</v>
      </c>
      <c r="G115" s="43">
        <f>'[1]5нед'!X179</f>
        <v>0</v>
      </c>
      <c r="H115" s="44"/>
      <c r="I115" s="1"/>
      <c r="J115" s="6"/>
      <c r="K115" s="3"/>
      <c r="L115" s="4"/>
      <c r="M115" s="4"/>
      <c r="N115" s="4"/>
      <c r="O115" s="4"/>
      <c r="P115" s="7"/>
    </row>
    <row r="116" spans="1:16" ht="31.2">
      <c r="A116" s="38"/>
      <c r="B116" s="39"/>
      <c r="C116" s="30" t="s">
        <v>21</v>
      </c>
      <c r="D116" s="40">
        <f>'[1]5нед'!S180</f>
        <v>0</v>
      </c>
      <c r="E116" s="41">
        <f>'[1]5нед'!T180</f>
        <v>0</v>
      </c>
      <c r="F116" s="42">
        <f>'[1]5нед'!W180</f>
        <v>0</v>
      </c>
      <c r="G116" s="43">
        <f>'[1]5нед'!X180</f>
        <v>0</v>
      </c>
      <c r="H116" s="44"/>
      <c r="I116" s="1"/>
      <c r="J116" s="8"/>
      <c r="K116" s="8"/>
      <c r="L116" s="8"/>
      <c r="M116" s="8"/>
      <c r="N116" s="8"/>
      <c r="O116" s="8"/>
      <c r="P116" s="8"/>
    </row>
    <row r="117" spans="1:16" ht="31.2">
      <c r="A117" s="38"/>
      <c r="B117" s="39"/>
      <c r="C117" s="30" t="s">
        <v>22</v>
      </c>
      <c r="D117" s="40">
        <f>'[1]5нед'!S181</f>
        <v>0</v>
      </c>
      <c r="E117" s="41">
        <f>'[1]5нед'!T181</f>
        <v>0</v>
      </c>
      <c r="F117" s="42">
        <f>'[1]5нед'!W181</f>
        <v>0</v>
      </c>
      <c r="G117" s="43">
        <f>'[1]5нед'!X181</f>
        <v>0</v>
      </c>
      <c r="H117" s="44"/>
      <c r="I117" s="9"/>
      <c r="J117" s="10"/>
      <c r="K117" s="11"/>
      <c r="L117" s="12"/>
      <c r="M117" s="13"/>
      <c r="N117" s="12"/>
      <c r="O117" s="12"/>
      <c r="P117" s="14"/>
    </row>
    <row r="118" spans="1:16" ht="31.8" thickBot="1">
      <c r="A118" s="38"/>
      <c r="B118" s="39"/>
      <c r="C118" s="30" t="s">
        <v>23</v>
      </c>
      <c r="D118" s="40">
        <f>'[1]5нед'!S182</f>
        <v>0</v>
      </c>
      <c r="E118" s="41">
        <f>'[1]5нед'!T182</f>
        <v>0</v>
      </c>
      <c r="F118" s="42">
        <f>'[1]5нед'!W182</f>
        <v>0</v>
      </c>
      <c r="G118" s="43">
        <f>'[1]5нед'!X182</f>
        <v>0</v>
      </c>
      <c r="H118" s="44"/>
      <c r="I118" s="1"/>
      <c r="J118" s="2"/>
      <c r="K118" s="3"/>
      <c r="L118" s="4"/>
      <c r="M118" s="4"/>
      <c r="N118" s="4"/>
      <c r="O118" s="4"/>
      <c r="P118" s="5"/>
    </row>
    <row r="119" spans="1:16" ht="18.45" hidden="1" customHeight="1" thickBot="1">
      <c r="A119" s="48"/>
      <c r="B119" s="49"/>
      <c r="C119" s="50"/>
      <c r="D119" s="51">
        <f>'[1]5нед'!S59</f>
        <v>0</v>
      </c>
      <c r="E119" s="52">
        <f>'[1]5нед'!T59</f>
        <v>0</v>
      </c>
      <c r="F119" s="53">
        <f>'[1]5нед'!W59</f>
        <v>0</v>
      </c>
      <c r="G119" s="54">
        <f>'[1]5нед'!X59</f>
        <v>0</v>
      </c>
      <c r="H119" s="55"/>
      <c r="I119" s="1"/>
      <c r="J119" s="6"/>
      <c r="K119" s="3"/>
      <c r="L119" s="4"/>
      <c r="M119" s="4"/>
      <c r="N119" s="4"/>
      <c r="O119" s="4"/>
      <c r="P119" s="7"/>
    </row>
    <row r="120" spans="1:16" ht="39" customHeight="1" thickTop="1">
      <c r="A120" s="66"/>
      <c r="B120" s="67"/>
      <c r="C120" s="68"/>
      <c r="D120" s="69"/>
      <c r="E120" s="69" t="s">
        <v>32</v>
      </c>
      <c r="F120" s="69"/>
      <c r="G120" s="70" t="s">
        <v>33</v>
      </c>
      <c r="H120" s="71"/>
      <c r="I120" s="1"/>
      <c r="J120" s="8"/>
      <c r="K120" s="8"/>
      <c r="L120" s="8"/>
      <c r="M120" s="8"/>
      <c r="N120" s="8"/>
      <c r="O120" s="8"/>
      <c r="P120" s="8"/>
    </row>
  </sheetData>
  <mergeCells count="74">
    <mergeCell ref="A112:A119"/>
    <mergeCell ref="B112:B119"/>
    <mergeCell ref="J112:P112"/>
    <mergeCell ref="J116:P116"/>
    <mergeCell ref="J120:P120"/>
    <mergeCell ref="A96:A103"/>
    <mergeCell ref="B96:B103"/>
    <mergeCell ref="J96:P96"/>
    <mergeCell ref="J100:P100"/>
    <mergeCell ref="A104:A111"/>
    <mergeCell ref="B104:B111"/>
    <mergeCell ref="J104:P104"/>
    <mergeCell ref="J108:P108"/>
    <mergeCell ref="A80:A87"/>
    <mergeCell ref="B80:B87"/>
    <mergeCell ref="J80:P80"/>
    <mergeCell ref="J84:P84"/>
    <mergeCell ref="A88:A95"/>
    <mergeCell ref="B88:B95"/>
    <mergeCell ref="J88:P88"/>
    <mergeCell ref="J92:P92"/>
    <mergeCell ref="B69:D69"/>
    <mergeCell ref="J69:L69"/>
    <mergeCell ref="B70:D70"/>
    <mergeCell ref="A71:B71"/>
    <mergeCell ref="F71:G71"/>
    <mergeCell ref="A72:A79"/>
    <mergeCell ref="B72:B79"/>
    <mergeCell ref="J72:P72"/>
    <mergeCell ref="J76:P76"/>
    <mergeCell ref="B66:H66"/>
    <mergeCell ref="J66:P66"/>
    <mergeCell ref="B68:D68"/>
    <mergeCell ref="E68:H68"/>
    <mergeCell ref="J68:L68"/>
    <mergeCell ref="M68:P68"/>
    <mergeCell ref="A44:A51"/>
    <mergeCell ref="B44:B51"/>
    <mergeCell ref="I44:I51"/>
    <mergeCell ref="J44:J51"/>
    <mergeCell ref="A52:A59"/>
    <mergeCell ref="B52:B59"/>
    <mergeCell ref="I52:I59"/>
    <mergeCell ref="J52:J59"/>
    <mergeCell ref="A28:A35"/>
    <mergeCell ref="B28:B35"/>
    <mergeCell ref="I28:I35"/>
    <mergeCell ref="J28:J35"/>
    <mergeCell ref="A36:A43"/>
    <mergeCell ref="B36:B43"/>
    <mergeCell ref="I36:I43"/>
    <mergeCell ref="J36:J43"/>
    <mergeCell ref="N11:O11"/>
    <mergeCell ref="A12:A19"/>
    <mergeCell ref="B12:B19"/>
    <mergeCell ref="I12:I19"/>
    <mergeCell ref="J12:J19"/>
    <mergeCell ref="A20:A27"/>
    <mergeCell ref="B20:B27"/>
    <mergeCell ref="I20:I27"/>
    <mergeCell ref="J20:J27"/>
    <mergeCell ref="B9:D9"/>
    <mergeCell ref="J9:L9"/>
    <mergeCell ref="B10:D10"/>
    <mergeCell ref="J10:L10"/>
    <mergeCell ref="A11:B11"/>
    <mergeCell ref="F11:G11"/>
    <mergeCell ref="I11:J11"/>
    <mergeCell ref="B6:H6"/>
    <mergeCell ref="J6:P6"/>
    <mergeCell ref="B8:D8"/>
    <mergeCell ref="E8:H8"/>
    <mergeCell ref="J8:L8"/>
    <mergeCell ref="M8:P8"/>
  </mergeCells>
  <hyperlinks>
    <hyperlink ref="H14" r:id="rId1"/>
    <hyperlink ref="H20" r:id="rId2"/>
    <hyperlink ref="H30" r:id="rId3"/>
    <hyperlink ref="H73" r:id="rId4"/>
    <hyperlink ref="H81" r:id="rId5"/>
    <hyperlink ref="H105" r:id="rId6"/>
    <hyperlink ref="P21" r:id="rId7"/>
    <hyperlink ref="P12" r:id="rId8"/>
    <hyperlink ref="H37" r:id="rId9"/>
    <hyperlink ref="H45" r:id="rId10"/>
    <hyperlink ref="H46" r:id="rId11"/>
  </hyperlinks>
  <pageMargins left="0.70866141732283472" right="0.70866141732283472" top="0.74803149606299213" bottom="0.74803149606299213" header="0.31496062992125984" footer="0.31496062992125984"/>
  <pageSetup paperSize="9" scale="34" orientation="portrait" r:id="rId12"/>
  <rowBreaks count="1" manualBreakCount="1">
    <brk id="60" max="16383" man="1"/>
  </rowBreaks>
  <colBreaks count="1" manualBreakCount="1">
    <brk id="8" max="1048575" man="1"/>
  </colBreaks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12-25РПм</vt:lpstr>
      <vt:lpstr>'12-25РПм'!Область_печати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2025-12-30T18:52:05Z</dcterms:created>
  <dcterms:modified xsi:type="dcterms:W3CDTF">2025-12-30T18:52:13Z</dcterms:modified>
</cp:coreProperties>
</file>