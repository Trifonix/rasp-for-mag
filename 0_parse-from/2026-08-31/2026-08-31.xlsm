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ЭтаКнига" updateLinks="always"/>
  <bookViews>
    <workbookView windowWidth="18195" windowHeight="7245" activeTab="1"/>
  </bookViews>
  <sheets>
    <sheet name="12-26" sheetId="15" r:id="rId1"/>
    <sheet name="12-26ПИ" sheetId="34" r:id="rId2"/>
    <sheet name="12-26МИ" sheetId="35" r:id="rId3"/>
    <sheet name="12-26ФИ" sheetId="31" r:id="rId4"/>
    <sheet name="12-25ПИ" sheetId="36" r:id="rId5"/>
    <sheet name="12-24ПИ" sheetId="37" r:id="rId6"/>
    <sheet name="12-23ПИ" sheetId="32" r:id="rId7"/>
    <sheet name="12-25РПм" sheetId="38" r:id="rId8"/>
    <sheet name="12-25ПИоз" sheetId="39" r:id="rId9"/>
    <sheet name="12-25МИоз" sheetId="33" r:id="rId10"/>
    <sheet name="12-25МЭоз" sheetId="40" r:id="rId11"/>
    <sheet name="12-24ПИоз" sheetId="41" r:id="rId12"/>
    <sheet name="12-24МИоз" sheetId="42" r:id="rId13"/>
    <sheet name="12-24МЭоз" sheetId="43" r:id="rId14"/>
    <sheet name="2" sheetId="44" state="hidden" r:id="rId15"/>
  </sheets>
  <externalReferences>
    <externalReference r:id="rId16"/>
    <externalReference r:id="rId17"/>
    <externalReference r:id="rId18"/>
    <externalReference r:id="rId19"/>
  </externalReferences>
  <definedNames>
    <definedName name="абрамочкина" localSheetId="6">#REF!</definedName>
    <definedName name="абрамочкина" localSheetId="12">#REF!</definedName>
    <definedName name="абрамочкина" localSheetId="13">#REF!</definedName>
    <definedName name="абрамочкина" localSheetId="5">#REF!</definedName>
    <definedName name="абрамочкина" localSheetId="11">#REF!</definedName>
    <definedName name="абрамочкина" localSheetId="9">#REF!</definedName>
    <definedName name="абрамочкина" localSheetId="10">#REF!</definedName>
    <definedName name="абрамочкина" localSheetId="4">#REF!</definedName>
    <definedName name="абрамочкина" localSheetId="8">#REF!</definedName>
    <definedName name="абрамочкина" localSheetId="7">#REF!</definedName>
    <definedName name="абрамочкина" localSheetId="2">#REF!</definedName>
    <definedName name="абрамочкина" localSheetId="1">#REF!</definedName>
    <definedName name="абрамочкина" localSheetId="3">#REF!</definedName>
    <definedName name="абрамочкина" localSheetId="14">#REF!</definedName>
    <definedName name="абрамочкина">#REF!</definedName>
    <definedName name="б1" localSheetId="6">#REF!</definedName>
    <definedName name="б1" localSheetId="12">#REF!</definedName>
    <definedName name="б1" localSheetId="13">#REF!</definedName>
    <definedName name="б1" localSheetId="5">#REF!</definedName>
    <definedName name="б1" localSheetId="11">#REF!</definedName>
    <definedName name="б1" localSheetId="9">#REF!</definedName>
    <definedName name="б1" localSheetId="10">#REF!</definedName>
    <definedName name="б1" localSheetId="4">#REF!</definedName>
    <definedName name="б1" localSheetId="8">#REF!</definedName>
    <definedName name="б1" localSheetId="7">#REF!</definedName>
    <definedName name="б1" localSheetId="2">#REF!</definedName>
    <definedName name="б1" localSheetId="1">#REF!</definedName>
    <definedName name="б1" localSheetId="3">#REF!</definedName>
    <definedName name="б1" localSheetId="14">#REF!</definedName>
    <definedName name="б1">#REF!</definedName>
    <definedName name="б2" localSheetId="6">#REF!</definedName>
    <definedName name="б2" localSheetId="12">#REF!</definedName>
    <definedName name="б2" localSheetId="13">#REF!</definedName>
    <definedName name="б2" localSheetId="5">#REF!</definedName>
    <definedName name="б2" localSheetId="11">#REF!</definedName>
    <definedName name="б2" localSheetId="9">#REF!</definedName>
    <definedName name="б2" localSheetId="10">#REF!</definedName>
    <definedName name="б2" localSheetId="4">#REF!</definedName>
    <definedName name="б2" localSheetId="8">#REF!</definedName>
    <definedName name="б2" localSheetId="7">#REF!</definedName>
    <definedName name="б2" localSheetId="2">#REF!</definedName>
    <definedName name="б2" localSheetId="1">#REF!</definedName>
    <definedName name="б2" localSheetId="3">#REF!</definedName>
    <definedName name="б2" localSheetId="14">#REF!</definedName>
    <definedName name="б2">#REF!</definedName>
    <definedName name="выбор_кабинета" localSheetId="6">#REF!</definedName>
    <definedName name="выбор_кабинета" localSheetId="12">#REF!</definedName>
    <definedName name="выбор_кабинета" localSheetId="13">#REF!</definedName>
    <definedName name="выбор_кабинета" localSheetId="5">#REF!</definedName>
    <definedName name="выбор_кабинета" localSheetId="11">#REF!</definedName>
    <definedName name="выбор_кабинета" localSheetId="9">#REF!</definedName>
    <definedName name="выбор_кабинета" localSheetId="10">#REF!</definedName>
    <definedName name="выбор_кабинета" localSheetId="4">#REF!</definedName>
    <definedName name="выбор_кабинета" localSheetId="8">#REF!</definedName>
    <definedName name="выбор_кабинета" localSheetId="7">#REF!</definedName>
    <definedName name="выбор_кабинета" localSheetId="2">#REF!</definedName>
    <definedName name="выбор_кабинета" localSheetId="1">#REF!</definedName>
    <definedName name="выбор_кабинета" localSheetId="3">#REF!</definedName>
    <definedName name="выбор_кабинета" localSheetId="14">#REF!</definedName>
    <definedName name="выбор_кабинета">#REF!</definedName>
    <definedName name="к1" localSheetId="6">#REF!</definedName>
    <definedName name="к1" localSheetId="12">#REF!</definedName>
    <definedName name="к1" localSheetId="13">#REF!</definedName>
    <definedName name="к1" localSheetId="5">#REF!</definedName>
    <definedName name="к1" localSheetId="11">#REF!</definedName>
    <definedName name="к1" localSheetId="9">#REF!</definedName>
    <definedName name="к1" localSheetId="10">#REF!</definedName>
    <definedName name="к1" localSheetId="4">#REF!</definedName>
    <definedName name="к1" localSheetId="8">#REF!</definedName>
    <definedName name="к1" localSheetId="7">#REF!</definedName>
    <definedName name="к1" localSheetId="2">#REF!</definedName>
    <definedName name="к1" localSheetId="1">#REF!</definedName>
    <definedName name="к1" localSheetId="3">#REF!</definedName>
    <definedName name="к1" localSheetId="14">#REF!</definedName>
    <definedName name="к1">#REF!</definedName>
    <definedName name="к10" localSheetId="6">#REF!</definedName>
    <definedName name="к10" localSheetId="12">#REF!</definedName>
    <definedName name="к10" localSheetId="13">#REF!</definedName>
    <definedName name="к10" localSheetId="5">#REF!</definedName>
    <definedName name="к10" localSheetId="11">#REF!</definedName>
    <definedName name="к10" localSheetId="9">#REF!</definedName>
    <definedName name="к10" localSheetId="10">#REF!</definedName>
    <definedName name="к10" localSheetId="4">#REF!</definedName>
    <definedName name="к10" localSheetId="8">#REF!</definedName>
    <definedName name="к10" localSheetId="7">#REF!</definedName>
    <definedName name="к10" localSheetId="2">#REF!</definedName>
    <definedName name="к10" localSheetId="1">#REF!</definedName>
    <definedName name="к10" localSheetId="3">#REF!</definedName>
    <definedName name="к10" localSheetId="14">#REF!</definedName>
    <definedName name="к10">#REF!</definedName>
    <definedName name="к11" localSheetId="6">#REF!</definedName>
    <definedName name="к11" localSheetId="12">#REF!</definedName>
    <definedName name="к11" localSheetId="13">#REF!</definedName>
    <definedName name="к11" localSheetId="5">#REF!</definedName>
    <definedName name="к11" localSheetId="11">#REF!</definedName>
    <definedName name="к11" localSheetId="9">#REF!</definedName>
    <definedName name="к11" localSheetId="10">#REF!</definedName>
    <definedName name="к11" localSheetId="4">#REF!</definedName>
    <definedName name="к11" localSheetId="8">#REF!</definedName>
    <definedName name="к11" localSheetId="7">#REF!</definedName>
    <definedName name="к11" localSheetId="2">#REF!</definedName>
    <definedName name="к11" localSheetId="1">#REF!</definedName>
    <definedName name="к11" localSheetId="3">#REF!</definedName>
    <definedName name="к11" localSheetId="14">#REF!</definedName>
    <definedName name="к11">#REF!</definedName>
    <definedName name="к12" localSheetId="6">#REF!</definedName>
    <definedName name="к12" localSheetId="12">#REF!</definedName>
    <definedName name="к12" localSheetId="13">#REF!</definedName>
    <definedName name="к12" localSheetId="5">#REF!</definedName>
    <definedName name="к12" localSheetId="11">#REF!</definedName>
    <definedName name="к12" localSheetId="9">#REF!</definedName>
    <definedName name="к12" localSheetId="10">#REF!</definedName>
    <definedName name="к12" localSheetId="4">#REF!</definedName>
    <definedName name="к12" localSheetId="8">#REF!</definedName>
    <definedName name="к12" localSheetId="7">#REF!</definedName>
    <definedName name="к12" localSheetId="2">#REF!</definedName>
    <definedName name="к12" localSheetId="1">#REF!</definedName>
    <definedName name="к12" localSheetId="3">#REF!</definedName>
    <definedName name="к12" localSheetId="14">#REF!</definedName>
    <definedName name="к12">#REF!</definedName>
    <definedName name="к13" localSheetId="6">#REF!</definedName>
    <definedName name="к13" localSheetId="12">#REF!</definedName>
    <definedName name="к13" localSheetId="13">#REF!</definedName>
    <definedName name="к13" localSheetId="5">#REF!</definedName>
    <definedName name="к13" localSheetId="11">#REF!</definedName>
    <definedName name="к13" localSheetId="9">#REF!</definedName>
    <definedName name="к13" localSheetId="10">#REF!</definedName>
    <definedName name="к13" localSheetId="4">#REF!</definedName>
    <definedName name="к13" localSheetId="8">#REF!</definedName>
    <definedName name="к13" localSheetId="7">#REF!</definedName>
    <definedName name="к13" localSheetId="2">#REF!</definedName>
    <definedName name="к13" localSheetId="1">#REF!</definedName>
    <definedName name="к13" localSheetId="3">#REF!</definedName>
    <definedName name="к13" localSheetId="14">#REF!</definedName>
    <definedName name="к13">#REF!</definedName>
    <definedName name="к14" localSheetId="6">#REF!</definedName>
    <definedName name="к14" localSheetId="12">#REF!</definedName>
    <definedName name="к14" localSheetId="13">#REF!</definedName>
    <definedName name="к14" localSheetId="5">#REF!</definedName>
    <definedName name="к14" localSheetId="11">#REF!</definedName>
    <definedName name="к14" localSheetId="9">#REF!</definedName>
    <definedName name="к14" localSheetId="10">#REF!</definedName>
    <definedName name="к14" localSheetId="4">#REF!</definedName>
    <definedName name="к14" localSheetId="8">#REF!</definedName>
    <definedName name="к14" localSheetId="7">#REF!</definedName>
    <definedName name="к14" localSheetId="2">#REF!</definedName>
    <definedName name="к14" localSheetId="1">#REF!</definedName>
    <definedName name="к14" localSheetId="3">#REF!</definedName>
    <definedName name="к14" localSheetId="14">#REF!</definedName>
    <definedName name="к14">#REF!</definedName>
    <definedName name="к15" localSheetId="6">#REF!</definedName>
    <definedName name="к15" localSheetId="12">#REF!</definedName>
    <definedName name="к15" localSheetId="13">#REF!</definedName>
    <definedName name="к15" localSheetId="5">#REF!</definedName>
    <definedName name="к15" localSheetId="11">#REF!</definedName>
    <definedName name="к15" localSheetId="9">#REF!</definedName>
    <definedName name="к15" localSheetId="10">#REF!</definedName>
    <definedName name="к15" localSheetId="4">#REF!</definedName>
    <definedName name="к15" localSheetId="8">#REF!</definedName>
    <definedName name="к15" localSheetId="7">#REF!</definedName>
    <definedName name="к15" localSheetId="2">#REF!</definedName>
    <definedName name="к15" localSheetId="1">#REF!</definedName>
    <definedName name="к15" localSheetId="3">#REF!</definedName>
    <definedName name="к15" localSheetId="14">#REF!</definedName>
    <definedName name="к15">#REF!</definedName>
    <definedName name="к16" localSheetId="6">#REF!</definedName>
    <definedName name="к16" localSheetId="12">#REF!</definedName>
    <definedName name="к16" localSheetId="13">#REF!</definedName>
    <definedName name="к16" localSheetId="5">#REF!</definedName>
    <definedName name="к16" localSheetId="11">#REF!</definedName>
    <definedName name="к16" localSheetId="9">#REF!</definedName>
    <definedName name="к16" localSheetId="10">#REF!</definedName>
    <definedName name="к16" localSheetId="4">#REF!</definedName>
    <definedName name="к16" localSheetId="8">#REF!</definedName>
    <definedName name="к16" localSheetId="7">#REF!</definedName>
    <definedName name="к16" localSheetId="2">#REF!</definedName>
    <definedName name="к16" localSheetId="1">#REF!</definedName>
    <definedName name="к16" localSheetId="3">#REF!</definedName>
    <definedName name="к16" localSheetId="14">#REF!</definedName>
    <definedName name="к16">#REF!</definedName>
    <definedName name="к17" localSheetId="6">#REF!</definedName>
    <definedName name="к17" localSheetId="12">#REF!</definedName>
    <definedName name="к17" localSheetId="13">#REF!</definedName>
    <definedName name="к17" localSheetId="5">#REF!</definedName>
    <definedName name="к17" localSheetId="11">#REF!</definedName>
    <definedName name="к17" localSheetId="9">#REF!</definedName>
    <definedName name="к17" localSheetId="10">#REF!</definedName>
    <definedName name="к17" localSheetId="4">#REF!</definedName>
    <definedName name="к17" localSheetId="8">#REF!</definedName>
    <definedName name="к17" localSheetId="7">#REF!</definedName>
    <definedName name="к17" localSheetId="2">#REF!</definedName>
    <definedName name="к17" localSheetId="1">#REF!</definedName>
    <definedName name="к17" localSheetId="3">#REF!</definedName>
    <definedName name="к17" localSheetId="14">#REF!</definedName>
    <definedName name="к17">#REF!</definedName>
    <definedName name="к18" localSheetId="6">#REF!</definedName>
    <definedName name="к18" localSheetId="12">#REF!</definedName>
    <definedName name="к18" localSheetId="13">#REF!</definedName>
    <definedName name="к18" localSheetId="5">#REF!</definedName>
    <definedName name="к18" localSheetId="11">#REF!</definedName>
    <definedName name="к18" localSheetId="9">#REF!</definedName>
    <definedName name="к18" localSheetId="10">#REF!</definedName>
    <definedName name="к18" localSheetId="4">#REF!</definedName>
    <definedName name="к18" localSheetId="8">#REF!</definedName>
    <definedName name="к18" localSheetId="7">#REF!</definedName>
    <definedName name="к18" localSheetId="2">#REF!</definedName>
    <definedName name="к18" localSheetId="1">#REF!</definedName>
    <definedName name="к18" localSheetId="3">#REF!</definedName>
    <definedName name="к18" localSheetId="14">#REF!</definedName>
    <definedName name="к18">#REF!</definedName>
    <definedName name="к19" localSheetId="6">#REF!</definedName>
    <definedName name="к19" localSheetId="12">#REF!</definedName>
    <definedName name="к19" localSheetId="13">#REF!</definedName>
    <definedName name="к19" localSheetId="5">#REF!</definedName>
    <definedName name="к19" localSheetId="11">#REF!</definedName>
    <definedName name="к19" localSheetId="9">#REF!</definedName>
    <definedName name="к19" localSheetId="10">#REF!</definedName>
    <definedName name="к19" localSheetId="4">#REF!</definedName>
    <definedName name="к19" localSheetId="8">#REF!</definedName>
    <definedName name="к19" localSheetId="7">#REF!</definedName>
    <definedName name="к19" localSheetId="2">#REF!</definedName>
    <definedName name="к19" localSheetId="1">#REF!</definedName>
    <definedName name="к19" localSheetId="3">#REF!</definedName>
    <definedName name="к19" localSheetId="14">#REF!</definedName>
    <definedName name="к19">#REF!</definedName>
    <definedName name="к2" localSheetId="6">#REF!</definedName>
    <definedName name="к2" localSheetId="12">#REF!</definedName>
    <definedName name="к2" localSheetId="13">#REF!</definedName>
    <definedName name="к2" localSheetId="5">#REF!</definedName>
    <definedName name="к2" localSheetId="11">#REF!</definedName>
    <definedName name="к2" localSheetId="9">#REF!</definedName>
    <definedName name="к2" localSheetId="10">#REF!</definedName>
    <definedName name="к2" localSheetId="4">#REF!</definedName>
    <definedName name="к2" localSheetId="8">#REF!</definedName>
    <definedName name="к2" localSheetId="7">#REF!</definedName>
    <definedName name="к2" localSheetId="2">#REF!</definedName>
    <definedName name="к2" localSheetId="1">#REF!</definedName>
    <definedName name="к2" localSheetId="3">#REF!</definedName>
    <definedName name="к2" localSheetId="14">#REF!</definedName>
    <definedName name="к2">#REF!</definedName>
    <definedName name="к20" localSheetId="6">#REF!</definedName>
    <definedName name="к20" localSheetId="12">#REF!</definedName>
    <definedName name="к20" localSheetId="13">#REF!</definedName>
    <definedName name="к20" localSheetId="5">#REF!</definedName>
    <definedName name="к20" localSheetId="11">#REF!</definedName>
    <definedName name="к20" localSheetId="9">#REF!</definedName>
    <definedName name="к20" localSheetId="10">#REF!</definedName>
    <definedName name="к20" localSheetId="4">#REF!</definedName>
    <definedName name="к20" localSheetId="8">#REF!</definedName>
    <definedName name="к20" localSheetId="7">#REF!</definedName>
    <definedName name="к20" localSheetId="2">#REF!</definedName>
    <definedName name="к20" localSheetId="1">#REF!</definedName>
    <definedName name="к20" localSheetId="3">#REF!</definedName>
    <definedName name="к20" localSheetId="14">#REF!</definedName>
    <definedName name="к20">#REF!</definedName>
    <definedName name="к21" localSheetId="6">#REF!</definedName>
    <definedName name="к21" localSheetId="12">#REF!</definedName>
    <definedName name="к21" localSheetId="13">#REF!</definedName>
    <definedName name="к21" localSheetId="5">#REF!</definedName>
    <definedName name="к21" localSheetId="11">#REF!</definedName>
    <definedName name="к21" localSheetId="9">#REF!</definedName>
    <definedName name="к21" localSheetId="10">#REF!</definedName>
    <definedName name="к21" localSheetId="4">#REF!</definedName>
    <definedName name="к21" localSheetId="8">#REF!</definedName>
    <definedName name="к21" localSheetId="7">#REF!</definedName>
    <definedName name="к21" localSheetId="2">#REF!</definedName>
    <definedName name="к21" localSheetId="1">#REF!</definedName>
    <definedName name="к21" localSheetId="3">#REF!</definedName>
    <definedName name="к21" localSheetId="14">#REF!</definedName>
    <definedName name="к21">#REF!</definedName>
    <definedName name="к22" localSheetId="6">#REF!</definedName>
    <definedName name="к22" localSheetId="12">#REF!</definedName>
    <definedName name="к22" localSheetId="13">#REF!</definedName>
    <definedName name="к22" localSheetId="5">#REF!</definedName>
    <definedName name="к22" localSheetId="11">#REF!</definedName>
    <definedName name="к22" localSheetId="9">#REF!</definedName>
    <definedName name="к22" localSheetId="10">#REF!</definedName>
    <definedName name="к22" localSheetId="4">#REF!</definedName>
    <definedName name="к22" localSheetId="8">#REF!</definedName>
    <definedName name="к22" localSheetId="7">#REF!</definedName>
    <definedName name="к22" localSheetId="2">#REF!</definedName>
    <definedName name="к22" localSheetId="1">#REF!</definedName>
    <definedName name="к22" localSheetId="3">#REF!</definedName>
    <definedName name="к22" localSheetId="14">#REF!</definedName>
    <definedName name="к22">#REF!</definedName>
    <definedName name="к23" localSheetId="6">#REF!</definedName>
    <definedName name="к23" localSheetId="12">#REF!</definedName>
    <definedName name="к23" localSheetId="13">#REF!</definedName>
    <definedName name="к23" localSheetId="5">#REF!</definedName>
    <definedName name="к23" localSheetId="11">#REF!</definedName>
    <definedName name="к23" localSheetId="9">#REF!</definedName>
    <definedName name="к23" localSheetId="10">#REF!</definedName>
    <definedName name="к23" localSheetId="4">#REF!</definedName>
    <definedName name="к23" localSheetId="8">#REF!</definedName>
    <definedName name="к23" localSheetId="7">#REF!</definedName>
    <definedName name="к23" localSheetId="2">#REF!</definedName>
    <definedName name="к23" localSheetId="1">#REF!</definedName>
    <definedName name="к23" localSheetId="3">#REF!</definedName>
    <definedName name="к23" localSheetId="14">#REF!</definedName>
    <definedName name="к23">#REF!</definedName>
    <definedName name="к24" localSheetId="6">#REF!</definedName>
    <definedName name="к24" localSheetId="12">#REF!</definedName>
    <definedName name="к24" localSheetId="13">#REF!</definedName>
    <definedName name="к24" localSheetId="5">#REF!</definedName>
    <definedName name="к24" localSheetId="11">#REF!</definedName>
    <definedName name="к24" localSheetId="9">#REF!</definedName>
    <definedName name="к24" localSheetId="10">#REF!</definedName>
    <definedName name="к24" localSheetId="4">#REF!</definedName>
    <definedName name="к24" localSheetId="8">#REF!</definedName>
    <definedName name="к24" localSheetId="7">#REF!</definedName>
    <definedName name="к24" localSheetId="2">#REF!</definedName>
    <definedName name="к24" localSheetId="1">#REF!</definedName>
    <definedName name="к24" localSheetId="3">#REF!</definedName>
    <definedName name="к24" localSheetId="14">#REF!</definedName>
    <definedName name="к24">#REF!</definedName>
    <definedName name="к25" localSheetId="6">#REF!</definedName>
    <definedName name="к25" localSheetId="12">#REF!</definedName>
    <definedName name="к25" localSheetId="13">#REF!</definedName>
    <definedName name="к25" localSheetId="5">#REF!</definedName>
    <definedName name="к25" localSheetId="11">#REF!</definedName>
    <definedName name="к25" localSheetId="9">#REF!</definedName>
    <definedName name="к25" localSheetId="10">#REF!</definedName>
    <definedName name="к25" localSheetId="4">#REF!</definedName>
    <definedName name="к25" localSheetId="8">#REF!</definedName>
    <definedName name="к25" localSheetId="7">#REF!</definedName>
    <definedName name="к25" localSheetId="2">#REF!</definedName>
    <definedName name="к25" localSheetId="1">#REF!</definedName>
    <definedName name="к25" localSheetId="3">#REF!</definedName>
    <definedName name="к25" localSheetId="14">#REF!</definedName>
    <definedName name="к25">#REF!</definedName>
    <definedName name="к26" localSheetId="6">#REF!</definedName>
    <definedName name="к26" localSheetId="12">#REF!</definedName>
    <definedName name="к26" localSheetId="13">#REF!</definedName>
    <definedName name="к26" localSheetId="5">#REF!</definedName>
    <definedName name="к26" localSheetId="11">#REF!</definedName>
    <definedName name="к26" localSheetId="9">#REF!</definedName>
    <definedName name="к26" localSheetId="10">#REF!</definedName>
    <definedName name="к26" localSheetId="4">#REF!</definedName>
    <definedName name="к26" localSheetId="8">#REF!</definedName>
    <definedName name="к26" localSheetId="7">#REF!</definedName>
    <definedName name="к26" localSheetId="2">#REF!</definedName>
    <definedName name="к26" localSheetId="1">#REF!</definedName>
    <definedName name="к26" localSheetId="3">#REF!</definedName>
    <definedName name="к26" localSheetId="14">#REF!</definedName>
    <definedName name="к26">#REF!</definedName>
    <definedName name="к27" localSheetId="6">#REF!</definedName>
    <definedName name="к27" localSheetId="12">#REF!</definedName>
    <definedName name="к27" localSheetId="13">#REF!</definedName>
    <definedName name="к27" localSheetId="5">#REF!</definedName>
    <definedName name="к27" localSheetId="11">#REF!</definedName>
    <definedName name="к27" localSheetId="9">#REF!</definedName>
    <definedName name="к27" localSheetId="10">#REF!</definedName>
    <definedName name="к27" localSheetId="4">#REF!</definedName>
    <definedName name="к27" localSheetId="8">#REF!</definedName>
    <definedName name="к27" localSheetId="7">#REF!</definedName>
    <definedName name="к27" localSheetId="2">#REF!</definedName>
    <definedName name="к27" localSheetId="1">#REF!</definedName>
    <definedName name="к27" localSheetId="3">#REF!</definedName>
    <definedName name="к27" localSheetId="14">#REF!</definedName>
    <definedName name="к27">#REF!</definedName>
    <definedName name="к28" localSheetId="6">#REF!</definedName>
    <definedName name="к28" localSheetId="12">#REF!</definedName>
    <definedName name="к28" localSheetId="13">#REF!</definedName>
    <definedName name="к28" localSheetId="5">#REF!</definedName>
    <definedName name="к28" localSheetId="11">#REF!</definedName>
    <definedName name="к28" localSheetId="9">#REF!</definedName>
    <definedName name="к28" localSheetId="10">#REF!</definedName>
    <definedName name="к28" localSheetId="4">#REF!</definedName>
    <definedName name="к28" localSheetId="8">#REF!</definedName>
    <definedName name="к28" localSheetId="7">#REF!</definedName>
    <definedName name="к28" localSheetId="2">#REF!</definedName>
    <definedName name="к28" localSheetId="1">#REF!</definedName>
    <definedName name="к28" localSheetId="3">#REF!</definedName>
    <definedName name="к28" localSheetId="14">#REF!</definedName>
    <definedName name="к28">#REF!</definedName>
    <definedName name="к29" localSheetId="6">#REF!</definedName>
    <definedName name="к29" localSheetId="12">#REF!</definedName>
    <definedName name="к29" localSheetId="13">#REF!</definedName>
    <definedName name="к29" localSheetId="5">#REF!</definedName>
    <definedName name="к29" localSheetId="11">#REF!</definedName>
    <definedName name="к29" localSheetId="9">#REF!</definedName>
    <definedName name="к29" localSheetId="10">#REF!</definedName>
    <definedName name="к29" localSheetId="4">#REF!</definedName>
    <definedName name="к29" localSheetId="8">#REF!</definedName>
    <definedName name="к29" localSheetId="7">#REF!</definedName>
    <definedName name="к29" localSheetId="2">#REF!</definedName>
    <definedName name="к29" localSheetId="1">#REF!</definedName>
    <definedName name="к29" localSheetId="3">#REF!</definedName>
    <definedName name="к29" localSheetId="14">#REF!</definedName>
    <definedName name="к29">#REF!</definedName>
    <definedName name="к3" localSheetId="6">#REF!</definedName>
    <definedName name="к3" localSheetId="12">#REF!</definedName>
    <definedName name="к3" localSheetId="13">#REF!</definedName>
    <definedName name="к3" localSheetId="5">#REF!</definedName>
    <definedName name="к3" localSheetId="11">#REF!</definedName>
    <definedName name="к3" localSheetId="9">#REF!</definedName>
    <definedName name="к3" localSheetId="10">#REF!</definedName>
    <definedName name="к3" localSheetId="4">#REF!</definedName>
    <definedName name="к3" localSheetId="8">#REF!</definedName>
    <definedName name="к3" localSheetId="7">#REF!</definedName>
    <definedName name="к3" localSheetId="2">#REF!</definedName>
    <definedName name="к3" localSheetId="1">#REF!</definedName>
    <definedName name="к3" localSheetId="3">#REF!</definedName>
    <definedName name="к3" localSheetId="14">#REF!</definedName>
    <definedName name="к3">#REF!</definedName>
    <definedName name="к30" localSheetId="6">#REF!</definedName>
    <definedName name="к30" localSheetId="12">#REF!</definedName>
    <definedName name="к30" localSheetId="13">#REF!</definedName>
    <definedName name="к30" localSheetId="5">#REF!</definedName>
    <definedName name="к30" localSheetId="11">#REF!</definedName>
    <definedName name="к30" localSheetId="9">#REF!</definedName>
    <definedName name="к30" localSheetId="10">#REF!</definedName>
    <definedName name="к30" localSheetId="4">#REF!</definedName>
    <definedName name="к30" localSheetId="8">#REF!</definedName>
    <definedName name="к30" localSheetId="7">#REF!</definedName>
    <definedName name="к30" localSheetId="2">#REF!</definedName>
    <definedName name="к30" localSheetId="1">#REF!</definedName>
    <definedName name="к30" localSheetId="3">#REF!</definedName>
    <definedName name="к30" localSheetId="14">#REF!</definedName>
    <definedName name="к30">#REF!</definedName>
    <definedName name="к31" localSheetId="6">#REF!</definedName>
    <definedName name="к31" localSheetId="12">#REF!</definedName>
    <definedName name="к31" localSheetId="13">#REF!</definedName>
    <definedName name="к31" localSheetId="5">#REF!</definedName>
    <definedName name="к31" localSheetId="11">#REF!</definedName>
    <definedName name="к31" localSheetId="9">#REF!</definedName>
    <definedName name="к31" localSheetId="10">#REF!</definedName>
    <definedName name="к31" localSheetId="4">#REF!</definedName>
    <definedName name="к31" localSheetId="8">#REF!</definedName>
    <definedName name="к31" localSheetId="7">#REF!</definedName>
    <definedName name="к31" localSheetId="2">#REF!</definedName>
    <definedName name="к31" localSheetId="1">#REF!</definedName>
    <definedName name="к31" localSheetId="3">#REF!</definedName>
    <definedName name="к31" localSheetId="14">#REF!</definedName>
    <definedName name="к31">#REF!</definedName>
    <definedName name="к32" localSheetId="6">#REF!</definedName>
    <definedName name="к32" localSheetId="12">#REF!</definedName>
    <definedName name="к32" localSheetId="13">#REF!</definedName>
    <definedName name="к32" localSheetId="5">#REF!</definedName>
    <definedName name="к32" localSheetId="11">#REF!</definedName>
    <definedName name="к32" localSheetId="9">#REF!</definedName>
    <definedName name="к32" localSheetId="10">#REF!</definedName>
    <definedName name="к32" localSheetId="4">#REF!</definedName>
    <definedName name="к32" localSheetId="8">#REF!</definedName>
    <definedName name="к32" localSheetId="7">#REF!</definedName>
    <definedName name="к32" localSheetId="2">#REF!</definedName>
    <definedName name="к32" localSheetId="1">#REF!</definedName>
    <definedName name="к32" localSheetId="3">#REF!</definedName>
    <definedName name="к32" localSheetId="14">#REF!</definedName>
    <definedName name="к32">#REF!</definedName>
    <definedName name="к33" localSheetId="6">#REF!</definedName>
    <definedName name="к33" localSheetId="12">#REF!</definedName>
    <definedName name="к33" localSheetId="13">#REF!</definedName>
    <definedName name="к33" localSheetId="5">#REF!</definedName>
    <definedName name="к33" localSheetId="11">#REF!</definedName>
    <definedName name="к33" localSheetId="9">#REF!</definedName>
    <definedName name="к33" localSheetId="10">#REF!</definedName>
    <definedName name="к33" localSheetId="4">#REF!</definedName>
    <definedName name="к33" localSheetId="8">#REF!</definedName>
    <definedName name="к33" localSheetId="7">#REF!</definedName>
    <definedName name="к33" localSheetId="2">#REF!</definedName>
    <definedName name="к33" localSheetId="1">#REF!</definedName>
    <definedName name="к33" localSheetId="3">#REF!</definedName>
    <definedName name="к33" localSheetId="14">#REF!</definedName>
    <definedName name="к33">#REF!</definedName>
    <definedName name="к34" localSheetId="6">#REF!</definedName>
    <definedName name="к34" localSheetId="12">#REF!</definedName>
    <definedName name="к34" localSheetId="13">#REF!</definedName>
    <definedName name="к34" localSheetId="5">#REF!</definedName>
    <definedName name="к34" localSheetId="11">#REF!</definedName>
    <definedName name="к34" localSheetId="9">#REF!</definedName>
    <definedName name="к34" localSheetId="10">#REF!</definedName>
    <definedName name="к34" localSheetId="4">#REF!</definedName>
    <definedName name="к34" localSheetId="8">#REF!</definedName>
    <definedName name="к34" localSheetId="7">#REF!</definedName>
    <definedName name="к34" localSheetId="2">#REF!</definedName>
    <definedName name="к34" localSheetId="1">#REF!</definedName>
    <definedName name="к34" localSheetId="3">#REF!</definedName>
    <definedName name="к34" localSheetId="14">#REF!</definedName>
    <definedName name="к34">#REF!</definedName>
    <definedName name="к35" localSheetId="6">#REF!</definedName>
    <definedName name="к35" localSheetId="12">#REF!</definedName>
    <definedName name="к35" localSheetId="13">#REF!</definedName>
    <definedName name="к35" localSheetId="5">#REF!</definedName>
    <definedName name="к35" localSheetId="11">#REF!</definedName>
    <definedName name="к35" localSheetId="9">#REF!</definedName>
    <definedName name="к35" localSheetId="10">#REF!</definedName>
    <definedName name="к35" localSheetId="4">#REF!</definedName>
    <definedName name="к35" localSheetId="8">#REF!</definedName>
    <definedName name="к35" localSheetId="7">#REF!</definedName>
    <definedName name="к35" localSheetId="2">#REF!</definedName>
    <definedName name="к35" localSheetId="1">#REF!</definedName>
    <definedName name="к35" localSheetId="3">#REF!</definedName>
    <definedName name="к35" localSheetId="14">#REF!</definedName>
    <definedName name="к35">#REF!</definedName>
    <definedName name="к36" localSheetId="6">#REF!</definedName>
    <definedName name="к36" localSheetId="12">#REF!</definedName>
    <definedName name="к36" localSheetId="13">#REF!</definedName>
    <definedName name="к36" localSheetId="5">#REF!</definedName>
    <definedName name="к36" localSheetId="11">#REF!</definedName>
    <definedName name="к36" localSheetId="9">#REF!</definedName>
    <definedName name="к36" localSheetId="10">#REF!</definedName>
    <definedName name="к36" localSheetId="4">#REF!</definedName>
    <definedName name="к36" localSheetId="8">#REF!</definedName>
    <definedName name="к36" localSheetId="7">#REF!</definedName>
    <definedName name="к36" localSheetId="2">#REF!</definedName>
    <definedName name="к36" localSheetId="1">#REF!</definedName>
    <definedName name="к36" localSheetId="3">#REF!</definedName>
    <definedName name="к36" localSheetId="14">#REF!</definedName>
    <definedName name="к36">#REF!</definedName>
    <definedName name="к37" localSheetId="6">#REF!</definedName>
    <definedName name="к37" localSheetId="12">#REF!</definedName>
    <definedName name="к37" localSheetId="13">#REF!</definedName>
    <definedName name="к37" localSheetId="5">#REF!</definedName>
    <definedName name="к37" localSheetId="11">#REF!</definedName>
    <definedName name="к37" localSheetId="9">#REF!</definedName>
    <definedName name="к37" localSheetId="10">#REF!</definedName>
    <definedName name="к37" localSheetId="4">#REF!</definedName>
    <definedName name="к37" localSheetId="8">#REF!</definedName>
    <definedName name="к37" localSheetId="7">#REF!</definedName>
    <definedName name="к37" localSheetId="2">#REF!</definedName>
    <definedName name="к37" localSheetId="1">#REF!</definedName>
    <definedName name="к37" localSheetId="3">#REF!</definedName>
    <definedName name="к37" localSheetId="14">#REF!</definedName>
    <definedName name="к37">#REF!</definedName>
    <definedName name="к38" localSheetId="6">#REF!</definedName>
    <definedName name="к38" localSheetId="12">#REF!</definedName>
    <definedName name="к38" localSheetId="13">#REF!</definedName>
    <definedName name="к38" localSheetId="5">#REF!</definedName>
    <definedName name="к38" localSheetId="11">#REF!</definedName>
    <definedName name="к38" localSheetId="9">#REF!</definedName>
    <definedName name="к38" localSheetId="10">#REF!</definedName>
    <definedName name="к38" localSheetId="4">#REF!</definedName>
    <definedName name="к38" localSheetId="8">#REF!</definedName>
    <definedName name="к38" localSheetId="7">#REF!</definedName>
    <definedName name="к38" localSheetId="2">#REF!</definedName>
    <definedName name="к38" localSheetId="1">#REF!</definedName>
    <definedName name="к38" localSheetId="3">#REF!</definedName>
    <definedName name="к38" localSheetId="14">#REF!</definedName>
    <definedName name="к38">#REF!</definedName>
    <definedName name="к39" localSheetId="6">#REF!</definedName>
    <definedName name="к39" localSheetId="12">#REF!</definedName>
    <definedName name="к39" localSheetId="13">#REF!</definedName>
    <definedName name="к39" localSheetId="5">#REF!</definedName>
    <definedName name="к39" localSheetId="11">#REF!</definedName>
    <definedName name="к39" localSheetId="9">#REF!</definedName>
    <definedName name="к39" localSheetId="10">#REF!</definedName>
    <definedName name="к39" localSheetId="4">#REF!</definedName>
    <definedName name="к39" localSheetId="8">#REF!</definedName>
    <definedName name="к39" localSheetId="7">#REF!</definedName>
    <definedName name="к39" localSheetId="2">#REF!</definedName>
    <definedName name="к39" localSheetId="1">#REF!</definedName>
    <definedName name="к39" localSheetId="3">#REF!</definedName>
    <definedName name="к39" localSheetId="14">#REF!</definedName>
    <definedName name="к39">#REF!</definedName>
    <definedName name="к4" localSheetId="6">#REF!</definedName>
    <definedName name="к4" localSheetId="12">#REF!</definedName>
    <definedName name="к4" localSheetId="13">#REF!</definedName>
    <definedName name="к4" localSheetId="5">#REF!</definedName>
    <definedName name="к4" localSheetId="11">#REF!</definedName>
    <definedName name="к4" localSheetId="9">#REF!</definedName>
    <definedName name="к4" localSheetId="10">#REF!</definedName>
    <definedName name="к4" localSheetId="4">#REF!</definedName>
    <definedName name="к4" localSheetId="8">#REF!</definedName>
    <definedName name="к4" localSheetId="7">#REF!</definedName>
    <definedName name="к4" localSheetId="2">#REF!</definedName>
    <definedName name="к4" localSheetId="1">#REF!</definedName>
    <definedName name="к4" localSheetId="3">#REF!</definedName>
    <definedName name="к4" localSheetId="14">#REF!</definedName>
    <definedName name="к4">#REF!</definedName>
    <definedName name="к40" localSheetId="6">#REF!</definedName>
    <definedName name="к40" localSheetId="12">#REF!</definedName>
    <definedName name="к40" localSheetId="13">#REF!</definedName>
    <definedName name="к40" localSheetId="5">#REF!</definedName>
    <definedName name="к40" localSheetId="11">#REF!</definedName>
    <definedName name="к40" localSheetId="9">#REF!</definedName>
    <definedName name="к40" localSheetId="10">#REF!</definedName>
    <definedName name="к40" localSheetId="4">#REF!</definedName>
    <definedName name="к40" localSheetId="8">#REF!</definedName>
    <definedName name="к40" localSheetId="7">#REF!</definedName>
    <definedName name="к40" localSheetId="2">#REF!</definedName>
    <definedName name="к40" localSheetId="1">#REF!</definedName>
    <definedName name="к40" localSheetId="3">#REF!</definedName>
    <definedName name="к40" localSheetId="14">#REF!</definedName>
    <definedName name="к40">#REF!</definedName>
    <definedName name="к41" localSheetId="6">#REF!</definedName>
    <definedName name="к41" localSheetId="12">#REF!</definedName>
    <definedName name="к41" localSheetId="13">#REF!</definedName>
    <definedName name="к41" localSheetId="5">#REF!</definedName>
    <definedName name="к41" localSheetId="11">#REF!</definedName>
    <definedName name="к41" localSheetId="9">#REF!</definedName>
    <definedName name="к41" localSheetId="10">#REF!</definedName>
    <definedName name="к41" localSheetId="4">#REF!</definedName>
    <definedName name="к41" localSheetId="8">#REF!</definedName>
    <definedName name="к41" localSheetId="7">#REF!</definedName>
    <definedName name="к41" localSheetId="2">#REF!</definedName>
    <definedName name="к41" localSheetId="1">#REF!</definedName>
    <definedName name="к41" localSheetId="3">#REF!</definedName>
    <definedName name="к41" localSheetId="14">#REF!</definedName>
    <definedName name="к41">#REF!</definedName>
    <definedName name="к42" localSheetId="6">#REF!</definedName>
    <definedName name="к42" localSheetId="12">#REF!</definedName>
    <definedName name="к42" localSheetId="13">#REF!</definedName>
    <definedName name="к42" localSheetId="5">#REF!</definedName>
    <definedName name="к42" localSheetId="11">#REF!</definedName>
    <definedName name="к42" localSheetId="9">#REF!</definedName>
    <definedName name="к42" localSheetId="10">#REF!</definedName>
    <definedName name="к42" localSheetId="4">#REF!</definedName>
    <definedName name="к42" localSheetId="8">#REF!</definedName>
    <definedName name="к42" localSheetId="7">#REF!</definedName>
    <definedName name="к42" localSheetId="2">#REF!</definedName>
    <definedName name="к42" localSheetId="1">#REF!</definedName>
    <definedName name="к42" localSheetId="3">#REF!</definedName>
    <definedName name="к42" localSheetId="14">#REF!</definedName>
    <definedName name="к42">#REF!</definedName>
    <definedName name="к5" localSheetId="6">#REF!</definedName>
    <definedName name="к5" localSheetId="12">#REF!</definedName>
    <definedName name="к5" localSheetId="13">#REF!</definedName>
    <definedName name="к5" localSheetId="5">#REF!</definedName>
    <definedName name="к5" localSheetId="11">#REF!</definedName>
    <definedName name="к5" localSheetId="9">#REF!</definedName>
    <definedName name="к5" localSheetId="10">#REF!</definedName>
    <definedName name="к5" localSheetId="4">#REF!</definedName>
    <definedName name="к5" localSheetId="8">#REF!</definedName>
    <definedName name="к5" localSheetId="7">#REF!</definedName>
    <definedName name="к5" localSheetId="2">#REF!</definedName>
    <definedName name="к5" localSheetId="1">#REF!</definedName>
    <definedName name="к5" localSheetId="3">#REF!</definedName>
    <definedName name="к5" localSheetId="14">#REF!</definedName>
    <definedName name="к5">#REF!</definedName>
    <definedName name="к6" localSheetId="6">#REF!</definedName>
    <definedName name="к6" localSheetId="12">#REF!</definedName>
    <definedName name="к6" localSheetId="13">#REF!</definedName>
    <definedName name="к6" localSheetId="5">#REF!</definedName>
    <definedName name="к6" localSheetId="11">#REF!</definedName>
    <definedName name="к6" localSheetId="9">#REF!</definedName>
    <definedName name="к6" localSheetId="10">#REF!</definedName>
    <definedName name="к6" localSheetId="4">#REF!</definedName>
    <definedName name="к6" localSheetId="8">#REF!</definedName>
    <definedName name="к6" localSheetId="7">#REF!</definedName>
    <definedName name="к6" localSheetId="2">#REF!</definedName>
    <definedName name="к6" localSheetId="1">#REF!</definedName>
    <definedName name="к6" localSheetId="3">#REF!</definedName>
    <definedName name="к6" localSheetId="14">#REF!</definedName>
    <definedName name="к6">#REF!</definedName>
    <definedName name="к7" localSheetId="6">#REF!</definedName>
    <definedName name="к7" localSheetId="12">#REF!</definedName>
    <definedName name="к7" localSheetId="13">#REF!</definedName>
    <definedName name="к7" localSheetId="5">#REF!</definedName>
    <definedName name="к7" localSheetId="11">#REF!</definedName>
    <definedName name="к7" localSheetId="9">#REF!</definedName>
    <definedName name="к7" localSheetId="10">#REF!</definedName>
    <definedName name="к7" localSheetId="4">#REF!</definedName>
    <definedName name="к7" localSheetId="8">#REF!</definedName>
    <definedName name="к7" localSheetId="7">#REF!</definedName>
    <definedName name="к7" localSheetId="2">#REF!</definedName>
    <definedName name="к7" localSheetId="1">#REF!</definedName>
    <definedName name="к7" localSheetId="3">#REF!</definedName>
    <definedName name="к7" localSheetId="14">#REF!</definedName>
    <definedName name="к7">#REF!</definedName>
    <definedName name="к8" localSheetId="6">#REF!</definedName>
    <definedName name="к8" localSheetId="12">#REF!</definedName>
    <definedName name="к8" localSheetId="13">#REF!</definedName>
    <definedName name="к8" localSheetId="5">#REF!</definedName>
    <definedName name="к8" localSheetId="11">#REF!</definedName>
    <definedName name="к8" localSheetId="9">#REF!</definedName>
    <definedName name="к8" localSheetId="10">#REF!</definedName>
    <definedName name="к8" localSheetId="4">#REF!</definedName>
    <definedName name="к8" localSheetId="8">#REF!</definedName>
    <definedName name="к8" localSheetId="7">#REF!</definedName>
    <definedName name="к8" localSheetId="2">#REF!</definedName>
    <definedName name="к8" localSheetId="1">#REF!</definedName>
    <definedName name="к8" localSheetId="3">#REF!</definedName>
    <definedName name="к8" localSheetId="14">#REF!</definedName>
    <definedName name="к8">#REF!</definedName>
    <definedName name="к9" localSheetId="6">#REF!</definedName>
    <definedName name="к9" localSheetId="12">#REF!</definedName>
    <definedName name="к9" localSheetId="13">#REF!</definedName>
    <definedName name="к9" localSheetId="5">#REF!</definedName>
    <definedName name="к9" localSheetId="11">#REF!</definedName>
    <definedName name="к9" localSheetId="9">#REF!</definedName>
    <definedName name="к9" localSheetId="10">#REF!</definedName>
    <definedName name="к9" localSheetId="4">#REF!</definedName>
    <definedName name="к9" localSheetId="8">#REF!</definedName>
    <definedName name="к9" localSheetId="7">#REF!</definedName>
    <definedName name="к9" localSheetId="2">#REF!</definedName>
    <definedName name="к9" localSheetId="1">#REF!</definedName>
    <definedName name="к9" localSheetId="3">#REF!</definedName>
    <definedName name="к9" localSheetId="14">#REF!</definedName>
    <definedName name="к9">#REF!</definedName>
    <definedName name="каб" localSheetId="6">#REF!</definedName>
    <definedName name="каб" localSheetId="12">#REF!</definedName>
    <definedName name="каб" localSheetId="13">#REF!</definedName>
    <definedName name="каб" localSheetId="5">#REF!</definedName>
    <definedName name="каб" localSheetId="11">#REF!</definedName>
    <definedName name="каб" localSheetId="9">#REF!</definedName>
    <definedName name="каб" localSheetId="10">#REF!</definedName>
    <definedName name="каб" localSheetId="4">#REF!</definedName>
    <definedName name="каб" localSheetId="8">#REF!</definedName>
    <definedName name="каб" localSheetId="7">#REF!</definedName>
    <definedName name="каб" localSheetId="2">#REF!</definedName>
    <definedName name="каб" localSheetId="1">#REF!</definedName>
    <definedName name="каб" localSheetId="3">#REF!</definedName>
    <definedName name="каб" localSheetId="14">#REF!</definedName>
    <definedName name="каб">#REF!</definedName>
    <definedName name="_xlnm.Print_Area" localSheetId="0">'12-26'!$A$1:$P$540</definedName>
    <definedName name="_xlnm.Print_Area" localSheetId="6">'12-23ПИ'!$A$1:$H$60</definedName>
    <definedName name="_xlnm.Print_Area" localSheetId="12">'12-24МИоз'!$A$1:$H$60</definedName>
    <definedName name="_xlnm.Print_Area" localSheetId="13">'12-24МЭоз'!$A$1:$H$60</definedName>
    <definedName name="_xlnm.Print_Area" localSheetId="5">'12-24ПИ'!$A$1:$H$60</definedName>
    <definedName name="_xlnm.Print_Area" localSheetId="11">'12-24ПИоз'!$A$1:$H$60</definedName>
    <definedName name="_xlnm.Print_Area" localSheetId="9">'12-25МИоз'!$A$1:$H$60</definedName>
    <definedName name="_xlnm.Print_Area" localSheetId="10">'12-25МЭоз'!$A$1:$H$60</definedName>
    <definedName name="_xlnm.Print_Area" localSheetId="4">'12-25ПИ'!$A$1:$H$60</definedName>
    <definedName name="_xlnm.Print_Area" localSheetId="8">'12-25ПИоз'!$A$1:$H$60</definedName>
    <definedName name="_xlnm.Print_Area" localSheetId="7">'12-25РПм'!$A$1:$H$60</definedName>
    <definedName name="_xlnm.Print_Area" localSheetId="2">'12-26МИ'!$A$1:$H$60</definedName>
    <definedName name="_xlnm.Print_Area" localSheetId="1">'12-26ПИ'!$A$1:$H$60</definedName>
    <definedName name="_xlnm.Print_Area" localSheetId="3">'12-26ФИ'!$A$1:$H$60</definedName>
    <definedName name="_xlnm.Print_Area" localSheetId="14">'2'!$A$1:$P$540</definedName>
    <definedName name="ОЛОЛО" localSheetId="6">#REF!</definedName>
    <definedName name="ОЛОЛО" localSheetId="12">#REF!</definedName>
    <definedName name="ОЛОЛО" localSheetId="13">#REF!</definedName>
    <definedName name="ОЛОЛО" localSheetId="5">#REF!</definedName>
    <definedName name="ОЛОЛО" localSheetId="11">#REF!</definedName>
    <definedName name="ОЛОЛО" localSheetId="9">#REF!</definedName>
    <definedName name="ОЛОЛО" localSheetId="10">#REF!</definedName>
    <definedName name="ОЛОЛО" localSheetId="4">#REF!</definedName>
    <definedName name="ОЛОЛО" localSheetId="8">#REF!</definedName>
    <definedName name="ОЛОЛО" localSheetId="7">#REF!</definedName>
    <definedName name="ОЛОЛО" localSheetId="2">#REF!</definedName>
    <definedName name="ОЛОЛО" localSheetId="1">#REF!</definedName>
    <definedName name="ОЛОЛО" localSheetId="3">#REF!</definedName>
    <definedName name="ОЛОЛО" localSheetId="14">#REF!</definedName>
    <definedName name="ОЛОЛО">#REF!</definedName>
    <definedName name="п1" localSheetId="6">#REF!</definedName>
    <definedName name="п1" localSheetId="12">#REF!</definedName>
    <definedName name="п1" localSheetId="13">#REF!</definedName>
    <definedName name="п1" localSheetId="5">#REF!</definedName>
    <definedName name="п1" localSheetId="11">#REF!</definedName>
    <definedName name="п1" localSheetId="9">#REF!</definedName>
    <definedName name="п1" localSheetId="10">#REF!</definedName>
    <definedName name="п1" localSheetId="4">#REF!</definedName>
    <definedName name="п1" localSheetId="8">#REF!</definedName>
    <definedName name="п1" localSheetId="7">#REF!</definedName>
    <definedName name="п1" localSheetId="2">#REF!</definedName>
    <definedName name="п1" localSheetId="1">#REF!</definedName>
    <definedName name="п1" localSheetId="3">#REF!</definedName>
    <definedName name="п1" localSheetId="14">#REF!</definedName>
    <definedName name="п1">#REF!</definedName>
    <definedName name="п21" localSheetId="6">#REF!</definedName>
    <definedName name="п21" localSheetId="12">#REF!</definedName>
    <definedName name="п21" localSheetId="13">#REF!</definedName>
    <definedName name="п21" localSheetId="5">#REF!</definedName>
    <definedName name="п21" localSheetId="11">#REF!</definedName>
    <definedName name="п21" localSheetId="9">#REF!</definedName>
    <definedName name="п21" localSheetId="10">#REF!</definedName>
    <definedName name="п21" localSheetId="4">#REF!</definedName>
    <definedName name="п21" localSheetId="8">#REF!</definedName>
    <definedName name="п21" localSheetId="7">#REF!</definedName>
    <definedName name="п21" localSheetId="2">#REF!</definedName>
    <definedName name="п21" localSheetId="1">#REF!</definedName>
    <definedName name="п21" localSheetId="3">#REF!</definedName>
    <definedName name="п21" localSheetId="14">#REF!</definedName>
    <definedName name="п21">#REF!</definedName>
    <definedName name="преп" localSheetId="6">#REF!</definedName>
    <definedName name="преп" localSheetId="12">#REF!</definedName>
    <definedName name="преп" localSheetId="13">#REF!</definedName>
    <definedName name="преп" localSheetId="5">#REF!</definedName>
    <definedName name="преп" localSheetId="11">#REF!</definedName>
    <definedName name="преп" localSheetId="9">#REF!</definedName>
    <definedName name="преп" localSheetId="10">#REF!</definedName>
    <definedName name="преп" localSheetId="4">#REF!</definedName>
    <definedName name="преп" localSheetId="8">#REF!</definedName>
    <definedName name="преп" localSheetId="7">#REF!</definedName>
    <definedName name="преп" localSheetId="2">#REF!</definedName>
    <definedName name="преп" localSheetId="1">#REF!</definedName>
    <definedName name="преп" localSheetId="3">#REF!</definedName>
    <definedName name="преп" localSheetId="14">#REF!</definedName>
    <definedName name="преп">#REF!</definedName>
    <definedName name="препод" localSheetId="6">#REF!</definedName>
    <definedName name="препод" localSheetId="12">#REF!</definedName>
    <definedName name="препод" localSheetId="13">#REF!</definedName>
    <definedName name="препод" localSheetId="5">#REF!</definedName>
    <definedName name="препод" localSheetId="11">#REF!</definedName>
    <definedName name="препод" localSheetId="9">#REF!</definedName>
    <definedName name="препод" localSheetId="10">#REF!</definedName>
    <definedName name="препод" localSheetId="4">#REF!</definedName>
    <definedName name="препод" localSheetId="8">#REF!</definedName>
    <definedName name="препод" localSheetId="7">#REF!</definedName>
    <definedName name="препод" localSheetId="2">#REF!</definedName>
    <definedName name="препод" localSheetId="1">#REF!</definedName>
    <definedName name="препод" localSheetId="3">#REF!</definedName>
    <definedName name="препод" localSheetId="14">#REF!</definedName>
    <definedName name="препод">#REF!</definedName>
    <definedName name="спец" localSheetId="6">#REF!</definedName>
    <definedName name="спец" localSheetId="12">#REF!</definedName>
    <definedName name="спец" localSheetId="13">#REF!</definedName>
    <definedName name="спец" localSheetId="5">#REF!</definedName>
    <definedName name="спец" localSheetId="11">#REF!</definedName>
    <definedName name="спец" localSheetId="9">#REF!</definedName>
    <definedName name="спец" localSheetId="10">#REF!</definedName>
    <definedName name="спец" localSheetId="4">#REF!</definedName>
    <definedName name="спец" localSheetId="8">#REF!</definedName>
    <definedName name="спец" localSheetId="7">#REF!</definedName>
    <definedName name="спец" localSheetId="2">#REF!</definedName>
    <definedName name="спец" localSheetId="1">#REF!</definedName>
    <definedName name="спец" localSheetId="3">#REF!</definedName>
    <definedName name="спец" localSheetId="14">#REF!</definedName>
    <definedName name="спец">#REF!</definedName>
  </definedNames>
  <calcPr calcId="191029" fullPrecision="0"/>
  <customWorkbookViews>
    <customWorkbookView name="User - Личное представление" guid="{1027CB8A-9D96-4D29-A7AC-E08479F1F379}" personalView="1" maximized="1" windowWidth="1676" windowHeight="773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<sst xmlns="http://schemas.openxmlformats.org/spreadsheetml/2006/main" count="3215" uniqueCount="52">
  <si>
    <t xml:space="preserve">    «Утверждаю»</t>
  </si>
  <si>
    <t>Первый проректор</t>
  </si>
  <si>
    <t>___________Н.А. Круглая</t>
  </si>
  <si>
    <t>«_____» _________2026 г.</t>
  </si>
  <si>
    <t>Расписание занятий (1 семестр 2026/27 учебный год)</t>
  </si>
  <si>
    <t>Форма обучения:</t>
  </si>
  <si>
    <t>очная</t>
  </si>
  <si>
    <t>Курс:</t>
  </si>
  <si>
    <t>Неделя:</t>
  </si>
  <si>
    <t>Дни недели</t>
  </si>
  <si>
    <t>пара</t>
  </si>
  <si>
    <t>Вид занятий</t>
  </si>
  <si>
    <t>Дисциплина</t>
  </si>
  <si>
    <t>Преподаватель</t>
  </si>
  <si>
    <t>Ссылка</t>
  </si>
  <si>
    <t>понедельник</t>
  </si>
  <si>
    <r>
      <rPr>
        <b/>
        <sz val="12"/>
        <rFont val="Times New Roman"/>
        <charset val="204"/>
      </rPr>
      <t xml:space="preserve">1 пара
</t>
    </r>
    <r>
      <rPr>
        <sz val="12"/>
        <rFont val="Times New Roman"/>
        <charset val="204"/>
      </rPr>
      <t>9.00-10.30</t>
    </r>
  </si>
  <si>
    <r>
      <rPr>
        <b/>
        <sz val="12"/>
        <rFont val="Times New Roman"/>
        <charset val="204"/>
      </rPr>
      <t xml:space="preserve">2 пара
</t>
    </r>
    <r>
      <rPr>
        <sz val="12"/>
        <rFont val="Times New Roman"/>
        <charset val="204"/>
      </rPr>
      <t>10.40-12.10</t>
    </r>
  </si>
  <si>
    <r>
      <rPr>
        <b/>
        <sz val="12"/>
        <rFont val="Times New Roman"/>
        <charset val="204"/>
      </rPr>
      <t xml:space="preserve">3 пара
</t>
    </r>
    <r>
      <rPr>
        <sz val="12"/>
        <rFont val="Times New Roman"/>
        <charset val="204"/>
      </rPr>
      <t>12.30-14.00</t>
    </r>
  </si>
  <si>
    <r>
      <rPr>
        <b/>
        <sz val="12"/>
        <rFont val="Times New Roman"/>
        <charset val="204"/>
      </rPr>
      <t xml:space="preserve">4 пара
</t>
    </r>
    <r>
      <rPr>
        <sz val="12"/>
        <rFont val="Times New Roman"/>
        <charset val="204"/>
      </rPr>
      <t>14.10-15.40</t>
    </r>
  </si>
  <si>
    <r>
      <rPr>
        <b/>
        <sz val="12"/>
        <rFont val="Times New Roman"/>
        <charset val="204"/>
      </rPr>
      <t xml:space="preserve">5 пара
</t>
    </r>
    <r>
      <rPr>
        <sz val="12"/>
        <rFont val="Times New Roman"/>
        <charset val="204"/>
      </rPr>
      <t>15.50-17.20</t>
    </r>
  </si>
  <si>
    <r>
      <rPr>
        <b/>
        <sz val="12"/>
        <rFont val="Times New Roman"/>
        <charset val="204"/>
      </rPr>
      <t xml:space="preserve">6 пара
</t>
    </r>
    <r>
      <rPr>
        <sz val="12"/>
        <rFont val="Times New Roman"/>
        <charset val="204"/>
      </rPr>
      <t>17.40-19.10</t>
    </r>
  </si>
  <si>
    <r>
      <rPr>
        <b/>
        <sz val="12"/>
        <rFont val="Times New Roman"/>
        <charset val="204"/>
      </rPr>
      <t xml:space="preserve">7 пара
</t>
    </r>
    <r>
      <rPr>
        <sz val="12"/>
        <rFont val="Times New Roman"/>
        <charset val="204"/>
      </rPr>
      <t>19.20-20.50</t>
    </r>
  </si>
  <si>
    <t>вторник</t>
  </si>
  <si>
    <t>среда</t>
  </si>
  <si>
    <t>четверг</t>
  </si>
  <si>
    <t>пятница</t>
  </si>
  <si>
    <t>суббота</t>
  </si>
  <si>
    <t xml:space="preserve">Директор института </t>
  </si>
  <si>
    <t>Самчинская Я.Б.</t>
  </si>
  <si>
    <t>Библиотечный день</t>
  </si>
  <si>
    <t xml:space="preserve"> https://max.ru/join/UK1-XZ_XTqTQMkUzITZ-AvDWmTQjDawZvR5fkupR8eE</t>
  </si>
  <si>
    <t xml:space="preserve"> https://max.ru/join/PF9p4nxFpYkpyJZDiJCXITBLRp8ioqfTBXE3wfeJlHs</t>
  </si>
  <si>
    <t xml:space="preserve"> https://max.ru/join/otW8lgS1PqJ5ZhmtKc1Abb8BfYMXnmtaMD7qcLUGCxg</t>
  </si>
  <si>
    <t xml:space="preserve"> https://max.ru/join/OH6fDuRVjPmIa0jo8bkpQ88VaCOt5qUj0lgw60QfR6E</t>
  </si>
  <si>
    <t xml:space="preserve"> https://max.ru/join/TCEatH6Avl8o9m9sQTggJgcSrdIkaHPRw7RIzgXKilo</t>
  </si>
  <si>
    <t xml:space="preserve"> https://max.ru/join/rbLpJ5ax_sNm7y2cvgCMyBOUSIrOjgoKAtn_bNJ6fGo</t>
  </si>
  <si>
    <t xml:space="preserve"> https://max.ru/join/HrLKTRdTWGgXDgkuZo5FTj-f0KVF4vF-lNNZ0Bt6Dlk</t>
  </si>
  <si>
    <t xml:space="preserve"> https://max.ru/join/4mCFDUjZkVK8UuftVSt2q9QOKz6Cf_Jp6XFsId-Pa_Y</t>
  </si>
  <si>
    <t xml:space="preserve"> https://max.ru/join/831brpfUKBZ45r5lLawJQ4x_fudzUfMZk87zumhD3l4</t>
  </si>
  <si>
    <t xml:space="preserve"> https://max.ru/join/JliUDf7xjuRKGpBay-DL6RCwrYm2Hzj4E__hjp6UgOQ</t>
  </si>
  <si>
    <t xml:space="preserve"> https://max.ru/join/HWJDG1wxuQDCiC0TUN5E66zyt7VXJqMWtv_aHX-fd1o</t>
  </si>
  <si>
    <t xml:space="preserve"> https://max.ru/join/M7wDISGvmShFMnRwwNWABqv4bmIdPah2zAI1ryedWA4</t>
  </si>
  <si>
    <t>очно-заочная</t>
  </si>
  <si>
    <t xml:space="preserve"> https://max.ru/join/O7ELSE3mnUXAMkjL9zkW6akpHRr_OV1RfDfgb1E6BKA</t>
  </si>
  <si>
    <t>https://max.ru/join/lLG9wFTsslIHYpmiSC-XFj3ChsNqu9JFSujMK928YAg</t>
  </si>
  <si>
    <t xml:space="preserve"> https://max.ru/join/lLG9wFTsslIHYpmiSC-XFj3ChsNqu9JFSujMK928YAg</t>
  </si>
  <si>
    <t xml:space="preserve"> https://max.ru/join/g6zvD6fUKPmI5Ues4pjwwIXB0fZghlWb7Uaeuix-jUQ</t>
  </si>
  <si>
    <t xml:space="preserve"> https://max.ru/join/DN-Al3Hn8BwzumxU2F0z1ZrdkkOKrJJlr2N-X5z2j-A</t>
  </si>
  <si>
    <t xml:space="preserve"> https://max.ru/join/xVfUag6N_YqTK2FYY9dw1yr1OX0njFL0kEBUFOsnrKU</t>
  </si>
  <si>
    <t xml:space="preserve"> https://max.ru/join/ABawVbim1pHAjVVmFjM7O45ddZZYKAUsl0XF3_xyIvw</t>
  </si>
  <si>
    <t xml:space="preserve"> https://max.ru/join/15pEPVrIDANjN-ex11uXS0z2QQcAQkpN7qeJUhIOK40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</si>
</sst>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-* #,##0_-;\-* #,##0_-;_-* &quot;-&quot;_-;_-@_-"/>
    <numFmt numFmtId="43" formatCode="_-* #,##0.00_-;\-* #,##0.00_-;_-* &quot;-&quot;??_-;_-@_-"/>
    <numFmt numFmtId="176" formatCode="_-* #,##0.00\ &quot;₽&quot;_-;\-* #,##0.00\ &quot;₽&quot;_-;_-* &quot;-&quot;??\ &quot;₽&quot;_-;_-@_-"/>
    <numFmt numFmtId="177" formatCode="_-* #,##0\ &quot;₽&quot;_-;\-* #,##0\ &quot;₽&quot;_-;_-* &quot;-&quot;\ &quot;₽&quot;_-;_-@_-"/>
    <numFmt numFmtId="178" formatCode="dd\.mm\.yyyy"/>
    <numFmt numFmtId="179" formatCode="0;\-0;;\ @"/>
  </numFmts>
  <fonts count="40">
    <font>
      <sz val="10"/>
      <name val="Arial"/>
      <charset val="134"/>
    </font>
    <font>
      <sz val="10"/>
      <name val="Arial"/>
      <charset val="204"/>
    </font>
    <font>
      <sz val="12"/>
      <color theme="0"/>
      <name val="Times New Roman"/>
      <charset val="204"/>
    </font>
    <font>
      <sz val="12"/>
      <color indexed="8"/>
      <name val="Times New Roman"/>
      <charset val="204"/>
    </font>
    <font>
      <sz val="12"/>
      <name val="Times New Roman"/>
      <charset val="204"/>
    </font>
    <font>
      <b/>
      <sz val="14"/>
      <name val="Times New Roman"/>
      <charset val="204"/>
    </font>
    <font>
      <b/>
      <i/>
      <sz val="14"/>
      <name val="Times New Roman"/>
      <charset val="134"/>
    </font>
    <font>
      <b/>
      <i/>
      <sz val="14"/>
      <color indexed="8"/>
      <name val="Times New Roman"/>
      <charset val="134"/>
    </font>
    <font>
      <b/>
      <sz val="12"/>
      <name val="Times New Roman"/>
      <charset val="204"/>
    </font>
    <font>
      <sz val="14"/>
      <color indexed="8"/>
      <name val="Times New Roman"/>
      <charset val="134"/>
    </font>
    <font>
      <sz val="14"/>
      <name val="Times New Roman"/>
      <charset val="204"/>
    </font>
    <font>
      <u/>
      <sz val="10"/>
      <name val="Arial"/>
      <charset val="204"/>
    </font>
    <font>
      <u/>
      <sz val="10"/>
      <color theme="10"/>
      <name val="Arial"/>
      <charset val="204"/>
    </font>
    <font>
      <b/>
      <i/>
      <sz val="12"/>
      <color indexed="8"/>
      <name val="Times New Roman"/>
      <charset val="204"/>
    </font>
    <font>
      <u/>
      <sz val="10"/>
      <color rgb="FF4F81BD"/>
      <name val="Arial"/>
      <charset val="204"/>
    </font>
    <font>
      <sz val="10"/>
      <color rgb="FF4F81BD"/>
      <name val="Times New Roman"/>
      <charset val="204"/>
    </font>
    <font>
      <sz val="10"/>
      <color rgb="FF4F81BD"/>
      <name val="Calibri"/>
      <charset val="134"/>
    </font>
    <font>
      <sz val="12"/>
      <color theme="1"/>
      <name val="Times New Roman"/>
      <charset val="204"/>
    </font>
    <font>
      <sz val="11"/>
      <color theme="1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u/>
      <sz val="11"/>
      <color theme="10"/>
      <name val="Calibri"/>
      <charset val="134"/>
      <scheme val="minor"/>
    </font>
    <font>
      <sz val="11"/>
      <color theme="1"/>
      <name val="Calibri"/>
      <charset val="134"/>
      <scheme val="minor"/>
    </font>
    <font>
      <sz val="8"/>
      <color indexed="8"/>
      <name val="Tahoma"/>
      <charset val="204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/>
    <xf numFmtId="43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center"/>
    </xf>
    <xf numFmtId="0" fontId="18" fillId="3" borderId="34" applyNumberFormat="0" applyFon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35" applyNumberFormat="0" applyFill="0" applyAlignment="0" applyProtection="0">
      <alignment vertical="center"/>
    </xf>
    <xf numFmtId="0" fontId="24" fillId="0" borderId="35" applyNumberFormat="0" applyFill="0" applyAlignment="0" applyProtection="0">
      <alignment vertical="center"/>
    </xf>
    <xf numFmtId="0" fontId="25" fillId="0" borderId="36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4" borderId="37" applyNumberFormat="0" applyAlignment="0" applyProtection="0">
      <alignment vertical="center"/>
    </xf>
    <xf numFmtId="0" fontId="27" fillId="5" borderId="38" applyNumberFormat="0" applyAlignment="0" applyProtection="0">
      <alignment vertical="center"/>
    </xf>
    <xf numFmtId="0" fontId="28" fillId="5" borderId="37" applyNumberFormat="0" applyAlignment="0" applyProtection="0">
      <alignment vertical="center"/>
    </xf>
    <xf numFmtId="0" fontId="29" fillId="6" borderId="39" applyNumberFormat="0" applyAlignment="0" applyProtection="0">
      <alignment vertical="center"/>
    </xf>
    <xf numFmtId="0" fontId="30" fillId="0" borderId="40" applyNumberFormat="0" applyFill="0" applyAlignment="0" applyProtection="0">
      <alignment vertical="center"/>
    </xf>
    <xf numFmtId="0" fontId="31" fillId="0" borderId="41" applyNumberFormat="0" applyFill="0" applyAlignment="0" applyProtection="0">
      <alignment vertical="center"/>
    </xf>
    <xf numFmtId="0" fontId="32" fillId="7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6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0" borderId="0" applyNumberFormat="0" applyBorder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35" fillId="22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/>
    <xf numFmtId="0" fontId="1" fillId="0" borderId="0"/>
    <xf numFmtId="0" fontId="38" fillId="0" borderId="0"/>
    <xf numFmtId="0" fontId="39" fillId="0" borderId="0"/>
  </cellStyleXfs>
  <cellXfs count="81">
    <xf numFmtId="0" fontId="0" fillId="0" borderId="0" xfId="0"/>
    <xf numFmtId="0" fontId="1" fillId="0" borderId="0" xfId="0" applyFont="1"/>
    <xf numFmtId="0" fontId="2" fillId="0" borderId="0" xfId="50" applyFont="1" applyAlignment="1">
      <alignment horizontal="right"/>
    </xf>
    <xf numFmtId="0" fontId="3" fillId="0" borderId="0" xfId="50" applyFont="1" applyFill="1" applyAlignment="1">
      <alignment horizontal="right"/>
    </xf>
    <xf numFmtId="0" fontId="3" fillId="0" borderId="0" xfId="50" applyFont="1" applyFill="1" applyAlignment="1">
      <alignment horizontal="center" wrapText="1"/>
    </xf>
    <xf numFmtId="0" fontId="3" fillId="0" borderId="0" xfId="50" applyFont="1" applyFill="1"/>
    <xf numFmtId="0" fontId="3" fillId="0" borderId="0" xfId="50" applyFont="1" applyFill="1" applyAlignment="1" applyProtection="1">
      <alignment horizontal="left" vertical="center"/>
      <protection locked="0"/>
    </xf>
    <xf numFmtId="0" fontId="3" fillId="0" borderId="0" xfId="50" applyFont="1" applyFill="1" applyAlignment="1">
      <alignment horizontal="right" vertical="center"/>
    </xf>
    <xf numFmtId="0" fontId="3" fillId="0" borderId="0" xfId="50" applyFont="1" applyFill="1" applyBorder="1" applyAlignment="1">
      <alignment horizontal="center" vertical="center"/>
    </xf>
    <xf numFmtId="0" fontId="2" fillId="0" borderId="0" xfId="50" applyFont="1" applyAlignment="1">
      <alignment horizontal="right" vertical="center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right" vertical="center" wrapText="1"/>
    </xf>
    <xf numFmtId="0" fontId="3" fillId="0" borderId="0" xfId="50" applyFont="1" applyFill="1" applyBorder="1" applyAlignment="1">
      <alignment horizontal="right" vertical="center"/>
    </xf>
    <xf numFmtId="0" fontId="3" fillId="0" borderId="0" xfId="50" applyFont="1" applyFill="1" applyBorder="1" applyAlignment="1">
      <alignment vertical="center"/>
    </xf>
    <xf numFmtId="0" fontId="4" fillId="0" borderId="0" xfId="50" applyFont="1" applyFill="1" applyBorder="1" applyAlignment="1">
      <alignment vertical="center"/>
    </xf>
    <xf numFmtId="0" fontId="4" fillId="0" borderId="0" xfId="50" applyFont="1" applyFill="1"/>
    <xf numFmtId="0" fontId="4" fillId="0" borderId="0" xfId="50" applyFont="1" applyFill="1" applyBorder="1" applyAlignment="1">
      <alignment horizontal="left" vertical="center"/>
    </xf>
    <xf numFmtId="0" fontId="4" fillId="0" borderId="0" xfId="50" applyFont="1" applyFill="1" applyAlignment="1">
      <alignment horizontal="left"/>
    </xf>
    <xf numFmtId="0" fontId="4" fillId="0" borderId="1" xfId="50" applyFont="1" applyFill="1" applyBorder="1" applyAlignment="1">
      <alignment horizontal="left" vertical="center"/>
    </xf>
    <xf numFmtId="0" fontId="3" fillId="0" borderId="2" xfId="50" applyFont="1" applyFill="1" applyBorder="1" applyAlignment="1">
      <alignment horizontal="center" vertical="center" wrapText="1"/>
    </xf>
    <xf numFmtId="0" fontId="3" fillId="0" borderId="3" xfId="50" applyFont="1" applyFill="1" applyBorder="1" applyAlignment="1">
      <alignment horizontal="center" vertical="center" wrapText="1"/>
    </xf>
    <xf numFmtId="0" fontId="3" fillId="0" borderId="4" xfId="50" applyFont="1" applyFill="1" applyBorder="1" applyAlignment="1">
      <alignment horizontal="center" vertical="center" wrapText="1"/>
    </xf>
    <xf numFmtId="0" fontId="3" fillId="0" borderId="4" xfId="50" applyFont="1" applyFill="1" applyBorder="1" applyAlignment="1">
      <alignment horizontal="center" vertical="center" textRotation="90" wrapText="1"/>
    </xf>
    <xf numFmtId="0" fontId="5" fillId="0" borderId="5" xfId="50" applyFont="1" applyFill="1" applyBorder="1" applyAlignment="1">
      <alignment horizontal="center" vertical="center" wrapText="1"/>
    </xf>
    <xf numFmtId="0" fontId="5" fillId="0" borderId="6" xfId="5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5" fillId="0" borderId="7" xfId="50" applyFont="1" applyFill="1" applyBorder="1" applyAlignment="1">
      <alignment horizontal="center" vertical="center" wrapText="1"/>
    </xf>
    <xf numFmtId="178" fontId="6" fillId="0" borderId="8" xfId="50" applyNumberFormat="1" applyFont="1" applyBorder="1" applyAlignment="1">
      <alignment horizontal="center" vertical="center" textRotation="90" wrapText="1"/>
    </xf>
    <xf numFmtId="179" fontId="7" fillId="0" borderId="9" xfId="50" applyNumberFormat="1" applyFont="1" applyFill="1" applyBorder="1" applyAlignment="1">
      <alignment horizontal="center" vertical="center" textRotation="90" wrapText="1"/>
    </xf>
    <xf numFmtId="0" fontId="8" fillId="0" borderId="10" xfId="0" applyFont="1" applyBorder="1" applyAlignment="1" applyProtection="1">
      <alignment horizontal="center" vertical="center" wrapText="1"/>
      <protection hidden="1"/>
    </xf>
    <xf numFmtId="179" fontId="9" fillId="0" borderId="11" xfId="50" applyNumberFormat="1" applyFont="1" applyFill="1" applyBorder="1" applyAlignment="1">
      <alignment horizontal="center" vertical="center" wrapText="1"/>
    </xf>
    <xf numFmtId="179" fontId="9" fillId="0" borderId="11" xfId="50" applyNumberFormat="1" applyFont="1" applyFill="1" applyBorder="1" applyAlignment="1">
      <alignment vertical="center" wrapText="1"/>
    </xf>
    <xf numFmtId="179" fontId="9" fillId="0" borderId="12" xfId="50" applyNumberFormat="1" applyFont="1" applyFill="1" applyBorder="1" applyAlignment="1">
      <alignment horizontal="left" vertical="center" wrapText="1"/>
    </xf>
    <xf numFmtId="179" fontId="9" fillId="0" borderId="13" xfId="50" applyNumberFormat="1" applyFont="1" applyFill="1" applyBorder="1" applyAlignment="1">
      <alignment horizontal="left" vertical="center" wrapText="1"/>
    </xf>
    <xf numFmtId="179" fontId="10" fillId="0" borderId="14" xfId="50" applyNumberFormat="1" applyFont="1" applyFill="1" applyBorder="1" applyAlignment="1">
      <alignment vertical="center" wrapText="1"/>
    </xf>
    <xf numFmtId="0" fontId="7" fillId="0" borderId="9" xfId="50" applyFont="1" applyFill="1" applyBorder="1" applyAlignment="1">
      <alignment horizontal="center" vertical="center" textRotation="90" wrapText="1"/>
    </xf>
    <xf numFmtId="178" fontId="6" fillId="0" borderId="15" xfId="50" applyNumberFormat="1" applyFont="1" applyBorder="1" applyAlignment="1">
      <alignment horizontal="center" vertical="center" textRotation="90" wrapText="1"/>
    </xf>
    <xf numFmtId="179" fontId="7" fillId="0" borderId="16" xfId="50" applyNumberFormat="1" applyFont="1" applyFill="1" applyBorder="1" applyAlignment="1">
      <alignment horizontal="center" vertical="center" textRotation="90" wrapText="1"/>
    </xf>
    <xf numFmtId="179" fontId="9" fillId="0" borderId="10" xfId="50" applyNumberFormat="1" applyFont="1" applyFill="1" applyBorder="1" applyAlignment="1">
      <alignment horizontal="center" vertical="center" wrapText="1"/>
    </xf>
    <xf numFmtId="179" fontId="9" fillId="0" borderId="10" xfId="50" applyNumberFormat="1" applyFont="1" applyFill="1" applyBorder="1" applyAlignment="1">
      <alignment vertical="center" wrapText="1"/>
    </xf>
    <xf numFmtId="179" fontId="9" fillId="0" borderId="17" xfId="50" applyNumberFormat="1" applyFont="1" applyFill="1" applyBorder="1" applyAlignment="1">
      <alignment horizontal="left" vertical="center" wrapText="1"/>
    </xf>
    <xf numFmtId="179" fontId="9" fillId="0" borderId="18" xfId="50" applyNumberFormat="1" applyFont="1" applyFill="1" applyBorder="1" applyAlignment="1">
      <alignment horizontal="left" vertical="center" wrapText="1"/>
    </xf>
    <xf numFmtId="179" fontId="10" fillId="0" borderId="19" xfId="50" applyNumberFormat="1" applyFont="1" applyFill="1" applyBorder="1" applyAlignment="1">
      <alignment vertical="center" wrapText="1"/>
    </xf>
    <xf numFmtId="0" fontId="6" fillId="0" borderId="15" xfId="50" applyFont="1" applyBorder="1" applyAlignment="1">
      <alignment horizontal="center" vertical="center" textRotation="90" wrapText="1"/>
    </xf>
    <xf numFmtId="0" fontId="7" fillId="0" borderId="16" xfId="50" applyFont="1" applyFill="1" applyBorder="1" applyAlignment="1">
      <alignment horizontal="center" vertical="center" textRotation="90" wrapText="1"/>
    </xf>
    <xf numFmtId="178" fontId="6" fillId="0" borderId="20" xfId="50" applyNumberFormat="1" applyFont="1" applyBorder="1" applyAlignment="1">
      <alignment horizontal="center" vertical="center" textRotation="90" wrapText="1"/>
    </xf>
    <xf numFmtId="179" fontId="7" fillId="0" borderId="21" xfId="50" applyNumberFormat="1" applyFont="1" applyFill="1" applyBorder="1" applyAlignment="1">
      <alignment horizontal="center" vertical="center" textRotation="90" wrapText="1"/>
    </xf>
    <xf numFmtId="0" fontId="3" fillId="0" borderId="22" xfId="50" applyFont="1" applyFill="1" applyBorder="1" applyAlignment="1">
      <alignment horizontal="center" vertical="center" wrapText="1"/>
    </xf>
    <xf numFmtId="179" fontId="9" fillId="0" borderId="22" xfId="50" applyNumberFormat="1" applyFont="1" applyFill="1" applyBorder="1" applyAlignment="1">
      <alignment horizontal="center" vertical="center" wrapText="1"/>
    </xf>
    <xf numFmtId="179" fontId="9" fillId="0" borderId="22" xfId="50" applyNumberFormat="1" applyFont="1" applyFill="1" applyBorder="1" applyAlignment="1">
      <alignment vertical="center" wrapText="1"/>
    </xf>
    <xf numFmtId="179" fontId="9" fillId="0" borderId="23" xfId="50" applyNumberFormat="1" applyFont="1" applyFill="1" applyBorder="1" applyAlignment="1">
      <alignment horizontal="left" vertical="center" wrapText="1"/>
    </xf>
    <xf numFmtId="179" fontId="9" fillId="0" borderId="24" xfId="50" applyNumberFormat="1" applyFont="1" applyFill="1" applyBorder="1" applyAlignment="1">
      <alignment horizontal="left" vertical="center" wrapText="1"/>
    </xf>
    <xf numFmtId="179" fontId="10" fillId="0" borderId="25" xfId="50" applyNumberFormat="1" applyFont="1" applyFill="1" applyBorder="1" applyAlignment="1">
      <alignment vertical="center" wrapText="1"/>
    </xf>
    <xf numFmtId="0" fontId="6" fillId="0" borderId="20" xfId="50" applyFont="1" applyBorder="1" applyAlignment="1">
      <alignment horizontal="center" vertical="center" textRotation="90" wrapText="1"/>
    </xf>
    <xf numFmtId="0" fontId="7" fillId="0" borderId="21" xfId="50" applyFont="1" applyFill="1" applyBorder="1" applyAlignment="1">
      <alignment horizontal="center" vertical="center" textRotation="90" wrapText="1"/>
    </xf>
    <xf numFmtId="0" fontId="8" fillId="0" borderId="11" xfId="0" applyFont="1" applyBorder="1" applyAlignment="1" applyProtection="1">
      <alignment horizontal="center" vertical="center" wrapText="1"/>
      <protection hidden="1"/>
    </xf>
    <xf numFmtId="179" fontId="11" fillId="0" borderId="19" xfId="6" applyNumberFormat="1" applyFont="1" applyFill="1" applyBorder="1" applyAlignment="1">
      <alignment vertical="center" wrapText="1"/>
    </xf>
    <xf numFmtId="179" fontId="7" fillId="0" borderId="26" xfId="50" applyNumberFormat="1" applyFont="1" applyFill="1" applyBorder="1" applyAlignment="1">
      <alignment horizontal="center" vertical="center" textRotation="90" wrapText="1"/>
    </xf>
    <xf numFmtId="0" fontId="7" fillId="0" borderId="26" xfId="50" applyFont="1" applyFill="1" applyBorder="1" applyAlignment="1">
      <alignment horizontal="center" vertical="center" textRotation="90" wrapText="1"/>
    </xf>
    <xf numFmtId="179" fontId="7" fillId="0" borderId="27" xfId="50" applyNumberFormat="1" applyFont="1" applyFill="1" applyBorder="1" applyAlignment="1">
      <alignment horizontal="center" vertical="center" textRotation="90" wrapText="1"/>
    </xf>
    <xf numFmtId="0" fontId="7" fillId="0" borderId="27" xfId="50" applyFont="1" applyFill="1" applyBorder="1" applyAlignment="1">
      <alignment horizontal="center" vertical="center" textRotation="90" wrapText="1"/>
    </xf>
    <xf numFmtId="179" fontId="7" fillId="0" borderId="28" xfId="50" applyNumberFormat="1" applyFont="1" applyFill="1" applyBorder="1" applyAlignment="1">
      <alignment horizontal="center" vertical="center" textRotation="90" wrapText="1"/>
    </xf>
    <xf numFmtId="0" fontId="7" fillId="0" borderId="28" xfId="50" applyFont="1" applyFill="1" applyBorder="1" applyAlignment="1">
      <alignment horizontal="center" vertical="center" textRotation="90" wrapText="1"/>
    </xf>
    <xf numFmtId="179" fontId="12" fillId="0" borderId="19" xfId="6" applyNumberFormat="1" applyFill="1" applyBorder="1" applyAlignment="1">
      <alignment vertical="center" wrapText="1"/>
    </xf>
    <xf numFmtId="0" fontId="2" fillId="0" borderId="29" xfId="50" applyFont="1" applyBorder="1" applyAlignment="1">
      <alignment horizontal="right" vertical="center"/>
    </xf>
    <xf numFmtId="0" fontId="13" fillId="2" borderId="29" xfId="50" applyFont="1" applyFill="1" applyBorder="1" applyAlignment="1">
      <alignment horizontal="left" vertical="center"/>
    </xf>
    <xf numFmtId="0" fontId="3" fillId="2" borderId="29" xfId="50" applyFont="1" applyFill="1" applyBorder="1" applyAlignment="1">
      <alignment horizontal="left" vertical="center"/>
    </xf>
    <xf numFmtId="0" fontId="3" fillId="2" borderId="29" xfId="50" applyFont="1" applyFill="1" applyBorder="1" applyAlignment="1">
      <alignment vertical="center"/>
    </xf>
    <xf numFmtId="0" fontId="4" fillId="0" borderId="29" xfId="0" applyFont="1" applyFill="1" applyBorder="1" applyAlignment="1" applyProtection="1">
      <alignment horizontal="left" vertical="center"/>
      <protection locked="0" hidden="1"/>
    </xf>
    <xf numFmtId="0" fontId="4" fillId="2" borderId="29" xfId="50" applyFont="1" applyFill="1" applyBorder="1" applyAlignment="1">
      <alignment vertical="center"/>
    </xf>
    <xf numFmtId="0" fontId="14" fillId="0" borderId="19" xfId="0" applyFont="1" applyFill="1" applyBorder="1" applyAlignment="1">
      <alignment wrapText="1"/>
    </xf>
    <xf numFmtId="0" fontId="14" fillId="0" borderId="30" xfId="0" applyFont="1" applyFill="1" applyBorder="1" applyAlignment="1">
      <alignment wrapText="1"/>
    </xf>
    <xf numFmtId="0" fontId="15" fillId="0" borderId="19" xfId="0" applyFont="1" applyFill="1" applyBorder="1" applyAlignment="1">
      <alignment wrapText="1"/>
    </xf>
    <xf numFmtId="0" fontId="16" fillId="0" borderId="31" xfId="0" applyFont="1" applyFill="1" applyBorder="1" applyAlignment="1"/>
    <xf numFmtId="0" fontId="15" fillId="0" borderId="30" xfId="0" applyFont="1" applyFill="1" applyBorder="1" applyAlignment="1">
      <alignment wrapText="1"/>
    </xf>
    <xf numFmtId="0" fontId="15" fillId="0" borderId="14" xfId="0" applyFont="1" applyFill="1" applyBorder="1" applyAlignment="1">
      <alignment wrapText="1"/>
    </xf>
    <xf numFmtId="0" fontId="17" fillId="0" borderId="0" xfId="50" applyFont="1" applyFill="1" applyAlignment="1">
      <alignment horizontal="left"/>
    </xf>
    <xf numFmtId="179" fontId="9" fillId="0" borderId="25" xfId="50" applyNumberFormat="1" applyFont="1" applyFill="1" applyBorder="1" applyAlignment="1">
      <alignment vertical="center" wrapText="1"/>
    </xf>
    <xf numFmtId="179" fontId="9" fillId="0" borderId="32" xfId="50" applyNumberFormat="1" applyFont="1" applyFill="1" applyBorder="1" applyAlignment="1">
      <alignment horizontal="center" vertical="center" wrapText="1"/>
    </xf>
    <xf numFmtId="179" fontId="9" fillId="0" borderId="33" xfId="50" applyNumberFormat="1" applyFont="1" applyFill="1" applyBorder="1" applyAlignment="1">
      <alignment horizontal="center" vertical="center" wrapText="1"/>
    </xf>
    <xf numFmtId="179" fontId="9" fillId="0" borderId="31" xfId="50" applyNumberFormat="1" applyFont="1" applyFill="1" applyBorder="1" applyAlignment="1">
      <alignment horizontal="center" vertical="center" wrapText="1"/>
    </xf>
  </cellXfs>
  <cellStyles count="53">
    <cellStyle name="Обычный" xfId="0" builtinId="0"/>
    <cellStyle name="Запятая" xfId="1" builtinId="3"/>
    <cellStyle name="Денежный" xfId="2" builtinId="4"/>
    <cellStyle name="Процент" xfId="3" builtinId="5"/>
    <cellStyle name="Запятая [0]" xfId="4" builtinId="6"/>
    <cellStyle name="Денежный [0]" xfId="5" builtinId="7"/>
    <cellStyle name="Гиперссылка" xfId="6" builtinId="8"/>
    <cellStyle name="Открывавшаяся гиперссылка" xfId="7" builtinId="9"/>
    <cellStyle name="Примечание" xfId="8" builtinId="10"/>
    <cellStyle name="Предупреждающий текст" xfId="9" builtinId="11"/>
    <cellStyle name="Заголовок" xfId="10" builtinId="15"/>
    <cellStyle name="Пояснительный текст" xfId="11" builtinId="53"/>
    <cellStyle name="Заголовок 1" xfId="12" builtinId="16"/>
    <cellStyle name="Заголовок 2" xfId="13" builtinId="17"/>
    <cellStyle name="Заголовок 3" xfId="14" builtinId="18"/>
    <cellStyle name="Заголовок 4" xfId="15" builtinId="19"/>
    <cellStyle name="Ввод" xfId="16" builtinId="20"/>
    <cellStyle name="Вывод" xfId="17" builtinId="21"/>
    <cellStyle name="Вычисление" xfId="18" builtinId="22"/>
    <cellStyle name="Проверить ячейку" xfId="19" builtinId="23"/>
    <cellStyle name="Связанная ячейка" xfId="20" builtinId="24"/>
    <cellStyle name="Итого" xfId="21" builtinId="25"/>
    <cellStyle name="Хороший" xfId="22" builtinId="26"/>
    <cellStyle name="Плохой" xfId="23" builtinId="27"/>
    <cellStyle name="Нейтральный" xfId="24" builtinId="28"/>
    <cellStyle name="Акцент1" xfId="25" builtinId="29"/>
    <cellStyle name="20% — Акцент1" xfId="26" builtinId="30"/>
    <cellStyle name="40% — Акцент1" xfId="27" builtinId="31"/>
    <cellStyle name="60% — Акцент1" xfId="28" builtinId="32"/>
    <cellStyle name="Акцент2" xfId="29" builtinId="33"/>
    <cellStyle name="20% — Акцент2" xfId="30" builtinId="34"/>
    <cellStyle name="40% — Акцент2" xfId="31" builtinId="35"/>
    <cellStyle name="60% — Акцент2" xfId="32" builtinId="36"/>
    <cellStyle name="Акцент3" xfId="33" builtinId="37"/>
    <cellStyle name="20% — Акцент3" xfId="34" builtinId="38"/>
    <cellStyle name="40% — Акцент3" xfId="35" builtinId="39"/>
    <cellStyle name="60% — Акцент3" xfId="36" builtinId="40"/>
    <cellStyle name="Акцент4" xfId="37" builtinId="41"/>
    <cellStyle name="20% — Акцент4" xfId="38" builtinId="42"/>
    <cellStyle name="40% — Акцент4" xfId="39" builtinId="43"/>
    <cellStyle name="60% — Акцент4" xfId="40" builtinId="44"/>
    <cellStyle name="Акцент5" xfId="41" builtinId="45"/>
    <cellStyle name="20% — Акцент5" xfId="42" builtinId="46"/>
    <cellStyle name="40% — Акцент5" xfId="43" builtinId="47"/>
    <cellStyle name="60% — Акцент5" xfId="44" builtinId="48"/>
    <cellStyle name="Акцент6" xfId="45" builtinId="49"/>
    <cellStyle name="20% — Акцент6" xfId="46" builtinId="50"/>
    <cellStyle name="40% — Акцент6" xfId="47" builtinId="51"/>
    <cellStyle name="60% — Акцент6" xfId="48" builtinId="52"/>
    <cellStyle name="Гиперссылка 2" xfId="49"/>
    <cellStyle name="Обычный 2" xfId="50"/>
    <cellStyle name="Обычный 3" xfId="51"/>
    <cellStyle name="Обычный 4" xfId="52"/>
  </cellStyles>
  <dxfs count="1"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3" Type="http://schemas.openxmlformats.org/officeDocument/2006/relationships/styles" Target="styles.xml"/><Relationship Id="rId22" Type="http://schemas.microsoft.com/office/2006/relationships/vbaProject" Target="vbaProject.bin"/><Relationship Id="rId21" Type="http://schemas.openxmlformats.org/officeDocument/2006/relationships/sharedStrings" Target="sharedStrings.xml"/><Relationship Id="rId20" Type="http://schemas.openxmlformats.org/officeDocument/2006/relationships/theme" Target="theme/theme1.xml"/><Relationship Id="rId2" Type="http://schemas.openxmlformats.org/officeDocument/2006/relationships/worksheet" Target="worksheets/sheet2.xml"/><Relationship Id="rId19" Type="http://schemas.openxmlformats.org/officeDocument/2006/relationships/externalLink" Target="externalLinks/externalLink4.xml"/><Relationship Id="rId18" Type="http://schemas.openxmlformats.org/officeDocument/2006/relationships/externalLink" Target="externalLinks/externalLink3.xml"/><Relationship Id="rId17" Type="http://schemas.openxmlformats.org/officeDocument/2006/relationships/externalLink" Target="externalLinks/externalLink2.xml"/><Relationship Id="rId16" Type="http://schemas.openxmlformats.org/officeDocument/2006/relationships/externalLink" Target="externalLinks/externalLink1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C:\Users\&#1040;&#1073;&#1072;&#1083;&#1076;&#1091;&#1081;\Desktop\&#1088;&#1072;&#1089;&#1087;&#1080;&#1089;&#1072;&#1085;&#1080;&#1077;\1_&#1057;&#1077;&#1085;&#1090;&#1103;&#1073;&#1088;&#110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C:\Users\&#1040;&#1073;&#1072;&#1083;&#1076;&#1091;&#1081;\Desktop\&#1088;&#1072;&#1089;&#1087;&#1080;&#1089;&#1072;&#1085;&#1080;&#1077;\2_&#1054;&#1082;&#1090;&#1103;&#1073;&#1088;&#110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C:\Users\&#1040;&#1073;&#1072;&#1083;&#1076;&#1091;&#1081;\Desktop\&#1088;&#1072;&#1089;&#1087;&#1080;&#1089;&#1072;&#1085;&#1080;&#1077;\3_&#1053;&#1086;&#1103;&#1073;&#1088;&#110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C:\Users\&#1040;&#1073;&#1072;&#1083;&#1076;&#1091;&#1081;\Desktop\&#1088;&#1072;&#1089;&#1087;&#1080;&#1089;&#1072;&#1085;&#1080;&#1077;\4_&#1044;&#1077;&#1082;&#1072;&#1073;&#1088;&#1100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Сентябрь"/>
      <sheetName val="ауд"/>
      <sheetName val="КАБИНЕТЫ"/>
      <sheetName val="РО"/>
      <sheetName val="препод"/>
      <sheetName val="1нед"/>
      <sheetName val="2нед"/>
      <sheetName val="3нед"/>
      <sheetName val="4нед"/>
      <sheetName val="5нед"/>
      <sheetName val="часы"/>
      <sheetName val="Лист2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Направление подготовки:</v>
          </cell>
        </row>
        <row r="6">
          <cell r="D6" t="str">
            <v>00</v>
          </cell>
        </row>
        <row r="6">
          <cell r="L6" t="str">
            <v>09.03.04Программная инженерия (Программно-информационные системы)</v>
          </cell>
        </row>
        <row r="6">
          <cell r="T6" t="str">
            <v>44.03.05Педагогическое образование (с двумя профилями подготовки) (Математика и Информатика)</v>
          </cell>
        </row>
        <row r="10">
          <cell r="D10">
            <v>0</v>
          </cell>
        </row>
        <row r="10">
          <cell r="L10" t="str">
            <v>12-26ПИ</v>
          </cell>
        </row>
        <row r="10">
          <cell r="T10" t="str">
            <v>12-26МИ</v>
          </cell>
        </row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2">
          <cell r="K12">
            <v>0</v>
          </cell>
          <cell r="L12">
            <v>0</v>
          </cell>
        </row>
        <row r="12">
          <cell r="O12">
            <v>0</v>
          </cell>
          <cell r="P12" t="str">
            <v/>
          </cell>
        </row>
        <row r="12">
          <cell r="S12">
            <v>0</v>
          </cell>
          <cell r="T12">
            <v>0</v>
          </cell>
        </row>
        <row r="12">
          <cell r="W12">
            <v>0</v>
          </cell>
          <cell r="X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3">
          <cell r="K13">
            <v>0</v>
          </cell>
          <cell r="L13">
            <v>0</v>
          </cell>
        </row>
        <row r="13">
          <cell r="O13">
            <v>0</v>
          </cell>
          <cell r="P13" t="str">
            <v/>
          </cell>
        </row>
        <row r="13">
          <cell r="S13">
            <v>0</v>
          </cell>
          <cell r="T13">
            <v>0</v>
          </cell>
        </row>
        <row r="13">
          <cell r="W13">
            <v>0</v>
          </cell>
          <cell r="X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4">
          <cell r="K14">
            <v>0</v>
          </cell>
          <cell r="L14">
            <v>0</v>
          </cell>
        </row>
        <row r="14">
          <cell r="O14">
            <v>0</v>
          </cell>
          <cell r="P14" t="str">
            <v/>
          </cell>
        </row>
        <row r="14">
          <cell r="S14">
            <v>0</v>
          </cell>
          <cell r="T14">
            <v>0</v>
          </cell>
        </row>
        <row r="14">
          <cell r="W14">
            <v>0</v>
          </cell>
          <cell r="X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5">
          <cell r="K15">
            <v>0</v>
          </cell>
          <cell r="L15">
            <v>0</v>
          </cell>
        </row>
        <row r="15">
          <cell r="O15">
            <v>0</v>
          </cell>
          <cell r="P15" t="str">
            <v/>
          </cell>
        </row>
        <row r="15">
          <cell r="S15">
            <v>0</v>
          </cell>
          <cell r="T15">
            <v>0</v>
          </cell>
        </row>
        <row r="15">
          <cell r="W15">
            <v>0</v>
          </cell>
          <cell r="X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6">
          <cell r="K16">
            <v>0</v>
          </cell>
          <cell r="L16">
            <v>0</v>
          </cell>
        </row>
        <row r="16">
          <cell r="O16">
            <v>0</v>
          </cell>
          <cell r="P16" t="str">
            <v/>
          </cell>
        </row>
        <row r="16">
          <cell r="S16">
            <v>0</v>
          </cell>
          <cell r="T16">
            <v>0</v>
          </cell>
        </row>
        <row r="16"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7">
          <cell r="K17">
            <v>0</v>
          </cell>
          <cell r="L17">
            <v>0</v>
          </cell>
        </row>
        <row r="17">
          <cell r="O17">
            <v>0</v>
          </cell>
          <cell r="P17" t="str">
            <v/>
          </cell>
        </row>
        <row r="17">
          <cell r="S17">
            <v>0</v>
          </cell>
          <cell r="T17">
            <v>0</v>
          </cell>
        </row>
        <row r="17"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8">
          <cell r="K18">
            <v>0</v>
          </cell>
          <cell r="L18">
            <v>0</v>
          </cell>
        </row>
        <row r="18">
          <cell r="O18">
            <v>0</v>
          </cell>
          <cell r="P18" t="str">
            <v/>
          </cell>
        </row>
        <row r="18">
          <cell r="S18">
            <v>0</v>
          </cell>
          <cell r="T18">
            <v>0</v>
          </cell>
        </row>
        <row r="18"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19">
          <cell r="K19">
            <v>0</v>
          </cell>
          <cell r="L19">
            <v>0</v>
          </cell>
        </row>
        <row r="19">
          <cell r="O19">
            <v>0</v>
          </cell>
          <cell r="P19" t="str">
            <v/>
          </cell>
        </row>
        <row r="19">
          <cell r="S19">
            <v>0</v>
          </cell>
          <cell r="T19">
            <v>0</v>
          </cell>
        </row>
        <row r="19"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0">
          <cell r="K20">
            <v>0</v>
          </cell>
          <cell r="L20">
            <v>0</v>
          </cell>
        </row>
        <row r="20">
          <cell r="O20">
            <v>0</v>
          </cell>
          <cell r="P20" t="str">
            <v/>
          </cell>
        </row>
        <row r="20">
          <cell r="S20">
            <v>0</v>
          </cell>
          <cell r="T20">
            <v>0</v>
          </cell>
        </row>
        <row r="20"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1">
          <cell r="K21">
            <v>0</v>
          </cell>
          <cell r="L21">
            <v>0</v>
          </cell>
        </row>
        <row r="21">
          <cell r="O21">
            <v>0</v>
          </cell>
          <cell r="P21" t="str">
            <v/>
          </cell>
        </row>
        <row r="21">
          <cell r="S21">
            <v>0</v>
          </cell>
          <cell r="T21">
            <v>0</v>
          </cell>
        </row>
        <row r="21"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2">
          <cell r="K22">
            <v>0</v>
          </cell>
          <cell r="L22">
            <v>0</v>
          </cell>
        </row>
        <row r="22">
          <cell r="O22">
            <v>0</v>
          </cell>
          <cell r="P22" t="str">
            <v/>
          </cell>
        </row>
        <row r="22">
          <cell r="S22">
            <v>0</v>
          </cell>
          <cell r="T22">
            <v>0</v>
          </cell>
        </row>
        <row r="22">
          <cell r="W22">
            <v>0</v>
          </cell>
          <cell r="X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3">
          <cell r="K23">
            <v>0</v>
          </cell>
          <cell r="L23">
            <v>0</v>
          </cell>
        </row>
        <row r="23">
          <cell r="O23">
            <v>0</v>
          </cell>
          <cell r="P23" t="str">
            <v/>
          </cell>
        </row>
        <row r="23">
          <cell r="S23">
            <v>0</v>
          </cell>
          <cell r="T23">
            <v>0</v>
          </cell>
        </row>
        <row r="23"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4">
          <cell r="K24">
            <v>0</v>
          </cell>
          <cell r="L24">
            <v>0</v>
          </cell>
        </row>
        <row r="24">
          <cell r="O24">
            <v>0</v>
          </cell>
          <cell r="P24" t="str">
            <v/>
          </cell>
        </row>
        <row r="24">
          <cell r="S24">
            <v>0</v>
          </cell>
          <cell r="T24">
            <v>0</v>
          </cell>
        </row>
        <row r="24"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5">
          <cell r="K25">
            <v>0</v>
          </cell>
          <cell r="L25">
            <v>0</v>
          </cell>
        </row>
        <row r="25">
          <cell r="O25">
            <v>0</v>
          </cell>
          <cell r="P25" t="str">
            <v/>
          </cell>
        </row>
        <row r="25">
          <cell r="S25">
            <v>0</v>
          </cell>
          <cell r="T25">
            <v>0</v>
          </cell>
        </row>
        <row r="25"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6">
          <cell r="K26">
            <v>0</v>
          </cell>
          <cell r="L26">
            <v>0</v>
          </cell>
        </row>
        <row r="26">
          <cell r="O26">
            <v>0</v>
          </cell>
          <cell r="P26" t="str">
            <v/>
          </cell>
        </row>
        <row r="26">
          <cell r="S26">
            <v>0</v>
          </cell>
          <cell r="T26">
            <v>0</v>
          </cell>
        </row>
        <row r="26"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7">
          <cell r="K27">
            <v>0</v>
          </cell>
          <cell r="L27">
            <v>0</v>
          </cell>
        </row>
        <row r="27">
          <cell r="O27">
            <v>0</v>
          </cell>
          <cell r="P27" t="str">
            <v/>
          </cell>
        </row>
        <row r="27">
          <cell r="S27">
            <v>0</v>
          </cell>
          <cell r="T27">
            <v>0</v>
          </cell>
        </row>
        <row r="27"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8">
          <cell r="K28" t="str">
            <v>л</v>
          </cell>
          <cell r="L28" t="str">
            <v>Основы российской государственности</v>
          </cell>
        </row>
        <row r="28">
          <cell r="O28" t="str">
            <v>Вишневский С.А.</v>
          </cell>
          <cell r="P28" t="str">
            <v>доцент, канд. наук</v>
          </cell>
        </row>
        <row r="28">
          <cell r="S28" t="str">
            <v>л</v>
          </cell>
          <cell r="T28" t="str">
            <v>Основы российской государственности</v>
          </cell>
        </row>
        <row r="28"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29">
          <cell r="K29" t="str">
            <v>л</v>
          </cell>
          <cell r="L29" t="str">
            <v>Основы и методология программирования</v>
          </cell>
        </row>
        <row r="29">
          <cell r="O29" t="str">
            <v>Криницкий Ю.В.</v>
          </cell>
          <cell r="P29" t="str">
            <v>преподаватель</v>
          </cell>
        </row>
        <row r="29">
          <cell r="S29">
            <v>0</v>
          </cell>
          <cell r="T29">
            <v>0</v>
          </cell>
        </row>
        <row r="29"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0">
          <cell r="K30">
            <v>0</v>
          </cell>
          <cell r="L30">
            <v>0</v>
          </cell>
        </row>
        <row r="30">
          <cell r="O30">
            <v>0</v>
          </cell>
          <cell r="P30" t="str">
            <v/>
          </cell>
        </row>
        <row r="30">
          <cell r="S30">
            <v>0</v>
          </cell>
          <cell r="T30">
            <v>0</v>
          </cell>
        </row>
        <row r="30"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1">
          <cell r="K31">
            <v>0</v>
          </cell>
          <cell r="L31">
            <v>0</v>
          </cell>
        </row>
        <row r="31">
          <cell r="O31">
            <v>0</v>
          </cell>
          <cell r="P31" t="str">
            <v/>
          </cell>
        </row>
        <row r="31">
          <cell r="S31">
            <v>0</v>
          </cell>
          <cell r="T31">
            <v>0</v>
          </cell>
        </row>
        <row r="31"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2">
          <cell r="K32">
            <v>0</v>
          </cell>
          <cell r="L32">
            <v>0</v>
          </cell>
        </row>
        <row r="32">
          <cell r="O32">
            <v>0</v>
          </cell>
          <cell r="P32" t="str">
            <v/>
          </cell>
        </row>
        <row r="32">
          <cell r="S32">
            <v>0</v>
          </cell>
          <cell r="T32">
            <v>0</v>
          </cell>
        </row>
        <row r="32"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3">
          <cell r="K33">
            <v>0</v>
          </cell>
          <cell r="L33">
            <v>0</v>
          </cell>
        </row>
        <row r="33">
          <cell r="O33">
            <v>0</v>
          </cell>
          <cell r="P33" t="str">
            <v/>
          </cell>
        </row>
        <row r="33">
          <cell r="S33">
            <v>0</v>
          </cell>
          <cell r="T33">
            <v>0</v>
          </cell>
        </row>
        <row r="33"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4">
          <cell r="K34">
            <v>0</v>
          </cell>
          <cell r="L34">
            <v>0</v>
          </cell>
        </row>
        <row r="34">
          <cell r="O34">
            <v>0</v>
          </cell>
          <cell r="P34" t="str">
            <v/>
          </cell>
        </row>
        <row r="34">
          <cell r="S34">
            <v>0</v>
          </cell>
          <cell r="T34">
            <v>0</v>
          </cell>
        </row>
        <row r="34"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5">
          <cell r="K35">
            <v>0</v>
          </cell>
          <cell r="L35">
            <v>0</v>
          </cell>
        </row>
        <row r="35">
          <cell r="O35">
            <v>0</v>
          </cell>
          <cell r="P35" t="str">
            <v/>
          </cell>
        </row>
        <row r="35">
          <cell r="S35">
            <v>0</v>
          </cell>
          <cell r="T35">
            <v>0</v>
          </cell>
        </row>
        <row r="35"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6">
          <cell r="K36">
            <v>0</v>
          </cell>
          <cell r="L36">
            <v>0</v>
          </cell>
        </row>
        <row r="36">
          <cell r="O36">
            <v>0</v>
          </cell>
          <cell r="P36" t="str">
            <v/>
          </cell>
        </row>
        <row r="36">
          <cell r="S36" t="str">
            <v>пр</v>
          </cell>
          <cell r="T36" t="str">
            <v> Основы российской государственности</v>
          </cell>
        </row>
        <row r="36">
          <cell r="W36" t="str">
            <v>Лысенко Е.Г.</v>
          </cell>
          <cell r="X36" t="str">
            <v>доцент, канд. наук</v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7">
          <cell r="K37" t="str">
            <v>пр</v>
          </cell>
          <cell r="L37" t="str">
            <v> Основы российской государственности</v>
          </cell>
        </row>
        <row r="37">
          <cell r="O37" t="str">
            <v>Лысенко Е.Г.</v>
          </cell>
          <cell r="P37" t="str">
            <v>доцент, канд. наук</v>
          </cell>
        </row>
        <row r="37">
          <cell r="S37" t="str">
            <v>л</v>
          </cell>
          <cell r="T37" t="str">
            <v>Геометрия</v>
          </cell>
        </row>
        <row r="37">
          <cell r="W37" t="str">
            <v>Казанцев Ю.А.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8">
          <cell r="K38" t="str">
            <v>л</v>
          </cell>
          <cell r="L38" t="str">
            <v>Алгебра и Геометрия</v>
          </cell>
        </row>
        <row r="38">
          <cell r="O38" t="str">
            <v>Овчинникова М.В.</v>
          </cell>
          <cell r="P38" t="str">
            <v>доцент, канд. наук</v>
          </cell>
        </row>
        <row r="38">
          <cell r="S38">
            <v>0</v>
          </cell>
          <cell r="T38">
            <v>0</v>
          </cell>
        </row>
        <row r="38"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39">
          <cell r="K39" t="str">
            <v>л</v>
          </cell>
          <cell r="L39" t="str">
            <v>Математический анализ</v>
          </cell>
        </row>
        <row r="39">
          <cell r="O39" t="str">
            <v>Линник Е.П.</v>
          </cell>
          <cell r="P39" t="str">
            <v>доцент, канд. наук</v>
          </cell>
        </row>
        <row r="39">
          <cell r="S39">
            <v>0</v>
          </cell>
          <cell r="T39">
            <v>0</v>
          </cell>
        </row>
        <row r="39"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0">
          <cell r="K40">
            <v>0</v>
          </cell>
          <cell r="L40">
            <v>0</v>
          </cell>
        </row>
        <row r="40">
          <cell r="O40">
            <v>0</v>
          </cell>
          <cell r="P40" t="str">
            <v/>
          </cell>
        </row>
        <row r="40">
          <cell r="S40">
            <v>0</v>
          </cell>
          <cell r="T40">
            <v>0</v>
          </cell>
        </row>
        <row r="40"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1">
          <cell r="K41">
            <v>0</v>
          </cell>
          <cell r="L41">
            <v>0</v>
          </cell>
        </row>
        <row r="41">
          <cell r="O41">
            <v>0</v>
          </cell>
          <cell r="P41" t="str">
            <v/>
          </cell>
        </row>
        <row r="41">
          <cell r="S41">
            <v>0</v>
          </cell>
          <cell r="T41">
            <v>0</v>
          </cell>
        </row>
        <row r="41"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2">
          <cell r="K42">
            <v>0</v>
          </cell>
          <cell r="L42">
            <v>0</v>
          </cell>
        </row>
        <row r="42">
          <cell r="O42">
            <v>0</v>
          </cell>
          <cell r="P42" t="str">
            <v/>
          </cell>
        </row>
        <row r="42">
          <cell r="S42">
            <v>0</v>
          </cell>
          <cell r="T42">
            <v>0</v>
          </cell>
        </row>
        <row r="42"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3">
          <cell r="K43">
            <v>0</v>
          </cell>
          <cell r="L43">
            <v>0</v>
          </cell>
        </row>
        <row r="43">
          <cell r="O43">
            <v>0</v>
          </cell>
          <cell r="P43" t="str">
            <v/>
          </cell>
        </row>
        <row r="43">
          <cell r="S43">
            <v>0</v>
          </cell>
          <cell r="T43">
            <v>0</v>
          </cell>
        </row>
        <row r="43"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4">
          <cell r="K44">
            <v>0</v>
          </cell>
          <cell r="L44">
            <v>0</v>
          </cell>
        </row>
        <row r="44">
          <cell r="O44">
            <v>0</v>
          </cell>
          <cell r="P44" t="str">
            <v/>
          </cell>
        </row>
        <row r="44">
          <cell r="S44" t="str">
            <v>пр</v>
          </cell>
          <cell r="T44" t="str">
            <v> Основы российской государственности</v>
          </cell>
        </row>
        <row r="44"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5">
          <cell r="K45">
            <v>0</v>
          </cell>
          <cell r="L45">
            <v>0</v>
          </cell>
        </row>
        <row r="45">
          <cell r="O45">
            <v>0</v>
          </cell>
          <cell r="P45" t="str">
            <v/>
          </cell>
        </row>
        <row r="45">
          <cell r="S45" t="str">
            <v>л</v>
          </cell>
          <cell r="T45" t="str">
            <v>Программное обеспечение систем и сетей</v>
          </cell>
        </row>
        <row r="45">
          <cell r="W45" t="str">
            <v>Алешов В.В.</v>
          </cell>
          <cell r="X45" t="str">
            <v>ст. преподаватель</v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6">
          <cell r="K46" t="str">
            <v>пр</v>
          </cell>
          <cell r="L46" t="str">
            <v>Алгебра и Геометрия</v>
          </cell>
        </row>
        <row r="46">
          <cell r="O46" t="str">
            <v>Овчинникова М.В.</v>
          </cell>
          <cell r="P46" t="str">
            <v>доцент, канд. наук</v>
          </cell>
        </row>
        <row r="46">
          <cell r="S46" t="str">
            <v>пр</v>
          </cell>
          <cell r="T46" t="str">
            <v>Программное обеспечение систем и сетей</v>
          </cell>
        </row>
        <row r="46"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7">
          <cell r="K47">
            <v>0</v>
          </cell>
          <cell r="L47">
            <v>0</v>
          </cell>
        </row>
        <row r="47">
          <cell r="O47">
            <v>0</v>
          </cell>
          <cell r="P47" t="str">
            <v/>
          </cell>
        </row>
        <row r="47">
          <cell r="S47">
            <v>0</v>
          </cell>
          <cell r="T47">
            <v>0</v>
          </cell>
        </row>
        <row r="47"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8">
          <cell r="K48">
            <v>0</v>
          </cell>
          <cell r="L48">
            <v>0</v>
          </cell>
        </row>
        <row r="48">
          <cell r="O48">
            <v>0</v>
          </cell>
          <cell r="P48" t="str">
            <v/>
          </cell>
        </row>
        <row r="48">
          <cell r="S48">
            <v>0</v>
          </cell>
          <cell r="T48">
            <v>0</v>
          </cell>
        </row>
        <row r="48"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49">
          <cell r="K49">
            <v>0</v>
          </cell>
          <cell r="L49">
            <v>0</v>
          </cell>
        </row>
        <row r="49">
          <cell r="O49">
            <v>0</v>
          </cell>
          <cell r="P49" t="str">
            <v/>
          </cell>
        </row>
        <row r="49">
          <cell r="S49">
            <v>0</v>
          </cell>
          <cell r="T49">
            <v>0</v>
          </cell>
        </row>
        <row r="49"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0">
          <cell r="K50">
            <v>0</v>
          </cell>
          <cell r="L50">
            <v>0</v>
          </cell>
        </row>
        <row r="50">
          <cell r="O50">
            <v>0</v>
          </cell>
          <cell r="P50" t="str">
            <v/>
          </cell>
        </row>
        <row r="50">
          <cell r="S50">
            <v>0</v>
          </cell>
          <cell r="T50">
            <v>0</v>
          </cell>
        </row>
        <row r="50"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1">
          <cell r="K51">
            <v>0</v>
          </cell>
          <cell r="L51">
            <v>0</v>
          </cell>
        </row>
        <row r="51">
          <cell r="O51">
            <v>0</v>
          </cell>
          <cell r="P51" t="str">
            <v/>
          </cell>
        </row>
        <row r="51">
          <cell r="S51">
            <v>0</v>
          </cell>
          <cell r="T51">
            <v>0</v>
          </cell>
        </row>
        <row r="51"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2">
          <cell r="K52">
            <v>0</v>
          </cell>
          <cell r="L52">
            <v>0</v>
          </cell>
        </row>
        <row r="52">
          <cell r="O52">
            <v>0</v>
          </cell>
          <cell r="P52" t="str">
            <v/>
          </cell>
        </row>
        <row r="52">
          <cell r="S52">
            <v>0</v>
          </cell>
          <cell r="T52">
            <v>0</v>
          </cell>
        </row>
        <row r="52"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3">
          <cell r="K53">
            <v>0</v>
          </cell>
          <cell r="L53">
            <v>0</v>
          </cell>
        </row>
        <row r="53">
          <cell r="O53">
            <v>0</v>
          </cell>
          <cell r="P53" t="str">
            <v/>
          </cell>
        </row>
        <row r="53">
          <cell r="S53">
            <v>0</v>
          </cell>
          <cell r="T53">
            <v>0</v>
          </cell>
        </row>
        <row r="53"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4">
          <cell r="K54">
            <v>0</v>
          </cell>
          <cell r="L54">
            <v>0</v>
          </cell>
        </row>
        <row r="54">
          <cell r="O54">
            <v>0</v>
          </cell>
          <cell r="P54" t="str">
            <v/>
          </cell>
        </row>
        <row r="54">
          <cell r="S54">
            <v>0</v>
          </cell>
          <cell r="T54">
            <v>0</v>
          </cell>
        </row>
        <row r="54"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5">
          <cell r="K55">
            <v>0</v>
          </cell>
          <cell r="L55">
            <v>0</v>
          </cell>
        </row>
        <row r="55">
          <cell r="O55">
            <v>0</v>
          </cell>
          <cell r="P55" t="str">
            <v/>
          </cell>
        </row>
        <row r="55">
          <cell r="S55">
            <v>0</v>
          </cell>
          <cell r="T55">
            <v>0</v>
          </cell>
        </row>
        <row r="55"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6">
          <cell r="K56">
            <v>0</v>
          </cell>
          <cell r="L56">
            <v>0</v>
          </cell>
        </row>
        <row r="56">
          <cell r="O56">
            <v>0</v>
          </cell>
          <cell r="P56" t="str">
            <v/>
          </cell>
        </row>
        <row r="56">
          <cell r="S56">
            <v>0</v>
          </cell>
          <cell r="T56">
            <v>0</v>
          </cell>
        </row>
        <row r="56"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7">
          <cell r="K57">
            <v>0</v>
          </cell>
          <cell r="L57">
            <v>0</v>
          </cell>
        </row>
        <row r="57">
          <cell r="O57">
            <v>0</v>
          </cell>
          <cell r="P57" t="str">
            <v/>
          </cell>
        </row>
        <row r="57">
          <cell r="S57">
            <v>0</v>
          </cell>
          <cell r="T57">
            <v>0</v>
          </cell>
        </row>
        <row r="57"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8">
          <cell r="K58">
            <v>0</v>
          </cell>
          <cell r="L58">
            <v>0</v>
          </cell>
        </row>
        <row r="58">
          <cell r="O58">
            <v>0</v>
          </cell>
          <cell r="P58" t="str">
            <v/>
          </cell>
        </row>
        <row r="58">
          <cell r="S58">
            <v>0</v>
          </cell>
          <cell r="T58">
            <v>0</v>
          </cell>
        </row>
        <row r="58"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  <cell r="H59" t="str">
            <v/>
          </cell>
        </row>
        <row r="59">
          <cell r="K59">
            <v>0</v>
          </cell>
          <cell r="L59">
            <v>0</v>
          </cell>
        </row>
        <row r="59">
          <cell r="O59">
            <v>0</v>
          </cell>
          <cell r="P59" t="str">
            <v/>
          </cell>
        </row>
        <row r="59">
          <cell r="S59">
            <v>0</v>
          </cell>
          <cell r="T59">
            <v>0</v>
          </cell>
        </row>
        <row r="59">
          <cell r="W59">
            <v>0</v>
          </cell>
          <cell r="X59" t="str">
            <v/>
          </cell>
        </row>
        <row r="68">
          <cell r="D68" t="str">
            <v>44.03.05..Педагогическое образование (с двумя профилями подготовки) (Физика и Информатика)</v>
          </cell>
        </row>
        <row r="68">
          <cell r="L68" t="str">
            <v>09.03.04Программная инженерия (Программно-информационные системы)</v>
          </cell>
        </row>
        <row r="68">
          <cell r="T68" t="str">
            <v>09.03.04Программная инженерия (Программно-информационные системы)</v>
          </cell>
        </row>
        <row r="72">
          <cell r="D72" t="str">
            <v>12-26ФИ</v>
          </cell>
        </row>
        <row r="72">
          <cell r="L72" t="str">
            <v>12-25ПИ</v>
          </cell>
        </row>
        <row r="72">
          <cell r="T72" t="str">
            <v>12-24ПИ</v>
          </cell>
        </row>
        <row r="74">
          <cell r="C74">
            <v>0</v>
          </cell>
          <cell r="D74">
            <v>0</v>
          </cell>
        </row>
        <row r="74">
          <cell r="G74">
            <v>0</v>
          </cell>
          <cell r="H74" t="str">
            <v/>
          </cell>
        </row>
        <row r="74">
          <cell r="K74">
            <v>0</v>
          </cell>
          <cell r="L74">
            <v>0</v>
          </cell>
        </row>
        <row r="74">
          <cell r="O74">
            <v>0</v>
          </cell>
          <cell r="P74" t="str">
            <v/>
          </cell>
        </row>
        <row r="74">
          <cell r="S74">
            <v>0</v>
          </cell>
          <cell r="T74">
            <v>0</v>
          </cell>
        </row>
        <row r="74">
          <cell r="W74">
            <v>0</v>
          </cell>
          <cell r="X74" t="str">
            <v/>
          </cell>
        </row>
        <row r="75">
          <cell r="C75">
            <v>0</v>
          </cell>
          <cell r="D75">
            <v>0</v>
          </cell>
        </row>
        <row r="75">
          <cell r="G75">
            <v>0</v>
          </cell>
          <cell r="H75" t="str">
            <v/>
          </cell>
        </row>
        <row r="75">
          <cell r="K75">
            <v>0</v>
          </cell>
          <cell r="L75">
            <v>0</v>
          </cell>
        </row>
        <row r="75">
          <cell r="O75">
            <v>0</v>
          </cell>
          <cell r="P75" t="str">
            <v/>
          </cell>
        </row>
        <row r="75">
          <cell r="S75">
            <v>0</v>
          </cell>
          <cell r="T75">
            <v>0</v>
          </cell>
        </row>
        <row r="75">
          <cell r="W75">
            <v>0</v>
          </cell>
          <cell r="X75" t="str">
            <v/>
          </cell>
        </row>
        <row r="76">
          <cell r="C76">
            <v>0</v>
          </cell>
          <cell r="D76">
            <v>0</v>
          </cell>
        </row>
        <row r="76">
          <cell r="G76">
            <v>0</v>
          </cell>
          <cell r="H76" t="str">
            <v/>
          </cell>
        </row>
        <row r="76">
          <cell r="K76">
            <v>0</v>
          </cell>
          <cell r="L76">
            <v>0</v>
          </cell>
        </row>
        <row r="76">
          <cell r="O76">
            <v>0</v>
          </cell>
          <cell r="P76" t="str">
            <v/>
          </cell>
        </row>
        <row r="76">
          <cell r="S76">
            <v>0</v>
          </cell>
          <cell r="T76">
            <v>0</v>
          </cell>
        </row>
        <row r="76">
          <cell r="W76">
            <v>0</v>
          </cell>
          <cell r="X76" t="str">
            <v/>
          </cell>
        </row>
        <row r="77">
          <cell r="C77">
            <v>0</v>
          </cell>
          <cell r="D77">
            <v>0</v>
          </cell>
        </row>
        <row r="77">
          <cell r="G77">
            <v>0</v>
          </cell>
          <cell r="H77" t="str">
            <v/>
          </cell>
        </row>
        <row r="77">
          <cell r="K77">
            <v>0</v>
          </cell>
          <cell r="L77">
            <v>0</v>
          </cell>
        </row>
        <row r="77">
          <cell r="O77">
            <v>0</v>
          </cell>
          <cell r="P77" t="str">
            <v/>
          </cell>
        </row>
        <row r="77">
          <cell r="S77">
            <v>0</v>
          </cell>
          <cell r="T77">
            <v>0</v>
          </cell>
        </row>
        <row r="77">
          <cell r="W77">
            <v>0</v>
          </cell>
          <cell r="X77" t="str">
            <v/>
          </cell>
        </row>
        <row r="78">
          <cell r="C78">
            <v>0</v>
          </cell>
          <cell r="D78">
            <v>0</v>
          </cell>
        </row>
        <row r="78">
          <cell r="G78">
            <v>0</v>
          </cell>
          <cell r="H78" t="str">
            <v/>
          </cell>
        </row>
        <row r="78">
          <cell r="K78">
            <v>0</v>
          </cell>
          <cell r="L78">
            <v>0</v>
          </cell>
        </row>
        <row r="78">
          <cell r="O78">
            <v>0</v>
          </cell>
          <cell r="P78" t="str">
            <v/>
          </cell>
        </row>
        <row r="78">
          <cell r="S78">
            <v>0</v>
          </cell>
          <cell r="T78">
            <v>0</v>
          </cell>
        </row>
        <row r="78"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</row>
        <row r="79">
          <cell r="G79">
            <v>0</v>
          </cell>
          <cell r="H79" t="str">
            <v/>
          </cell>
        </row>
        <row r="79">
          <cell r="K79">
            <v>0</v>
          </cell>
          <cell r="L79">
            <v>0</v>
          </cell>
        </row>
        <row r="79">
          <cell r="O79">
            <v>0</v>
          </cell>
          <cell r="P79" t="str">
            <v/>
          </cell>
        </row>
        <row r="79">
          <cell r="S79">
            <v>0</v>
          </cell>
          <cell r="T79">
            <v>0</v>
          </cell>
        </row>
        <row r="79"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</row>
        <row r="80">
          <cell r="G80">
            <v>0</v>
          </cell>
          <cell r="H80" t="str">
            <v/>
          </cell>
        </row>
        <row r="80">
          <cell r="K80">
            <v>0</v>
          </cell>
          <cell r="L80">
            <v>0</v>
          </cell>
        </row>
        <row r="80">
          <cell r="O80">
            <v>0</v>
          </cell>
          <cell r="P80" t="str">
            <v/>
          </cell>
        </row>
        <row r="80">
          <cell r="S80">
            <v>0</v>
          </cell>
          <cell r="T80">
            <v>0</v>
          </cell>
        </row>
        <row r="80"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</row>
        <row r="81">
          <cell r="G81">
            <v>0</v>
          </cell>
          <cell r="H81" t="str">
            <v/>
          </cell>
        </row>
        <row r="81">
          <cell r="K81">
            <v>0</v>
          </cell>
          <cell r="L81">
            <v>0</v>
          </cell>
        </row>
        <row r="81">
          <cell r="O81">
            <v>0</v>
          </cell>
          <cell r="P81" t="str">
            <v/>
          </cell>
        </row>
        <row r="81">
          <cell r="S81">
            <v>0</v>
          </cell>
          <cell r="T81">
            <v>0</v>
          </cell>
        </row>
        <row r="81"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</row>
        <row r="82">
          <cell r="G82">
            <v>0</v>
          </cell>
          <cell r="H82" t="str">
            <v/>
          </cell>
        </row>
        <row r="82">
          <cell r="K82">
            <v>0</v>
          </cell>
          <cell r="L82">
            <v>0</v>
          </cell>
        </row>
        <row r="82">
          <cell r="O82">
            <v>0</v>
          </cell>
          <cell r="P82" t="str">
            <v/>
          </cell>
        </row>
        <row r="82">
          <cell r="S82">
            <v>0</v>
          </cell>
          <cell r="T82">
            <v>0</v>
          </cell>
        </row>
        <row r="82">
          <cell r="W82">
            <v>0</v>
          </cell>
          <cell r="X82" t="str">
            <v/>
          </cell>
        </row>
        <row r="83">
          <cell r="C83">
            <v>0</v>
          </cell>
          <cell r="D83">
            <v>0</v>
          </cell>
        </row>
        <row r="83">
          <cell r="G83">
            <v>0</v>
          </cell>
          <cell r="H83" t="str">
            <v/>
          </cell>
        </row>
        <row r="83">
          <cell r="K83">
            <v>0</v>
          </cell>
          <cell r="L83">
            <v>0</v>
          </cell>
        </row>
        <row r="83">
          <cell r="O83">
            <v>0</v>
          </cell>
          <cell r="P83" t="str">
            <v/>
          </cell>
        </row>
        <row r="83">
          <cell r="S83">
            <v>0</v>
          </cell>
          <cell r="T83">
            <v>0</v>
          </cell>
        </row>
        <row r="83">
          <cell r="W83">
            <v>0</v>
          </cell>
          <cell r="X83" t="str">
            <v/>
          </cell>
        </row>
        <row r="84">
          <cell r="C84">
            <v>0</v>
          </cell>
          <cell r="D84">
            <v>0</v>
          </cell>
        </row>
        <row r="84">
          <cell r="G84">
            <v>0</v>
          </cell>
          <cell r="H84" t="str">
            <v/>
          </cell>
        </row>
        <row r="84">
          <cell r="K84">
            <v>0</v>
          </cell>
          <cell r="L84">
            <v>0</v>
          </cell>
        </row>
        <row r="84">
          <cell r="O84">
            <v>0</v>
          </cell>
          <cell r="P84" t="str">
            <v/>
          </cell>
        </row>
        <row r="84">
          <cell r="S84">
            <v>0</v>
          </cell>
          <cell r="T84">
            <v>0</v>
          </cell>
        </row>
        <row r="84"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</row>
        <row r="85">
          <cell r="G85">
            <v>0</v>
          </cell>
          <cell r="H85" t="str">
            <v/>
          </cell>
        </row>
        <row r="85">
          <cell r="K85">
            <v>0</v>
          </cell>
          <cell r="L85">
            <v>0</v>
          </cell>
        </row>
        <row r="85">
          <cell r="O85">
            <v>0</v>
          </cell>
          <cell r="P85" t="str">
            <v/>
          </cell>
        </row>
        <row r="85">
          <cell r="S85">
            <v>0</v>
          </cell>
          <cell r="T85">
            <v>0</v>
          </cell>
        </row>
        <row r="85"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</row>
        <row r="86">
          <cell r="G86">
            <v>0</v>
          </cell>
          <cell r="H86" t="str">
            <v/>
          </cell>
        </row>
        <row r="86">
          <cell r="K86">
            <v>0</v>
          </cell>
          <cell r="L86">
            <v>0</v>
          </cell>
        </row>
        <row r="86">
          <cell r="O86">
            <v>0</v>
          </cell>
          <cell r="P86" t="str">
            <v/>
          </cell>
        </row>
        <row r="86">
          <cell r="S86">
            <v>0</v>
          </cell>
          <cell r="T86">
            <v>0</v>
          </cell>
        </row>
        <row r="86"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</row>
        <row r="87">
          <cell r="G87">
            <v>0</v>
          </cell>
          <cell r="H87" t="str">
            <v/>
          </cell>
        </row>
        <row r="87">
          <cell r="K87">
            <v>0</v>
          </cell>
          <cell r="L87">
            <v>0</v>
          </cell>
        </row>
        <row r="87">
          <cell r="O87">
            <v>0</v>
          </cell>
          <cell r="P87" t="str">
            <v/>
          </cell>
        </row>
        <row r="87">
          <cell r="S87">
            <v>0</v>
          </cell>
          <cell r="T87">
            <v>0</v>
          </cell>
        </row>
        <row r="87"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</row>
        <row r="88">
          <cell r="G88">
            <v>0</v>
          </cell>
          <cell r="H88" t="str">
            <v/>
          </cell>
        </row>
        <row r="88">
          <cell r="K88">
            <v>0</v>
          </cell>
          <cell r="L88">
            <v>0</v>
          </cell>
        </row>
        <row r="88">
          <cell r="O88">
            <v>0</v>
          </cell>
          <cell r="P88" t="str">
            <v/>
          </cell>
        </row>
        <row r="88">
          <cell r="S88">
            <v>0</v>
          </cell>
          <cell r="T88">
            <v>0</v>
          </cell>
        </row>
        <row r="88"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</row>
        <row r="89">
          <cell r="G89">
            <v>0</v>
          </cell>
          <cell r="H89" t="str">
            <v/>
          </cell>
        </row>
        <row r="89">
          <cell r="K89">
            <v>0</v>
          </cell>
          <cell r="L89">
            <v>0</v>
          </cell>
        </row>
        <row r="89">
          <cell r="O89">
            <v>0</v>
          </cell>
          <cell r="P89" t="str">
            <v/>
          </cell>
        </row>
        <row r="89">
          <cell r="S89">
            <v>0</v>
          </cell>
          <cell r="T89">
            <v>0</v>
          </cell>
        </row>
        <row r="89"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</row>
        <row r="90">
          <cell r="G90" t="str">
            <v>Вишневский С.А.</v>
          </cell>
          <cell r="H90" t="str">
            <v>доцент, канд. наук</v>
          </cell>
        </row>
        <row r="90">
          <cell r="K90" t="str">
            <v>л</v>
          </cell>
          <cell r="L90" t="str">
            <v>Финансово-экономический практикум</v>
          </cell>
        </row>
        <row r="90">
          <cell r="O90" t="str">
            <v>Марусик Е.А.</v>
          </cell>
          <cell r="P90" t="str">
            <v>доцент, канд. наук</v>
          </cell>
        </row>
        <row r="90">
          <cell r="S90" t="str">
            <v>л</v>
          </cell>
          <cell r="T90" t="str">
            <v>Графика и анимация в 3D</v>
          </cell>
        </row>
        <row r="90"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л</v>
          </cell>
          <cell r="D91" t="str">
            <v>Элементарная  физика</v>
          </cell>
        </row>
        <row r="91">
          <cell r="G91" t="str">
            <v>Коробова И.В.</v>
          </cell>
          <cell r="H91" t="str">
            <v>профессор, д-р наук</v>
          </cell>
        </row>
        <row r="91">
          <cell r="K91" t="str">
            <v>л</v>
          </cell>
          <cell r="L91" t="str">
            <v>Нормативно-правовые основы профессиональной деятельности</v>
          </cell>
        </row>
        <row r="91">
          <cell r="O91" t="str">
            <v>Милкина Е.В.</v>
          </cell>
          <cell r="P91" t="str">
            <v>доцент</v>
          </cell>
        </row>
        <row r="91">
          <cell r="S91" t="str">
            <v>л</v>
          </cell>
          <cell r="T91" t="str">
            <v>Графика и анимация в 3D</v>
          </cell>
        </row>
        <row r="91"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</row>
        <row r="92">
          <cell r="G92">
            <v>0</v>
          </cell>
          <cell r="H92" t="str">
            <v/>
          </cell>
        </row>
        <row r="92">
          <cell r="K92" t="str">
            <v>л</v>
          </cell>
          <cell r="L92" t="str">
            <v>Основы компьютерных наук</v>
          </cell>
        </row>
        <row r="92">
          <cell r="O92" t="str">
            <v>Криницкий Ю.В.</v>
          </cell>
          <cell r="P92" t="str">
            <v>преподаватель</v>
          </cell>
        </row>
        <row r="92">
          <cell r="S92" t="str">
            <v>пр</v>
          </cell>
          <cell r="T92" t="str">
            <v>Физическая культура и спорт</v>
          </cell>
        </row>
        <row r="92"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</row>
        <row r="93">
          <cell r="G93">
            <v>0</v>
          </cell>
          <cell r="H93" t="str">
            <v/>
          </cell>
        </row>
        <row r="93">
          <cell r="K93">
            <v>0</v>
          </cell>
          <cell r="L93">
            <v>0</v>
          </cell>
        </row>
        <row r="93">
          <cell r="O93">
            <v>0</v>
          </cell>
          <cell r="P93" t="str">
            <v/>
          </cell>
        </row>
        <row r="93">
          <cell r="S93">
            <v>0</v>
          </cell>
          <cell r="T93">
            <v>0</v>
          </cell>
        </row>
        <row r="93"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</row>
        <row r="94">
          <cell r="G94">
            <v>0</v>
          </cell>
          <cell r="H94" t="str">
            <v/>
          </cell>
        </row>
        <row r="94">
          <cell r="K94">
            <v>0</v>
          </cell>
          <cell r="L94">
            <v>0</v>
          </cell>
        </row>
        <row r="94">
          <cell r="O94">
            <v>0</v>
          </cell>
          <cell r="P94" t="str">
            <v/>
          </cell>
        </row>
        <row r="94">
          <cell r="S94">
            <v>0</v>
          </cell>
          <cell r="T94">
            <v>0</v>
          </cell>
        </row>
        <row r="94"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</row>
        <row r="95">
          <cell r="H95" t="str">
            <v/>
          </cell>
        </row>
        <row r="95">
          <cell r="K95">
            <v>0</v>
          </cell>
          <cell r="L95">
            <v>0</v>
          </cell>
        </row>
        <row r="95">
          <cell r="O95">
            <v>0</v>
          </cell>
          <cell r="P95" t="str">
            <v/>
          </cell>
        </row>
        <row r="95">
          <cell r="S95">
            <v>0</v>
          </cell>
          <cell r="T95">
            <v>0</v>
          </cell>
        </row>
        <row r="95"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</row>
        <row r="96">
          <cell r="H96" t="str">
            <v/>
          </cell>
        </row>
        <row r="96">
          <cell r="K96">
            <v>0</v>
          </cell>
          <cell r="L96">
            <v>0</v>
          </cell>
        </row>
        <row r="96">
          <cell r="O96">
            <v>0</v>
          </cell>
          <cell r="P96" t="str">
            <v/>
          </cell>
        </row>
        <row r="96">
          <cell r="S96">
            <v>0</v>
          </cell>
          <cell r="T96">
            <v>0</v>
          </cell>
        </row>
        <row r="96"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</row>
        <row r="97">
          <cell r="G97">
            <v>0</v>
          </cell>
          <cell r="H97" t="str">
            <v/>
          </cell>
        </row>
        <row r="97">
          <cell r="K97">
            <v>0</v>
          </cell>
          <cell r="L97">
            <v>0</v>
          </cell>
        </row>
        <row r="97">
          <cell r="O97">
            <v>0</v>
          </cell>
          <cell r="P97" t="str">
            <v/>
          </cell>
        </row>
        <row r="97">
          <cell r="S97">
            <v>0</v>
          </cell>
          <cell r="T97">
            <v>0</v>
          </cell>
        </row>
        <row r="97">
          <cell r="W97">
            <v>0</v>
          </cell>
          <cell r="X97" t="str">
            <v/>
          </cell>
        </row>
        <row r="98">
          <cell r="C98" t="str">
            <v>пр</v>
          </cell>
          <cell r="D98" t="str">
            <v> Основы российской государственности</v>
          </cell>
        </row>
        <row r="98">
          <cell r="G98" t="str">
            <v>Лысенко Е.Г.</v>
          </cell>
          <cell r="H98" t="str">
            <v>доцент, канд. наук</v>
          </cell>
        </row>
        <row r="98">
          <cell r="K98" t="str">
            <v>пр</v>
          </cell>
          <cell r="L98" t="str">
            <v>Дискретная математика</v>
          </cell>
        </row>
        <row r="98">
          <cell r="O98" t="str">
            <v>Казанцев Ю.А.</v>
          </cell>
          <cell r="P98" t="str">
            <v>ст. преподаватель</v>
          </cell>
        </row>
        <row r="98">
          <cell r="S98" t="str">
            <v>л</v>
          </cell>
          <cell r="T98" t="str">
            <v>Управление ИТ-проектами и гибкая методология</v>
          </cell>
        </row>
        <row r="98"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</row>
        <row r="99">
          <cell r="G99" t="str">
            <v>Зиненко И.Н.</v>
          </cell>
          <cell r="H99" t="str">
            <v>доцент, канд. наук</v>
          </cell>
        </row>
        <row r="99">
          <cell r="K99" t="str">
            <v>л</v>
          </cell>
          <cell r="L99" t="str">
            <v>Математика для программирования</v>
          </cell>
        </row>
        <row r="99">
          <cell r="O99" t="str">
            <v>Линник Е.П.</v>
          </cell>
          <cell r="P99" t="str">
            <v>доцент, канд. наук</v>
          </cell>
        </row>
        <row r="99">
          <cell r="S99" t="str">
            <v>л</v>
          </cell>
          <cell r="T99" t="str">
            <v>Управление ИТ-проектами и гибкая методология</v>
          </cell>
        </row>
        <row r="99"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л</v>
          </cell>
          <cell r="D100" t="str">
            <v>Программное обеспечение систем и сетей</v>
          </cell>
        </row>
        <row r="100">
          <cell r="G100" t="str">
            <v>Алешов В.В.</v>
          </cell>
          <cell r="H100" t="str">
            <v>ст. преподаватель</v>
          </cell>
        </row>
        <row r="100">
          <cell r="K100" t="str">
            <v>л</v>
          </cell>
          <cell r="L100" t="str">
            <v>Математика для программирования</v>
          </cell>
        </row>
        <row r="100">
          <cell r="O100" t="str">
            <v>Линник Е.П.</v>
          </cell>
          <cell r="P100" t="str">
            <v>доцент, канд. наук</v>
          </cell>
        </row>
        <row r="100">
          <cell r="S100" t="str">
            <v>л</v>
          </cell>
          <cell r="T100" t="str">
            <v>Основы военной подготовки</v>
          </cell>
        </row>
        <row r="100">
          <cell r="W100" t="str">
            <v>Кулак А.Ф.</v>
          </cell>
          <cell r="X100" t="str">
            <v>преподаватель</v>
          </cell>
        </row>
        <row r="101">
          <cell r="C101">
            <v>0</v>
          </cell>
          <cell r="D101">
            <v>0</v>
          </cell>
        </row>
        <row r="101">
          <cell r="G101">
            <v>0</v>
          </cell>
          <cell r="H101" t="str">
            <v/>
          </cell>
        </row>
        <row r="101">
          <cell r="K101">
            <v>0</v>
          </cell>
          <cell r="L101">
            <v>0</v>
          </cell>
        </row>
        <row r="101">
          <cell r="O101">
            <v>0</v>
          </cell>
          <cell r="P101" t="str">
            <v/>
          </cell>
        </row>
        <row r="101">
          <cell r="S101" t="str">
            <v>л</v>
          </cell>
          <cell r="T101" t="str">
            <v>Основы военной подготовки</v>
          </cell>
        </row>
        <row r="101">
          <cell r="W101" t="str">
            <v>Кулак А.Ф.</v>
          </cell>
          <cell r="X101" t="str">
            <v>преподаватель</v>
          </cell>
        </row>
        <row r="102">
          <cell r="C102">
            <v>0</v>
          </cell>
          <cell r="D102">
            <v>0</v>
          </cell>
        </row>
        <row r="102">
          <cell r="G102">
            <v>0</v>
          </cell>
          <cell r="H102" t="str">
            <v/>
          </cell>
        </row>
        <row r="102">
          <cell r="K102">
            <v>0</v>
          </cell>
          <cell r="L102">
            <v>0</v>
          </cell>
        </row>
        <row r="102">
          <cell r="O102">
            <v>0</v>
          </cell>
          <cell r="P102" t="str">
            <v/>
          </cell>
        </row>
        <row r="102">
          <cell r="S102">
            <v>0</v>
          </cell>
          <cell r="T102">
            <v>0</v>
          </cell>
        </row>
        <row r="102"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</row>
        <row r="103">
          <cell r="G103">
            <v>0</v>
          </cell>
          <cell r="H103" t="str">
            <v/>
          </cell>
        </row>
        <row r="103">
          <cell r="K103">
            <v>0</v>
          </cell>
          <cell r="L103">
            <v>0</v>
          </cell>
        </row>
        <row r="103">
          <cell r="O103">
            <v>0</v>
          </cell>
          <cell r="P103" t="str">
            <v/>
          </cell>
        </row>
        <row r="103">
          <cell r="S103">
            <v>0</v>
          </cell>
          <cell r="T103">
            <v>0</v>
          </cell>
        </row>
        <row r="103"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</row>
        <row r="104">
          <cell r="G104">
            <v>0</v>
          </cell>
          <cell r="H104" t="str">
            <v/>
          </cell>
        </row>
        <row r="104">
          <cell r="K104">
            <v>0</v>
          </cell>
          <cell r="L104">
            <v>0</v>
          </cell>
        </row>
        <row r="104">
          <cell r="O104">
            <v>0</v>
          </cell>
          <cell r="P104" t="str">
            <v/>
          </cell>
        </row>
        <row r="104">
          <cell r="S104">
            <v>0</v>
          </cell>
          <cell r="T104">
            <v>0</v>
          </cell>
        </row>
        <row r="104"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</row>
        <row r="105">
          <cell r="G105">
            <v>0</v>
          </cell>
          <cell r="H105" t="str">
            <v/>
          </cell>
        </row>
        <row r="105">
          <cell r="K105">
            <v>0</v>
          </cell>
          <cell r="L105">
            <v>0</v>
          </cell>
        </row>
        <row r="105">
          <cell r="O105">
            <v>0</v>
          </cell>
          <cell r="P105" t="str">
            <v/>
          </cell>
        </row>
        <row r="105">
          <cell r="S105">
            <v>0</v>
          </cell>
          <cell r="T105">
            <v>0</v>
          </cell>
        </row>
        <row r="105"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> Основы российской государственности</v>
          </cell>
        </row>
        <row r="106">
          <cell r="G106" t="str">
            <v>Лысенко Е.Г.</v>
          </cell>
          <cell r="H106" t="str">
            <v>доцент, канд. наук</v>
          </cell>
        </row>
        <row r="106">
          <cell r="K106">
            <v>0</v>
          </cell>
          <cell r="L106">
            <v>0</v>
          </cell>
        </row>
        <row r="106">
          <cell r="O106">
            <v>0</v>
          </cell>
          <cell r="P106" t="str">
            <v/>
          </cell>
        </row>
        <row r="106">
          <cell r="S106" t="str">
            <v>л</v>
          </cell>
          <cell r="T106" t="str">
            <v>Управление ИТ-проектами и гибкая методология</v>
          </cell>
        </row>
        <row r="106"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л</v>
          </cell>
          <cell r="D107" t="str">
            <v>Математические основы информатики</v>
          </cell>
        </row>
        <row r="107">
          <cell r="G107" t="str">
            <v>Казанцев Ю.А.</v>
          </cell>
          <cell r="H107" t="str">
            <v>ст. преподаватель</v>
          </cell>
        </row>
        <row r="107">
          <cell r="K107" t="str">
            <v>л</v>
          </cell>
          <cell r="L107" t="str">
            <v>Архитектура компьютера и Интернет</v>
          </cell>
        </row>
        <row r="107">
          <cell r="O107" t="str">
            <v>Криницкий Ю.В.</v>
          </cell>
          <cell r="P107" t="str">
            <v>преподаватель</v>
          </cell>
        </row>
        <row r="107">
          <cell r="S107" t="str">
            <v>л</v>
          </cell>
          <cell r="T107" t="str">
            <v>Компьютерная безопасность</v>
          </cell>
        </row>
        <row r="107">
          <cell r="W107" t="str">
            <v>Алешов Е.В.</v>
          </cell>
          <cell r="X107" t="str">
            <v>преподаватель</v>
          </cell>
        </row>
        <row r="108">
          <cell r="C108">
            <v>0</v>
          </cell>
          <cell r="D108">
            <v>0</v>
          </cell>
        </row>
        <row r="108">
          <cell r="G108">
            <v>0</v>
          </cell>
          <cell r="H108" t="str">
            <v/>
          </cell>
        </row>
        <row r="108">
          <cell r="K108" t="str">
            <v>пр</v>
          </cell>
          <cell r="L108" t="str">
            <v>Архитектура компьютера и Интернет</v>
          </cell>
        </row>
        <row r="108">
          <cell r="O108" t="str">
            <v>Криницкий Ю.В.</v>
          </cell>
          <cell r="P108" t="str">
            <v>преподаватель</v>
          </cell>
        </row>
        <row r="108">
          <cell r="S108" t="str">
            <v>пр</v>
          </cell>
          <cell r="T108" t="str">
            <v>Компьютерная безопасность</v>
          </cell>
        </row>
        <row r="108"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</row>
        <row r="109">
          <cell r="G109">
            <v>0</v>
          </cell>
          <cell r="H109" t="str">
            <v/>
          </cell>
        </row>
        <row r="109">
          <cell r="K109" t="str">
            <v>пр</v>
          </cell>
          <cell r="L109" t="str">
            <v>Физическая культура и спорт</v>
          </cell>
        </row>
        <row r="109">
          <cell r="O109" t="str">
            <v>Заболотний С.И.</v>
          </cell>
          <cell r="P109" t="str">
            <v>преподаватель</v>
          </cell>
        </row>
        <row r="109">
          <cell r="S109">
            <v>0</v>
          </cell>
          <cell r="T109">
            <v>0</v>
          </cell>
        </row>
        <row r="109"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</row>
        <row r="110">
          <cell r="G110">
            <v>0</v>
          </cell>
          <cell r="H110" t="str">
            <v/>
          </cell>
        </row>
        <row r="110">
          <cell r="K110">
            <v>0</v>
          </cell>
          <cell r="L110">
            <v>0</v>
          </cell>
        </row>
        <row r="110">
          <cell r="O110">
            <v>0</v>
          </cell>
          <cell r="P110" t="str">
            <v/>
          </cell>
        </row>
        <row r="110">
          <cell r="S110">
            <v>0</v>
          </cell>
          <cell r="T110">
            <v>0</v>
          </cell>
        </row>
        <row r="110"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</row>
        <row r="111">
          <cell r="G111">
            <v>0</v>
          </cell>
          <cell r="H111" t="str">
            <v/>
          </cell>
        </row>
        <row r="111">
          <cell r="K111">
            <v>0</v>
          </cell>
          <cell r="L111">
            <v>0</v>
          </cell>
        </row>
        <row r="111">
          <cell r="O111">
            <v>0</v>
          </cell>
          <cell r="P111" t="str">
            <v/>
          </cell>
        </row>
        <row r="111">
          <cell r="S111">
            <v>0</v>
          </cell>
          <cell r="T111">
            <v>0</v>
          </cell>
        </row>
        <row r="111"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</row>
        <row r="112">
          <cell r="G112">
            <v>0</v>
          </cell>
          <cell r="H112" t="str">
            <v/>
          </cell>
        </row>
        <row r="112">
          <cell r="K112">
            <v>0</v>
          </cell>
          <cell r="L112">
            <v>0</v>
          </cell>
        </row>
        <row r="112">
          <cell r="O112">
            <v>0</v>
          </cell>
          <cell r="P112" t="str">
            <v/>
          </cell>
        </row>
        <row r="112">
          <cell r="S112">
            <v>0</v>
          </cell>
          <cell r="T112">
            <v>0</v>
          </cell>
        </row>
        <row r="112"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</row>
        <row r="113">
          <cell r="G113">
            <v>0</v>
          </cell>
          <cell r="H113" t="str">
            <v/>
          </cell>
        </row>
        <row r="113">
          <cell r="K113">
            <v>0</v>
          </cell>
          <cell r="L113">
            <v>0</v>
          </cell>
        </row>
        <row r="113">
          <cell r="O113">
            <v>0</v>
          </cell>
          <cell r="P113" t="str">
            <v/>
          </cell>
        </row>
        <row r="113">
          <cell r="S113">
            <v>0</v>
          </cell>
          <cell r="T113">
            <v>0</v>
          </cell>
        </row>
        <row r="113"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</row>
        <row r="114">
          <cell r="G114">
            <v>0</v>
          </cell>
          <cell r="H114" t="str">
            <v/>
          </cell>
        </row>
        <row r="114">
          <cell r="K114">
            <v>0</v>
          </cell>
          <cell r="L114">
            <v>0</v>
          </cell>
        </row>
        <row r="114">
          <cell r="O114">
            <v>0</v>
          </cell>
          <cell r="P114" t="str">
            <v/>
          </cell>
        </row>
        <row r="114">
          <cell r="S114">
            <v>0</v>
          </cell>
          <cell r="T114">
            <v>0</v>
          </cell>
        </row>
        <row r="114"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</row>
        <row r="115">
          <cell r="G115">
            <v>0</v>
          </cell>
          <cell r="H115" t="str">
            <v/>
          </cell>
        </row>
        <row r="115">
          <cell r="K115">
            <v>0</v>
          </cell>
          <cell r="L115">
            <v>0</v>
          </cell>
        </row>
        <row r="115">
          <cell r="O115">
            <v>0</v>
          </cell>
          <cell r="P115" t="str">
            <v/>
          </cell>
        </row>
        <row r="115">
          <cell r="S115">
            <v>0</v>
          </cell>
          <cell r="T115">
            <v>0</v>
          </cell>
        </row>
        <row r="115"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</row>
        <row r="116">
          <cell r="G116">
            <v>0</v>
          </cell>
          <cell r="H116" t="str">
            <v/>
          </cell>
        </row>
        <row r="116">
          <cell r="K116">
            <v>0</v>
          </cell>
          <cell r="L116">
            <v>0</v>
          </cell>
        </row>
        <row r="116">
          <cell r="O116">
            <v>0</v>
          </cell>
          <cell r="P116" t="str">
            <v/>
          </cell>
        </row>
        <row r="116">
          <cell r="S116">
            <v>0</v>
          </cell>
          <cell r="T116">
            <v>0</v>
          </cell>
        </row>
        <row r="116"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</row>
        <row r="117">
          <cell r="G117">
            <v>0</v>
          </cell>
          <cell r="H117" t="str">
            <v/>
          </cell>
        </row>
        <row r="117">
          <cell r="K117">
            <v>0</v>
          </cell>
          <cell r="L117">
            <v>0</v>
          </cell>
        </row>
        <row r="117">
          <cell r="O117">
            <v>0</v>
          </cell>
          <cell r="P117" t="str">
            <v/>
          </cell>
        </row>
        <row r="117">
          <cell r="S117">
            <v>0</v>
          </cell>
          <cell r="T117">
            <v>0</v>
          </cell>
        </row>
        <row r="117"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</row>
        <row r="118">
          <cell r="G118">
            <v>0</v>
          </cell>
          <cell r="H118" t="str">
            <v/>
          </cell>
        </row>
        <row r="118">
          <cell r="K118">
            <v>0</v>
          </cell>
          <cell r="L118">
            <v>0</v>
          </cell>
        </row>
        <row r="118">
          <cell r="O118">
            <v>0</v>
          </cell>
          <cell r="P118" t="str">
            <v/>
          </cell>
        </row>
        <row r="118">
          <cell r="S118">
            <v>0</v>
          </cell>
          <cell r="T118">
            <v>0</v>
          </cell>
        </row>
        <row r="118"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</row>
        <row r="119">
          <cell r="G119">
            <v>0</v>
          </cell>
          <cell r="H119" t="str">
            <v/>
          </cell>
        </row>
        <row r="119">
          <cell r="K119">
            <v>0</v>
          </cell>
          <cell r="L119">
            <v>0</v>
          </cell>
        </row>
        <row r="119">
          <cell r="O119">
            <v>0</v>
          </cell>
          <cell r="P119" t="str">
            <v/>
          </cell>
        </row>
        <row r="119">
          <cell r="S119">
            <v>0</v>
          </cell>
          <cell r="T119">
            <v>0</v>
          </cell>
        </row>
        <row r="119"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</row>
        <row r="120">
          <cell r="G120">
            <v>0</v>
          </cell>
          <cell r="H120" t="str">
            <v/>
          </cell>
        </row>
        <row r="120">
          <cell r="K120">
            <v>0</v>
          </cell>
          <cell r="L120">
            <v>0</v>
          </cell>
        </row>
        <row r="120">
          <cell r="O120">
            <v>0</v>
          </cell>
          <cell r="P120" t="str">
            <v/>
          </cell>
        </row>
        <row r="120">
          <cell r="S120">
            <v>0</v>
          </cell>
          <cell r="T120">
            <v>0</v>
          </cell>
        </row>
        <row r="120">
          <cell r="W120">
            <v>0</v>
          </cell>
          <cell r="X120" t="str">
            <v/>
          </cell>
        </row>
        <row r="130">
          <cell r="D130" t="str">
            <v>09.03.04Программная инженерия (Программно-информационные системы)</v>
          </cell>
        </row>
        <row r="130">
          <cell r="L130" t="str">
            <v>09.04.04 Программная инженерия (Разработка программно-информационных систем)</v>
          </cell>
        </row>
        <row r="130">
          <cell r="T130" t="str">
            <v>09.03.04Программная инженерия (Программно-информационные системы)</v>
          </cell>
        </row>
        <row r="134">
          <cell r="D134" t="str">
            <v>12-23ПИ</v>
          </cell>
        </row>
        <row r="134">
          <cell r="L134" t="str">
            <v>12-25РПм</v>
          </cell>
        </row>
        <row r="134">
          <cell r="T134" t="str">
            <v>12-25ПИоз</v>
          </cell>
        </row>
        <row r="136">
          <cell r="C136">
            <v>0</v>
          </cell>
          <cell r="D136">
            <v>0</v>
          </cell>
        </row>
        <row r="136">
          <cell r="G136">
            <v>0</v>
          </cell>
          <cell r="H136" t="str">
            <v/>
          </cell>
        </row>
        <row r="136">
          <cell r="K136">
            <v>0</v>
          </cell>
          <cell r="L136">
            <v>0</v>
          </cell>
        </row>
        <row r="136">
          <cell r="O136">
            <v>0</v>
          </cell>
          <cell r="P136" t="str">
            <v/>
          </cell>
        </row>
        <row r="136">
          <cell r="S136">
            <v>0</v>
          </cell>
          <cell r="T136">
            <v>0</v>
          </cell>
        </row>
        <row r="136">
          <cell r="W136">
            <v>0</v>
          </cell>
          <cell r="X136" t="str">
            <v/>
          </cell>
        </row>
        <row r="137">
          <cell r="C137">
            <v>0</v>
          </cell>
          <cell r="D137">
            <v>0</v>
          </cell>
        </row>
        <row r="137">
          <cell r="G137">
            <v>0</v>
          </cell>
          <cell r="H137" t="str">
            <v/>
          </cell>
        </row>
        <row r="137">
          <cell r="K137">
            <v>0</v>
          </cell>
          <cell r="L137">
            <v>0</v>
          </cell>
        </row>
        <row r="137">
          <cell r="O137">
            <v>0</v>
          </cell>
          <cell r="P137" t="str">
            <v/>
          </cell>
        </row>
        <row r="137">
          <cell r="S137">
            <v>0</v>
          </cell>
          <cell r="T137">
            <v>0</v>
          </cell>
        </row>
        <row r="137">
          <cell r="W137">
            <v>0</v>
          </cell>
          <cell r="X137" t="str">
            <v/>
          </cell>
        </row>
        <row r="138">
          <cell r="C138">
            <v>0</v>
          </cell>
          <cell r="D138">
            <v>0</v>
          </cell>
        </row>
        <row r="138">
          <cell r="G138">
            <v>0</v>
          </cell>
          <cell r="H138" t="str">
            <v/>
          </cell>
        </row>
        <row r="138">
          <cell r="K138">
            <v>0</v>
          </cell>
          <cell r="L138">
            <v>0</v>
          </cell>
        </row>
        <row r="138">
          <cell r="O138">
            <v>0</v>
          </cell>
          <cell r="P138" t="str">
            <v/>
          </cell>
        </row>
        <row r="138">
          <cell r="S138">
            <v>0</v>
          </cell>
          <cell r="T138">
            <v>0</v>
          </cell>
        </row>
        <row r="138">
          <cell r="W138">
            <v>0</v>
          </cell>
          <cell r="X138" t="str">
            <v/>
          </cell>
        </row>
        <row r="139">
          <cell r="C139">
            <v>0</v>
          </cell>
          <cell r="D139">
            <v>0</v>
          </cell>
        </row>
        <row r="139">
          <cell r="G139">
            <v>0</v>
          </cell>
          <cell r="H139" t="str">
            <v/>
          </cell>
        </row>
        <row r="139">
          <cell r="K139">
            <v>0</v>
          </cell>
          <cell r="L139">
            <v>0</v>
          </cell>
        </row>
        <row r="139">
          <cell r="O139">
            <v>0</v>
          </cell>
          <cell r="P139" t="str">
            <v/>
          </cell>
        </row>
        <row r="139">
          <cell r="S139">
            <v>0</v>
          </cell>
          <cell r="T139">
            <v>0</v>
          </cell>
        </row>
        <row r="139"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</row>
        <row r="140">
          <cell r="G140">
            <v>0</v>
          </cell>
          <cell r="H140" t="str">
            <v/>
          </cell>
        </row>
        <row r="140">
          <cell r="K140">
            <v>0</v>
          </cell>
          <cell r="L140">
            <v>0</v>
          </cell>
        </row>
        <row r="140">
          <cell r="O140">
            <v>0</v>
          </cell>
          <cell r="P140" t="str">
            <v/>
          </cell>
        </row>
        <row r="140">
          <cell r="S140">
            <v>0</v>
          </cell>
          <cell r="T140">
            <v>0</v>
          </cell>
        </row>
        <row r="140"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</row>
        <row r="141">
          <cell r="G141">
            <v>0</v>
          </cell>
          <cell r="H141" t="str">
            <v/>
          </cell>
        </row>
        <row r="141">
          <cell r="K141">
            <v>0</v>
          </cell>
          <cell r="L141">
            <v>0</v>
          </cell>
        </row>
        <row r="141">
          <cell r="O141">
            <v>0</v>
          </cell>
          <cell r="P141" t="str">
            <v/>
          </cell>
        </row>
        <row r="141">
          <cell r="S141">
            <v>0</v>
          </cell>
          <cell r="T141">
            <v>0</v>
          </cell>
        </row>
        <row r="141">
          <cell r="W141">
            <v>0</v>
          </cell>
          <cell r="X141" t="str">
            <v/>
          </cell>
        </row>
        <row r="142">
          <cell r="C142">
            <v>0</v>
          </cell>
          <cell r="D142">
            <v>0</v>
          </cell>
        </row>
        <row r="142">
          <cell r="G142">
            <v>0</v>
          </cell>
          <cell r="H142" t="str">
            <v/>
          </cell>
        </row>
        <row r="142">
          <cell r="K142">
            <v>0</v>
          </cell>
          <cell r="L142">
            <v>0</v>
          </cell>
        </row>
        <row r="142">
          <cell r="O142">
            <v>0</v>
          </cell>
          <cell r="P142" t="str">
            <v/>
          </cell>
        </row>
        <row r="142">
          <cell r="S142">
            <v>0</v>
          </cell>
          <cell r="T142">
            <v>0</v>
          </cell>
        </row>
        <row r="142">
          <cell r="W142">
            <v>0</v>
          </cell>
          <cell r="X142" t="str">
            <v/>
          </cell>
        </row>
        <row r="143">
          <cell r="C143">
            <v>0</v>
          </cell>
          <cell r="D143">
            <v>0</v>
          </cell>
        </row>
        <row r="143">
          <cell r="G143">
            <v>0</v>
          </cell>
          <cell r="H143" t="str">
            <v/>
          </cell>
        </row>
        <row r="143">
          <cell r="K143">
            <v>0</v>
          </cell>
          <cell r="L143">
            <v>0</v>
          </cell>
        </row>
        <row r="143">
          <cell r="O143">
            <v>0</v>
          </cell>
          <cell r="P143" t="str">
            <v/>
          </cell>
        </row>
        <row r="143">
          <cell r="S143">
            <v>0</v>
          </cell>
          <cell r="T143">
            <v>0</v>
          </cell>
        </row>
        <row r="143"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</row>
        <row r="144">
          <cell r="G144">
            <v>0</v>
          </cell>
          <cell r="H144" t="str">
            <v/>
          </cell>
        </row>
        <row r="144">
          <cell r="K144">
            <v>0</v>
          </cell>
          <cell r="L144">
            <v>0</v>
          </cell>
        </row>
        <row r="144">
          <cell r="O144">
            <v>0</v>
          </cell>
          <cell r="P144" t="str">
            <v/>
          </cell>
        </row>
        <row r="144">
          <cell r="S144">
            <v>0</v>
          </cell>
          <cell r="T144">
            <v>0</v>
          </cell>
        </row>
        <row r="144"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</row>
        <row r="145">
          <cell r="G145">
            <v>0</v>
          </cell>
          <cell r="H145" t="str">
            <v/>
          </cell>
        </row>
        <row r="145">
          <cell r="K145">
            <v>0</v>
          </cell>
          <cell r="L145">
            <v>0</v>
          </cell>
        </row>
        <row r="145">
          <cell r="O145">
            <v>0</v>
          </cell>
          <cell r="P145" t="str">
            <v/>
          </cell>
        </row>
        <row r="145">
          <cell r="S145">
            <v>0</v>
          </cell>
          <cell r="T145">
            <v>0</v>
          </cell>
        </row>
        <row r="145">
          <cell r="W145">
            <v>0</v>
          </cell>
          <cell r="X145" t="str">
            <v/>
          </cell>
        </row>
        <row r="146">
          <cell r="C146">
            <v>0</v>
          </cell>
          <cell r="D146">
            <v>0</v>
          </cell>
        </row>
        <row r="146">
          <cell r="G146">
            <v>0</v>
          </cell>
          <cell r="H146" t="str">
            <v/>
          </cell>
        </row>
        <row r="146">
          <cell r="K146">
            <v>0</v>
          </cell>
          <cell r="L146">
            <v>0</v>
          </cell>
        </row>
        <row r="146">
          <cell r="O146">
            <v>0</v>
          </cell>
          <cell r="P146" t="str">
            <v/>
          </cell>
        </row>
        <row r="146">
          <cell r="S146">
            <v>0</v>
          </cell>
          <cell r="T146">
            <v>0</v>
          </cell>
        </row>
        <row r="146">
          <cell r="W146">
            <v>0</v>
          </cell>
          <cell r="X146" t="str">
            <v/>
          </cell>
        </row>
        <row r="147">
          <cell r="C147">
            <v>0</v>
          </cell>
          <cell r="D147">
            <v>0</v>
          </cell>
        </row>
        <row r="147">
          <cell r="G147">
            <v>0</v>
          </cell>
          <cell r="H147" t="str">
            <v/>
          </cell>
        </row>
        <row r="147">
          <cell r="K147">
            <v>0</v>
          </cell>
          <cell r="L147">
            <v>0</v>
          </cell>
        </row>
        <row r="147">
          <cell r="O147">
            <v>0</v>
          </cell>
          <cell r="P147" t="str">
            <v/>
          </cell>
        </row>
        <row r="147">
          <cell r="S147">
            <v>0</v>
          </cell>
          <cell r="T147">
            <v>0</v>
          </cell>
        </row>
        <row r="147"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</row>
        <row r="148">
          <cell r="G148">
            <v>0</v>
          </cell>
          <cell r="H148" t="str">
            <v/>
          </cell>
        </row>
        <row r="148">
          <cell r="K148">
            <v>0</v>
          </cell>
          <cell r="L148">
            <v>0</v>
          </cell>
        </row>
        <row r="148">
          <cell r="O148">
            <v>0</v>
          </cell>
          <cell r="P148" t="str">
            <v/>
          </cell>
        </row>
        <row r="148">
          <cell r="S148">
            <v>0</v>
          </cell>
          <cell r="T148">
            <v>0</v>
          </cell>
        </row>
        <row r="148"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</row>
        <row r="149">
          <cell r="G149">
            <v>0</v>
          </cell>
          <cell r="H149" t="str">
            <v/>
          </cell>
        </row>
        <row r="149">
          <cell r="K149">
            <v>0</v>
          </cell>
          <cell r="L149">
            <v>0</v>
          </cell>
        </row>
        <row r="149">
          <cell r="O149">
            <v>0</v>
          </cell>
          <cell r="P149" t="str">
            <v/>
          </cell>
        </row>
        <row r="149">
          <cell r="S149">
            <v>0</v>
          </cell>
          <cell r="T149">
            <v>0</v>
          </cell>
        </row>
        <row r="149"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</row>
        <row r="150">
          <cell r="G150">
            <v>0</v>
          </cell>
          <cell r="H150" t="str">
            <v/>
          </cell>
        </row>
        <row r="150">
          <cell r="K150">
            <v>0</v>
          </cell>
          <cell r="L150">
            <v>0</v>
          </cell>
        </row>
        <row r="150">
          <cell r="O150">
            <v>0</v>
          </cell>
          <cell r="P150" t="str">
            <v/>
          </cell>
        </row>
        <row r="150">
          <cell r="S150">
            <v>0</v>
          </cell>
          <cell r="T150">
            <v>0</v>
          </cell>
        </row>
        <row r="150"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</row>
        <row r="151">
          <cell r="G151">
            <v>0</v>
          </cell>
          <cell r="H151" t="str">
            <v/>
          </cell>
        </row>
        <row r="151">
          <cell r="K151">
            <v>0</v>
          </cell>
          <cell r="L151">
            <v>0</v>
          </cell>
        </row>
        <row r="151">
          <cell r="O151">
            <v>0</v>
          </cell>
          <cell r="P151" t="str">
            <v/>
          </cell>
        </row>
        <row r="151">
          <cell r="S151">
            <v>0</v>
          </cell>
          <cell r="T151">
            <v>0</v>
          </cell>
        </row>
        <row r="151"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</row>
        <row r="152">
          <cell r="G152">
            <v>0</v>
          </cell>
          <cell r="H152" t="str">
            <v/>
          </cell>
        </row>
        <row r="152">
          <cell r="K152">
            <v>0</v>
          </cell>
          <cell r="L152">
            <v>0</v>
          </cell>
        </row>
        <row r="152">
          <cell r="O152">
            <v>0</v>
          </cell>
          <cell r="P152" t="str">
            <v/>
          </cell>
        </row>
        <row r="152">
          <cell r="S152">
            <v>0</v>
          </cell>
          <cell r="T152">
            <v>0</v>
          </cell>
        </row>
        <row r="152">
          <cell r="W152">
            <v>0</v>
          </cell>
          <cell r="X152" t="str">
            <v/>
          </cell>
        </row>
        <row r="153">
          <cell r="C153">
            <v>0</v>
          </cell>
          <cell r="D153">
            <v>0</v>
          </cell>
        </row>
        <row r="153">
          <cell r="G153">
            <v>0</v>
          </cell>
          <cell r="H153" t="str">
            <v/>
          </cell>
        </row>
        <row r="153">
          <cell r="K153">
            <v>0</v>
          </cell>
          <cell r="L153">
            <v>0</v>
          </cell>
        </row>
        <row r="153">
          <cell r="O153">
            <v>0</v>
          </cell>
          <cell r="P153" t="str">
            <v/>
          </cell>
        </row>
        <row r="153">
          <cell r="S153">
            <v>0</v>
          </cell>
          <cell r="T153">
            <v>0</v>
          </cell>
        </row>
        <row r="153"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</row>
        <row r="154">
          <cell r="G154" t="str">
            <v>Алешов В.В.</v>
          </cell>
          <cell r="H154" t="str">
            <v>ст. преподаватель</v>
          </cell>
        </row>
        <row r="154">
          <cell r="K154">
            <v>0</v>
          </cell>
          <cell r="L154">
            <v>0</v>
          </cell>
        </row>
        <row r="154">
          <cell r="O154">
            <v>0</v>
          </cell>
          <cell r="P154" t="str">
            <v/>
          </cell>
        </row>
        <row r="154">
          <cell r="S154">
            <v>0</v>
          </cell>
          <cell r="T154">
            <v>0</v>
          </cell>
        </row>
        <row r="154"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</row>
        <row r="155">
          <cell r="G155" t="str">
            <v>Алешов В.В.</v>
          </cell>
          <cell r="H155" t="str">
            <v>ст. преподаватель</v>
          </cell>
        </row>
        <row r="155">
          <cell r="K155">
            <v>0</v>
          </cell>
          <cell r="L155">
            <v>0</v>
          </cell>
        </row>
        <row r="155">
          <cell r="O155">
            <v>0</v>
          </cell>
          <cell r="P155" t="str">
            <v/>
          </cell>
        </row>
        <row r="155">
          <cell r="S155">
            <v>0</v>
          </cell>
          <cell r="T155">
            <v>0</v>
          </cell>
        </row>
        <row r="155"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</row>
        <row r="156">
          <cell r="G156">
            <v>0</v>
          </cell>
          <cell r="H156" t="str">
            <v/>
          </cell>
        </row>
        <row r="156">
          <cell r="K156">
            <v>0</v>
          </cell>
          <cell r="L156">
            <v>0</v>
          </cell>
        </row>
        <row r="156">
          <cell r="O156">
            <v>0</v>
          </cell>
          <cell r="P156" t="str">
            <v/>
          </cell>
        </row>
        <row r="156">
          <cell r="S156">
            <v>0</v>
          </cell>
          <cell r="T156">
            <v>0</v>
          </cell>
        </row>
        <row r="156"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</row>
        <row r="157">
          <cell r="G157">
            <v>0</v>
          </cell>
          <cell r="H157" t="str">
            <v/>
          </cell>
        </row>
        <row r="157">
          <cell r="K157">
            <v>0</v>
          </cell>
          <cell r="L157">
            <v>0</v>
          </cell>
        </row>
        <row r="157">
          <cell r="O157">
            <v>0</v>
          </cell>
          <cell r="P157" t="str">
            <v/>
          </cell>
        </row>
        <row r="157">
          <cell r="S157" t="str">
            <v>л</v>
          </cell>
          <cell r="T157" t="str">
            <v>Финансово-экономический практикум</v>
          </cell>
        </row>
        <row r="157">
          <cell r="W157" t="str">
            <v>Марусик Е.А.</v>
          </cell>
          <cell r="X157" t="str">
            <v>доцент, канд. наук</v>
          </cell>
        </row>
        <row r="158">
          <cell r="C158">
            <v>0</v>
          </cell>
          <cell r="D158">
            <v>0</v>
          </cell>
        </row>
        <row r="158">
          <cell r="G158">
            <v>0</v>
          </cell>
          <cell r="H158" t="str">
            <v/>
          </cell>
        </row>
        <row r="158">
          <cell r="K158">
            <v>0</v>
          </cell>
          <cell r="L158">
            <v>0</v>
          </cell>
        </row>
        <row r="158">
          <cell r="O158">
            <v>0</v>
          </cell>
          <cell r="P158" t="str">
            <v/>
          </cell>
        </row>
        <row r="158">
          <cell r="S158" t="str">
            <v>л</v>
          </cell>
          <cell r="T158" t="str">
            <v>Нормативно-правовые основы профессиональной деятельности</v>
          </cell>
        </row>
        <row r="158">
          <cell r="W158" t="str">
            <v>Лаврищева О.А.</v>
          </cell>
          <cell r="X158" t="str">
            <v>доцент, канд. наук</v>
          </cell>
        </row>
        <row r="159">
          <cell r="C159">
            <v>0</v>
          </cell>
          <cell r="D159">
            <v>0</v>
          </cell>
        </row>
        <row r="159">
          <cell r="G159">
            <v>0</v>
          </cell>
          <cell r="H159" t="str">
            <v/>
          </cell>
        </row>
        <row r="159">
          <cell r="K159">
            <v>0</v>
          </cell>
          <cell r="L159">
            <v>0</v>
          </cell>
        </row>
        <row r="159">
          <cell r="O159">
            <v>0</v>
          </cell>
          <cell r="P159" t="str">
            <v/>
          </cell>
        </row>
        <row r="159">
          <cell r="S159">
            <v>0</v>
          </cell>
          <cell r="T159">
            <v>0</v>
          </cell>
        </row>
        <row r="159"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Проектирование человеко-машинного интерфейса</v>
          </cell>
        </row>
        <row r="160">
          <cell r="G160" t="str">
            <v>Алешов В.В.</v>
          </cell>
          <cell r="H160" t="str">
            <v>ст. преподаватель</v>
          </cell>
        </row>
        <row r="160">
          <cell r="K160">
            <v>0</v>
          </cell>
          <cell r="L160">
            <v>0</v>
          </cell>
        </row>
        <row r="160">
          <cell r="O160">
            <v>0</v>
          </cell>
          <cell r="P160" t="str">
            <v/>
          </cell>
        </row>
        <row r="160">
          <cell r="S160">
            <v>0</v>
          </cell>
          <cell r="T160">
            <v>0</v>
          </cell>
        </row>
        <row r="160"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Продвинутые технологии искусственного интеллекта</v>
          </cell>
        </row>
        <row r="161">
          <cell r="G161" t="str">
            <v>Алешов В.В.</v>
          </cell>
          <cell r="H161" t="str">
            <v>ст. преподаватель</v>
          </cell>
        </row>
        <row r="161">
          <cell r="K161" t="str">
            <v>л</v>
          </cell>
          <cell r="L161" t="str">
            <v>Управление конфигурацией и сопровождение программного обеспечения</v>
          </cell>
        </row>
        <row r="161">
          <cell r="O161" t="str">
            <v>Круглый Д.Г.</v>
          </cell>
          <cell r="P161" t="str">
            <v>профессор, д-р наук</v>
          </cell>
        </row>
        <row r="161">
          <cell r="S161">
            <v>0</v>
          </cell>
          <cell r="T161">
            <v>0</v>
          </cell>
        </row>
        <row r="161">
          <cell r="W161">
            <v>0</v>
          </cell>
          <cell r="X161" t="str">
            <v/>
          </cell>
        </row>
        <row r="162">
          <cell r="C162" t="str">
            <v>л</v>
          </cell>
          <cell r="D162" t="str">
            <v>Операционные системы семейства Unix / Linux</v>
          </cell>
        </row>
        <row r="162">
          <cell r="G162" t="str">
            <v>Криницкий Ю.В.</v>
          </cell>
          <cell r="H162" t="str">
            <v>преподаватель</v>
          </cell>
        </row>
        <row r="162">
          <cell r="K162">
            <v>0</v>
          </cell>
          <cell r="L162">
            <v>0</v>
          </cell>
        </row>
        <row r="162">
          <cell r="O162">
            <v>0</v>
          </cell>
          <cell r="P162" t="str">
            <v/>
          </cell>
        </row>
        <row r="162">
          <cell r="S162">
            <v>0</v>
          </cell>
          <cell r="T162">
            <v>0</v>
          </cell>
        </row>
        <row r="162">
          <cell r="W162">
            <v>0</v>
          </cell>
          <cell r="X162" t="str">
            <v/>
          </cell>
        </row>
        <row r="163">
          <cell r="C163">
            <v>0</v>
          </cell>
          <cell r="D163">
            <v>0</v>
          </cell>
        </row>
        <row r="163">
          <cell r="G163">
            <v>0</v>
          </cell>
          <cell r="H163" t="str">
            <v/>
          </cell>
        </row>
        <row r="163">
          <cell r="K163">
            <v>0</v>
          </cell>
          <cell r="L163">
            <v>0</v>
          </cell>
        </row>
        <row r="163">
          <cell r="O163">
            <v>0</v>
          </cell>
          <cell r="P163" t="str">
            <v/>
          </cell>
        </row>
        <row r="163">
          <cell r="S163">
            <v>0</v>
          </cell>
          <cell r="T163">
            <v>0</v>
          </cell>
        </row>
        <row r="163"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</row>
        <row r="164">
          <cell r="G164">
            <v>0</v>
          </cell>
          <cell r="H164" t="str">
            <v/>
          </cell>
        </row>
        <row r="164">
          <cell r="K164">
            <v>0</v>
          </cell>
          <cell r="L164">
            <v>0</v>
          </cell>
        </row>
        <row r="164">
          <cell r="O164">
            <v>0</v>
          </cell>
          <cell r="P164" t="str">
            <v/>
          </cell>
        </row>
        <row r="164">
          <cell r="S164">
            <v>0</v>
          </cell>
          <cell r="T164">
            <v>0</v>
          </cell>
        </row>
        <row r="164"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</row>
        <row r="165">
          <cell r="G165">
            <v>0</v>
          </cell>
          <cell r="H165" t="str">
            <v/>
          </cell>
        </row>
        <row r="165">
          <cell r="K165">
            <v>0</v>
          </cell>
          <cell r="L165">
            <v>0</v>
          </cell>
        </row>
        <row r="165">
          <cell r="O165">
            <v>0</v>
          </cell>
          <cell r="P165" t="str">
            <v/>
          </cell>
        </row>
        <row r="165">
          <cell r="S165">
            <v>0</v>
          </cell>
          <cell r="T165">
            <v>0</v>
          </cell>
        </row>
        <row r="165">
          <cell r="W165">
            <v>0</v>
          </cell>
          <cell r="X165" t="str">
            <v/>
          </cell>
        </row>
        <row r="166">
          <cell r="C166">
            <v>0</v>
          </cell>
          <cell r="D166">
            <v>0</v>
          </cell>
        </row>
        <row r="166">
          <cell r="G166">
            <v>0</v>
          </cell>
          <cell r="H166" t="str">
            <v/>
          </cell>
        </row>
        <row r="166">
          <cell r="K166">
            <v>0</v>
          </cell>
          <cell r="L166">
            <v>0</v>
          </cell>
        </row>
        <row r="166">
          <cell r="O166">
            <v>0</v>
          </cell>
          <cell r="P166" t="str">
            <v/>
          </cell>
        </row>
        <row r="166">
          <cell r="S166">
            <v>0</v>
          </cell>
          <cell r="T166">
            <v>0</v>
          </cell>
        </row>
        <row r="166">
          <cell r="W166">
            <v>0</v>
          </cell>
          <cell r="X166" t="str">
            <v/>
          </cell>
        </row>
        <row r="167">
          <cell r="C167">
            <v>0</v>
          </cell>
          <cell r="D167">
            <v>0</v>
          </cell>
        </row>
        <row r="167">
          <cell r="G167">
            <v>0</v>
          </cell>
          <cell r="H167" t="str">
            <v/>
          </cell>
        </row>
        <row r="167">
          <cell r="K167">
            <v>0</v>
          </cell>
          <cell r="L167">
            <v>0</v>
          </cell>
        </row>
        <row r="167">
          <cell r="O167">
            <v>0</v>
          </cell>
          <cell r="P167" t="str">
            <v/>
          </cell>
        </row>
        <row r="167">
          <cell r="S167">
            <v>0</v>
          </cell>
          <cell r="T167">
            <v>0</v>
          </cell>
        </row>
        <row r="167">
          <cell r="W167">
            <v>0</v>
          </cell>
          <cell r="X167" t="str">
            <v/>
          </cell>
        </row>
        <row r="168">
          <cell r="C168" t="str">
            <v>л</v>
          </cell>
          <cell r="D168" t="str">
            <v>Разработка приложений для мобильных устройств</v>
          </cell>
        </row>
        <row r="168">
          <cell r="G168" t="str">
            <v>Алешов Е.В.</v>
          </cell>
          <cell r="H168" t="str">
            <v>преподаватель</v>
          </cell>
        </row>
        <row r="168">
          <cell r="K168">
            <v>0</v>
          </cell>
          <cell r="L168">
            <v>0</v>
          </cell>
        </row>
        <row r="168">
          <cell r="O168">
            <v>0</v>
          </cell>
          <cell r="P168" t="str">
            <v/>
          </cell>
        </row>
        <row r="168">
          <cell r="S168">
            <v>0</v>
          </cell>
          <cell r="T168">
            <v>0</v>
          </cell>
        </row>
        <row r="168"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</row>
        <row r="169">
          <cell r="G169" t="str">
            <v>Гришин И.Ю.</v>
          </cell>
          <cell r="H169" t="str">
            <v>профессор, д-р наук</v>
          </cell>
        </row>
        <row r="169">
          <cell r="K169">
            <v>0</v>
          </cell>
          <cell r="L169">
            <v>0</v>
          </cell>
        </row>
        <row r="169">
          <cell r="O169">
            <v>0</v>
          </cell>
          <cell r="P169" t="str">
            <v/>
          </cell>
        </row>
        <row r="169">
          <cell r="S169">
            <v>0</v>
          </cell>
          <cell r="T169">
            <v>0</v>
          </cell>
        </row>
        <row r="169">
          <cell r="W169">
            <v>0</v>
          </cell>
          <cell r="X169" t="str">
            <v/>
          </cell>
        </row>
        <row r="170">
          <cell r="C170" t="str">
            <v>л</v>
          </cell>
          <cell r="D170" t="str">
            <v>Технологии искусственного интеллекта</v>
          </cell>
        </row>
        <row r="170">
          <cell r="G170" t="str">
            <v>Гришин И.Ю.</v>
          </cell>
          <cell r="H170" t="str">
            <v>профессор, д-р наук</v>
          </cell>
        </row>
        <row r="170">
          <cell r="K170">
            <v>0</v>
          </cell>
          <cell r="L170">
            <v>0</v>
          </cell>
        </row>
        <row r="170">
          <cell r="O170">
            <v>0</v>
          </cell>
          <cell r="P170" t="str">
            <v/>
          </cell>
        </row>
        <row r="170">
          <cell r="S170">
            <v>0</v>
          </cell>
          <cell r="T170">
            <v>0</v>
          </cell>
        </row>
        <row r="170"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</row>
        <row r="171">
          <cell r="G171">
            <v>0</v>
          </cell>
          <cell r="H171" t="str">
            <v/>
          </cell>
        </row>
        <row r="171">
          <cell r="K171">
            <v>0</v>
          </cell>
          <cell r="L171">
            <v>0</v>
          </cell>
        </row>
        <row r="171">
          <cell r="O171">
            <v>0</v>
          </cell>
          <cell r="P171" t="str">
            <v/>
          </cell>
        </row>
        <row r="171">
          <cell r="S171">
            <v>0</v>
          </cell>
          <cell r="T171">
            <v>0</v>
          </cell>
        </row>
        <row r="171"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</row>
        <row r="172">
          <cell r="G172">
            <v>0</v>
          </cell>
          <cell r="H172" t="str">
            <v/>
          </cell>
        </row>
        <row r="172">
          <cell r="K172">
            <v>0</v>
          </cell>
          <cell r="L172">
            <v>0</v>
          </cell>
        </row>
        <row r="172">
          <cell r="O172">
            <v>0</v>
          </cell>
          <cell r="P172" t="str">
            <v/>
          </cell>
        </row>
        <row r="172">
          <cell r="S172">
            <v>0</v>
          </cell>
          <cell r="T172">
            <v>0</v>
          </cell>
        </row>
        <row r="172"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</row>
        <row r="173">
          <cell r="G173">
            <v>0</v>
          </cell>
          <cell r="H173" t="str">
            <v/>
          </cell>
        </row>
        <row r="173">
          <cell r="K173">
            <v>0</v>
          </cell>
          <cell r="L173">
            <v>0</v>
          </cell>
        </row>
        <row r="173">
          <cell r="O173">
            <v>0</v>
          </cell>
          <cell r="P173" t="str">
            <v/>
          </cell>
        </row>
        <row r="173">
          <cell r="S173">
            <v>0</v>
          </cell>
          <cell r="T173">
            <v>0</v>
          </cell>
        </row>
        <row r="173"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</row>
        <row r="174">
          <cell r="G174">
            <v>0</v>
          </cell>
          <cell r="H174" t="str">
            <v/>
          </cell>
        </row>
        <row r="174">
          <cell r="K174">
            <v>0</v>
          </cell>
          <cell r="L174">
            <v>0</v>
          </cell>
        </row>
        <row r="174">
          <cell r="O174">
            <v>0</v>
          </cell>
          <cell r="P174" t="str">
            <v/>
          </cell>
        </row>
        <row r="174">
          <cell r="S174">
            <v>0</v>
          </cell>
          <cell r="T174">
            <v>0</v>
          </cell>
        </row>
        <row r="174"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</row>
        <row r="175">
          <cell r="G175">
            <v>0</v>
          </cell>
          <cell r="H175" t="str">
            <v/>
          </cell>
        </row>
        <row r="175">
          <cell r="K175">
            <v>0</v>
          </cell>
          <cell r="L175">
            <v>0</v>
          </cell>
        </row>
        <row r="175">
          <cell r="O175">
            <v>0</v>
          </cell>
          <cell r="P175" t="str">
            <v/>
          </cell>
        </row>
        <row r="175">
          <cell r="S175">
            <v>0</v>
          </cell>
          <cell r="T175">
            <v>0</v>
          </cell>
        </row>
        <row r="175"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</row>
        <row r="176">
          <cell r="G176">
            <v>0</v>
          </cell>
          <cell r="H176" t="str">
            <v/>
          </cell>
        </row>
        <row r="176">
          <cell r="K176">
            <v>0</v>
          </cell>
          <cell r="L176">
            <v>0</v>
          </cell>
        </row>
        <row r="176">
          <cell r="O176">
            <v>0</v>
          </cell>
          <cell r="P176" t="str">
            <v/>
          </cell>
        </row>
        <row r="176">
          <cell r="S176">
            <v>0</v>
          </cell>
          <cell r="T176">
            <v>0</v>
          </cell>
        </row>
        <row r="176"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</row>
        <row r="177">
          <cell r="G177">
            <v>0</v>
          </cell>
          <cell r="H177" t="str">
            <v/>
          </cell>
        </row>
        <row r="177">
          <cell r="K177">
            <v>0</v>
          </cell>
          <cell r="L177">
            <v>0</v>
          </cell>
        </row>
        <row r="177">
          <cell r="O177">
            <v>0</v>
          </cell>
          <cell r="P177" t="str">
            <v/>
          </cell>
        </row>
        <row r="177">
          <cell r="S177">
            <v>0</v>
          </cell>
          <cell r="T177">
            <v>0</v>
          </cell>
        </row>
        <row r="177"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</row>
        <row r="178">
          <cell r="G178">
            <v>0</v>
          </cell>
          <cell r="H178" t="str">
            <v/>
          </cell>
        </row>
        <row r="178">
          <cell r="K178">
            <v>0</v>
          </cell>
          <cell r="L178">
            <v>0</v>
          </cell>
        </row>
        <row r="178">
          <cell r="O178">
            <v>0</v>
          </cell>
          <cell r="P178" t="str">
            <v/>
          </cell>
        </row>
        <row r="178">
          <cell r="S178">
            <v>0</v>
          </cell>
          <cell r="T178">
            <v>0</v>
          </cell>
        </row>
        <row r="178"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</row>
        <row r="179">
          <cell r="G179">
            <v>0</v>
          </cell>
          <cell r="H179" t="str">
            <v/>
          </cell>
        </row>
        <row r="179">
          <cell r="K179">
            <v>0</v>
          </cell>
          <cell r="L179">
            <v>0</v>
          </cell>
        </row>
        <row r="179">
          <cell r="O179">
            <v>0</v>
          </cell>
          <cell r="P179" t="str">
            <v/>
          </cell>
        </row>
        <row r="179">
          <cell r="S179">
            <v>0</v>
          </cell>
          <cell r="T179">
            <v>0</v>
          </cell>
        </row>
        <row r="179"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</row>
        <row r="180">
          <cell r="G180">
            <v>0</v>
          </cell>
          <cell r="H180" t="str">
            <v/>
          </cell>
        </row>
        <row r="180">
          <cell r="K180">
            <v>0</v>
          </cell>
          <cell r="L180">
            <v>0</v>
          </cell>
        </row>
        <row r="180">
          <cell r="O180">
            <v>0</v>
          </cell>
          <cell r="P180" t="str">
            <v/>
          </cell>
        </row>
        <row r="180">
          <cell r="S180">
            <v>0</v>
          </cell>
          <cell r="T180">
            <v>0</v>
          </cell>
        </row>
        <row r="180"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</row>
        <row r="181">
          <cell r="G181">
            <v>0</v>
          </cell>
          <cell r="H181" t="str">
            <v/>
          </cell>
        </row>
        <row r="181">
          <cell r="K181">
            <v>0</v>
          </cell>
          <cell r="L181">
            <v>0</v>
          </cell>
        </row>
        <row r="181">
          <cell r="O181">
            <v>0</v>
          </cell>
          <cell r="P181" t="str">
            <v/>
          </cell>
        </row>
        <row r="181">
          <cell r="S181">
            <v>0</v>
          </cell>
          <cell r="T181">
            <v>0</v>
          </cell>
        </row>
        <row r="181"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</row>
        <row r="182">
          <cell r="G182">
            <v>0</v>
          </cell>
          <cell r="H182" t="str">
            <v/>
          </cell>
        </row>
        <row r="182">
          <cell r="K182">
            <v>0</v>
          </cell>
          <cell r="L182">
            <v>0</v>
          </cell>
        </row>
        <row r="182">
          <cell r="O182">
            <v>0</v>
          </cell>
          <cell r="P182" t="str">
            <v/>
          </cell>
        </row>
        <row r="182">
          <cell r="S182">
            <v>0</v>
          </cell>
          <cell r="T182">
            <v>0</v>
          </cell>
        </row>
        <row r="182">
          <cell r="W182">
            <v>0</v>
          </cell>
          <cell r="X182" t="str">
            <v/>
          </cell>
        </row>
        <row r="192">
          <cell r="D192" t="str">
            <v>44.03.05Педагогическое образование (с двумя профилями подготовки) (Математика и Информатика)</v>
          </cell>
        </row>
        <row r="192">
          <cell r="L192" t="str">
            <v>44.03.05.Педагогическое образование (с двумя профилями подготовки) (Математика и Экономика)</v>
          </cell>
        </row>
        <row r="192">
          <cell r="T192" t="str">
            <v>09.03.04Программная инженерия (Программно-информационные системы)</v>
          </cell>
        </row>
        <row r="196">
          <cell r="D196" t="str">
            <v>12-25МИоз</v>
          </cell>
        </row>
        <row r="196">
          <cell r="L196" t="str">
            <v>12-25МЭоз</v>
          </cell>
        </row>
        <row r="196">
          <cell r="T196" t="str">
            <v>12-24ПИоз</v>
          </cell>
        </row>
        <row r="198">
          <cell r="C198">
            <v>0</v>
          </cell>
          <cell r="D198">
            <v>0</v>
          </cell>
        </row>
        <row r="198">
          <cell r="G198">
            <v>0</v>
          </cell>
          <cell r="H198" t="str">
            <v/>
          </cell>
        </row>
        <row r="198">
          <cell r="K198">
            <v>0</v>
          </cell>
          <cell r="L198">
            <v>0</v>
          </cell>
        </row>
        <row r="198">
          <cell r="O198">
            <v>0</v>
          </cell>
          <cell r="P198" t="str">
            <v/>
          </cell>
        </row>
        <row r="198">
          <cell r="S198">
            <v>0</v>
          </cell>
          <cell r="T198">
            <v>0</v>
          </cell>
        </row>
        <row r="198"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</row>
        <row r="199">
          <cell r="G199">
            <v>0</v>
          </cell>
          <cell r="H199" t="str">
            <v/>
          </cell>
        </row>
        <row r="199">
          <cell r="K199">
            <v>0</v>
          </cell>
          <cell r="L199">
            <v>0</v>
          </cell>
        </row>
        <row r="199">
          <cell r="O199">
            <v>0</v>
          </cell>
          <cell r="P199" t="str">
            <v/>
          </cell>
        </row>
        <row r="199">
          <cell r="S199">
            <v>0</v>
          </cell>
          <cell r="T199">
            <v>0</v>
          </cell>
        </row>
        <row r="199"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</row>
        <row r="200">
          <cell r="G200">
            <v>0</v>
          </cell>
          <cell r="H200" t="str">
            <v/>
          </cell>
        </row>
        <row r="200">
          <cell r="K200">
            <v>0</v>
          </cell>
          <cell r="L200">
            <v>0</v>
          </cell>
        </row>
        <row r="200">
          <cell r="O200">
            <v>0</v>
          </cell>
          <cell r="P200" t="str">
            <v/>
          </cell>
        </row>
        <row r="200">
          <cell r="S200">
            <v>0</v>
          </cell>
          <cell r="T200">
            <v>0</v>
          </cell>
        </row>
        <row r="200"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</row>
        <row r="201">
          <cell r="G201">
            <v>0</v>
          </cell>
          <cell r="H201" t="str">
            <v/>
          </cell>
        </row>
        <row r="201">
          <cell r="K201">
            <v>0</v>
          </cell>
          <cell r="L201">
            <v>0</v>
          </cell>
        </row>
        <row r="201">
          <cell r="O201">
            <v>0</v>
          </cell>
          <cell r="P201" t="str">
            <v/>
          </cell>
        </row>
        <row r="201">
          <cell r="S201">
            <v>0</v>
          </cell>
          <cell r="T201">
            <v>0</v>
          </cell>
        </row>
        <row r="201"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</row>
        <row r="202">
          <cell r="G202">
            <v>0</v>
          </cell>
          <cell r="H202" t="str">
            <v/>
          </cell>
        </row>
        <row r="202">
          <cell r="K202">
            <v>0</v>
          </cell>
          <cell r="L202">
            <v>0</v>
          </cell>
        </row>
        <row r="202">
          <cell r="O202">
            <v>0</v>
          </cell>
          <cell r="P202" t="str">
            <v/>
          </cell>
        </row>
        <row r="202">
          <cell r="S202">
            <v>0</v>
          </cell>
          <cell r="T202">
            <v>0</v>
          </cell>
        </row>
        <row r="202"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</row>
        <row r="203">
          <cell r="G203">
            <v>0</v>
          </cell>
          <cell r="H203" t="str">
            <v/>
          </cell>
        </row>
        <row r="203">
          <cell r="K203">
            <v>0</v>
          </cell>
          <cell r="L203">
            <v>0</v>
          </cell>
        </row>
        <row r="203">
          <cell r="O203">
            <v>0</v>
          </cell>
          <cell r="P203" t="str">
            <v/>
          </cell>
        </row>
        <row r="203">
          <cell r="S203">
            <v>0</v>
          </cell>
          <cell r="T203">
            <v>0</v>
          </cell>
        </row>
        <row r="203"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</row>
        <row r="204">
          <cell r="G204">
            <v>0</v>
          </cell>
          <cell r="H204" t="str">
            <v/>
          </cell>
        </row>
        <row r="204">
          <cell r="K204">
            <v>0</v>
          </cell>
          <cell r="L204">
            <v>0</v>
          </cell>
        </row>
        <row r="204">
          <cell r="O204">
            <v>0</v>
          </cell>
          <cell r="P204" t="str">
            <v/>
          </cell>
        </row>
        <row r="204">
          <cell r="S204">
            <v>0</v>
          </cell>
          <cell r="T204">
            <v>0</v>
          </cell>
        </row>
        <row r="204"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</row>
        <row r="205">
          <cell r="G205">
            <v>0</v>
          </cell>
          <cell r="H205" t="str">
            <v/>
          </cell>
        </row>
        <row r="205">
          <cell r="K205">
            <v>0</v>
          </cell>
          <cell r="L205">
            <v>0</v>
          </cell>
        </row>
        <row r="205">
          <cell r="O205">
            <v>0</v>
          </cell>
          <cell r="P205" t="str">
            <v/>
          </cell>
        </row>
        <row r="205">
          <cell r="S205">
            <v>0</v>
          </cell>
          <cell r="T205">
            <v>0</v>
          </cell>
        </row>
        <row r="205"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</row>
        <row r="206">
          <cell r="G206">
            <v>0</v>
          </cell>
          <cell r="H206" t="str">
            <v/>
          </cell>
        </row>
        <row r="206">
          <cell r="K206">
            <v>0</v>
          </cell>
          <cell r="L206">
            <v>0</v>
          </cell>
        </row>
        <row r="206">
          <cell r="O206">
            <v>0</v>
          </cell>
          <cell r="P206" t="str">
            <v/>
          </cell>
        </row>
        <row r="206">
          <cell r="S206">
            <v>0</v>
          </cell>
          <cell r="T206">
            <v>0</v>
          </cell>
        </row>
        <row r="206"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</row>
        <row r="207">
          <cell r="G207">
            <v>0</v>
          </cell>
          <cell r="H207" t="str">
            <v/>
          </cell>
        </row>
        <row r="207">
          <cell r="K207">
            <v>0</v>
          </cell>
          <cell r="L207">
            <v>0</v>
          </cell>
        </row>
        <row r="207">
          <cell r="O207">
            <v>0</v>
          </cell>
          <cell r="P207" t="str">
            <v/>
          </cell>
        </row>
        <row r="207">
          <cell r="S207">
            <v>0</v>
          </cell>
          <cell r="T207">
            <v>0</v>
          </cell>
        </row>
        <row r="207"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</row>
        <row r="208">
          <cell r="G208">
            <v>0</v>
          </cell>
          <cell r="H208" t="str">
            <v/>
          </cell>
        </row>
        <row r="208">
          <cell r="K208">
            <v>0</v>
          </cell>
          <cell r="L208">
            <v>0</v>
          </cell>
        </row>
        <row r="208">
          <cell r="O208">
            <v>0</v>
          </cell>
          <cell r="P208" t="str">
            <v/>
          </cell>
        </row>
        <row r="208">
          <cell r="S208">
            <v>0</v>
          </cell>
          <cell r="T208">
            <v>0</v>
          </cell>
        </row>
        <row r="208"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</row>
        <row r="209">
          <cell r="G209">
            <v>0</v>
          </cell>
          <cell r="H209" t="str">
            <v/>
          </cell>
        </row>
        <row r="209">
          <cell r="K209">
            <v>0</v>
          </cell>
          <cell r="L209">
            <v>0</v>
          </cell>
        </row>
        <row r="209">
          <cell r="O209">
            <v>0</v>
          </cell>
          <cell r="P209" t="str">
            <v/>
          </cell>
        </row>
        <row r="209">
          <cell r="S209">
            <v>0</v>
          </cell>
          <cell r="T209">
            <v>0</v>
          </cell>
        </row>
        <row r="209"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</row>
        <row r="210">
          <cell r="G210">
            <v>0</v>
          </cell>
          <cell r="H210" t="str">
            <v/>
          </cell>
        </row>
        <row r="210">
          <cell r="K210">
            <v>0</v>
          </cell>
          <cell r="L210">
            <v>0</v>
          </cell>
        </row>
        <row r="210">
          <cell r="O210">
            <v>0</v>
          </cell>
          <cell r="P210" t="str">
            <v/>
          </cell>
        </row>
        <row r="210">
          <cell r="S210">
            <v>0</v>
          </cell>
          <cell r="T210">
            <v>0</v>
          </cell>
        </row>
        <row r="210"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</row>
        <row r="211">
          <cell r="G211">
            <v>0</v>
          </cell>
          <cell r="H211" t="str">
            <v/>
          </cell>
        </row>
        <row r="211">
          <cell r="K211">
            <v>0</v>
          </cell>
          <cell r="L211">
            <v>0</v>
          </cell>
        </row>
        <row r="211">
          <cell r="O211">
            <v>0</v>
          </cell>
          <cell r="P211" t="str">
            <v/>
          </cell>
        </row>
        <row r="211">
          <cell r="S211">
            <v>0</v>
          </cell>
          <cell r="T211">
            <v>0</v>
          </cell>
        </row>
        <row r="211">
          <cell r="W211">
            <v>0</v>
          </cell>
          <cell r="X211" t="str">
            <v/>
          </cell>
        </row>
        <row r="212">
          <cell r="C212">
            <v>0</v>
          </cell>
          <cell r="D212">
            <v>0</v>
          </cell>
        </row>
        <row r="212">
          <cell r="G212">
            <v>0</v>
          </cell>
          <cell r="H212" t="str">
            <v/>
          </cell>
        </row>
        <row r="212">
          <cell r="K212">
            <v>0</v>
          </cell>
          <cell r="L212">
            <v>0</v>
          </cell>
        </row>
        <row r="212">
          <cell r="O212">
            <v>0</v>
          </cell>
          <cell r="P212" t="str">
            <v/>
          </cell>
        </row>
        <row r="212">
          <cell r="S212">
            <v>0</v>
          </cell>
          <cell r="T212">
            <v>0</v>
          </cell>
        </row>
        <row r="212">
          <cell r="W212">
            <v>0</v>
          </cell>
          <cell r="X212" t="str">
            <v/>
          </cell>
        </row>
        <row r="213">
          <cell r="C213">
            <v>0</v>
          </cell>
          <cell r="D213">
            <v>0</v>
          </cell>
        </row>
        <row r="213">
          <cell r="G213">
            <v>0</v>
          </cell>
          <cell r="H213" t="str">
            <v/>
          </cell>
        </row>
        <row r="213">
          <cell r="K213">
            <v>0</v>
          </cell>
          <cell r="L213">
            <v>0</v>
          </cell>
        </row>
        <row r="213">
          <cell r="O213">
            <v>0</v>
          </cell>
          <cell r="P213" t="str">
            <v/>
          </cell>
        </row>
        <row r="213">
          <cell r="S213">
            <v>0</v>
          </cell>
          <cell r="T213">
            <v>0</v>
          </cell>
        </row>
        <row r="213"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</row>
        <row r="214">
          <cell r="G214">
            <v>0</v>
          </cell>
          <cell r="H214" t="str">
            <v/>
          </cell>
        </row>
        <row r="214">
          <cell r="K214">
            <v>0</v>
          </cell>
          <cell r="L214">
            <v>0</v>
          </cell>
        </row>
        <row r="214">
          <cell r="O214">
            <v>0</v>
          </cell>
          <cell r="P214" t="str">
            <v/>
          </cell>
        </row>
        <row r="214">
          <cell r="S214">
            <v>0</v>
          </cell>
          <cell r="T214">
            <v>0</v>
          </cell>
        </row>
        <row r="214"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</row>
        <row r="215">
          <cell r="G215">
            <v>0</v>
          </cell>
          <cell r="H215" t="str">
            <v/>
          </cell>
        </row>
        <row r="215">
          <cell r="K215">
            <v>0</v>
          </cell>
          <cell r="L215">
            <v>0</v>
          </cell>
        </row>
        <row r="215">
          <cell r="O215">
            <v>0</v>
          </cell>
          <cell r="P215" t="str">
            <v/>
          </cell>
        </row>
        <row r="215">
          <cell r="S215">
            <v>0</v>
          </cell>
          <cell r="T215">
            <v>0</v>
          </cell>
        </row>
        <row r="215"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</row>
        <row r="216">
          <cell r="G216">
            <v>0</v>
          </cell>
          <cell r="H216" t="str">
            <v/>
          </cell>
        </row>
        <row r="216">
          <cell r="K216">
            <v>0</v>
          </cell>
          <cell r="L216">
            <v>0</v>
          </cell>
        </row>
        <row r="216">
          <cell r="O216">
            <v>0</v>
          </cell>
          <cell r="P216" t="str">
            <v/>
          </cell>
        </row>
        <row r="216">
          <cell r="S216">
            <v>0</v>
          </cell>
          <cell r="T216">
            <v>0</v>
          </cell>
        </row>
        <row r="216"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</row>
        <row r="217">
          <cell r="G217">
            <v>0</v>
          </cell>
          <cell r="H217" t="str">
            <v/>
          </cell>
        </row>
        <row r="217">
          <cell r="K217">
            <v>0</v>
          </cell>
          <cell r="L217">
            <v>0</v>
          </cell>
        </row>
        <row r="217">
          <cell r="O217">
            <v>0</v>
          </cell>
          <cell r="P217" t="str">
            <v/>
          </cell>
        </row>
        <row r="217">
          <cell r="S217">
            <v>0</v>
          </cell>
          <cell r="T217">
            <v>0</v>
          </cell>
        </row>
        <row r="217"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</row>
        <row r="218">
          <cell r="G218">
            <v>0</v>
          </cell>
          <cell r="H218" t="str">
            <v/>
          </cell>
        </row>
        <row r="218">
          <cell r="K218">
            <v>0</v>
          </cell>
          <cell r="L218">
            <v>0</v>
          </cell>
        </row>
        <row r="218">
          <cell r="O218">
            <v>0</v>
          </cell>
          <cell r="P218" t="str">
            <v/>
          </cell>
        </row>
        <row r="218">
          <cell r="S218">
            <v>0</v>
          </cell>
          <cell r="T218">
            <v>0</v>
          </cell>
        </row>
        <row r="218"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Финансово-экономический практикум</v>
          </cell>
        </row>
        <row r="219">
          <cell r="G219" t="str">
            <v>Марусик Е.А.</v>
          </cell>
          <cell r="H219" t="str">
            <v>доцент, канд. наук</v>
          </cell>
        </row>
        <row r="219">
          <cell r="K219" t="str">
            <v>л</v>
          </cell>
          <cell r="L219" t="str">
            <v>Финансово-экономический практикум</v>
          </cell>
        </row>
        <row r="219">
          <cell r="O219" t="str">
            <v>Марусик Е.А.</v>
          </cell>
          <cell r="P219" t="str">
            <v>доцент, канд. наук</v>
          </cell>
        </row>
        <row r="219">
          <cell r="S219">
            <v>0</v>
          </cell>
          <cell r="T219">
            <v>0</v>
          </cell>
        </row>
        <row r="219"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Нормативно-правовые основы профессиональной деятельности</v>
          </cell>
        </row>
        <row r="220">
          <cell r="G220" t="str">
            <v>Лаврищева О.А.</v>
          </cell>
          <cell r="H220" t="str">
            <v>доцент, канд. наук</v>
          </cell>
        </row>
        <row r="220">
          <cell r="K220" t="str">
            <v>л</v>
          </cell>
          <cell r="L220" t="str">
            <v>Нормативно-правовые основы профессиональной деятельности</v>
          </cell>
        </row>
        <row r="220">
          <cell r="O220" t="str">
            <v>Лаврищева О.А.</v>
          </cell>
          <cell r="P220" t="str">
            <v>доцент, канд. наук</v>
          </cell>
        </row>
        <row r="220">
          <cell r="S220" t="str">
            <v>л</v>
          </cell>
          <cell r="T220" t="str">
            <v>Основы военной подготовки</v>
          </cell>
        </row>
        <row r="220">
          <cell r="W220" t="str">
            <v>Кулак А.Ф.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</row>
        <row r="221">
          <cell r="G221">
            <v>0</v>
          </cell>
          <cell r="H221" t="str">
            <v/>
          </cell>
        </row>
        <row r="221">
          <cell r="K221">
            <v>0</v>
          </cell>
          <cell r="L221">
            <v>0</v>
          </cell>
        </row>
        <row r="221">
          <cell r="O221">
            <v>0</v>
          </cell>
          <cell r="P221" t="str">
            <v/>
          </cell>
        </row>
        <row r="221">
          <cell r="S221">
            <v>0</v>
          </cell>
          <cell r="T221">
            <v>0</v>
          </cell>
        </row>
        <row r="221"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</row>
        <row r="222">
          <cell r="G222">
            <v>0</v>
          </cell>
          <cell r="H222" t="str">
            <v/>
          </cell>
        </row>
        <row r="222">
          <cell r="K222">
            <v>0</v>
          </cell>
          <cell r="L222">
            <v>0</v>
          </cell>
        </row>
        <row r="222">
          <cell r="O222">
            <v>0</v>
          </cell>
          <cell r="P222" t="str">
            <v/>
          </cell>
        </row>
        <row r="222">
          <cell r="S222">
            <v>0</v>
          </cell>
          <cell r="T222">
            <v>0</v>
          </cell>
        </row>
        <row r="222"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</row>
        <row r="223">
          <cell r="G223">
            <v>0</v>
          </cell>
          <cell r="H223" t="str">
            <v/>
          </cell>
        </row>
        <row r="223">
          <cell r="K223">
            <v>0</v>
          </cell>
          <cell r="L223">
            <v>0</v>
          </cell>
        </row>
        <row r="223">
          <cell r="O223">
            <v>0</v>
          </cell>
          <cell r="P223" t="str">
            <v/>
          </cell>
        </row>
        <row r="223">
          <cell r="S223">
            <v>0</v>
          </cell>
          <cell r="T223">
            <v>0</v>
          </cell>
        </row>
        <row r="223"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</row>
        <row r="224">
          <cell r="G224">
            <v>0</v>
          </cell>
          <cell r="H224" t="str">
            <v/>
          </cell>
        </row>
        <row r="224">
          <cell r="K224">
            <v>0</v>
          </cell>
          <cell r="L224">
            <v>0</v>
          </cell>
        </row>
        <row r="224">
          <cell r="O224">
            <v>0</v>
          </cell>
          <cell r="P224" t="str">
            <v/>
          </cell>
        </row>
        <row r="224">
          <cell r="S224">
            <v>0</v>
          </cell>
          <cell r="T224">
            <v>0</v>
          </cell>
        </row>
        <row r="224"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</row>
        <row r="225">
          <cell r="G225">
            <v>0</v>
          </cell>
          <cell r="H225" t="str">
            <v/>
          </cell>
        </row>
        <row r="225">
          <cell r="K225">
            <v>0</v>
          </cell>
          <cell r="L225">
            <v>0</v>
          </cell>
        </row>
        <row r="225">
          <cell r="O225">
            <v>0</v>
          </cell>
          <cell r="P225" t="str">
            <v/>
          </cell>
        </row>
        <row r="225">
          <cell r="S225">
            <v>0</v>
          </cell>
          <cell r="T225">
            <v>0</v>
          </cell>
        </row>
        <row r="225"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</row>
        <row r="226">
          <cell r="G226">
            <v>0</v>
          </cell>
          <cell r="H226" t="str">
            <v/>
          </cell>
        </row>
        <row r="226">
          <cell r="K226">
            <v>0</v>
          </cell>
          <cell r="L226">
            <v>0</v>
          </cell>
        </row>
        <row r="226">
          <cell r="O226">
            <v>0</v>
          </cell>
          <cell r="P226" t="str">
            <v/>
          </cell>
        </row>
        <row r="226">
          <cell r="S226">
            <v>0</v>
          </cell>
          <cell r="T226">
            <v>0</v>
          </cell>
        </row>
        <row r="226"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Психология</v>
          </cell>
        </row>
        <row r="227">
          <cell r="G227" t="str">
            <v>Дьяков С.И.</v>
          </cell>
          <cell r="H227" t="str">
            <v>профессор, д-р наук</v>
          </cell>
        </row>
        <row r="227">
          <cell r="K227" t="str">
            <v>л</v>
          </cell>
          <cell r="L227" t="str">
            <v>Психология</v>
          </cell>
        </row>
        <row r="227">
          <cell r="O227" t="str">
            <v>Дьяков С.И.</v>
          </cell>
          <cell r="P227" t="str">
            <v>профессор, д-р наук</v>
          </cell>
        </row>
        <row r="227">
          <cell r="S227">
            <v>0</v>
          </cell>
          <cell r="T227">
            <v>0</v>
          </cell>
        </row>
        <row r="227">
          <cell r="W227">
            <v>0</v>
          </cell>
          <cell r="X227" t="str">
            <v/>
          </cell>
        </row>
        <row r="228">
          <cell r="C228">
            <v>0</v>
          </cell>
          <cell r="D228">
            <v>0</v>
          </cell>
        </row>
        <row r="228">
          <cell r="G228">
            <v>0</v>
          </cell>
          <cell r="H228" t="str">
            <v/>
          </cell>
        </row>
        <row r="228">
          <cell r="K228" t="str">
            <v>л</v>
          </cell>
          <cell r="L228" t="str">
            <v>Математический анализ</v>
          </cell>
        </row>
        <row r="228">
          <cell r="O228" t="str">
            <v>Линник Е.П.</v>
          </cell>
          <cell r="P228" t="str">
            <v>доцент, канд. наук</v>
          </cell>
        </row>
        <row r="228">
          <cell r="S228" t="str">
            <v>л</v>
          </cell>
          <cell r="T228" t="str">
            <v>Управление ИТ-проектами и гибкая методология</v>
          </cell>
        </row>
        <row r="228"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</row>
        <row r="229">
          <cell r="G229">
            <v>0</v>
          </cell>
          <cell r="H229" t="str">
            <v/>
          </cell>
        </row>
        <row r="229">
          <cell r="K229">
            <v>0</v>
          </cell>
          <cell r="L229">
            <v>0</v>
          </cell>
        </row>
        <row r="229">
          <cell r="O229">
            <v>0</v>
          </cell>
          <cell r="P229" t="str">
            <v/>
          </cell>
        </row>
        <row r="229">
          <cell r="S229">
            <v>0</v>
          </cell>
          <cell r="T229">
            <v>0</v>
          </cell>
        </row>
        <row r="229"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</row>
        <row r="230">
          <cell r="G230">
            <v>0</v>
          </cell>
          <cell r="H230" t="str">
            <v/>
          </cell>
        </row>
        <row r="230">
          <cell r="K230">
            <v>0</v>
          </cell>
          <cell r="L230">
            <v>0</v>
          </cell>
        </row>
        <row r="230">
          <cell r="O230">
            <v>0</v>
          </cell>
          <cell r="P230" t="str">
            <v/>
          </cell>
        </row>
        <row r="230">
          <cell r="S230">
            <v>0</v>
          </cell>
          <cell r="T230">
            <v>0</v>
          </cell>
        </row>
        <row r="230"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</row>
        <row r="231">
          <cell r="G231">
            <v>0</v>
          </cell>
          <cell r="H231" t="str">
            <v/>
          </cell>
        </row>
        <row r="231">
          <cell r="K231">
            <v>0</v>
          </cell>
          <cell r="L231">
            <v>0</v>
          </cell>
        </row>
        <row r="231">
          <cell r="O231">
            <v>0</v>
          </cell>
          <cell r="P231" t="str">
            <v/>
          </cell>
        </row>
        <row r="231">
          <cell r="S231">
            <v>0</v>
          </cell>
          <cell r="T231">
            <v>0</v>
          </cell>
        </row>
        <row r="231"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</row>
        <row r="232">
          <cell r="G232">
            <v>0</v>
          </cell>
          <cell r="H232" t="str">
            <v/>
          </cell>
        </row>
        <row r="232">
          <cell r="K232">
            <v>0</v>
          </cell>
          <cell r="L232">
            <v>0</v>
          </cell>
        </row>
        <row r="232">
          <cell r="O232">
            <v>0</v>
          </cell>
          <cell r="P232" t="str">
            <v/>
          </cell>
        </row>
        <row r="232">
          <cell r="S232">
            <v>0</v>
          </cell>
          <cell r="T232">
            <v>0</v>
          </cell>
        </row>
        <row r="232"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</row>
        <row r="233">
          <cell r="G233">
            <v>0</v>
          </cell>
          <cell r="H233" t="str">
            <v/>
          </cell>
        </row>
        <row r="233">
          <cell r="K233">
            <v>0</v>
          </cell>
          <cell r="L233">
            <v>0</v>
          </cell>
        </row>
        <row r="233">
          <cell r="O233">
            <v>0</v>
          </cell>
          <cell r="P233" t="str">
            <v/>
          </cell>
        </row>
        <row r="233">
          <cell r="S233">
            <v>0</v>
          </cell>
          <cell r="T233">
            <v>0</v>
          </cell>
        </row>
        <row r="233"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</row>
        <row r="234">
          <cell r="G234">
            <v>0</v>
          </cell>
          <cell r="H234" t="str">
            <v/>
          </cell>
        </row>
        <row r="234">
          <cell r="K234">
            <v>0</v>
          </cell>
          <cell r="L234">
            <v>0</v>
          </cell>
        </row>
        <row r="234">
          <cell r="O234">
            <v>0</v>
          </cell>
          <cell r="P234" t="str">
            <v/>
          </cell>
        </row>
        <row r="234">
          <cell r="S234">
            <v>0</v>
          </cell>
          <cell r="T234">
            <v>0</v>
          </cell>
        </row>
        <row r="234"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</row>
        <row r="235">
          <cell r="G235">
            <v>0</v>
          </cell>
          <cell r="H235" t="str">
            <v/>
          </cell>
        </row>
        <row r="235">
          <cell r="K235">
            <v>0</v>
          </cell>
          <cell r="L235">
            <v>0</v>
          </cell>
        </row>
        <row r="235">
          <cell r="O235">
            <v>0</v>
          </cell>
          <cell r="P235" t="str">
            <v/>
          </cell>
        </row>
        <row r="235">
          <cell r="S235">
            <v>0</v>
          </cell>
          <cell r="T235">
            <v>0</v>
          </cell>
        </row>
        <row r="235"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</row>
        <row r="236">
          <cell r="G236">
            <v>0</v>
          </cell>
          <cell r="H236" t="str">
            <v/>
          </cell>
        </row>
        <row r="236">
          <cell r="K236">
            <v>0</v>
          </cell>
          <cell r="L236">
            <v>0</v>
          </cell>
        </row>
        <row r="236">
          <cell r="O236">
            <v>0</v>
          </cell>
          <cell r="P236" t="str">
            <v/>
          </cell>
        </row>
        <row r="236">
          <cell r="S236" t="str">
            <v>пр</v>
          </cell>
          <cell r="T236" t="str">
            <v>Управление ИТ-проектами и гибкая методология</v>
          </cell>
        </row>
        <row r="236"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</row>
        <row r="237">
          <cell r="G237">
            <v>0</v>
          </cell>
          <cell r="H237" t="str">
            <v/>
          </cell>
        </row>
        <row r="237">
          <cell r="K237">
            <v>0</v>
          </cell>
          <cell r="L237">
            <v>0</v>
          </cell>
        </row>
        <row r="237">
          <cell r="O237">
            <v>0</v>
          </cell>
          <cell r="P237" t="str">
            <v/>
          </cell>
        </row>
        <row r="237">
          <cell r="S237">
            <v>0</v>
          </cell>
          <cell r="T237">
            <v>0</v>
          </cell>
        </row>
        <row r="237"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</row>
        <row r="238">
          <cell r="G238">
            <v>0</v>
          </cell>
          <cell r="H238" t="str">
            <v/>
          </cell>
        </row>
        <row r="238">
          <cell r="K238">
            <v>0</v>
          </cell>
          <cell r="L238">
            <v>0</v>
          </cell>
        </row>
        <row r="238">
          <cell r="O238">
            <v>0</v>
          </cell>
          <cell r="P238" t="str">
            <v/>
          </cell>
        </row>
        <row r="238">
          <cell r="S238">
            <v>0</v>
          </cell>
          <cell r="T238">
            <v>0</v>
          </cell>
        </row>
        <row r="238"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</row>
        <row r="239">
          <cell r="G239">
            <v>0</v>
          </cell>
          <cell r="H239" t="str">
            <v/>
          </cell>
        </row>
        <row r="239">
          <cell r="K239">
            <v>0</v>
          </cell>
          <cell r="L239">
            <v>0</v>
          </cell>
        </row>
        <row r="239">
          <cell r="O239">
            <v>0</v>
          </cell>
          <cell r="P239" t="str">
            <v/>
          </cell>
        </row>
        <row r="239">
          <cell r="S239">
            <v>0</v>
          </cell>
          <cell r="T239">
            <v>0</v>
          </cell>
        </row>
        <row r="239"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</row>
        <row r="240">
          <cell r="G240">
            <v>0</v>
          </cell>
          <cell r="H240" t="str">
            <v/>
          </cell>
        </row>
        <row r="240">
          <cell r="K240">
            <v>0</v>
          </cell>
          <cell r="L240">
            <v>0</v>
          </cell>
        </row>
        <row r="240">
          <cell r="O240">
            <v>0</v>
          </cell>
          <cell r="P240" t="str">
            <v/>
          </cell>
        </row>
        <row r="240">
          <cell r="S240">
            <v>0</v>
          </cell>
          <cell r="T240">
            <v>0</v>
          </cell>
        </row>
        <row r="240"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</row>
        <row r="241">
          <cell r="G241">
            <v>0</v>
          </cell>
          <cell r="H241" t="str">
            <v/>
          </cell>
        </row>
        <row r="241">
          <cell r="K241">
            <v>0</v>
          </cell>
          <cell r="L241">
            <v>0</v>
          </cell>
        </row>
        <row r="241">
          <cell r="O241">
            <v>0</v>
          </cell>
          <cell r="P241" t="str">
            <v/>
          </cell>
        </row>
        <row r="241">
          <cell r="S241">
            <v>0</v>
          </cell>
          <cell r="T241">
            <v>0</v>
          </cell>
        </row>
        <row r="241"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</row>
        <row r="242">
          <cell r="G242">
            <v>0</v>
          </cell>
          <cell r="H242" t="str">
            <v/>
          </cell>
        </row>
        <row r="242">
          <cell r="K242">
            <v>0</v>
          </cell>
          <cell r="L242">
            <v>0</v>
          </cell>
        </row>
        <row r="242">
          <cell r="O242">
            <v>0</v>
          </cell>
          <cell r="P242" t="str">
            <v/>
          </cell>
        </row>
        <row r="242">
          <cell r="S242">
            <v>0</v>
          </cell>
          <cell r="T242">
            <v>0</v>
          </cell>
        </row>
        <row r="242"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</row>
        <row r="243">
          <cell r="G243">
            <v>0</v>
          </cell>
          <cell r="H243" t="str">
            <v/>
          </cell>
        </row>
        <row r="243">
          <cell r="K243">
            <v>0</v>
          </cell>
          <cell r="L243">
            <v>0</v>
          </cell>
        </row>
        <row r="243">
          <cell r="O243">
            <v>0</v>
          </cell>
          <cell r="P243" t="str">
            <v/>
          </cell>
        </row>
        <row r="243">
          <cell r="S243">
            <v>0</v>
          </cell>
          <cell r="T243">
            <v>0</v>
          </cell>
        </row>
        <row r="243"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</row>
        <row r="244">
          <cell r="G244">
            <v>0</v>
          </cell>
          <cell r="H244" t="str">
            <v/>
          </cell>
        </row>
        <row r="244">
          <cell r="K244">
            <v>0</v>
          </cell>
          <cell r="L244">
            <v>0</v>
          </cell>
        </row>
        <row r="244">
          <cell r="O244">
            <v>0</v>
          </cell>
          <cell r="P244" t="str">
            <v/>
          </cell>
        </row>
        <row r="244">
          <cell r="S244">
            <v>0</v>
          </cell>
          <cell r="T244">
            <v>0</v>
          </cell>
        </row>
        <row r="244">
          <cell r="W244">
            <v>0</v>
          </cell>
          <cell r="X244" t="str">
            <v/>
          </cell>
        </row>
        <row r="254">
          <cell r="D254" t="str">
            <v>44.03.05Педагогическое образование (с двумя профилями подготовки) (Математика и Информатика)</v>
          </cell>
        </row>
        <row r="254">
          <cell r="L254" t="str">
            <v>44.03.05.Педагогическое образование (с двумя профилями подготовки) (Математика и Экономика)</v>
          </cell>
        </row>
        <row r="254">
          <cell r="T254" t="str">
            <v>00</v>
          </cell>
        </row>
        <row r="258">
          <cell r="D258" t="str">
            <v>12-24МИоз</v>
          </cell>
        </row>
        <row r="258">
          <cell r="L258" t="str">
            <v>12-24МЭоз</v>
          </cell>
        </row>
        <row r="258">
          <cell r="T258">
            <v>0</v>
          </cell>
        </row>
        <row r="260">
          <cell r="C260">
            <v>0</v>
          </cell>
          <cell r="D260">
            <v>0</v>
          </cell>
        </row>
        <row r="260">
          <cell r="G260">
            <v>0</v>
          </cell>
          <cell r="H260" t="str">
            <v/>
          </cell>
        </row>
        <row r="260">
          <cell r="K260">
            <v>0</v>
          </cell>
          <cell r="L260">
            <v>0</v>
          </cell>
        </row>
        <row r="260">
          <cell r="O260">
            <v>0</v>
          </cell>
          <cell r="P260" t="str">
            <v/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</row>
        <row r="261">
          <cell r="G261">
            <v>0</v>
          </cell>
          <cell r="H261" t="str">
            <v/>
          </cell>
        </row>
        <row r="261">
          <cell r="K261">
            <v>0</v>
          </cell>
          <cell r="L261">
            <v>0</v>
          </cell>
        </row>
        <row r="261">
          <cell r="O261">
            <v>0</v>
          </cell>
          <cell r="P261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</row>
        <row r="262">
          <cell r="G262">
            <v>0</v>
          </cell>
          <cell r="H262" t="str">
            <v/>
          </cell>
        </row>
        <row r="262">
          <cell r="K262">
            <v>0</v>
          </cell>
          <cell r="L262">
            <v>0</v>
          </cell>
        </row>
        <row r="262">
          <cell r="O262">
            <v>0</v>
          </cell>
          <cell r="P262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</row>
        <row r="263">
          <cell r="G263">
            <v>0</v>
          </cell>
          <cell r="H263" t="str">
            <v/>
          </cell>
        </row>
        <row r="263">
          <cell r="K263">
            <v>0</v>
          </cell>
          <cell r="L263">
            <v>0</v>
          </cell>
        </row>
        <row r="263">
          <cell r="O263">
            <v>0</v>
          </cell>
          <cell r="P263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</row>
        <row r="264">
          <cell r="G264">
            <v>0</v>
          </cell>
          <cell r="H264" t="str">
            <v/>
          </cell>
        </row>
        <row r="264">
          <cell r="K264">
            <v>0</v>
          </cell>
          <cell r="L264">
            <v>0</v>
          </cell>
        </row>
        <row r="264">
          <cell r="O264">
            <v>0</v>
          </cell>
          <cell r="P264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C265">
            <v>0</v>
          </cell>
          <cell r="D265">
            <v>0</v>
          </cell>
        </row>
        <row r="265">
          <cell r="G265">
            <v>0</v>
          </cell>
          <cell r="H265" t="str">
            <v/>
          </cell>
        </row>
        <row r="265">
          <cell r="K265">
            <v>0</v>
          </cell>
          <cell r="L265">
            <v>0</v>
          </cell>
        </row>
        <row r="265">
          <cell r="O265">
            <v>0</v>
          </cell>
          <cell r="P265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</row>
        <row r="266">
          <cell r="G266">
            <v>0</v>
          </cell>
          <cell r="H266" t="str">
            <v/>
          </cell>
        </row>
        <row r="266">
          <cell r="K266">
            <v>0</v>
          </cell>
          <cell r="L266">
            <v>0</v>
          </cell>
        </row>
        <row r="266">
          <cell r="O266">
            <v>0</v>
          </cell>
          <cell r="P266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</row>
        <row r="267">
          <cell r="G267">
            <v>0</v>
          </cell>
          <cell r="H267" t="str">
            <v/>
          </cell>
        </row>
        <row r="267">
          <cell r="K267">
            <v>0</v>
          </cell>
          <cell r="L267">
            <v>0</v>
          </cell>
        </row>
        <row r="267">
          <cell r="O267">
            <v>0</v>
          </cell>
          <cell r="P267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</row>
        <row r="268">
          <cell r="G268">
            <v>0</v>
          </cell>
          <cell r="H268" t="str">
            <v/>
          </cell>
        </row>
        <row r="268">
          <cell r="K268">
            <v>0</v>
          </cell>
          <cell r="L268">
            <v>0</v>
          </cell>
        </row>
        <row r="268">
          <cell r="O268">
            <v>0</v>
          </cell>
          <cell r="P268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</row>
        <row r="269">
          <cell r="G269">
            <v>0</v>
          </cell>
          <cell r="H269" t="str">
            <v/>
          </cell>
        </row>
        <row r="269">
          <cell r="K269">
            <v>0</v>
          </cell>
          <cell r="L269">
            <v>0</v>
          </cell>
        </row>
        <row r="269">
          <cell r="O269">
            <v>0</v>
          </cell>
          <cell r="P269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</row>
        <row r="270">
          <cell r="G270">
            <v>0</v>
          </cell>
          <cell r="H270" t="str">
            <v/>
          </cell>
        </row>
        <row r="270">
          <cell r="K270">
            <v>0</v>
          </cell>
          <cell r="L270">
            <v>0</v>
          </cell>
        </row>
        <row r="270">
          <cell r="O270">
            <v>0</v>
          </cell>
          <cell r="P270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</row>
        <row r="271">
          <cell r="G271">
            <v>0</v>
          </cell>
          <cell r="H271" t="str">
            <v/>
          </cell>
        </row>
        <row r="271">
          <cell r="K271">
            <v>0</v>
          </cell>
          <cell r="L271">
            <v>0</v>
          </cell>
        </row>
        <row r="271">
          <cell r="O271">
            <v>0</v>
          </cell>
          <cell r="P271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</row>
        <row r="272">
          <cell r="G272">
            <v>0</v>
          </cell>
          <cell r="H272" t="str">
            <v/>
          </cell>
        </row>
        <row r="272">
          <cell r="K272">
            <v>0</v>
          </cell>
          <cell r="L272">
            <v>0</v>
          </cell>
        </row>
        <row r="272">
          <cell r="O272">
            <v>0</v>
          </cell>
          <cell r="P272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C273">
            <v>0</v>
          </cell>
          <cell r="D273">
            <v>0</v>
          </cell>
        </row>
        <row r="273">
          <cell r="G273">
            <v>0</v>
          </cell>
          <cell r="H273" t="str">
            <v/>
          </cell>
        </row>
        <row r="273">
          <cell r="K273">
            <v>0</v>
          </cell>
          <cell r="L273">
            <v>0</v>
          </cell>
        </row>
        <row r="273">
          <cell r="O273">
            <v>0</v>
          </cell>
          <cell r="P273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C274">
            <v>0</v>
          </cell>
          <cell r="D274">
            <v>0</v>
          </cell>
        </row>
        <row r="274">
          <cell r="G274">
            <v>0</v>
          </cell>
          <cell r="H274" t="str">
            <v/>
          </cell>
        </row>
        <row r="274">
          <cell r="K274">
            <v>0</v>
          </cell>
          <cell r="L274">
            <v>0</v>
          </cell>
        </row>
        <row r="274">
          <cell r="O274">
            <v>0</v>
          </cell>
          <cell r="P274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</row>
        <row r="275">
          <cell r="G275">
            <v>0</v>
          </cell>
          <cell r="H275" t="str">
            <v/>
          </cell>
        </row>
        <row r="275">
          <cell r="K275">
            <v>0</v>
          </cell>
          <cell r="L275">
            <v>0</v>
          </cell>
        </row>
        <row r="275">
          <cell r="O275">
            <v>0</v>
          </cell>
          <cell r="P275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</row>
        <row r="276">
          <cell r="G276">
            <v>0</v>
          </cell>
          <cell r="H276" t="str">
            <v/>
          </cell>
        </row>
        <row r="276">
          <cell r="K276">
            <v>0</v>
          </cell>
          <cell r="L276">
            <v>0</v>
          </cell>
        </row>
        <row r="276">
          <cell r="O276">
            <v>0</v>
          </cell>
          <cell r="P276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</row>
        <row r="277">
          <cell r="G277">
            <v>0</v>
          </cell>
          <cell r="H277" t="str">
            <v/>
          </cell>
        </row>
        <row r="277">
          <cell r="K277">
            <v>0</v>
          </cell>
          <cell r="L277">
            <v>0</v>
          </cell>
        </row>
        <row r="277">
          <cell r="O277">
            <v>0</v>
          </cell>
          <cell r="P277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</row>
        <row r="278">
          <cell r="G278">
            <v>0</v>
          </cell>
          <cell r="H278" t="str">
            <v/>
          </cell>
        </row>
        <row r="278">
          <cell r="K278">
            <v>0</v>
          </cell>
          <cell r="L278">
            <v>0</v>
          </cell>
        </row>
        <row r="278">
          <cell r="O278">
            <v>0</v>
          </cell>
          <cell r="P278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</row>
        <row r="279">
          <cell r="G279">
            <v>0</v>
          </cell>
          <cell r="H279" t="str">
            <v/>
          </cell>
        </row>
        <row r="279">
          <cell r="K279">
            <v>0</v>
          </cell>
          <cell r="L279">
            <v>0</v>
          </cell>
        </row>
        <row r="279">
          <cell r="O279">
            <v>0</v>
          </cell>
          <cell r="P279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</row>
        <row r="280">
          <cell r="G280">
            <v>0</v>
          </cell>
          <cell r="H280" t="str">
            <v/>
          </cell>
        </row>
        <row r="280">
          <cell r="K280">
            <v>0</v>
          </cell>
          <cell r="L280">
            <v>0</v>
          </cell>
        </row>
        <row r="280">
          <cell r="O280">
            <v>0</v>
          </cell>
          <cell r="P280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Методы исследовательской/проектной деятельности</v>
          </cell>
        </row>
        <row r="281">
          <cell r="G281" t="str">
            <v>Казанцев Ю.А.</v>
          </cell>
          <cell r="H281" t="str">
            <v>ст. преподаватель</v>
          </cell>
        </row>
        <row r="281">
          <cell r="K281" t="str">
            <v>л</v>
          </cell>
          <cell r="L281" t="str">
            <v>Методы исследовательской/проектной деятельности</v>
          </cell>
        </row>
        <row r="281">
          <cell r="O281" t="str">
            <v>Казанцев Ю.А.</v>
          </cell>
          <cell r="P281" t="str">
            <v>ст. преподаватель</v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Основы военной подготовки</v>
          </cell>
        </row>
        <row r="282">
          <cell r="G282" t="str">
            <v>Кулак А.Ф.</v>
          </cell>
          <cell r="H282" t="str">
            <v>преподаватель</v>
          </cell>
        </row>
        <row r="282">
          <cell r="K282" t="str">
            <v>л</v>
          </cell>
          <cell r="L282" t="str">
            <v>Основы военной подготовки</v>
          </cell>
        </row>
        <row r="282">
          <cell r="O282" t="str">
            <v>Кулак А.Ф.</v>
          </cell>
          <cell r="P282" t="str">
            <v>преподаватель</v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</row>
        <row r="283">
          <cell r="G283">
            <v>0</v>
          </cell>
          <cell r="H283" t="str">
            <v/>
          </cell>
        </row>
        <row r="283">
          <cell r="K283">
            <v>0</v>
          </cell>
          <cell r="L283">
            <v>0</v>
          </cell>
        </row>
        <row r="283">
          <cell r="O283">
            <v>0</v>
          </cell>
          <cell r="P283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</row>
        <row r="284">
          <cell r="G284">
            <v>0</v>
          </cell>
          <cell r="H284" t="str">
            <v/>
          </cell>
        </row>
        <row r="284">
          <cell r="K284">
            <v>0</v>
          </cell>
          <cell r="L284">
            <v>0</v>
          </cell>
        </row>
        <row r="284">
          <cell r="O284">
            <v>0</v>
          </cell>
          <cell r="P284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</row>
        <row r="285">
          <cell r="G285">
            <v>0</v>
          </cell>
          <cell r="H285" t="str">
            <v/>
          </cell>
        </row>
        <row r="285">
          <cell r="K285">
            <v>0</v>
          </cell>
          <cell r="L285">
            <v>0</v>
          </cell>
        </row>
        <row r="285">
          <cell r="O285">
            <v>0</v>
          </cell>
          <cell r="P285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</row>
        <row r="286">
          <cell r="G286">
            <v>0</v>
          </cell>
          <cell r="H286" t="str">
            <v/>
          </cell>
        </row>
        <row r="286">
          <cell r="K286">
            <v>0</v>
          </cell>
          <cell r="L286">
            <v>0</v>
          </cell>
        </row>
        <row r="286">
          <cell r="O286">
            <v>0</v>
          </cell>
          <cell r="P286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</row>
        <row r="287">
          <cell r="G287">
            <v>0</v>
          </cell>
          <cell r="H287" t="str">
            <v/>
          </cell>
        </row>
        <row r="287">
          <cell r="K287">
            <v>0</v>
          </cell>
          <cell r="L287">
            <v>0</v>
          </cell>
        </row>
        <row r="287">
          <cell r="O287">
            <v>0</v>
          </cell>
          <cell r="P287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</row>
        <row r="288">
          <cell r="G288">
            <v>0</v>
          </cell>
          <cell r="H288" t="str">
            <v/>
          </cell>
        </row>
        <row r="288">
          <cell r="K288">
            <v>0</v>
          </cell>
          <cell r="L288">
            <v>0</v>
          </cell>
        </row>
        <row r="288">
          <cell r="O288">
            <v>0</v>
          </cell>
          <cell r="P288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</row>
        <row r="289">
          <cell r="G289">
            <v>0</v>
          </cell>
          <cell r="H289" t="str">
            <v/>
          </cell>
        </row>
        <row r="289">
          <cell r="K289">
            <v>0</v>
          </cell>
          <cell r="L289">
            <v>0</v>
          </cell>
        </row>
        <row r="289">
          <cell r="O289">
            <v>0</v>
          </cell>
          <cell r="P289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</row>
        <row r="290">
          <cell r="G290">
            <v>0</v>
          </cell>
          <cell r="H290" t="str">
            <v/>
          </cell>
        </row>
        <row r="290">
          <cell r="K290">
            <v>0</v>
          </cell>
          <cell r="L290">
            <v>0</v>
          </cell>
        </row>
        <row r="290">
          <cell r="O290">
            <v>0</v>
          </cell>
          <cell r="P290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</row>
        <row r="291">
          <cell r="G291">
            <v>0</v>
          </cell>
          <cell r="H291" t="str">
            <v/>
          </cell>
        </row>
        <row r="291">
          <cell r="K291">
            <v>0</v>
          </cell>
          <cell r="L291">
            <v>0</v>
          </cell>
        </row>
        <row r="291">
          <cell r="O291">
            <v>0</v>
          </cell>
          <cell r="P291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</row>
        <row r="292">
          <cell r="G292">
            <v>0</v>
          </cell>
          <cell r="H292" t="str">
            <v/>
          </cell>
        </row>
        <row r="292">
          <cell r="K292">
            <v>0</v>
          </cell>
          <cell r="L292">
            <v>0</v>
          </cell>
        </row>
        <row r="292">
          <cell r="O292">
            <v>0</v>
          </cell>
          <cell r="P292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</row>
        <row r="293">
          <cell r="G293">
            <v>0</v>
          </cell>
          <cell r="H293" t="str">
            <v/>
          </cell>
        </row>
        <row r="293">
          <cell r="K293">
            <v>0</v>
          </cell>
          <cell r="L293">
            <v>0</v>
          </cell>
        </row>
        <row r="293">
          <cell r="O293">
            <v>0</v>
          </cell>
          <cell r="P293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</row>
        <row r="294">
          <cell r="G294">
            <v>0</v>
          </cell>
          <cell r="H294" t="str">
            <v/>
          </cell>
        </row>
        <row r="294">
          <cell r="K294">
            <v>0</v>
          </cell>
          <cell r="L294">
            <v>0</v>
          </cell>
        </row>
        <row r="294">
          <cell r="O294">
            <v>0</v>
          </cell>
          <cell r="P294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</row>
        <row r="295">
          <cell r="G295">
            <v>0</v>
          </cell>
          <cell r="H295" t="str">
            <v/>
          </cell>
        </row>
        <row r="295">
          <cell r="K295">
            <v>0</v>
          </cell>
          <cell r="L295">
            <v>0</v>
          </cell>
        </row>
        <row r="295">
          <cell r="O295">
            <v>0</v>
          </cell>
          <cell r="P295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</row>
        <row r="296">
          <cell r="G296">
            <v>0</v>
          </cell>
          <cell r="H296" t="str">
            <v/>
          </cell>
        </row>
        <row r="296">
          <cell r="K296">
            <v>0</v>
          </cell>
          <cell r="L296">
            <v>0</v>
          </cell>
        </row>
        <row r="296">
          <cell r="O296">
            <v>0</v>
          </cell>
          <cell r="P296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</row>
        <row r="297">
          <cell r="G297">
            <v>0</v>
          </cell>
          <cell r="H297" t="str">
            <v/>
          </cell>
        </row>
        <row r="297">
          <cell r="K297">
            <v>0</v>
          </cell>
          <cell r="L297">
            <v>0</v>
          </cell>
        </row>
        <row r="297">
          <cell r="O297">
            <v>0</v>
          </cell>
          <cell r="P297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</row>
        <row r="298">
          <cell r="G298">
            <v>0</v>
          </cell>
          <cell r="H298" t="str">
            <v/>
          </cell>
        </row>
        <row r="298">
          <cell r="K298">
            <v>0</v>
          </cell>
          <cell r="L298">
            <v>0</v>
          </cell>
        </row>
        <row r="298">
          <cell r="O298">
            <v>0</v>
          </cell>
          <cell r="P298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</row>
        <row r="299">
          <cell r="G299">
            <v>0</v>
          </cell>
          <cell r="H299" t="str">
            <v/>
          </cell>
        </row>
        <row r="299">
          <cell r="K299">
            <v>0</v>
          </cell>
          <cell r="L299">
            <v>0</v>
          </cell>
        </row>
        <row r="299">
          <cell r="O299">
            <v>0</v>
          </cell>
          <cell r="P299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</row>
        <row r="300">
          <cell r="G300">
            <v>0</v>
          </cell>
          <cell r="H300" t="str">
            <v/>
          </cell>
        </row>
        <row r="300">
          <cell r="K300">
            <v>0</v>
          </cell>
          <cell r="L300">
            <v>0</v>
          </cell>
        </row>
        <row r="300">
          <cell r="O300">
            <v>0</v>
          </cell>
          <cell r="P300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</row>
        <row r="301">
          <cell r="G301">
            <v>0</v>
          </cell>
          <cell r="H301" t="str">
            <v/>
          </cell>
        </row>
        <row r="301">
          <cell r="K301">
            <v>0</v>
          </cell>
          <cell r="L301">
            <v>0</v>
          </cell>
        </row>
        <row r="301">
          <cell r="O301">
            <v>0</v>
          </cell>
          <cell r="P301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</row>
        <row r="302">
          <cell r="G302">
            <v>0</v>
          </cell>
          <cell r="H302" t="str">
            <v/>
          </cell>
        </row>
        <row r="302">
          <cell r="K302">
            <v>0</v>
          </cell>
          <cell r="L302">
            <v>0</v>
          </cell>
        </row>
        <row r="302">
          <cell r="O302">
            <v>0</v>
          </cell>
          <cell r="P302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</row>
        <row r="303">
          <cell r="G303">
            <v>0</v>
          </cell>
          <cell r="H303" t="str">
            <v/>
          </cell>
        </row>
        <row r="303">
          <cell r="K303">
            <v>0</v>
          </cell>
          <cell r="L303">
            <v>0</v>
          </cell>
        </row>
        <row r="303">
          <cell r="O303">
            <v>0</v>
          </cell>
          <cell r="P303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</row>
        <row r="304">
          <cell r="G304">
            <v>0</v>
          </cell>
          <cell r="H304" t="str">
            <v/>
          </cell>
        </row>
        <row r="304">
          <cell r="K304">
            <v>0</v>
          </cell>
          <cell r="L304">
            <v>0</v>
          </cell>
        </row>
        <row r="304">
          <cell r="O304">
            <v>0</v>
          </cell>
          <cell r="P304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</row>
        <row r="305">
          <cell r="G305">
            <v>0</v>
          </cell>
          <cell r="H305" t="str">
            <v/>
          </cell>
        </row>
        <row r="305">
          <cell r="K305">
            <v>0</v>
          </cell>
          <cell r="L305">
            <v>0</v>
          </cell>
        </row>
        <row r="305">
          <cell r="O305">
            <v>0</v>
          </cell>
          <cell r="P305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</row>
        <row r="306">
          <cell r="G306">
            <v>0</v>
          </cell>
          <cell r="H306" t="str">
            <v/>
          </cell>
        </row>
        <row r="306">
          <cell r="K306">
            <v>0</v>
          </cell>
          <cell r="L306">
            <v>0</v>
          </cell>
        </row>
        <row r="306">
          <cell r="O306">
            <v>0</v>
          </cell>
          <cell r="P306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</sheetData>
      <sheetData sheetId="8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  <cell r="H59" t="str">
            <v/>
          </cell>
        </row>
        <row r="59">
          <cell r="S59">
            <v>0</v>
          </cell>
          <cell r="T59">
            <v>0</v>
          </cell>
        </row>
        <row r="59"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  <cell r="H59" t="str">
            <v/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  <row r="307">
          <cell r="S307">
            <v>0</v>
          </cell>
          <cell r="T307">
            <v>0</v>
          </cell>
        </row>
        <row r="307">
          <cell r="W307">
            <v>0</v>
          </cell>
          <cell r="X307" t="str">
            <v/>
          </cell>
        </row>
      </sheetData>
      <sheetData sheetId="10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  <cell r="H59" t="str">
            <v/>
          </cell>
        </row>
        <row r="245">
          <cell r="S245">
            <v>0</v>
          </cell>
          <cell r="T245">
            <v>0</v>
          </cell>
        </row>
        <row r="245">
          <cell r="W245">
            <v>0</v>
          </cell>
          <cell r="X245" t="str">
            <v/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Октябрь"/>
      <sheetName val="ауд"/>
      <sheetName val="КАБИНЕТЫ"/>
      <sheetName val="РО"/>
      <sheetName val="препод"/>
      <sheetName val="5нед"/>
      <sheetName val="6нед"/>
      <sheetName val="7нед"/>
      <sheetName val="8нед"/>
      <sheetName val="9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</row>
        <row r="183"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</sheetData>
      <sheetData sheetId="8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  <cell r="H59" t="str">
            <v/>
          </cell>
        </row>
        <row r="59">
          <cell r="S59">
            <v>0</v>
          </cell>
          <cell r="T59">
            <v>0</v>
          </cell>
        </row>
        <row r="59"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</row>
        <row r="183"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</row>
        <row r="183"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</sheetData>
      <sheetData sheetId="11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  <cell r="H59" t="str">
            <v/>
          </cell>
        </row>
        <row r="59">
          <cell r="S59">
            <v>0</v>
          </cell>
          <cell r="T59">
            <v>0</v>
          </cell>
        </row>
        <row r="59"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Ноябрь"/>
      <sheetName val="ауд"/>
      <sheetName val="КАБИНЕТЫ"/>
      <sheetName val="РО"/>
      <sheetName val="препод"/>
      <sheetName val="10нед"/>
      <sheetName val="11нед"/>
      <sheetName val="12нед"/>
      <sheetName val="13нед"/>
      <sheetName val="5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</row>
        <row r="183"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</sheetData>
      <sheetData sheetId="8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  <cell r="H59" t="str">
            <v/>
          </cell>
        </row>
        <row r="59">
          <cell r="S59">
            <v>0</v>
          </cell>
          <cell r="T59">
            <v>0</v>
          </cell>
        </row>
        <row r="59"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</row>
        <row r="59">
          <cell r="S59">
            <v>0</v>
          </cell>
          <cell r="T59">
            <v>0</v>
          </cell>
        </row>
        <row r="59">
          <cell r="W59">
            <v>0</v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</row>
        <row r="59">
          <cell r="S59">
            <v>0</v>
          </cell>
          <cell r="T59">
            <v>0</v>
          </cell>
        </row>
        <row r="59">
          <cell r="W59">
            <v>0</v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Декабрь"/>
      <sheetName val="ауд"/>
      <sheetName val="КАБИНЕТЫ"/>
      <sheetName val="РО"/>
      <sheetName val="препод"/>
      <sheetName val="14нед"/>
      <sheetName val="15нед"/>
      <sheetName val="16нед"/>
      <sheetName val="17нед"/>
      <sheetName val="18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  <cell r="H59" t="str">
            <v/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  <row r="307">
          <cell r="S307">
            <v>0</v>
          </cell>
          <cell r="T307">
            <v>0</v>
          </cell>
        </row>
        <row r="307">
          <cell r="W307">
            <v>0</v>
          </cell>
          <cell r="X307" t="str">
            <v/>
          </cell>
        </row>
      </sheetData>
      <sheetData sheetId="8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</row>
        <row r="183"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  <cell r="H59" t="str">
            <v/>
          </cell>
        </row>
        <row r="59">
          <cell r="S59">
            <v>0</v>
          </cell>
          <cell r="T59">
            <v>0</v>
          </cell>
        </row>
        <row r="59"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  <cell r="H59" t="str">
            <v/>
          </cell>
        </row>
        <row r="59">
          <cell r="S59">
            <v>0</v>
          </cell>
          <cell r="T59">
            <v>0</v>
          </cell>
        </row>
        <row r="59"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</sheetData>
      <sheetData sheetId="11">
        <row r="12">
          <cell r="C12">
            <v>0</v>
          </cell>
          <cell r="D12">
            <v>0</v>
          </cell>
        </row>
        <row r="12"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</row>
        <row r="13"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</row>
        <row r="14"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</row>
        <row r="15"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</row>
        <row r="16"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</row>
        <row r="17"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</row>
        <row r="18"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</row>
        <row r="19"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</row>
        <row r="20"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</row>
        <row r="21"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</row>
        <row r="22"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</row>
        <row r="23"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</row>
        <row r="24"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</row>
        <row r="25"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</row>
        <row r="26"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</row>
        <row r="27"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</row>
        <row r="28"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</row>
        <row r="29"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</row>
        <row r="30"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</row>
        <row r="31"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</row>
        <row r="32"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</row>
        <row r="33"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</row>
        <row r="34"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</row>
        <row r="35"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</row>
        <row r="36"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</row>
        <row r="37"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</row>
        <row r="38"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</row>
        <row r="39"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</row>
        <row r="40"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</row>
        <row r="41"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</row>
        <row r="42"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</row>
        <row r="43"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</row>
        <row r="44"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</row>
        <row r="45"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</row>
        <row r="46"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</row>
        <row r="47"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</row>
        <row r="48"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</row>
        <row r="49"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</row>
        <row r="50"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</row>
        <row r="51"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</row>
        <row r="52"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</row>
        <row r="53"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</row>
        <row r="54"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</row>
        <row r="55"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</row>
        <row r="56"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</row>
        <row r="57"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</row>
        <row r="58"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</row>
        <row r="59"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</row>
        <row r="183"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</row>
        <row r="260"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</row>
        <row r="261"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</row>
        <row r="262"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</row>
        <row r="263"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</row>
        <row r="264"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</row>
        <row r="265"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</row>
        <row r="266"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</row>
        <row r="267"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</row>
        <row r="268"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</row>
        <row r="269"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</row>
        <row r="270"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</row>
        <row r="271"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</row>
        <row r="272"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</row>
        <row r="273"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</row>
        <row r="274"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</row>
        <row r="275"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</row>
        <row r="276"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</row>
        <row r="277"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</row>
        <row r="278"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</row>
        <row r="279"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</row>
        <row r="280"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</row>
        <row r="281"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</row>
        <row r="282"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</row>
        <row r="283"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</row>
        <row r="284"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</row>
        <row r="285"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</row>
        <row r="286"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</row>
        <row r="287"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</row>
        <row r="288"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</row>
        <row r="289"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</row>
        <row r="290"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</row>
        <row r="291"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</row>
        <row r="292"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</row>
        <row r="293"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</row>
        <row r="294"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</row>
        <row r="295"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</row>
        <row r="296"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</row>
        <row r="297"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</row>
        <row r="298"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</row>
        <row r="299"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</row>
        <row r="300"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</row>
        <row r="301"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</row>
        <row r="302"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</row>
        <row r="303"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</row>
        <row r="304"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</row>
        <row r="305"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</row>
        <row r="306">
          <cell r="W306">
            <v>0</v>
          </cell>
          <cell r="X306" t="str">
            <v/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540"/>
  <sheetViews>
    <sheetView view="pageBreakPreview" zoomScale="47" zoomScaleNormal="55" topLeftCell="A25" workbookViewId="0">
      <selection activeCell="G28" sqref="G28"/>
    </sheetView>
  </sheetViews>
  <sheetFormatPr defaultColWidth="9" defaultRowHeight="12.75"/>
  <cols>
    <col min="1" max="1" width="5.85714285714286" customWidth="1"/>
    <col min="2" max="2" width="4.14285714285714" customWidth="1"/>
    <col min="3" max="3" width="13.5714285714286" customWidth="1"/>
    <col min="4" max="4" width="11.8571428571429" customWidth="1"/>
    <col min="5" max="5" width="51.5714285714286" customWidth="1"/>
    <col min="6" max="6" width="28" customWidth="1"/>
    <col min="7" max="7" width="30" customWidth="1"/>
    <col min="8" max="8" width="72.2857142857143" style="1" customWidth="1"/>
    <col min="9" max="9" width="5.85714285714286" customWidth="1"/>
    <col min="10" max="10" width="4.14285714285714" customWidth="1"/>
    <col min="11" max="11" width="13.5714285714286" customWidth="1"/>
    <col min="12" max="12" width="11.8571428571429" customWidth="1"/>
    <col min="13" max="13" width="51.5714285714286" customWidth="1"/>
    <col min="14" max="14" width="30.8571428571429" customWidth="1"/>
    <col min="15" max="15" width="29.2857142857143" customWidth="1"/>
    <col min="16" max="16" width="71.7142857142857" style="1" customWidth="1"/>
  </cols>
  <sheetData>
    <row r="1" ht="15.75" spans="1:16">
      <c r="A1" s="2"/>
      <c r="B1" s="3"/>
      <c r="C1" s="4"/>
      <c r="D1" s="5"/>
      <c r="E1" s="5"/>
      <c r="F1" s="5"/>
      <c r="G1" s="5"/>
      <c r="H1" s="6" t="s">
        <v>0</v>
      </c>
      <c r="I1" s="2"/>
      <c r="J1" s="3"/>
      <c r="K1" s="4"/>
      <c r="L1" s="5"/>
      <c r="M1" s="5"/>
      <c r="N1" s="5"/>
      <c r="O1" s="5"/>
      <c r="P1" s="6" t="s">
        <v>0</v>
      </c>
    </row>
    <row r="2" ht="15.75" spans="1:16">
      <c r="A2" s="2"/>
      <c r="B2" s="3"/>
      <c r="C2" s="4"/>
      <c r="D2" s="5"/>
      <c r="E2" s="5"/>
      <c r="F2" s="5"/>
      <c r="G2" s="5"/>
      <c r="H2" s="6" t="s">
        <v>1</v>
      </c>
      <c r="I2" s="2"/>
      <c r="J2" s="3"/>
      <c r="K2" s="4"/>
      <c r="L2" s="5"/>
      <c r="M2" s="5"/>
      <c r="N2" s="5"/>
      <c r="O2" s="5"/>
      <c r="P2" s="6" t="s">
        <v>1</v>
      </c>
    </row>
    <row r="3" ht="15.75" spans="1:16">
      <c r="A3" s="2"/>
      <c r="B3" s="3"/>
      <c r="C3" s="4"/>
      <c r="D3" s="5"/>
      <c r="E3" s="5"/>
      <c r="F3" s="5"/>
      <c r="G3" s="5"/>
      <c r="H3" s="6" t="s">
        <v>2</v>
      </c>
      <c r="I3" s="2"/>
      <c r="J3" s="3"/>
      <c r="K3" s="4"/>
      <c r="L3" s="5"/>
      <c r="M3" s="5"/>
      <c r="N3" s="5"/>
      <c r="O3" s="5"/>
      <c r="P3" s="6" t="s">
        <v>2</v>
      </c>
    </row>
    <row r="4" ht="15.75" spans="1:16">
      <c r="A4" s="2"/>
      <c r="B4" s="3"/>
      <c r="C4" s="4"/>
      <c r="D4" s="5"/>
      <c r="E4" s="5"/>
      <c r="F4" s="5"/>
      <c r="G4" s="5"/>
      <c r="H4" s="6" t="s">
        <v>3</v>
      </c>
      <c r="I4" s="2"/>
      <c r="J4" s="3"/>
      <c r="K4" s="4"/>
      <c r="L4" s="5"/>
      <c r="M4" s="5"/>
      <c r="N4" s="5"/>
      <c r="O4" s="5"/>
      <c r="P4" s="6" t="s">
        <v>3</v>
      </c>
    </row>
    <row r="5" ht="15.75" spans="1:16">
      <c r="A5" s="2"/>
      <c r="B5" s="7"/>
      <c r="C5" s="4"/>
      <c r="D5" s="5"/>
      <c r="E5" s="5"/>
      <c r="F5" s="5"/>
      <c r="G5" s="5"/>
      <c r="H5" s="5"/>
      <c r="I5" s="2"/>
      <c r="J5" s="7"/>
      <c r="K5" s="4"/>
      <c r="L5" s="5"/>
      <c r="M5" s="5"/>
      <c r="N5" s="5"/>
      <c r="O5" s="5"/>
      <c r="P5" s="5"/>
    </row>
    <row r="6" ht="15.75" spans="1:16">
      <c r="A6" s="2"/>
      <c r="B6" s="8" t="s">
        <v>4</v>
      </c>
      <c r="C6" s="8"/>
      <c r="D6" s="8"/>
      <c r="E6" s="8"/>
      <c r="F6" s="8"/>
      <c r="G6" s="8"/>
      <c r="H6" s="8"/>
      <c r="I6" s="2"/>
      <c r="J6" s="8" t="s">
        <v>4</v>
      </c>
      <c r="K6" s="8"/>
      <c r="L6" s="8"/>
      <c r="M6" s="8"/>
      <c r="N6" s="8"/>
      <c r="O6" s="8"/>
      <c r="P6" s="8"/>
    </row>
    <row r="7" ht="15.75" spans="1:16">
      <c r="A7" s="9"/>
      <c r="B7" s="10" t="str">
        <f>'[1]1нед'!$A$6</f>
        <v>Направление подготовки:</v>
      </c>
      <c r="C7" s="11"/>
      <c r="D7" s="12"/>
      <c r="E7" s="13" t="str">
        <f>'[1]1нед'!$D$6</f>
        <v>00</v>
      </c>
      <c r="F7" s="12"/>
      <c r="G7" s="12">
        <f>'[1]1нед'!$D$10</f>
        <v>0</v>
      </c>
      <c r="H7" s="14"/>
      <c r="I7" s="9"/>
      <c r="J7" s="10" t="str">
        <f>'[1]1нед'!$A$6</f>
        <v>Направление подготовки:</v>
      </c>
      <c r="K7" s="11"/>
      <c r="L7" s="12"/>
      <c r="M7" s="13" t="str">
        <f>E7</f>
        <v>00</v>
      </c>
      <c r="N7" s="12"/>
      <c r="O7" s="12">
        <f>G7</f>
        <v>0</v>
      </c>
      <c r="P7" s="14"/>
    </row>
    <row r="8" ht="15.75" spans="1:16">
      <c r="A8" s="2"/>
      <c r="B8" s="10" t="s">
        <v>5</v>
      </c>
      <c r="C8" s="10"/>
      <c r="D8" s="10"/>
      <c r="E8" s="10" t="s">
        <v>6</v>
      </c>
      <c r="F8" s="10"/>
      <c r="G8" s="10"/>
      <c r="H8" s="10"/>
      <c r="I8" s="2"/>
      <c r="J8" s="10" t="s">
        <v>5</v>
      </c>
      <c r="K8" s="10"/>
      <c r="L8" s="10"/>
      <c r="M8" s="10" t="str">
        <f t="shared" ref="M8:M9" si="0">E8</f>
        <v>очная</v>
      </c>
      <c r="N8" s="10"/>
      <c r="O8" s="10"/>
      <c r="P8" s="10"/>
    </row>
    <row r="9" ht="15.75" spans="1:16">
      <c r="A9" s="2"/>
      <c r="B9" s="10" t="s">
        <v>7</v>
      </c>
      <c r="C9" s="10"/>
      <c r="D9" s="10"/>
      <c r="E9" s="10">
        <v>1</v>
      </c>
      <c r="F9" s="10"/>
      <c r="G9" s="10"/>
      <c r="H9" s="15"/>
      <c r="I9" s="2"/>
      <c r="J9" s="10" t="s">
        <v>7</v>
      </c>
      <c r="K9" s="10"/>
      <c r="L9" s="10"/>
      <c r="M9" s="10">
        <f t="shared" si="0"/>
        <v>1</v>
      </c>
      <c r="N9" s="10"/>
      <c r="O9" s="10"/>
      <c r="P9" s="15"/>
    </row>
    <row r="10" ht="16.5" spans="1:16">
      <c r="A10" s="2"/>
      <c r="B10" s="16" t="s">
        <v>8</v>
      </c>
      <c r="C10" s="16"/>
      <c r="D10" s="16"/>
      <c r="E10" s="16">
        <v>1</v>
      </c>
      <c r="F10" s="16"/>
      <c r="G10" s="16"/>
      <c r="H10" s="17"/>
      <c r="I10" s="2"/>
      <c r="J10" s="18" t="s">
        <v>8</v>
      </c>
      <c r="K10" s="18"/>
      <c r="L10" s="18"/>
      <c r="M10" s="16">
        <f>E10+1</f>
        <v>2</v>
      </c>
      <c r="N10" s="16"/>
      <c r="O10" s="16"/>
      <c r="P10" s="17"/>
    </row>
    <row r="11" ht="46.5" customHeight="1" spans="1:16">
      <c r="A11" s="19" t="s">
        <v>9</v>
      </c>
      <c r="B11" s="20"/>
      <c r="C11" s="21" t="s">
        <v>10</v>
      </c>
      <c r="D11" s="22" t="s">
        <v>11</v>
      </c>
      <c r="E11" s="23" t="s">
        <v>12</v>
      </c>
      <c r="F11" s="24" t="s">
        <v>13</v>
      </c>
      <c r="G11" s="25"/>
      <c r="H11" s="26" t="s">
        <v>14</v>
      </c>
      <c r="I11" s="19" t="s">
        <v>9</v>
      </c>
      <c r="J11" s="20"/>
      <c r="K11" s="21" t="s">
        <v>10</v>
      </c>
      <c r="L11" s="22" t="s">
        <v>11</v>
      </c>
      <c r="M11" s="23" t="s">
        <v>12</v>
      </c>
      <c r="N11" s="24" t="s">
        <v>13</v>
      </c>
      <c r="O11" s="25"/>
      <c r="P11" s="26" t="s">
        <v>14</v>
      </c>
    </row>
    <row r="12" ht="32.25" customHeight="1" spans="1:16">
      <c r="A12" s="27">
        <v>46265</v>
      </c>
      <c r="B12" s="28" t="s">
        <v>15</v>
      </c>
      <c r="C12" s="29" t="s">
        <v>16</v>
      </c>
      <c r="D12" s="30">
        <f>'[1]1нед'!C12</f>
        <v>0</v>
      </c>
      <c r="E12" s="31">
        <f>'[1]1нед'!D12</f>
        <v>0</v>
      </c>
      <c r="F12" s="32">
        <f>'[1]1нед'!G12</f>
        <v>0</v>
      </c>
      <c r="G12" s="33" t="str">
        <f>'[1]1нед'!H12</f>
        <v/>
      </c>
      <c r="H12" s="34"/>
      <c r="I12" s="27">
        <v>46272</v>
      </c>
      <c r="J12" s="35" t="s">
        <v>15</v>
      </c>
      <c r="K12" s="29" t="s">
        <v>16</v>
      </c>
      <c r="L12" s="30">
        <f>'[1]2нед'!C12</f>
        <v>0</v>
      </c>
      <c r="M12" s="31">
        <f>'[1]2нед'!D12</f>
        <v>0</v>
      </c>
      <c r="N12" s="32">
        <f>'[1]2нед'!G12</f>
        <v>0</v>
      </c>
      <c r="O12" s="33" t="str">
        <f>'[1]2нед'!H12</f>
        <v/>
      </c>
      <c r="P12" s="34"/>
    </row>
    <row r="13" ht="31.5" spans="1:16">
      <c r="A13" s="36"/>
      <c r="B13" s="37"/>
      <c r="C13" s="29" t="s">
        <v>17</v>
      </c>
      <c r="D13" s="38">
        <f>'[1]1нед'!C13</f>
        <v>0</v>
      </c>
      <c r="E13" s="39">
        <f>'[1]1нед'!D13</f>
        <v>0</v>
      </c>
      <c r="F13" s="40">
        <f>'[1]1нед'!G13</f>
        <v>0</v>
      </c>
      <c r="G13" s="41" t="str">
        <f>'[1]1нед'!H13</f>
        <v/>
      </c>
      <c r="H13" s="42"/>
      <c r="I13" s="43"/>
      <c r="J13" s="44"/>
      <c r="K13" s="29" t="s">
        <v>17</v>
      </c>
      <c r="L13" s="38">
        <f>'[1]2нед'!C13</f>
        <v>0</v>
      </c>
      <c r="M13" s="39">
        <f>'[1]2нед'!D13</f>
        <v>0</v>
      </c>
      <c r="N13" s="40">
        <f>'[1]2нед'!G13</f>
        <v>0</v>
      </c>
      <c r="O13" s="41" t="str">
        <f>'[1]2нед'!H13</f>
        <v/>
      </c>
      <c r="P13" s="42"/>
    </row>
    <row r="14" ht="31.5" spans="1:16">
      <c r="A14" s="36"/>
      <c r="B14" s="37"/>
      <c r="C14" s="29" t="s">
        <v>18</v>
      </c>
      <c r="D14" s="38">
        <f>'[1]1нед'!C14</f>
        <v>0</v>
      </c>
      <c r="E14" s="39">
        <f>'[1]1нед'!D14</f>
        <v>0</v>
      </c>
      <c r="F14" s="40">
        <f>'[1]1нед'!G14</f>
        <v>0</v>
      </c>
      <c r="G14" s="41" t="str">
        <f>'[1]1нед'!H14</f>
        <v/>
      </c>
      <c r="H14" s="42"/>
      <c r="I14" s="43"/>
      <c r="J14" s="44"/>
      <c r="K14" s="29" t="s">
        <v>18</v>
      </c>
      <c r="L14" s="38">
        <f>'[1]2нед'!C14</f>
        <v>0</v>
      </c>
      <c r="M14" s="39">
        <f>'[1]2нед'!D14</f>
        <v>0</v>
      </c>
      <c r="N14" s="40">
        <f>'[1]2нед'!G14</f>
        <v>0</v>
      </c>
      <c r="O14" s="41" t="str">
        <f>'[1]2нед'!H14</f>
        <v/>
      </c>
      <c r="P14" s="42"/>
    </row>
    <row r="15" ht="31.5" spans="1:16">
      <c r="A15" s="36"/>
      <c r="B15" s="37"/>
      <c r="C15" s="29" t="s">
        <v>19</v>
      </c>
      <c r="D15" s="38">
        <f>'[1]1нед'!C15</f>
        <v>0</v>
      </c>
      <c r="E15" s="39">
        <f>'[1]1нед'!D15</f>
        <v>0</v>
      </c>
      <c r="F15" s="40">
        <f>'[1]1нед'!G15</f>
        <v>0</v>
      </c>
      <c r="G15" s="41" t="str">
        <f>'[1]1нед'!H15</f>
        <v/>
      </c>
      <c r="H15" s="42"/>
      <c r="I15" s="43"/>
      <c r="J15" s="44"/>
      <c r="K15" s="29" t="s">
        <v>19</v>
      </c>
      <c r="L15" s="38">
        <f>'[1]2нед'!C15</f>
        <v>0</v>
      </c>
      <c r="M15" s="39">
        <f>'[1]2нед'!D15</f>
        <v>0</v>
      </c>
      <c r="N15" s="40">
        <f>'[1]2нед'!G15</f>
        <v>0</v>
      </c>
      <c r="O15" s="41" t="str">
        <f>'[1]2нед'!H15</f>
        <v/>
      </c>
      <c r="P15" s="42"/>
    </row>
    <row r="16" ht="31.5" spans="1:16">
      <c r="A16" s="36"/>
      <c r="B16" s="37"/>
      <c r="C16" s="29" t="s">
        <v>20</v>
      </c>
      <c r="D16" s="38">
        <f>'[1]1нед'!C16</f>
        <v>0</v>
      </c>
      <c r="E16" s="39">
        <f>'[1]1нед'!D16</f>
        <v>0</v>
      </c>
      <c r="F16" s="40">
        <f>'[1]1нед'!G16</f>
        <v>0</v>
      </c>
      <c r="G16" s="41" t="str">
        <f>'[1]1нед'!H16</f>
        <v/>
      </c>
      <c r="H16" s="42"/>
      <c r="I16" s="43"/>
      <c r="J16" s="44"/>
      <c r="K16" s="29" t="s">
        <v>20</v>
      </c>
      <c r="L16" s="38">
        <f>'[1]2нед'!C16</f>
        <v>0</v>
      </c>
      <c r="M16" s="39">
        <f>'[1]2нед'!D16</f>
        <v>0</v>
      </c>
      <c r="N16" s="40">
        <f>'[1]2нед'!G16</f>
        <v>0</v>
      </c>
      <c r="O16" s="41" t="str">
        <f>'[1]2нед'!H16</f>
        <v/>
      </c>
      <c r="P16" s="42"/>
    </row>
    <row r="17" ht="31.5" spans="1:16">
      <c r="A17" s="36"/>
      <c r="B17" s="37"/>
      <c r="C17" s="29" t="s">
        <v>21</v>
      </c>
      <c r="D17" s="38">
        <f>'[1]1нед'!C17</f>
        <v>0</v>
      </c>
      <c r="E17" s="39">
        <f>'[1]1нед'!D17</f>
        <v>0</v>
      </c>
      <c r="F17" s="40">
        <f>'[1]1нед'!G17</f>
        <v>0</v>
      </c>
      <c r="G17" s="41" t="str">
        <f>'[1]1нед'!H17</f>
        <v/>
      </c>
      <c r="H17" s="56"/>
      <c r="I17" s="43"/>
      <c r="J17" s="44"/>
      <c r="K17" s="29" t="s">
        <v>21</v>
      </c>
      <c r="L17" s="38">
        <f>'[1]2нед'!C17</f>
        <v>0</v>
      </c>
      <c r="M17" s="39">
        <f>'[1]2нед'!D17</f>
        <v>0</v>
      </c>
      <c r="N17" s="40">
        <f>'[1]2нед'!G17</f>
        <v>0</v>
      </c>
      <c r="O17" s="41" t="str">
        <f>'[1]2нед'!H17</f>
        <v/>
      </c>
      <c r="P17" s="56"/>
    </row>
    <row r="18" ht="32.25" spans="1:16">
      <c r="A18" s="36"/>
      <c r="B18" s="37"/>
      <c r="C18" s="29" t="s">
        <v>22</v>
      </c>
      <c r="D18" s="38">
        <f>'[1]1нед'!C18</f>
        <v>0</v>
      </c>
      <c r="E18" s="39">
        <f>'[1]1нед'!D18</f>
        <v>0</v>
      </c>
      <c r="F18" s="40">
        <f>'[1]1нед'!G18</f>
        <v>0</v>
      </c>
      <c r="G18" s="41" t="str">
        <f>'[1]1нед'!H18</f>
        <v/>
      </c>
      <c r="H18" s="56"/>
      <c r="I18" s="43"/>
      <c r="J18" s="44"/>
      <c r="K18" s="29" t="s">
        <v>22</v>
      </c>
      <c r="L18" s="38">
        <f>'[1]2нед'!C18</f>
        <v>0</v>
      </c>
      <c r="M18" s="39">
        <f>'[1]2нед'!D18</f>
        <v>0</v>
      </c>
      <c r="N18" s="40">
        <f>'[1]2нед'!G18</f>
        <v>0</v>
      </c>
      <c r="O18" s="41" t="str">
        <f>'[1]2нед'!H18</f>
        <v/>
      </c>
      <c r="P18" s="56"/>
    </row>
    <row r="19" ht="18.4" hidden="1" customHeight="1" spans="1:16">
      <c r="A19" s="45"/>
      <c r="B19" s="46"/>
      <c r="C19" s="47"/>
      <c r="D19" s="48">
        <f>'[1]1нед'!C19</f>
        <v>0</v>
      </c>
      <c r="E19" s="49">
        <f>'[1]1нед'!D19</f>
        <v>0</v>
      </c>
      <c r="F19" s="50">
        <f>'[1]1нед'!G19</f>
        <v>0</v>
      </c>
      <c r="G19" s="51" t="str">
        <f>'[1]1нед'!H19</f>
        <v/>
      </c>
      <c r="H19" s="52"/>
      <c r="I19" s="53"/>
      <c r="J19" s="54"/>
      <c r="K19" s="47"/>
      <c r="L19" s="48">
        <f>'[1]2нед'!C19</f>
        <v>0</v>
      </c>
      <c r="M19" s="49">
        <f>'[1]2нед'!D19</f>
        <v>0</v>
      </c>
      <c r="N19" s="50">
        <f>'[1]2нед'!G19</f>
        <v>0</v>
      </c>
      <c r="O19" s="51" t="str">
        <f>'[1]2нед'!H19</f>
        <v/>
      </c>
      <c r="P19" s="52"/>
    </row>
    <row r="20" ht="32.25" customHeight="1" spans="1:16">
      <c r="A20" s="27">
        <v>46266</v>
      </c>
      <c r="B20" s="28" t="s">
        <v>23</v>
      </c>
      <c r="C20" s="55" t="s">
        <v>16</v>
      </c>
      <c r="D20" s="30">
        <f>'[1]1нед'!C20</f>
        <v>0</v>
      </c>
      <c r="E20" s="31">
        <f>'[1]1нед'!D20</f>
        <v>0</v>
      </c>
      <c r="F20" s="32">
        <f>'[1]1нед'!G20</f>
        <v>0</v>
      </c>
      <c r="G20" s="33" t="str">
        <f>'[1]1нед'!H20</f>
        <v/>
      </c>
      <c r="H20" s="34"/>
      <c r="I20" s="27">
        <v>46273</v>
      </c>
      <c r="J20" s="35" t="s">
        <v>23</v>
      </c>
      <c r="K20" s="55" t="s">
        <v>16</v>
      </c>
      <c r="L20" s="30">
        <f>'[1]2нед'!C20</f>
        <v>0</v>
      </c>
      <c r="M20" s="31">
        <f>'[1]2нед'!D20</f>
        <v>0</v>
      </c>
      <c r="N20" s="32">
        <f>'[1]2нед'!G20</f>
        <v>0</v>
      </c>
      <c r="O20" s="33" t="str">
        <f>'[1]2нед'!H20</f>
        <v/>
      </c>
      <c r="P20" s="34"/>
    </row>
    <row r="21" ht="31.5" spans="1:16">
      <c r="A21" s="36"/>
      <c r="B21" s="37"/>
      <c r="C21" s="29" t="s">
        <v>17</v>
      </c>
      <c r="D21" s="38">
        <f>'[1]1нед'!C21</f>
        <v>0</v>
      </c>
      <c r="E21" s="39">
        <f>'[1]1нед'!D21</f>
        <v>0</v>
      </c>
      <c r="F21" s="40">
        <f>'[1]1нед'!G21</f>
        <v>0</v>
      </c>
      <c r="G21" s="41" t="str">
        <f>'[1]1нед'!H21</f>
        <v/>
      </c>
      <c r="H21" s="42"/>
      <c r="I21" s="43"/>
      <c r="J21" s="44"/>
      <c r="K21" s="29" t="s">
        <v>17</v>
      </c>
      <c r="L21" s="38">
        <f>'[1]2нед'!C21</f>
        <v>0</v>
      </c>
      <c r="M21" s="39">
        <f>'[1]2нед'!D21</f>
        <v>0</v>
      </c>
      <c r="N21" s="40">
        <f>'[1]2нед'!G21</f>
        <v>0</v>
      </c>
      <c r="O21" s="41" t="str">
        <f>'[1]2нед'!H21</f>
        <v/>
      </c>
      <c r="P21" s="42"/>
    </row>
    <row r="22" ht="31.5" spans="1:16">
      <c r="A22" s="36"/>
      <c r="B22" s="37"/>
      <c r="C22" s="29" t="s">
        <v>18</v>
      </c>
      <c r="D22" s="38">
        <f>'[1]1нед'!C22</f>
        <v>0</v>
      </c>
      <c r="E22" s="39">
        <f>'[1]1нед'!D22</f>
        <v>0</v>
      </c>
      <c r="F22" s="40">
        <f>'[1]1нед'!G22</f>
        <v>0</v>
      </c>
      <c r="G22" s="41" t="str">
        <f>'[1]1нед'!H22</f>
        <v/>
      </c>
      <c r="H22" s="42"/>
      <c r="I22" s="43"/>
      <c r="J22" s="44"/>
      <c r="K22" s="29" t="s">
        <v>18</v>
      </c>
      <c r="L22" s="38">
        <f>'[1]2нед'!C22</f>
        <v>0</v>
      </c>
      <c r="M22" s="39">
        <f>'[1]2нед'!D22</f>
        <v>0</v>
      </c>
      <c r="N22" s="40">
        <f>'[1]2нед'!G22</f>
        <v>0</v>
      </c>
      <c r="O22" s="41" t="str">
        <f>'[1]2нед'!H22</f>
        <v/>
      </c>
      <c r="P22" s="42"/>
    </row>
    <row r="23" ht="31.5" spans="1:16">
      <c r="A23" s="36"/>
      <c r="B23" s="37"/>
      <c r="C23" s="29" t="s">
        <v>19</v>
      </c>
      <c r="D23" s="38">
        <f>'[1]1нед'!C23</f>
        <v>0</v>
      </c>
      <c r="E23" s="39">
        <f>'[1]1нед'!D23</f>
        <v>0</v>
      </c>
      <c r="F23" s="40">
        <f>'[1]1нед'!G23</f>
        <v>0</v>
      </c>
      <c r="G23" s="41" t="str">
        <f>'[1]1нед'!H23</f>
        <v/>
      </c>
      <c r="H23" s="42"/>
      <c r="I23" s="43"/>
      <c r="J23" s="44"/>
      <c r="K23" s="29" t="s">
        <v>19</v>
      </c>
      <c r="L23" s="38">
        <f>'[1]2нед'!C23</f>
        <v>0</v>
      </c>
      <c r="M23" s="39">
        <f>'[1]2нед'!D23</f>
        <v>0</v>
      </c>
      <c r="N23" s="40">
        <f>'[1]2нед'!G23</f>
        <v>0</v>
      </c>
      <c r="O23" s="41" t="str">
        <f>'[1]2нед'!H23</f>
        <v/>
      </c>
      <c r="P23" s="42"/>
    </row>
    <row r="24" ht="31.5" spans="1:16">
      <c r="A24" s="36"/>
      <c r="B24" s="37"/>
      <c r="C24" s="29" t="s">
        <v>20</v>
      </c>
      <c r="D24" s="38">
        <f>'[1]1нед'!C24</f>
        <v>0</v>
      </c>
      <c r="E24" s="39">
        <f>'[1]1нед'!D24</f>
        <v>0</v>
      </c>
      <c r="F24" s="40">
        <f>'[1]1нед'!G24</f>
        <v>0</v>
      </c>
      <c r="G24" s="41" t="str">
        <f>'[1]1нед'!H24</f>
        <v/>
      </c>
      <c r="H24" s="42"/>
      <c r="I24" s="43"/>
      <c r="J24" s="44"/>
      <c r="K24" s="29" t="s">
        <v>20</v>
      </c>
      <c r="L24" s="38">
        <f>'[1]2нед'!C24</f>
        <v>0</v>
      </c>
      <c r="M24" s="39">
        <f>'[1]2нед'!D24</f>
        <v>0</v>
      </c>
      <c r="N24" s="40">
        <f>'[1]2нед'!G24</f>
        <v>0</v>
      </c>
      <c r="O24" s="41" t="str">
        <f>'[1]2нед'!H24</f>
        <v/>
      </c>
      <c r="P24" s="42"/>
    </row>
    <row r="25" ht="31.5" spans="1:16">
      <c r="A25" s="36"/>
      <c r="B25" s="37"/>
      <c r="C25" s="29" t="s">
        <v>21</v>
      </c>
      <c r="D25" s="38">
        <f>'[1]1нед'!C25</f>
        <v>0</v>
      </c>
      <c r="E25" s="39">
        <f>'[1]1нед'!D25</f>
        <v>0</v>
      </c>
      <c r="F25" s="40">
        <f>'[1]1нед'!G25</f>
        <v>0</v>
      </c>
      <c r="G25" s="41" t="str">
        <f>'[1]1нед'!H25</f>
        <v/>
      </c>
      <c r="H25" s="42"/>
      <c r="I25" s="43"/>
      <c r="J25" s="44"/>
      <c r="K25" s="29" t="s">
        <v>21</v>
      </c>
      <c r="L25" s="38">
        <f>'[1]2нед'!C25</f>
        <v>0</v>
      </c>
      <c r="M25" s="39">
        <f>'[1]2нед'!D25</f>
        <v>0</v>
      </c>
      <c r="N25" s="40">
        <f>'[1]2нед'!G25</f>
        <v>0</v>
      </c>
      <c r="O25" s="41" t="str">
        <f>'[1]2нед'!H25</f>
        <v/>
      </c>
      <c r="P25" s="42"/>
    </row>
    <row r="26" ht="32.25" spans="1:16">
      <c r="A26" s="36"/>
      <c r="B26" s="37"/>
      <c r="C26" s="29" t="s">
        <v>22</v>
      </c>
      <c r="D26" s="38">
        <f>'[1]1нед'!C26</f>
        <v>0</v>
      </c>
      <c r="E26" s="39">
        <f>'[1]1нед'!D26</f>
        <v>0</v>
      </c>
      <c r="F26" s="40">
        <f>'[1]1нед'!G26</f>
        <v>0</v>
      </c>
      <c r="G26" s="41" t="str">
        <f>'[1]1нед'!H26</f>
        <v/>
      </c>
      <c r="H26" s="42"/>
      <c r="I26" s="43"/>
      <c r="J26" s="44"/>
      <c r="K26" s="29" t="s">
        <v>22</v>
      </c>
      <c r="L26" s="38">
        <f>'[1]2нед'!C26</f>
        <v>0</v>
      </c>
      <c r="M26" s="39">
        <f>'[1]2нед'!D26</f>
        <v>0</v>
      </c>
      <c r="N26" s="40">
        <f>'[1]2нед'!G26</f>
        <v>0</v>
      </c>
      <c r="O26" s="41" t="str">
        <f>'[1]2нед'!H26</f>
        <v/>
      </c>
      <c r="P26" s="42"/>
    </row>
    <row r="27" ht="18.4" hidden="1" customHeight="1" spans="1:16">
      <c r="A27" s="45"/>
      <c r="B27" s="46"/>
      <c r="C27" s="47"/>
      <c r="D27" s="48">
        <f>'[1]1нед'!C27</f>
        <v>0</v>
      </c>
      <c r="E27" s="49">
        <f>'[1]1нед'!D27</f>
        <v>0</v>
      </c>
      <c r="F27" s="50">
        <f>'[1]1нед'!G27</f>
        <v>0</v>
      </c>
      <c r="G27" s="51" t="str">
        <f>'[1]1нед'!H27</f>
        <v/>
      </c>
      <c r="H27" s="52"/>
      <c r="I27" s="53"/>
      <c r="J27" s="54"/>
      <c r="K27" s="47"/>
      <c r="L27" s="48">
        <f>'[1]2нед'!C27</f>
        <v>0</v>
      </c>
      <c r="M27" s="49">
        <f>'[1]2нед'!D27</f>
        <v>0</v>
      </c>
      <c r="N27" s="50">
        <f>'[1]2нед'!G27</f>
        <v>0</v>
      </c>
      <c r="O27" s="51" t="str">
        <f>'[1]2нед'!H27</f>
        <v/>
      </c>
      <c r="P27" s="52"/>
    </row>
    <row r="28" ht="48" customHeight="1" spans="1:16">
      <c r="A28" s="27">
        <v>46267</v>
      </c>
      <c r="B28" s="57" t="s">
        <v>24</v>
      </c>
      <c r="C28" s="55" t="s">
        <v>16</v>
      </c>
      <c r="D28" s="30">
        <f>'[1]1нед'!C28</f>
        <v>0</v>
      </c>
      <c r="E28" s="31">
        <f>'[1]1нед'!D28</f>
        <v>0</v>
      </c>
      <c r="F28" s="32">
        <f>'[1]1нед'!G28</f>
        <v>0</v>
      </c>
      <c r="G28" s="33" t="str">
        <f>'[1]1нед'!H28</f>
        <v/>
      </c>
      <c r="H28" s="34"/>
      <c r="I28" s="27">
        <v>46274</v>
      </c>
      <c r="J28" s="58" t="s">
        <v>24</v>
      </c>
      <c r="K28" s="55" t="s">
        <v>16</v>
      </c>
      <c r="L28" s="30">
        <f>'[1]2нед'!C28</f>
        <v>0</v>
      </c>
      <c r="M28" s="31">
        <f>'[1]2нед'!D28</f>
        <v>0</v>
      </c>
      <c r="N28" s="32">
        <f>'[1]2нед'!G28</f>
        <v>0</v>
      </c>
      <c r="O28" s="33" t="str">
        <f>'[1]2нед'!H28</f>
        <v/>
      </c>
      <c r="P28" s="34"/>
    </row>
    <row r="29" ht="31.5" spans="1:16">
      <c r="A29" s="36"/>
      <c r="B29" s="59"/>
      <c r="C29" s="29" t="s">
        <v>17</v>
      </c>
      <c r="D29" s="38">
        <f>'[1]1нед'!C29</f>
        <v>0</v>
      </c>
      <c r="E29" s="39">
        <f>'[1]1нед'!D29</f>
        <v>0</v>
      </c>
      <c r="F29" s="40">
        <f>'[1]1нед'!G29</f>
        <v>0</v>
      </c>
      <c r="G29" s="41" t="str">
        <f>'[1]1нед'!H29</f>
        <v/>
      </c>
      <c r="H29" s="42"/>
      <c r="I29" s="43"/>
      <c r="J29" s="60"/>
      <c r="K29" s="29" t="s">
        <v>17</v>
      </c>
      <c r="L29" s="38">
        <f>'[1]2нед'!C29</f>
        <v>0</v>
      </c>
      <c r="M29" s="39">
        <f>'[1]2нед'!D29</f>
        <v>0</v>
      </c>
      <c r="N29" s="40">
        <f>'[1]2нед'!G29</f>
        <v>0</v>
      </c>
      <c r="O29" s="41" t="str">
        <f>'[1]2нед'!H29</f>
        <v/>
      </c>
      <c r="P29" s="42"/>
    </row>
    <row r="30" ht="31.5" spans="1:16">
      <c r="A30" s="36"/>
      <c r="B30" s="59"/>
      <c r="C30" s="29" t="s">
        <v>18</v>
      </c>
      <c r="D30" s="38">
        <f>'[1]1нед'!C30</f>
        <v>0</v>
      </c>
      <c r="E30" s="39">
        <f>'[1]1нед'!D30</f>
        <v>0</v>
      </c>
      <c r="F30" s="40">
        <f>'[1]1нед'!G30</f>
        <v>0</v>
      </c>
      <c r="G30" s="41" t="str">
        <f>'[1]1нед'!H30</f>
        <v/>
      </c>
      <c r="H30" s="42"/>
      <c r="I30" s="43"/>
      <c r="J30" s="60"/>
      <c r="K30" s="29" t="s">
        <v>18</v>
      </c>
      <c r="L30" s="38">
        <f>'[1]2нед'!C30</f>
        <v>0</v>
      </c>
      <c r="M30" s="39">
        <f>'[1]2нед'!D30</f>
        <v>0</v>
      </c>
      <c r="N30" s="40">
        <f>'[1]2нед'!G30</f>
        <v>0</v>
      </c>
      <c r="O30" s="41" t="str">
        <f>'[1]2нед'!H30</f>
        <v/>
      </c>
      <c r="P30" s="42"/>
    </row>
    <row r="31" ht="31.5" spans="1:16">
      <c r="A31" s="36"/>
      <c r="B31" s="59"/>
      <c r="C31" s="29" t="s">
        <v>19</v>
      </c>
      <c r="D31" s="38">
        <f>'[1]1нед'!C31</f>
        <v>0</v>
      </c>
      <c r="E31" s="39">
        <f>'[1]1нед'!D31</f>
        <v>0</v>
      </c>
      <c r="F31" s="40">
        <f>'[1]1нед'!G31</f>
        <v>0</v>
      </c>
      <c r="G31" s="41" t="str">
        <f>'[1]1нед'!H31</f>
        <v/>
      </c>
      <c r="H31" s="42"/>
      <c r="I31" s="43"/>
      <c r="J31" s="60"/>
      <c r="K31" s="29" t="s">
        <v>19</v>
      </c>
      <c r="L31" s="38">
        <f>'[1]2нед'!C31</f>
        <v>0</v>
      </c>
      <c r="M31" s="39">
        <f>'[1]2нед'!D31</f>
        <v>0</v>
      </c>
      <c r="N31" s="40">
        <f>'[1]2нед'!G31</f>
        <v>0</v>
      </c>
      <c r="O31" s="41" t="str">
        <f>'[1]2нед'!H31</f>
        <v/>
      </c>
      <c r="P31" s="42"/>
    </row>
    <row r="32" ht="31.5" spans="1:16">
      <c r="A32" s="36"/>
      <c r="B32" s="59"/>
      <c r="C32" s="29" t="s">
        <v>20</v>
      </c>
      <c r="D32" s="38">
        <f>'[1]1нед'!C32</f>
        <v>0</v>
      </c>
      <c r="E32" s="39">
        <f>'[1]1нед'!D32</f>
        <v>0</v>
      </c>
      <c r="F32" s="40">
        <f>'[1]1нед'!G32</f>
        <v>0</v>
      </c>
      <c r="G32" s="41" t="str">
        <f>'[1]1нед'!H32</f>
        <v/>
      </c>
      <c r="H32" s="42"/>
      <c r="I32" s="43"/>
      <c r="J32" s="60"/>
      <c r="K32" s="29" t="s">
        <v>20</v>
      </c>
      <c r="L32" s="38">
        <f>'[1]2нед'!C32</f>
        <v>0</v>
      </c>
      <c r="M32" s="39">
        <f>'[1]2нед'!D32</f>
        <v>0</v>
      </c>
      <c r="N32" s="40">
        <f>'[1]2нед'!G32</f>
        <v>0</v>
      </c>
      <c r="O32" s="41" t="str">
        <f>'[1]2нед'!H32</f>
        <v/>
      </c>
      <c r="P32" s="42"/>
    </row>
    <row r="33" ht="31.5" spans="1:16">
      <c r="A33" s="36"/>
      <c r="B33" s="59"/>
      <c r="C33" s="29" t="s">
        <v>21</v>
      </c>
      <c r="D33" s="38">
        <f>'[1]1нед'!C33</f>
        <v>0</v>
      </c>
      <c r="E33" s="39">
        <f>'[1]1нед'!D33</f>
        <v>0</v>
      </c>
      <c r="F33" s="40">
        <f>'[1]1нед'!G33</f>
        <v>0</v>
      </c>
      <c r="G33" s="41" t="str">
        <f>'[1]1нед'!H33</f>
        <v/>
      </c>
      <c r="H33" s="56"/>
      <c r="I33" s="43"/>
      <c r="J33" s="60"/>
      <c r="K33" s="29" t="s">
        <v>21</v>
      </c>
      <c r="L33" s="38">
        <f>'[1]2нед'!C33</f>
        <v>0</v>
      </c>
      <c r="M33" s="39">
        <f>'[1]2нед'!D33</f>
        <v>0</v>
      </c>
      <c r="N33" s="40">
        <f>'[1]2нед'!G33</f>
        <v>0</v>
      </c>
      <c r="O33" s="41" t="str">
        <f>'[1]2нед'!H33</f>
        <v/>
      </c>
      <c r="P33" s="56"/>
    </row>
    <row r="34" ht="32.25" spans="1:16">
      <c r="A34" s="36"/>
      <c r="B34" s="59"/>
      <c r="C34" s="29" t="s">
        <v>22</v>
      </c>
      <c r="D34" s="38">
        <f>'[1]1нед'!C34</f>
        <v>0</v>
      </c>
      <c r="E34" s="39">
        <f>'[1]1нед'!D34</f>
        <v>0</v>
      </c>
      <c r="F34" s="40">
        <f>'[1]1нед'!G34</f>
        <v>0</v>
      </c>
      <c r="G34" s="41" t="str">
        <f>'[1]1нед'!H34</f>
        <v/>
      </c>
      <c r="H34" s="56"/>
      <c r="I34" s="43"/>
      <c r="J34" s="60"/>
      <c r="K34" s="29" t="s">
        <v>22</v>
      </c>
      <c r="L34" s="38">
        <f>'[1]2нед'!C34</f>
        <v>0</v>
      </c>
      <c r="M34" s="39">
        <f>'[1]2нед'!D34</f>
        <v>0</v>
      </c>
      <c r="N34" s="40">
        <f>'[1]2нед'!G34</f>
        <v>0</v>
      </c>
      <c r="O34" s="41" t="str">
        <f>'[1]2нед'!H34</f>
        <v/>
      </c>
      <c r="P34" s="56"/>
    </row>
    <row r="35" ht="18.4" hidden="1" customHeight="1" spans="1:16">
      <c r="A35" s="45"/>
      <c r="B35" s="61"/>
      <c r="C35" s="47"/>
      <c r="D35" s="48">
        <f>'[1]1нед'!C35</f>
        <v>0</v>
      </c>
      <c r="E35" s="49">
        <f>'[1]1нед'!D35</f>
        <v>0</v>
      </c>
      <c r="F35" s="50">
        <f>'[1]1нед'!G35</f>
        <v>0</v>
      </c>
      <c r="G35" s="51" t="str">
        <f>'[1]1нед'!H35</f>
        <v/>
      </c>
      <c r="H35" s="52"/>
      <c r="I35" s="53"/>
      <c r="J35" s="62"/>
      <c r="K35" s="47"/>
      <c r="L35" s="48">
        <f>'[1]2нед'!C35</f>
        <v>0</v>
      </c>
      <c r="M35" s="49">
        <f>'[1]2нед'!D35</f>
        <v>0</v>
      </c>
      <c r="N35" s="50">
        <f>'[1]2нед'!G35</f>
        <v>0</v>
      </c>
      <c r="O35" s="51" t="str">
        <f>'[1]2нед'!H35</f>
        <v/>
      </c>
      <c r="P35" s="52"/>
    </row>
    <row r="36" ht="48" customHeight="1" spans="1:16">
      <c r="A36" s="27">
        <v>46268</v>
      </c>
      <c r="B36" s="28" t="s">
        <v>25</v>
      </c>
      <c r="C36" s="55" t="s">
        <v>16</v>
      </c>
      <c r="D36" s="30">
        <f>'[1]1нед'!C36</f>
        <v>0</v>
      </c>
      <c r="E36" s="31">
        <f>'[1]1нед'!D36</f>
        <v>0</v>
      </c>
      <c r="F36" s="32">
        <f>'[1]1нед'!G36</f>
        <v>0</v>
      </c>
      <c r="G36" s="33" t="str">
        <f>'[1]1нед'!H36</f>
        <v/>
      </c>
      <c r="H36" s="34"/>
      <c r="I36" s="27">
        <v>46275</v>
      </c>
      <c r="J36" s="35" t="s">
        <v>25</v>
      </c>
      <c r="K36" s="55" t="s">
        <v>16</v>
      </c>
      <c r="L36" s="30">
        <f>'[1]2нед'!C36</f>
        <v>0</v>
      </c>
      <c r="M36" s="31">
        <f>'[1]2нед'!D36</f>
        <v>0</v>
      </c>
      <c r="N36" s="32">
        <f>'[1]2нед'!G36</f>
        <v>0</v>
      </c>
      <c r="O36" s="33" t="str">
        <f>'[1]2нед'!H36</f>
        <v/>
      </c>
      <c r="P36" s="34"/>
    </row>
    <row r="37" ht="31.5" spans="1:16">
      <c r="A37" s="36"/>
      <c r="B37" s="37"/>
      <c r="C37" s="29" t="s">
        <v>17</v>
      </c>
      <c r="D37" s="38">
        <f>'[1]1нед'!C37</f>
        <v>0</v>
      </c>
      <c r="E37" s="39">
        <f>'[1]1нед'!D37</f>
        <v>0</v>
      </c>
      <c r="F37" s="40">
        <f>'[1]1нед'!G37</f>
        <v>0</v>
      </c>
      <c r="G37" s="41" t="str">
        <f>'[1]1нед'!H37</f>
        <v/>
      </c>
      <c r="H37" s="42"/>
      <c r="I37" s="43"/>
      <c r="J37" s="44"/>
      <c r="K37" s="29" t="s">
        <v>17</v>
      </c>
      <c r="L37" s="38">
        <f>'[1]2нед'!C37</f>
        <v>0</v>
      </c>
      <c r="M37" s="39">
        <f>'[1]2нед'!D37</f>
        <v>0</v>
      </c>
      <c r="N37" s="40">
        <f>'[1]2нед'!G37</f>
        <v>0</v>
      </c>
      <c r="O37" s="41" t="str">
        <f>'[1]2нед'!H37</f>
        <v/>
      </c>
      <c r="P37" s="42"/>
    </row>
    <row r="38" ht="31.5" spans="1:16">
      <c r="A38" s="36"/>
      <c r="B38" s="37"/>
      <c r="C38" s="29" t="s">
        <v>18</v>
      </c>
      <c r="D38" s="38">
        <f>'[1]1нед'!C38</f>
        <v>0</v>
      </c>
      <c r="E38" s="39">
        <f>'[1]1нед'!D38</f>
        <v>0</v>
      </c>
      <c r="F38" s="40">
        <f>'[1]1нед'!G38</f>
        <v>0</v>
      </c>
      <c r="G38" s="41" t="str">
        <f>'[1]1нед'!H38</f>
        <v/>
      </c>
      <c r="H38" s="42"/>
      <c r="I38" s="43"/>
      <c r="J38" s="44"/>
      <c r="K38" s="29" t="s">
        <v>18</v>
      </c>
      <c r="L38" s="38">
        <f>'[1]2нед'!C38</f>
        <v>0</v>
      </c>
      <c r="M38" s="39">
        <f>'[1]2нед'!D38</f>
        <v>0</v>
      </c>
      <c r="N38" s="40">
        <f>'[1]2нед'!G38</f>
        <v>0</v>
      </c>
      <c r="O38" s="41" t="str">
        <f>'[1]2нед'!H38</f>
        <v/>
      </c>
      <c r="P38" s="42"/>
    </row>
    <row r="39" ht="31.5" spans="1:16">
      <c r="A39" s="36"/>
      <c r="B39" s="37"/>
      <c r="C39" s="29" t="s">
        <v>19</v>
      </c>
      <c r="D39" s="38">
        <f>'[1]1нед'!C39</f>
        <v>0</v>
      </c>
      <c r="E39" s="39">
        <f>'[1]1нед'!D39</f>
        <v>0</v>
      </c>
      <c r="F39" s="40">
        <f>'[1]1нед'!G39</f>
        <v>0</v>
      </c>
      <c r="G39" s="41" t="str">
        <f>'[1]1нед'!H39</f>
        <v/>
      </c>
      <c r="H39" s="42"/>
      <c r="I39" s="43"/>
      <c r="J39" s="44"/>
      <c r="K39" s="29" t="s">
        <v>19</v>
      </c>
      <c r="L39" s="38">
        <f>'[1]2нед'!C39</f>
        <v>0</v>
      </c>
      <c r="M39" s="39">
        <f>'[1]2нед'!D39</f>
        <v>0</v>
      </c>
      <c r="N39" s="40">
        <f>'[1]2нед'!G39</f>
        <v>0</v>
      </c>
      <c r="O39" s="41" t="str">
        <f>'[1]2нед'!H39</f>
        <v/>
      </c>
      <c r="P39" s="42"/>
    </row>
    <row r="40" ht="31.5" spans="1:16">
      <c r="A40" s="36"/>
      <c r="B40" s="37"/>
      <c r="C40" s="29" t="s">
        <v>20</v>
      </c>
      <c r="D40" s="38">
        <f>'[1]1нед'!C40</f>
        <v>0</v>
      </c>
      <c r="E40" s="39">
        <f>'[1]1нед'!D40</f>
        <v>0</v>
      </c>
      <c r="F40" s="40">
        <f>'[1]1нед'!G40</f>
        <v>0</v>
      </c>
      <c r="G40" s="41" t="str">
        <f>'[1]1нед'!H40</f>
        <v/>
      </c>
      <c r="H40" s="42"/>
      <c r="I40" s="43"/>
      <c r="J40" s="44"/>
      <c r="K40" s="29" t="s">
        <v>20</v>
      </c>
      <c r="L40" s="38">
        <f>'[1]2нед'!C40</f>
        <v>0</v>
      </c>
      <c r="M40" s="39">
        <f>'[1]2нед'!D40</f>
        <v>0</v>
      </c>
      <c r="N40" s="40">
        <f>'[1]2нед'!G40</f>
        <v>0</v>
      </c>
      <c r="O40" s="41" t="str">
        <f>'[1]2нед'!H40</f>
        <v/>
      </c>
      <c r="P40" s="42"/>
    </row>
    <row r="41" ht="31.5" spans="1:16">
      <c r="A41" s="36"/>
      <c r="B41" s="37"/>
      <c r="C41" s="29" t="s">
        <v>21</v>
      </c>
      <c r="D41" s="38">
        <f>'[1]1нед'!C41</f>
        <v>0</v>
      </c>
      <c r="E41" s="39">
        <f>'[1]1нед'!D41</f>
        <v>0</v>
      </c>
      <c r="F41" s="40">
        <f>'[1]1нед'!G41</f>
        <v>0</v>
      </c>
      <c r="G41" s="41" t="str">
        <f>'[1]1нед'!H41</f>
        <v/>
      </c>
      <c r="H41" s="56"/>
      <c r="I41" s="43"/>
      <c r="J41" s="44"/>
      <c r="K41" s="29" t="s">
        <v>21</v>
      </c>
      <c r="L41" s="38">
        <f>'[1]2нед'!C41</f>
        <v>0</v>
      </c>
      <c r="M41" s="39">
        <f>'[1]2нед'!D41</f>
        <v>0</v>
      </c>
      <c r="N41" s="40">
        <f>'[1]2нед'!G41</f>
        <v>0</v>
      </c>
      <c r="O41" s="41" t="str">
        <f>'[1]2нед'!H41</f>
        <v/>
      </c>
      <c r="P41" s="56"/>
    </row>
    <row r="42" ht="32.25" spans="1:16">
      <c r="A42" s="36"/>
      <c r="B42" s="37"/>
      <c r="C42" s="29" t="s">
        <v>22</v>
      </c>
      <c r="D42" s="38">
        <f>'[1]1нед'!C42</f>
        <v>0</v>
      </c>
      <c r="E42" s="39">
        <f>'[1]1нед'!D42</f>
        <v>0</v>
      </c>
      <c r="F42" s="40">
        <f>'[1]1нед'!G42</f>
        <v>0</v>
      </c>
      <c r="G42" s="41" t="str">
        <f>'[1]1нед'!H42</f>
        <v/>
      </c>
      <c r="H42" s="56"/>
      <c r="I42" s="43"/>
      <c r="J42" s="44"/>
      <c r="K42" s="29" t="s">
        <v>22</v>
      </c>
      <c r="L42" s="38">
        <f>'[1]2нед'!C42</f>
        <v>0</v>
      </c>
      <c r="M42" s="39">
        <f>'[1]2нед'!D42</f>
        <v>0</v>
      </c>
      <c r="N42" s="40">
        <f>'[1]2нед'!G42</f>
        <v>0</v>
      </c>
      <c r="O42" s="41" t="str">
        <f>'[1]2нед'!H42</f>
        <v/>
      </c>
      <c r="P42" s="56"/>
    </row>
    <row r="43" ht="18.4" hidden="1" customHeight="1" spans="1:16">
      <c r="A43" s="45"/>
      <c r="B43" s="46"/>
      <c r="C43" s="47"/>
      <c r="D43" s="48">
        <f>'[1]1нед'!C43</f>
        <v>0</v>
      </c>
      <c r="E43" s="49">
        <f>'[1]1нед'!D43</f>
        <v>0</v>
      </c>
      <c r="F43" s="50">
        <f>'[1]1нед'!G43</f>
        <v>0</v>
      </c>
      <c r="G43" s="51" t="str">
        <f>'[1]1нед'!H43</f>
        <v/>
      </c>
      <c r="H43" s="52"/>
      <c r="I43" s="53"/>
      <c r="J43" s="54"/>
      <c r="K43" s="47"/>
      <c r="L43" s="48">
        <f>'[1]2нед'!C43</f>
        <v>0</v>
      </c>
      <c r="M43" s="49">
        <f>'[1]2нед'!D43</f>
        <v>0</v>
      </c>
      <c r="N43" s="50">
        <f>'[1]2нед'!G43</f>
        <v>0</v>
      </c>
      <c r="O43" s="51" t="str">
        <f>'[1]2нед'!H43</f>
        <v/>
      </c>
      <c r="P43" s="52"/>
    </row>
    <row r="44" ht="48" customHeight="1" spans="1:16">
      <c r="A44" s="27">
        <v>46269</v>
      </c>
      <c r="B44" s="28" t="s">
        <v>26</v>
      </c>
      <c r="C44" s="55" t="s">
        <v>16</v>
      </c>
      <c r="D44" s="30">
        <f>'[1]1нед'!C44</f>
        <v>0</v>
      </c>
      <c r="E44" s="31">
        <f>'[1]1нед'!D44</f>
        <v>0</v>
      </c>
      <c r="F44" s="32">
        <f>'[1]1нед'!G44</f>
        <v>0</v>
      </c>
      <c r="G44" s="33" t="str">
        <f>'[1]1нед'!H44</f>
        <v/>
      </c>
      <c r="H44" s="34"/>
      <c r="I44" s="27">
        <v>46276</v>
      </c>
      <c r="J44" s="35" t="s">
        <v>26</v>
      </c>
      <c r="K44" s="55" t="s">
        <v>16</v>
      </c>
      <c r="L44" s="30">
        <f>'[1]2нед'!C44</f>
        <v>0</v>
      </c>
      <c r="M44" s="31">
        <f>'[1]2нед'!D44</f>
        <v>0</v>
      </c>
      <c r="N44" s="32">
        <f>'[1]2нед'!G44</f>
        <v>0</v>
      </c>
      <c r="O44" s="33" t="str">
        <f>'[1]2нед'!H44</f>
        <v/>
      </c>
      <c r="P44" s="34"/>
    </row>
    <row r="45" ht="31.5" spans="1:16">
      <c r="A45" s="36"/>
      <c r="B45" s="37"/>
      <c r="C45" s="29" t="s">
        <v>17</v>
      </c>
      <c r="D45" s="38">
        <f>'[1]1нед'!C45</f>
        <v>0</v>
      </c>
      <c r="E45" s="39">
        <f>'[1]1нед'!D45</f>
        <v>0</v>
      </c>
      <c r="F45" s="40">
        <f>'[1]1нед'!G45</f>
        <v>0</v>
      </c>
      <c r="G45" s="41" t="str">
        <f>'[1]1нед'!H45</f>
        <v/>
      </c>
      <c r="H45" s="42"/>
      <c r="I45" s="43"/>
      <c r="J45" s="44"/>
      <c r="K45" s="29" t="s">
        <v>17</v>
      </c>
      <c r="L45" s="38">
        <f>'[1]2нед'!C45</f>
        <v>0</v>
      </c>
      <c r="M45" s="39">
        <f>'[1]2нед'!D45</f>
        <v>0</v>
      </c>
      <c r="N45" s="40">
        <f>'[1]2нед'!G45</f>
        <v>0</v>
      </c>
      <c r="O45" s="41" t="str">
        <f>'[1]2нед'!H45</f>
        <v/>
      </c>
      <c r="P45" s="42"/>
    </row>
    <row r="46" ht="31.5" spans="1:16">
      <c r="A46" s="36"/>
      <c r="B46" s="37"/>
      <c r="C46" s="29" t="s">
        <v>18</v>
      </c>
      <c r="D46" s="38">
        <f>'[1]1нед'!C46</f>
        <v>0</v>
      </c>
      <c r="E46" s="39">
        <f>'[1]1нед'!D46</f>
        <v>0</v>
      </c>
      <c r="F46" s="40">
        <f>'[1]1нед'!G46</f>
        <v>0</v>
      </c>
      <c r="G46" s="41" t="str">
        <f>'[1]1нед'!H46</f>
        <v/>
      </c>
      <c r="H46" s="42"/>
      <c r="I46" s="43"/>
      <c r="J46" s="44"/>
      <c r="K46" s="29" t="s">
        <v>18</v>
      </c>
      <c r="L46" s="38">
        <f>'[1]2нед'!C46</f>
        <v>0</v>
      </c>
      <c r="M46" s="39">
        <f>'[1]2нед'!D46</f>
        <v>0</v>
      </c>
      <c r="N46" s="40">
        <f>'[1]2нед'!G46</f>
        <v>0</v>
      </c>
      <c r="O46" s="41" t="str">
        <f>'[1]2нед'!H46</f>
        <v/>
      </c>
      <c r="P46" s="42"/>
    </row>
    <row r="47" ht="31.5" spans="1:16">
      <c r="A47" s="36"/>
      <c r="B47" s="37"/>
      <c r="C47" s="29" t="s">
        <v>19</v>
      </c>
      <c r="D47" s="38">
        <f>'[1]1нед'!C47</f>
        <v>0</v>
      </c>
      <c r="E47" s="39">
        <f>'[1]1нед'!D47</f>
        <v>0</v>
      </c>
      <c r="F47" s="40">
        <f>'[1]1нед'!G47</f>
        <v>0</v>
      </c>
      <c r="G47" s="41" t="str">
        <f>'[1]1нед'!H47</f>
        <v/>
      </c>
      <c r="H47" s="42"/>
      <c r="I47" s="43"/>
      <c r="J47" s="44"/>
      <c r="K47" s="29" t="s">
        <v>19</v>
      </c>
      <c r="L47" s="38">
        <f>'[1]2нед'!C47</f>
        <v>0</v>
      </c>
      <c r="M47" s="39">
        <f>'[1]2нед'!D47</f>
        <v>0</v>
      </c>
      <c r="N47" s="40">
        <f>'[1]2нед'!G47</f>
        <v>0</v>
      </c>
      <c r="O47" s="41" t="str">
        <f>'[1]2нед'!H47</f>
        <v/>
      </c>
      <c r="P47" s="42"/>
    </row>
    <row r="48" ht="31.5" spans="1:16">
      <c r="A48" s="36"/>
      <c r="B48" s="37"/>
      <c r="C48" s="29" t="s">
        <v>20</v>
      </c>
      <c r="D48" s="38">
        <f>'[1]1нед'!C48</f>
        <v>0</v>
      </c>
      <c r="E48" s="39">
        <f>'[1]1нед'!D48</f>
        <v>0</v>
      </c>
      <c r="F48" s="40">
        <f>'[1]1нед'!G48</f>
        <v>0</v>
      </c>
      <c r="G48" s="41" t="str">
        <f>'[1]1нед'!H48</f>
        <v/>
      </c>
      <c r="H48" s="42"/>
      <c r="I48" s="43"/>
      <c r="J48" s="44"/>
      <c r="K48" s="29" t="s">
        <v>20</v>
      </c>
      <c r="L48" s="38">
        <f>'[1]2нед'!C48</f>
        <v>0</v>
      </c>
      <c r="M48" s="39">
        <f>'[1]2нед'!D48</f>
        <v>0</v>
      </c>
      <c r="N48" s="40">
        <f>'[1]2нед'!G48</f>
        <v>0</v>
      </c>
      <c r="O48" s="41" t="str">
        <f>'[1]2нед'!H48</f>
        <v/>
      </c>
      <c r="P48" s="42"/>
    </row>
    <row r="49" ht="31.5" spans="1:16">
      <c r="A49" s="36"/>
      <c r="B49" s="37"/>
      <c r="C49" s="29" t="s">
        <v>21</v>
      </c>
      <c r="D49" s="38">
        <f>'[1]1нед'!C49</f>
        <v>0</v>
      </c>
      <c r="E49" s="39">
        <f>'[1]1нед'!D49</f>
        <v>0</v>
      </c>
      <c r="F49" s="40">
        <f>'[1]1нед'!G49</f>
        <v>0</v>
      </c>
      <c r="G49" s="41" t="str">
        <f>'[1]1нед'!H49</f>
        <v/>
      </c>
      <c r="H49" s="42"/>
      <c r="I49" s="43"/>
      <c r="J49" s="44"/>
      <c r="K49" s="29" t="s">
        <v>21</v>
      </c>
      <c r="L49" s="38">
        <f>'[1]2нед'!C49</f>
        <v>0</v>
      </c>
      <c r="M49" s="39">
        <f>'[1]2нед'!D49</f>
        <v>0</v>
      </c>
      <c r="N49" s="40">
        <f>'[1]2нед'!G49</f>
        <v>0</v>
      </c>
      <c r="O49" s="41" t="str">
        <f>'[1]2нед'!H49</f>
        <v/>
      </c>
      <c r="P49" s="42"/>
    </row>
    <row r="50" ht="32.25" spans="1:16">
      <c r="A50" s="36"/>
      <c r="B50" s="37"/>
      <c r="C50" s="29" t="s">
        <v>22</v>
      </c>
      <c r="D50" s="38">
        <f>'[1]1нед'!C50</f>
        <v>0</v>
      </c>
      <c r="E50" s="39">
        <f>'[1]1нед'!D50</f>
        <v>0</v>
      </c>
      <c r="F50" s="40">
        <f>'[1]1нед'!G50</f>
        <v>0</v>
      </c>
      <c r="G50" s="41" t="str">
        <f>'[1]1нед'!H50</f>
        <v/>
      </c>
      <c r="H50" s="42"/>
      <c r="I50" s="43"/>
      <c r="J50" s="44"/>
      <c r="K50" s="29" t="s">
        <v>22</v>
      </c>
      <c r="L50" s="38">
        <f>'[1]2нед'!C50</f>
        <v>0</v>
      </c>
      <c r="M50" s="39">
        <f>'[1]2нед'!D50</f>
        <v>0</v>
      </c>
      <c r="N50" s="40">
        <f>'[1]2нед'!G50</f>
        <v>0</v>
      </c>
      <c r="O50" s="41" t="str">
        <f>'[1]2нед'!H50</f>
        <v/>
      </c>
      <c r="P50" s="42"/>
    </row>
    <row r="51" ht="18.4" hidden="1" customHeight="1" spans="1:16">
      <c r="A51" s="45"/>
      <c r="B51" s="46"/>
      <c r="C51" s="47"/>
      <c r="D51" s="48">
        <f>'[1]1нед'!C51</f>
        <v>0</v>
      </c>
      <c r="E51" s="49">
        <f>'[1]1нед'!D51</f>
        <v>0</v>
      </c>
      <c r="F51" s="50">
        <f>'[1]1нед'!G51</f>
        <v>0</v>
      </c>
      <c r="G51" s="51" t="str">
        <f>'[1]1нед'!H51</f>
        <v/>
      </c>
      <c r="H51" s="52"/>
      <c r="I51" s="53"/>
      <c r="J51" s="54"/>
      <c r="K51" s="47"/>
      <c r="L51" s="48">
        <f>'[1]2нед'!C51</f>
        <v>0</v>
      </c>
      <c r="M51" s="49">
        <f>'[1]2нед'!D51</f>
        <v>0</v>
      </c>
      <c r="N51" s="50">
        <f>'[1]2нед'!G51</f>
        <v>0</v>
      </c>
      <c r="O51" s="51" t="str">
        <f>'[1]2нед'!H51</f>
        <v/>
      </c>
      <c r="P51" s="52"/>
    </row>
    <row r="52" ht="48" customHeight="1" spans="1:16">
      <c r="A52" s="27">
        <v>46270</v>
      </c>
      <c r="B52" s="28" t="s">
        <v>27</v>
      </c>
      <c r="C52" s="55" t="s">
        <v>16</v>
      </c>
      <c r="D52" s="30">
        <f>'[1]1нед'!C52</f>
        <v>0</v>
      </c>
      <c r="E52" s="31">
        <f>'[1]1нед'!D52</f>
        <v>0</v>
      </c>
      <c r="F52" s="32">
        <f>'[1]1нед'!G52</f>
        <v>0</v>
      </c>
      <c r="G52" s="33" t="str">
        <f>'[1]1нед'!H52</f>
        <v/>
      </c>
      <c r="H52" s="34"/>
      <c r="I52" s="27">
        <v>46277</v>
      </c>
      <c r="J52" s="35" t="s">
        <v>27</v>
      </c>
      <c r="K52" s="55" t="s">
        <v>16</v>
      </c>
      <c r="L52" s="30">
        <f>'[1]2нед'!C52</f>
        <v>0</v>
      </c>
      <c r="M52" s="31">
        <f>'[1]2нед'!D52</f>
        <v>0</v>
      </c>
      <c r="N52" s="32">
        <f>'[1]2нед'!G52</f>
        <v>0</v>
      </c>
      <c r="O52" s="33" t="str">
        <f>'[1]2нед'!H52</f>
        <v/>
      </c>
      <c r="P52" s="34"/>
    </row>
    <row r="53" ht="31.5" spans="1:16">
      <c r="A53" s="36"/>
      <c r="B53" s="37"/>
      <c r="C53" s="29" t="s">
        <v>17</v>
      </c>
      <c r="D53" s="38">
        <f>'[1]1нед'!C53</f>
        <v>0</v>
      </c>
      <c r="E53" s="39">
        <f>'[1]1нед'!D53</f>
        <v>0</v>
      </c>
      <c r="F53" s="40">
        <f>'[1]1нед'!G53</f>
        <v>0</v>
      </c>
      <c r="G53" s="41" t="str">
        <f>'[1]1нед'!H53</f>
        <v/>
      </c>
      <c r="H53" s="42"/>
      <c r="I53" s="43"/>
      <c r="J53" s="44"/>
      <c r="K53" s="29" t="s">
        <v>17</v>
      </c>
      <c r="L53" s="38">
        <f>'[1]2нед'!C53</f>
        <v>0</v>
      </c>
      <c r="M53" s="39">
        <f>'[1]2нед'!D53</f>
        <v>0</v>
      </c>
      <c r="N53" s="40">
        <f>'[1]2нед'!G53</f>
        <v>0</v>
      </c>
      <c r="O53" s="41" t="str">
        <f>'[1]2нед'!H53</f>
        <v/>
      </c>
      <c r="P53" s="42"/>
    </row>
    <row r="54" ht="31.5" spans="1:16">
      <c r="A54" s="36"/>
      <c r="B54" s="37"/>
      <c r="C54" s="29" t="s">
        <v>18</v>
      </c>
      <c r="D54" s="38">
        <f>'[1]1нед'!C54</f>
        <v>0</v>
      </c>
      <c r="E54" s="39">
        <f>'[1]1нед'!D54</f>
        <v>0</v>
      </c>
      <c r="F54" s="40">
        <f>'[1]1нед'!G54</f>
        <v>0</v>
      </c>
      <c r="G54" s="41" t="str">
        <f>'[1]1нед'!H54</f>
        <v/>
      </c>
      <c r="H54" s="42"/>
      <c r="I54" s="43"/>
      <c r="J54" s="44"/>
      <c r="K54" s="29" t="s">
        <v>18</v>
      </c>
      <c r="L54" s="38">
        <f>'[1]2нед'!C54</f>
        <v>0</v>
      </c>
      <c r="M54" s="39">
        <f>'[1]2нед'!D54</f>
        <v>0</v>
      </c>
      <c r="N54" s="40">
        <f>'[1]2нед'!G54</f>
        <v>0</v>
      </c>
      <c r="O54" s="41" t="str">
        <f>'[1]2нед'!H54</f>
        <v/>
      </c>
      <c r="P54" s="42"/>
    </row>
    <row r="55" ht="31.5" spans="1:16">
      <c r="A55" s="36"/>
      <c r="B55" s="37"/>
      <c r="C55" s="29" t="s">
        <v>19</v>
      </c>
      <c r="D55" s="38">
        <f>'[1]1нед'!C55</f>
        <v>0</v>
      </c>
      <c r="E55" s="39">
        <f>'[1]1нед'!D55</f>
        <v>0</v>
      </c>
      <c r="F55" s="40">
        <f>'[1]1нед'!G55</f>
        <v>0</v>
      </c>
      <c r="G55" s="41" t="str">
        <f>'[1]1нед'!H55</f>
        <v/>
      </c>
      <c r="H55" s="42"/>
      <c r="I55" s="43"/>
      <c r="J55" s="44"/>
      <c r="K55" s="29" t="s">
        <v>19</v>
      </c>
      <c r="L55" s="38">
        <f>'[1]2нед'!C55</f>
        <v>0</v>
      </c>
      <c r="M55" s="39">
        <f>'[1]2нед'!D55</f>
        <v>0</v>
      </c>
      <c r="N55" s="40">
        <f>'[1]2нед'!G55</f>
        <v>0</v>
      </c>
      <c r="O55" s="41" t="str">
        <f>'[1]2нед'!H55</f>
        <v/>
      </c>
      <c r="P55" s="42"/>
    </row>
    <row r="56" ht="31.5" spans="1:16">
      <c r="A56" s="36"/>
      <c r="B56" s="37"/>
      <c r="C56" s="29" t="s">
        <v>20</v>
      </c>
      <c r="D56" s="38">
        <f>'[1]1нед'!C56</f>
        <v>0</v>
      </c>
      <c r="E56" s="39">
        <f>'[1]1нед'!D56</f>
        <v>0</v>
      </c>
      <c r="F56" s="40">
        <f>'[1]1нед'!G56</f>
        <v>0</v>
      </c>
      <c r="G56" s="41" t="str">
        <f>'[1]1нед'!H56</f>
        <v/>
      </c>
      <c r="H56" s="42"/>
      <c r="I56" s="43"/>
      <c r="J56" s="44"/>
      <c r="K56" s="29" t="s">
        <v>20</v>
      </c>
      <c r="L56" s="38">
        <f>'[1]2нед'!C56</f>
        <v>0</v>
      </c>
      <c r="M56" s="39">
        <f>'[1]2нед'!D56</f>
        <v>0</v>
      </c>
      <c r="N56" s="40">
        <f>'[1]2нед'!G56</f>
        <v>0</v>
      </c>
      <c r="O56" s="41" t="str">
        <f>'[1]2нед'!H56</f>
        <v/>
      </c>
      <c r="P56" s="42"/>
    </row>
    <row r="57" ht="31.5" spans="1:16">
      <c r="A57" s="36"/>
      <c r="B57" s="37"/>
      <c r="C57" s="29" t="s">
        <v>21</v>
      </c>
      <c r="D57" s="38">
        <f>'[1]1нед'!C57</f>
        <v>0</v>
      </c>
      <c r="E57" s="39">
        <f>'[1]1нед'!D57</f>
        <v>0</v>
      </c>
      <c r="F57" s="40">
        <f>'[1]1нед'!G57</f>
        <v>0</v>
      </c>
      <c r="G57" s="41" t="str">
        <f>'[1]1нед'!H57</f>
        <v/>
      </c>
      <c r="H57" s="42"/>
      <c r="I57" s="43"/>
      <c r="J57" s="44"/>
      <c r="K57" s="29" t="s">
        <v>21</v>
      </c>
      <c r="L57" s="38">
        <f>'[1]2нед'!C57</f>
        <v>0</v>
      </c>
      <c r="M57" s="39">
        <f>'[1]2нед'!D57</f>
        <v>0</v>
      </c>
      <c r="N57" s="40">
        <f>'[1]2нед'!G57</f>
        <v>0</v>
      </c>
      <c r="O57" s="41" t="str">
        <f>'[1]2нед'!H57</f>
        <v/>
      </c>
      <c r="P57" s="42"/>
    </row>
    <row r="58" ht="32.25" spans="1:16">
      <c r="A58" s="36"/>
      <c r="B58" s="37"/>
      <c r="C58" s="29" t="s">
        <v>22</v>
      </c>
      <c r="D58" s="38">
        <f>'[1]1нед'!C58</f>
        <v>0</v>
      </c>
      <c r="E58" s="39">
        <f>'[1]1нед'!D58</f>
        <v>0</v>
      </c>
      <c r="F58" s="40">
        <f>'[1]1нед'!G58</f>
        <v>0</v>
      </c>
      <c r="G58" s="41" t="str">
        <f>'[1]1нед'!H58</f>
        <v/>
      </c>
      <c r="H58" s="42"/>
      <c r="I58" s="43"/>
      <c r="J58" s="44"/>
      <c r="K58" s="29" t="s">
        <v>22</v>
      </c>
      <c r="L58" s="38">
        <f>'[1]2нед'!C58</f>
        <v>0</v>
      </c>
      <c r="M58" s="39">
        <f>'[1]2нед'!D58</f>
        <v>0</v>
      </c>
      <c r="N58" s="40">
        <f>'[1]2нед'!G58</f>
        <v>0</v>
      </c>
      <c r="O58" s="41" t="str">
        <f>'[1]2нед'!H58</f>
        <v/>
      </c>
      <c r="P58" s="42"/>
    </row>
    <row r="59" ht="18.4" hidden="1" customHeight="1" spans="1:16">
      <c r="A59" s="45"/>
      <c r="B59" s="46"/>
      <c r="C59" s="47"/>
      <c r="D59" s="48">
        <f>'[1]1нед'!C59</f>
        <v>0</v>
      </c>
      <c r="E59" s="49">
        <f>'[1]1нед'!D59</f>
        <v>0</v>
      </c>
      <c r="F59" s="50">
        <f>'[1]1нед'!G59</f>
        <v>0</v>
      </c>
      <c r="G59" s="51" t="str">
        <f>'[1]1нед'!H59</f>
        <v/>
      </c>
      <c r="H59" s="52"/>
      <c r="I59" s="53"/>
      <c r="J59" s="54"/>
      <c r="K59" s="47"/>
      <c r="L59" s="48">
        <f>'[1]2нед'!C59</f>
        <v>0</v>
      </c>
      <c r="M59" s="49">
        <f>'[1]2нед'!D59</f>
        <v>0</v>
      </c>
      <c r="N59" s="50">
        <f>'[1]2нед'!G59</f>
        <v>0</v>
      </c>
      <c r="O59" s="51" t="str">
        <f>'[1]2нед'!H59</f>
        <v/>
      </c>
      <c r="P59" s="52"/>
    </row>
    <row r="60" ht="39" customHeight="1" spans="1:16">
      <c r="A60" s="64"/>
      <c r="B60" s="65"/>
      <c r="C60" s="66"/>
      <c r="D60" s="67"/>
      <c r="E60" s="67" t="s">
        <v>28</v>
      </c>
      <c r="F60" s="67"/>
      <c r="G60" s="68" t="s">
        <v>29</v>
      </c>
      <c r="H60" s="69"/>
      <c r="I60" s="64"/>
      <c r="J60" s="65"/>
      <c r="K60" s="66"/>
      <c r="L60" s="67"/>
      <c r="M60" s="67" t="s">
        <v>28</v>
      </c>
      <c r="N60" s="67"/>
      <c r="O60" s="68" t="s">
        <v>29</v>
      </c>
      <c r="P60" s="69"/>
    </row>
    <row r="61" ht="15.75" spans="1:16">
      <c r="A61" s="2"/>
      <c r="B61" s="3"/>
      <c r="C61" s="4"/>
      <c r="D61" s="5"/>
      <c r="E61" s="5"/>
      <c r="F61" s="5"/>
      <c r="G61" s="5"/>
      <c r="H61" s="6" t="s">
        <v>0</v>
      </c>
      <c r="I61" s="2"/>
      <c r="J61" s="3"/>
      <c r="K61" s="4"/>
      <c r="L61" s="5"/>
      <c r="M61" s="5"/>
      <c r="N61" s="5"/>
      <c r="O61" s="5"/>
      <c r="P61" s="6" t="s">
        <v>0</v>
      </c>
    </row>
    <row r="62" ht="15.75" spans="1:16">
      <c r="A62" s="2"/>
      <c r="B62" s="3"/>
      <c r="C62" s="4"/>
      <c r="D62" s="5"/>
      <c r="E62" s="5"/>
      <c r="F62" s="5"/>
      <c r="G62" s="5"/>
      <c r="H62" s="6" t="s">
        <v>1</v>
      </c>
      <c r="I62" s="2"/>
      <c r="J62" s="3"/>
      <c r="K62" s="4"/>
      <c r="L62" s="5"/>
      <c r="M62" s="5"/>
      <c r="N62" s="5"/>
      <c r="O62" s="5"/>
      <c r="P62" s="6" t="s">
        <v>1</v>
      </c>
    </row>
    <row r="63" ht="15.75" spans="1:16">
      <c r="A63" s="2"/>
      <c r="B63" s="3"/>
      <c r="C63" s="4"/>
      <c r="D63" s="5"/>
      <c r="E63" s="5"/>
      <c r="F63" s="5"/>
      <c r="G63" s="5"/>
      <c r="H63" s="6" t="s">
        <v>2</v>
      </c>
      <c r="I63" s="2"/>
      <c r="J63" s="3"/>
      <c r="K63" s="4"/>
      <c r="L63" s="5"/>
      <c r="M63" s="5"/>
      <c r="N63" s="5"/>
      <c r="O63" s="5"/>
      <c r="P63" s="6" t="s">
        <v>2</v>
      </c>
    </row>
    <row r="64" ht="15.75" spans="1:16">
      <c r="A64" s="2"/>
      <c r="B64" s="3"/>
      <c r="C64" s="4"/>
      <c r="D64" s="5"/>
      <c r="E64" s="5"/>
      <c r="F64" s="5"/>
      <c r="G64" s="5"/>
      <c r="H64" s="6" t="s">
        <v>3</v>
      </c>
      <c r="I64" s="2"/>
      <c r="J64" s="3"/>
      <c r="K64" s="4"/>
      <c r="L64" s="5"/>
      <c r="M64" s="5"/>
      <c r="N64" s="5"/>
      <c r="O64" s="5"/>
      <c r="P64" s="6" t="s">
        <v>3</v>
      </c>
    </row>
    <row r="65" ht="15.75" spans="1:16">
      <c r="A65" s="2"/>
      <c r="B65" s="7"/>
      <c r="C65" s="4"/>
      <c r="D65" s="5"/>
      <c r="E65" s="5"/>
      <c r="F65" s="5"/>
      <c r="G65" s="5"/>
      <c r="H65" s="5"/>
      <c r="I65" s="2"/>
      <c r="J65" s="7"/>
      <c r="K65" s="4"/>
      <c r="L65" s="5"/>
      <c r="M65" s="5"/>
      <c r="N65" s="5"/>
      <c r="O65" s="5"/>
      <c r="P65" s="5"/>
    </row>
    <row r="66" ht="15.75" spans="1:16">
      <c r="A66" s="2"/>
      <c r="B66" s="8" t="s">
        <v>4</v>
      </c>
      <c r="C66" s="8"/>
      <c r="D66" s="8"/>
      <c r="E66" s="8"/>
      <c r="F66" s="8"/>
      <c r="G66" s="8"/>
      <c r="H66" s="8"/>
      <c r="I66" s="2"/>
      <c r="J66" s="8" t="s">
        <v>4</v>
      </c>
      <c r="K66" s="8"/>
      <c r="L66" s="8"/>
      <c r="M66" s="8"/>
      <c r="N66" s="8"/>
      <c r="O66" s="8"/>
      <c r="P66" s="8"/>
    </row>
    <row r="67" ht="15.75" spans="1:16">
      <c r="A67" s="9"/>
      <c r="B67" s="10" t="str">
        <f>'[1]1нед'!$A$6</f>
        <v>Направление подготовки:</v>
      </c>
      <c r="C67" s="11"/>
      <c r="D67" s="12"/>
      <c r="E67" s="13" t="str">
        <f>E7</f>
        <v>00</v>
      </c>
      <c r="F67" s="12"/>
      <c r="G67" s="12">
        <f>G7</f>
        <v>0</v>
      </c>
      <c r="H67" s="14"/>
      <c r="I67" s="9"/>
      <c r="J67" s="10" t="str">
        <f>'[1]1нед'!$A$6</f>
        <v>Направление подготовки:</v>
      </c>
      <c r="K67" s="11"/>
      <c r="L67" s="12"/>
      <c r="M67" s="13" t="str">
        <f>E7</f>
        <v>00</v>
      </c>
      <c r="N67" s="12"/>
      <c r="O67" s="12">
        <f>G7</f>
        <v>0</v>
      </c>
      <c r="P67" s="14"/>
    </row>
    <row r="68" ht="15.75" spans="1:16">
      <c r="A68" s="2"/>
      <c r="B68" s="10" t="s">
        <v>5</v>
      </c>
      <c r="C68" s="10"/>
      <c r="D68" s="10"/>
      <c r="E68" s="10" t="str">
        <f>E8</f>
        <v>очная</v>
      </c>
      <c r="F68" s="10"/>
      <c r="G68" s="10"/>
      <c r="H68" s="10"/>
      <c r="I68" s="2"/>
      <c r="J68" s="10" t="s">
        <v>5</v>
      </c>
      <c r="K68" s="10"/>
      <c r="L68" s="10"/>
      <c r="M68" s="10" t="str">
        <f>E8</f>
        <v>очная</v>
      </c>
      <c r="N68" s="10"/>
      <c r="O68" s="10"/>
      <c r="P68" s="10"/>
    </row>
    <row r="69" ht="15.75" spans="1:16">
      <c r="A69" s="2"/>
      <c r="B69" s="10" t="s">
        <v>7</v>
      </c>
      <c r="C69" s="10"/>
      <c r="D69" s="10"/>
      <c r="E69" s="10">
        <f>E9</f>
        <v>1</v>
      </c>
      <c r="F69" s="10"/>
      <c r="G69" s="10"/>
      <c r="H69" s="15"/>
      <c r="I69" s="2"/>
      <c r="J69" s="10" t="s">
        <v>7</v>
      </c>
      <c r="K69" s="10"/>
      <c r="L69" s="10"/>
      <c r="M69" s="10">
        <f>E9</f>
        <v>1</v>
      </c>
      <c r="N69" s="10"/>
      <c r="O69" s="10"/>
      <c r="P69" s="15"/>
    </row>
    <row r="70" ht="16.5" spans="1:16">
      <c r="A70" s="2"/>
      <c r="B70" s="16" t="s">
        <v>8</v>
      </c>
      <c r="C70" s="16"/>
      <c r="D70" s="16"/>
      <c r="E70" s="16">
        <f>M10+1</f>
        <v>3</v>
      </c>
      <c r="F70" s="16"/>
      <c r="G70" s="16"/>
      <c r="H70" s="17"/>
      <c r="I70" s="2"/>
      <c r="J70" s="16" t="s">
        <v>8</v>
      </c>
      <c r="K70" s="16"/>
      <c r="L70" s="16"/>
      <c r="M70" s="16">
        <f>E70+1</f>
        <v>4</v>
      </c>
      <c r="N70" s="16"/>
      <c r="O70" s="16"/>
      <c r="P70" s="17"/>
    </row>
    <row r="71" ht="46.5" customHeight="1" spans="1:16">
      <c r="A71" s="19" t="s">
        <v>9</v>
      </c>
      <c r="B71" s="20"/>
      <c r="C71" s="21" t="s">
        <v>10</v>
      </c>
      <c r="D71" s="22" t="s">
        <v>11</v>
      </c>
      <c r="E71" s="23" t="s">
        <v>12</v>
      </c>
      <c r="F71" s="24" t="s">
        <v>13</v>
      </c>
      <c r="G71" s="25"/>
      <c r="H71" s="26" t="s">
        <v>14</v>
      </c>
      <c r="I71" s="19" t="s">
        <v>9</v>
      </c>
      <c r="J71" s="20"/>
      <c r="K71" s="21" t="s">
        <v>10</v>
      </c>
      <c r="L71" s="22" t="s">
        <v>11</v>
      </c>
      <c r="M71" s="23" t="s">
        <v>12</v>
      </c>
      <c r="N71" s="24" t="s">
        <v>13</v>
      </c>
      <c r="O71" s="25"/>
      <c r="P71" s="26" t="s">
        <v>14</v>
      </c>
    </row>
    <row r="72" ht="32.25" customHeight="1" spans="1:16">
      <c r="A72" s="27">
        <v>46279</v>
      </c>
      <c r="B72" s="28" t="s">
        <v>15</v>
      </c>
      <c r="C72" s="29" t="s">
        <v>16</v>
      </c>
      <c r="D72" s="30">
        <f>'[1]3нед'!C12</f>
        <v>0</v>
      </c>
      <c r="E72" s="31">
        <f>'[1]3нед'!D12</f>
        <v>0</v>
      </c>
      <c r="F72" s="32">
        <f>'[1]3нед'!G12</f>
        <v>0</v>
      </c>
      <c r="G72" s="33" t="str">
        <f>'[1]3нед'!H12</f>
        <v/>
      </c>
      <c r="H72" s="34"/>
      <c r="I72" s="27">
        <v>46286</v>
      </c>
      <c r="J72" s="35" t="s">
        <v>15</v>
      </c>
      <c r="K72" s="29" t="s">
        <v>16</v>
      </c>
      <c r="L72" s="30">
        <f>'[1]4нед'!C12</f>
        <v>0</v>
      </c>
      <c r="M72" s="31">
        <f>'[1]4нед'!D12</f>
        <v>0</v>
      </c>
      <c r="N72" s="32">
        <f>'[1]4нед'!G12</f>
        <v>0</v>
      </c>
      <c r="O72" s="33" t="str">
        <f>'[1]4нед'!H12</f>
        <v/>
      </c>
      <c r="P72" s="34"/>
    </row>
    <row r="73" ht="31.5" spans="1:16">
      <c r="A73" s="36"/>
      <c r="B73" s="37"/>
      <c r="C73" s="29" t="s">
        <v>17</v>
      </c>
      <c r="D73" s="38">
        <f>'[1]3нед'!C13</f>
        <v>0</v>
      </c>
      <c r="E73" s="39">
        <f>'[1]3нед'!D13</f>
        <v>0</v>
      </c>
      <c r="F73" s="40">
        <f>'[1]3нед'!G13</f>
        <v>0</v>
      </c>
      <c r="G73" s="41" t="str">
        <f>'[1]3нед'!H13</f>
        <v/>
      </c>
      <c r="H73" s="42"/>
      <c r="I73" s="43"/>
      <c r="J73" s="44"/>
      <c r="K73" s="29" t="s">
        <v>17</v>
      </c>
      <c r="L73" s="38">
        <f>'[1]4нед'!C13</f>
        <v>0</v>
      </c>
      <c r="M73" s="39">
        <f>'[1]4нед'!D13</f>
        <v>0</v>
      </c>
      <c r="N73" s="40">
        <f>'[1]4нед'!G13</f>
        <v>0</v>
      </c>
      <c r="O73" s="41" t="str">
        <f>'[1]4нед'!H13</f>
        <v/>
      </c>
      <c r="P73" s="42"/>
    </row>
    <row r="74" ht="31.5" spans="1:16">
      <c r="A74" s="36"/>
      <c r="B74" s="37"/>
      <c r="C74" s="29" t="s">
        <v>18</v>
      </c>
      <c r="D74" s="38">
        <f>'[1]3нед'!C14</f>
        <v>0</v>
      </c>
      <c r="E74" s="39">
        <f>'[1]3нед'!D14</f>
        <v>0</v>
      </c>
      <c r="F74" s="40">
        <f>'[1]3нед'!G14</f>
        <v>0</v>
      </c>
      <c r="G74" s="41" t="str">
        <f>'[1]3нед'!H14</f>
        <v/>
      </c>
      <c r="H74" s="42"/>
      <c r="I74" s="43"/>
      <c r="J74" s="44"/>
      <c r="K74" s="29" t="s">
        <v>18</v>
      </c>
      <c r="L74" s="38">
        <f>'[1]4нед'!C14</f>
        <v>0</v>
      </c>
      <c r="M74" s="39">
        <f>'[1]4нед'!D14</f>
        <v>0</v>
      </c>
      <c r="N74" s="40">
        <f>'[1]4нед'!G14</f>
        <v>0</v>
      </c>
      <c r="O74" s="41" t="str">
        <f>'[1]4нед'!H14</f>
        <v/>
      </c>
      <c r="P74" s="42"/>
    </row>
    <row r="75" ht="31.5" spans="1:16">
      <c r="A75" s="36"/>
      <c r="B75" s="37"/>
      <c r="C75" s="29" t="s">
        <v>19</v>
      </c>
      <c r="D75" s="38">
        <f>'[1]3нед'!C15</f>
        <v>0</v>
      </c>
      <c r="E75" s="39">
        <f>'[1]3нед'!D15</f>
        <v>0</v>
      </c>
      <c r="F75" s="40">
        <f>'[1]3нед'!G15</f>
        <v>0</v>
      </c>
      <c r="G75" s="41" t="str">
        <f>'[1]3нед'!H15</f>
        <v/>
      </c>
      <c r="H75" s="42"/>
      <c r="I75" s="43"/>
      <c r="J75" s="44"/>
      <c r="K75" s="29" t="s">
        <v>19</v>
      </c>
      <c r="L75" s="38">
        <f>'[1]4нед'!C15</f>
        <v>0</v>
      </c>
      <c r="M75" s="39">
        <f>'[1]4нед'!D15</f>
        <v>0</v>
      </c>
      <c r="N75" s="40">
        <f>'[1]4нед'!G15</f>
        <v>0</v>
      </c>
      <c r="O75" s="41" t="str">
        <f>'[1]4нед'!H15</f>
        <v/>
      </c>
      <c r="P75" s="42"/>
    </row>
    <row r="76" ht="31.5" spans="1:16">
      <c r="A76" s="36"/>
      <c r="B76" s="37"/>
      <c r="C76" s="29" t="s">
        <v>20</v>
      </c>
      <c r="D76" s="38">
        <f>'[1]3нед'!C16</f>
        <v>0</v>
      </c>
      <c r="E76" s="39">
        <f>'[1]3нед'!D16</f>
        <v>0</v>
      </c>
      <c r="F76" s="40">
        <f>'[1]3нед'!G16</f>
        <v>0</v>
      </c>
      <c r="G76" s="41" t="str">
        <f>'[1]3нед'!H16</f>
        <v/>
      </c>
      <c r="H76" s="42"/>
      <c r="I76" s="43"/>
      <c r="J76" s="44"/>
      <c r="K76" s="29" t="s">
        <v>20</v>
      </c>
      <c r="L76" s="38">
        <f>'[1]4нед'!C16</f>
        <v>0</v>
      </c>
      <c r="M76" s="39">
        <f>'[1]4нед'!D16</f>
        <v>0</v>
      </c>
      <c r="N76" s="40">
        <f>'[1]4нед'!G16</f>
        <v>0</v>
      </c>
      <c r="O76" s="41" t="str">
        <f>'[1]4нед'!H16</f>
        <v/>
      </c>
      <c r="P76" s="42"/>
    </row>
    <row r="77" ht="31.5" spans="1:16">
      <c r="A77" s="36"/>
      <c r="B77" s="37"/>
      <c r="C77" s="29" t="s">
        <v>21</v>
      </c>
      <c r="D77" s="38">
        <f>'[1]3нед'!C17</f>
        <v>0</v>
      </c>
      <c r="E77" s="39">
        <f>'[1]3нед'!D17</f>
        <v>0</v>
      </c>
      <c r="F77" s="40">
        <f>'[1]3нед'!G17</f>
        <v>0</v>
      </c>
      <c r="G77" s="41" t="str">
        <f>'[1]3нед'!H17</f>
        <v/>
      </c>
      <c r="H77" s="56"/>
      <c r="I77" s="43"/>
      <c r="J77" s="44"/>
      <c r="K77" s="29" t="s">
        <v>21</v>
      </c>
      <c r="L77" s="38">
        <f>'[1]4нед'!C17</f>
        <v>0</v>
      </c>
      <c r="M77" s="39">
        <f>'[1]4нед'!D17</f>
        <v>0</v>
      </c>
      <c r="N77" s="40">
        <f>'[1]4нед'!G17</f>
        <v>0</v>
      </c>
      <c r="O77" s="41" t="str">
        <f>'[1]4нед'!H17</f>
        <v/>
      </c>
      <c r="P77" s="56"/>
    </row>
    <row r="78" ht="32.25" spans="1:16">
      <c r="A78" s="36"/>
      <c r="B78" s="37"/>
      <c r="C78" s="29" t="s">
        <v>22</v>
      </c>
      <c r="D78" s="38">
        <f>'[1]3нед'!C18</f>
        <v>0</v>
      </c>
      <c r="E78" s="39">
        <f>'[1]3нед'!D18</f>
        <v>0</v>
      </c>
      <c r="F78" s="40">
        <f>'[1]3нед'!G18</f>
        <v>0</v>
      </c>
      <c r="G78" s="41" t="str">
        <f>'[1]3нед'!H18</f>
        <v/>
      </c>
      <c r="H78" s="56"/>
      <c r="I78" s="43"/>
      <c r="J78" s="44"/>
      <c r="K78" s="29" t="s">
        <v>22</v>
      </c>
      <c r="L78" s="38">
        <f>'[1]4нед'!C18</f>
        <v>0</v>
      </c>
      <c r="M78" s="39">
        <f>'[1]4нед'!D18</f>
        <v>0</v>
      </c>
      <c r="N78" s="40">
        <f>'[1]4нед'!G18</f>
        <v>0</v>
      </c>
      <c r="O78" s="41" t="str">
        <f>'[1]4нед'!H18</f>
        <v/>
      </c>
      <c r="P78" s="56"/>
    </row>
    <row r="79" ht="18.4" hidden="1" customHeight="1" spans="1:16">
      <c r="A79" s="45"/>
      <c r="B79" s="46"/>
      <c r="C79" s="47"/>
      <c r="D79" s="48">
        <f>'[1]3нед'!C19</f>
        <v>0</v>
      </c>
      <c r="E79" s="49">
        <f>'[1]3нед'!D19</f>
        <v>0</v>
      </c>
      <c r="F79" s="50">
        <f>'[1]3нед'!G19</f>
        <v>0</v>
      </c>
      <c r="G79" s="51" t="str">
        <f>'[1]3нед'!H19</f>
        <v/>
      </c>
      <c r="H79" s="52"/>
      <c r="I79" s="53"/>
      <c r="J79" s="54"/>
      <c r="K79" s="47"/>
      <c r="L79" s="48">
        <f>'[1]4нед'!C19</f>
        <v>0</v>
      </c>
      <c r="M79" s="49">
        <f>'[1]4нед'!D19</f>
        <v>0</v>
      </c>
      <c r="N79" s="50">
        <f>'[1]4нед'!G19</f>
        <v>0</v>
      </c>
      <c r="O79" s="51" t="str">
        <f>'[1]4нед'!H19</f>
        <v/>
      </c>
      <c r="P79" s="52"/>
    </row>
    <row r="80" ht="32.25" customHeight="1" spans="1:16">
      <c r="A80" s="27">
        <v>46280</v>
      </c>
      <c r="B80" s="28" t="s">
        <v>23</v>
      </c>
      <c r="C80" s="55" t="s">
        <v>16</v>
      </c>
      <c r="D80" s="30">
        <f>'[1]3нед'!C20</f>
        <v>0</v>
      </c>
      <c r="E80" s="31">
        <f>'[1]3нед'!D20</f>
        <v>0</v>
      </c>
      <c r="F80" s="32">
        <f>'[1]3нед'!G20</f>
        <v>0</v>
      </c>
      <c r="G80" s="33" t="str">
        <f>'[1]3нед'!H20</f>
        <v/>
      </c>
      <c r="H80" s="34"/>
      <c r="I80" s="27">
        <v>46287</v>
      </c>
      <c r="J80" s="35" t="s">
        <v>23</v>
      </c>
      <c r="K80" s="55" t="s">
        <v>16</v>
      </c>
      <c r="L80" s="30">
        <f>'[1]4нед'!C20</f>
        <v>0</v>
      </c>
      <c r="M80" s="31">
        <f>'[1]4нед'!D20</f>
        <v>0</v>
      </c>
      <c r="N80" s="32">
        <f>'[1]4нед'!G20</f>
        <v>0</v>
      </c>
      <c r="O80" s="33" t="str">
        <f>'[1]4нед'!H20</f>
        <v/>
      </c>
      <c r="P80" s="34"/>
    </row>
    <row r="81" ht="31.5" spans="1:16">
      <c r="A81" s="36"/>
      <c r="B81" s="37"/>
      <c r="C81" s="29" t="s">
        <v>17</v>
      </c>
      <c r="D81" s="38">
        <f>'[1]3нед'!C21</f>
        <v>0</v>
      </c>
      <c r="E81" s="39">
        <f>'[1]3нед'!D21</f>
        <v>0</v>
      </c>
      <c r="F81" s="40">
        <f>'[1]3нед'!G21</f>
        <v>0</v>
      </c>
      <c r="G81" s="41" t="str">
        <f>'[1]3нед'!H21</f>
        <v/>
      </c>
      <c r="H81" s="42"/>
      <c r="I81" s="43"/>
      <c r="J81" s="44"/>
      <c r="K81" s="29" t="s">
        <v>17</v>
      </c>
      <c r="L81" s="38">
        <f>'[1]4нед'!C21</f>
        <v>0</v>
      </c>
      <c r="M81" s="39">
        <f>'[1]4нед'!D21</f>
        <v>0</v>
      </c>
      <c r="N81" s="40">
        <f>'[1]4нед'!G21</f>
        <v>0</v>
      </c>
      <c r="O81" s="41" t="str">
        <f>'[1]4нед'!H21</f>
        <v/>
      </c>
      <c r="P81" s="42"/>
    </row>
    <row r="82" ht="31.5" spans="1:16">
      <c r="A82" s="36"/>
      <c r="B82" s="37"/>
      <c r="C82" s="29" t="s">
        <v>18</v>
      </c>
      <c r="D82" s="38">
        <f>'[1]3нед'!C22</f>
        <v>0</v>
      </c>
      <c r="E82" s="39">
        <f>'[1]3нед'!D22</f>
        <v>0</v>
      </c>
      <c r="F82" s="40">
        <f>'[1]3нед'!G22</f>
        <v>0</v>
      </c>
      <c r="G82" s="41" t="str">
        <f>'[1]3нед'!H22</f>
        <v/>
      </c>
      <c r="H82" s="42"/>
      <c r="I82" s="43"/>
      <c r="J82" s="44"/>
      <c r="K82" s="29" t="s">
        <v>18</v>
      </c>
      <c r="L82" s="38">
        <f>'[1]4нед'!C22</f>
        <v>0</v>
      </c>
      <c r="M82" s="39">
        <f>'[1]4нед'!D22</f>
        <v>0</v>
      </c>
      <c r="N82" s="40">
        <f>'[1]4нед'!G22</f>
        <v>0</v>
      </c>
      <c r="O82" s="41" t="str">
        <f>'[1]4нед'!H22</f>
        <v/>
      </c>
      <c r="P82" s="42"/>
    </row>
    <row r="83" ht="31.5" spans="1:16">
      <c r="A83" s="36"/>
      <c r="B83" s="37"/>
      <c r="C83" s="29" t="s">
        <v>19</v>
      </c>
      <c r="D83" s="38">
        <f>'[1]3нед'!C23</f>
        <v>0</v>
      </c>
      <c r="E83" s="39">
        <f>'[1]3нед'!D23</f>
        <v>0</v>
      </c>
      <c r="F83" s="40">
        <f>'[1]3нед'!G23</f>
        <v>0</v>
      </c>
      <c r="G83" s="41" t="str">
        <f>'[1]3нед'!H23</f>
        <v/>
      </c>
      <c r="H83" s="42"/>
      <c r="I83" s="43"/>
      <c r="J83" s="44"/>
      <c r="K83" s="29" t="s">
        <v>19</v>
      </c>
      <c r="L83" s="38">
        <f>'[1]4нед'!C23</f>
        <v>0</v>
      </c>
      <c r="M83" s="39">
        <f>'[1]4нед'!D23</f>
        <v>0</v>
      </c>
      <c r="N83" s="40">
        <f>'[1]4нед'!G23</f>
        <v>0</v>
      </c>
      <c r="O83" s="41" t="str">
        <f>'[1]4нед'!H23</f>
        <v/>
      </c>
      <c r="P83" s="42"/>
    </row>
    <row r="84" ht="31.5" spans="1:16">
      <c r="A84" s="36"/>
      <c r="B84" s="37"/>
      <c r="C84" s="29" t="s">
        <v>20</v>
      </c>
      <c r="D84" s="38">
        <f>'[1]3нед'!C24</f>
        <v>0</v>
      </c>
      <c r="E84" s="39">
        <f>'[1]3нед'!D24</f>
        <v>0</v>
      </c>
      <c r="F84" s="40">
        <f>'[1]3нед'!G24</f>
        <v>0</v>
      </c>
      <c r="G84" s="41" t="str">
        <f>'[1]3нед'!H24</f>
        <v/>
      </c>
      <c r="H84" s="42"/>
      <c r="I84" s="43"/>
      <c r="J84" s="44"/>
      <c r="K84" s="29" t="s">
        <v>20</v>
      </c>
      <c r="L84" s="38">
        <f>'[1]4нед'!C24</f>
        <v>0</v>
      </c>
      <c r="M84" s="39">
        <f>'[1]4нед'!D24</f>
        <v>0</v>
      </c>
      <c r="N84" s="40">
        <f>'[1]4нед'!G24</f>
        <v>0</v>
      </c>
      <c r="O84" s="41" t="str">
        <f>'[1]4нед'!H24</f>
        <v/>
      </c>
      <c r="P84" s="42"/>
    </row>
    <row r="85" ht="31.5" spans="1:16">
      <c r="A85" s="36"/>
      <c r="B85" s="37"/>
      <c r="C85" s="29" t="s">
        <v>21</v>
      </c>
      <c r="D85" s="38">
        <f>'[1]3нед'!C25</f>
        <v>0</v>
      </c>
      <c r="E85" s="39">
        <f>'[1]3нед'!D25</f>
        <v>0</v>
      </c>
      <c r="F85" s="40">
        <f>'[1]3нед'!G25</f>
        <v>0</v>
      </c>
      <c r="G85" s="41" t="str">
        <f>'[1]3нед'!H25</f>
        <v/>
      </c>
      <c r="H85" s="42"/>
      <c r="I85" s="43"/>
      <c r="J85" s="44"/>
      <c r="K85" s="29" t="s">
        <v>21</v>
      </c>
      <c r="L85" s="38">
        <f>'[1]4нед'!C25</f>
        <v>0</v>
      </c>
      <c r="M85" s="39">
        <f>'[1]4нед'!D25</f>
        <v>0</v>
      </c>
      <c r="N85" s="40">
        <f>'[1]4нед'!G25</f>
        <v>0</v>
      </c>
      <c r="O85" s="41" t="str">
        <f>'[1]4нед'!H25</f>
        <v/>
      </c>
      <c r="P85" s="42"/>
    </row>
    <row r="86" ht="32.25" spans="1:16">
      <c r="A86" s="36"/>
      <c r="B86" s="37"/>
      <c r="C86" s="29" t="s">
        <v>22</v>
      </c>
      <c r="D86" s="38">
        <f>'[1]3нед'!C26</f>
        <v>0</v>
      </c>
      <c r="E86" s="39">
        <f>'[1]3нед'!D26</f>
        <v>0</v>
      </c>
      <c r="F86" s="40">
        <f>'[1]3нед'!G26</f>
        <v>0</v>
      </c>
      <c r="G86" s="41" t="str">
        <f>'[1]3нед'!H26</f>
        <v/>
      </c>
      <c r="H86" s="42"/>
      <c r="I86" s="43"/>
      <c r="J86" s="44"/>
      <c r="K86" s="29" t="s">
        <v>22</v>
      </c>
      <c r="L86" s="38">
        <f>'[1]4нед'!C26</f>
        <v>0</v>
      </c>
      <c r="M86" s="39">
        <f>'[1]4нед'!D26</f>
        <v>0</v>
      </c>
      <c r="N86" s="40">
        <f>'[1]4нед'!G26</f>
        <v>0</v>
      </c>
      <c r="O86" s="41" t="str">
        <f>'[1]4нед'!H26</f>
        <v/>
      </c>
      <c r="P86" s="42"/>
    </row>
    <row r="87" ht="18.4" hidden="1" customHeight="1" spans="1:16">
      <c r="A87" s="45"/>
      <c r="B87" s="46"/>
      <c r="C87" s="47"/>
      <c r="D87" s="48">
        <f>'[1]3нед'!C27</f>
        <v>0</v>
      </c>
      <c r="E87" s="49">
        <f>'[1]3нед'!D27</f>
        <v>0</v>
      </c>
      <c r="F87" s="50">
        <f>'[1]3нед'!G27</f>
        <v>0</v>
      </c>
      <c r="G87" s="51" t="str">
        <f>'[1]3нед'!H27</f>
        <v/>
      </c>
      <c r="H87" s="52"/>
      <c r="I87" s="53"/>
      <c r="J87" s="54"/>
      <c r="K87" s="47"/>
      <c r="L87" s="48">
        <f>'[1]4нед'!C27</f>
        <v>0</v>
      </c>
      <c r="M87" s="49">
        <f>'[1]4нед'!D27</f>
        <v>0</v>
      </c>
      <c r="N87" s="50">
        <f>'[1]4нед'!G27</f>
        <v>0</v>
      </c>
      <c r="O87" s="51" t="str">
        <f>'[1]4нед'!H27</f>
        <v/>
      </c>
      <c r="P87" s="52"/>
    </row>
    <row r="88" ht="48" customHeight="1" spans="1:16">
      <c r="A88" s="27">
        <v>46281</v>
      </c>
      <c r="B88" s="57" t="s">
        <v>24</v>
      </c>
      <c r="C88" s="55" t="s">
        <v>16</v>
      </c>
      <c r="D88" s="30">
        <f>'[1]3нед'!C28</f>
        <v>0</v>
      </c>
      <c r="E88" s="31">
        <f>'[1]3нед'!D28</f>
        <v>0</v>
      </c>
      <c r="F88" s="32">
        <f>'[1]3нед'!G28</f>
        <v>0</v>
      </c>
      <c r="G88" s="33" t="str">
        <f>'[1]3нед'!H28</f>
        <v/>
      </c>
      <c r="H88" s="34"/>
      <c r="I88" s="27">
        <v>46288</v>
      </c>
      <c r="J88" s="58" t="s">
        <v>24</v>
      </c>
      <c r="K88" s="55" t="s">
        <v>16</v>
      </c>
      <c r="L88" s="30">
        <f>'[1]4нед'!C28</f>
        <v>0</v>
      </c>
      <c r="M88" s="31">
        <f>'[1]4нед'!D28</f>
        <v>0</v>
      </c>
      <c r="N88" s="32">
        <f>'[1]4нед'!G28</f>
        <v>0</v>
      </c>
      <c r="O88" s="33" t="str">
        <f>'[1]4нед'!H28</f>
        <v/>
      </c>
      <c r="P88" s="34"/>
    </row>
    <row r="89" ht="31.5" spans="1:16">
      <c r="A89" s="36"/>
      <c r="B89" s="59"/>
      <c r="C89" s="29" t="s">
        <v>17</v>
      </c>
      <c r="D89" s="38">
        <f>'[1]3нед'!C29</f>
        <v>0</v>
      </c>
      <c r="E89" s="39">
        <f>'[1]3нед'!D29</f>
        <v>0</v>
      </c>
      <c r="F89" s="40">
        <f>'[1]3нед'!G29</f>
        <v>0</v>
      </c>
      <c r="G89" s="41" t="str">
        <f>'[1]3нед'!H29</f>
        <v/>
      </c>
      <c r="H89" s="42"/>
      <c r="I89" s="43"/>
      <c r="J89" s="60"/>
      <c r="K89" s="29" t="s">
        <v>17</v>
      </c>
      <c r="L89" s="38">
        <f>'[1]4нед'!C29</f>
        <v>0</v>
      </c>
      <c r="M89" s="39">
        <f>'[1]4нед'!D29</f>
        <v>0</v>
      </c>
      <c r="N89" s="40">
        <f>'[1]4нед'!G29</f>
        <v>0</v>
      </c>
      <c r="O89" s="41" t="str">
        <f>'[1]4нед'!H29</f>
        <v/>
      </c>
      <c r="P89" s="42"/>
    </row>
    <row r="90" ht="31.5" spans="1:16">
      <c r="A90" s="36"/>
      <c r="B90" s="59"/>
      <c r="C90" s="29" t="s">
        <v>18</v>
      </c>
      <c r="D90" s="38">
        <f>'[1]3нед'!C30</f>
        <v>0</v>
      </c>
      <c r="E90" s="39">
        <f>'[1]3нед'!D30</f>
        <v>0</v>
      </c>
      <c r="F90" s="40">
        <f>'[1]3нед'!G30</f>
        <v>0</v>
      </c>
      <c r="G90" s="41" t="str">
        <f>'[1]3нед'!H30</f>
        <v/>
      </c>
      <c r="H90" s="42"/>
      <c r="I90" s="43"/>
      <c r="J90" s="60"/>
      <c r="K90" s="29" t="s">
        <v>18</v>
      </c>
      <c r="L90" s="38">
        <f>'[1]4нед'!C30</f>
        <v>0</v>
      </c>
      <c r="M90" s="39">
        <f>'[1]4нед'!D30</f>
        <v>0</v>
      </c>
      <c r="N90" s="40">
        <f>'[1]4нед'!G30</f>
        <v>0</v>
      </c>
      <c r="O90" s="41" t="str">
        <f>'[1]4нед'!H30</f>
        <v/>
      </c>
      <c r="P90" s="42"/>
    </row>
    <row r="91" ht="31.5" spans="1:16">
      <c r="A91" s="36"/>
      <c r="B91" s="59"/>
      <c r="C91" s="29" t="s">
        <v>19</v>
      </c>
      <c r="D91" s="38">
        <f>'[1]3нед'!C31</f>
        <v>0</v>
      </c>
      <c r="E91" s="39">
        <f>'[1]3нед'!D31</f>
        <v>0</v>
      </c>
      <c r="F91" s="40">
        <f>'[1]3нед'!G31</f>
        <v>0</v>
      </c>
      <c r="G91" s="41" t="str">
        <f>'[1]3нед'!H31</f>
        <v/>
      </c>
      <c r="H91" s="42"/>
      <c r="I91" s="43"/>
      <c r="J91" s="60"/>
      <c r="K91" s="29" t="s">
        <v>19</v>
      </c>
      <c r="L91" s="38">
        <f>'[1]4нед'!C31</f>
        <v>0</v>
      </c>
      <c r="M91" s="39">
        <f>'[1]4нед'!D31</f>
        <v>0</v>
      </c>
      <c r="N91" s="40">
        <f>'[1]4нед'!G31</f>
        <v>0</v>
      </c>
      <c r="O91" s="41" t="str">
        <f>'[1]4нед'!H31</f>
        <v/>
      </c>
      <c r="P91" s="42"/>
    </row>
    <row r="92" ht="31.5" spans="1:16">
      <c r="A92" s="36"/>
      <c r="B92" s="59"/>
      <c r="C92" s="29" t="s">
        <v>20</v>
      </c>
      <c r="D92" s="38">
        <f>'[1]3нед'!C32</f>
        <v>0</v>
      </c>
      <c r="E92" s="39">
        <f>'[1]3нед'!D32</f>
        <v>0</v>
      </c>
      <c r="F92" s="40">
        <f>'[1]3нед'!G32</f>
        <v>0</v>
      </c>
      <c r="G92" s="41" t="str">
        <f>'[1]3нед'!H32</f>
        <v/>
      </c>
      <c r="H92" s="42"/>
      <c r="I92" s="43"/>
      <c r="J92" s="60"/>
      <c r="K92" s="29" t="s">
        <v>20</v>
      </c>
      <c r="L92" s="38">
        <f>'[1]4нед'!C32</f>
        <v>0</v>
      </c>
      <c r="M92" s="39">
        <f>'[1]4нед'!D32</f>
        <v>0</v>
      </c>
      <c r="N92" s="40">
        <f>'[1]4нед'!G32</f>
        <v>0</v>
      </c>
      <c r="O92" s="41" t="str">
        <f>'[1]4нед'!H32</f>
        <v/>
      </c>
      <c r="P92" s="42"/>
    </row>
    <row r="93" ht="31.5" spans="1:16">
      <c r="A93" s="36"/>
      <c r="B93" s="59"/>
      <c r="C93" s="29" t="s">
        <v>21</v>
      </c>
      <c r="D93" s="38">
        <f>'[1]3нед'!C33</f>
        <v>0</v>
      </c>
      <c r="E93" s="39">
        <f>'[1]3нед'!D33</f>
        <v>0</v>
      </c>
      <c r="F93" s="40">
        <f>'[1]3нед'!G33</f>
        <v>0</v>
      </c>
      <c r="G93" s="41" t="str">
        <f>'[1]3нед'!H33</f>
        <v/>
      </c>
      <c r="H93" s="56"/>
      <c r="I93" s="43"/>
      <c r="J93" s="60"/>
      <c r="K93" s="29" t="s">
        <v>21</v>
      </c>
      <c r="L93" s="38">
        <f>'[1]4нед'!C33</f>
        <v>0</v>
      </c>
      <c r="M93" s="39">
        <f>'[1]4нед'!D33</f>
        <v>0</v>
      </c>
      <c r="N93" s="40">
        <f>'[1]4нед'!G33</f>
        <v>0</v>
      </c>
      <c r="O93" s="41" t="str">
        <f>'[1]4нед'!H33</f>
        <v/>
      </c>
      <c r="P93" s="56"/>
    </row>
    <row r="94" ht="32.25" spans="1:16">
      <c r="A94" s="36"/>
      <c r="B94" s="59"/>
      <c r="C94" s="29" t="s">
        <v>22</v>
      </c>
      <c r="D94" s="38">
        <f>'[1]3нед'!C34</f>
        <v>0</v>
      </c>
      <c r="E94" s="39">
        <f>'[1]3нед'!D34</f>
        <v>0</v>
      </c>
      <c r="F94" s="40">
        <f>'[1]3нед'!G34</f>
        <v>0</v>
      </c>
      <c r="G94" s="41" t="str">
        <f>'[1]3нед'!H34</f>
        <v/>
      </c>
      <c r="H94" s="56"/>
      <c r="I94" s="43"/>
      <c r="J94" s="60"/>
      <c r="K94" s="29" t="s">
        <v>22</v>
      </c>
      <c r="L94" s="38">
        <f>'[1]4нед'!C34</f>
        <v>0</v>
      </c>
      <c r="M94" s="39">
        <f>'[1]4нед'!D34</f>
        <v>0</v>
      </c>
      <c r="N94" s="40">
        <f>'[1]4нед'!G34</f>
        <v>0</v>
      </c>
      <c r="O94" s="41" t="str">
        <f>'[1]4нед'!H34</f>
        <v/>
      </c>
      <c r="P94" s="56"/>
    </row>
    <row r="95" ht="18.4" hidden="1" customHeight="1" spans="1:16">
      <c r="A95" s="45"/>
      <c r="B95" s="61"/>
      <c r="C95" s="47"/>
      <c r="D95" s="48">
        <f>'[1]3нед'!C35</f>
        <v>0</v>
      </c>
      <c r="E95" s="49">
        <f>'[1]3нед'!D35</f>
        <v>0</v>
      </c>
      <c r="F95" s="50">
        <f>'[1]3нед'!G35</f>
        <v>0</v>
      </c>
      <c r="G95" s="51" t="str">
        <f>'[1]3нед'!H35</f>
        <v/>
      </c>
      <c r="H95" s="52"/>
      <c r="I95" s="53"/>
      <c r="J95" s="62"/>
      <c r="K95" s="47"/>
      <c r="L95" s="48">
        <f>'[1]4нед'!C35</f>
        <v>0</v>
      </c>
      <c r="M95" s="49">
        <f>'[1]4нед'!D35</f>
        <v>0</v>
      </c>
      <c r="N95" s="50">
        <f>'[1]4нед'!G35</f>
        <v>0</v>
      </c>
      <c r="O95" s="51" t="str">
        <f>'[1]4нед'!H35</f>
        <v/>
      </c>
      <c r="P95" s="52"/>
    </row>
    <row r="96" ht="48" customHeight="1" spans="1:16">
      <c r="A96" s="27">
        <v>46282</v>
      </c>
      <c r="B96" s="28" t="s">
        <v>25</v>
      </c>
      <c r="C96" s="55" t="s">
        <v>16</v>
      </c>
      <c r="D96" s="30">
        <f>'[1]3нед'!C36</f>
        <v>0</v>
      </c>
      <c r="E96" s="31">
        <f>'[1]3нед'!D36</f>
        <v>0</v>
      </c>
      <c r="F96" s="32">
        <f>'[1]3нед'!G36</f>
        <v>0</v>
      </c>
      <c r="G96" s="33" t="str">
        <f>'[1]3нед'!H36</f>
        <v/>
      </c>
      <c r="H96" s="34"/>
      <c r="I96" s="27">
        <v>46289</v>
      </c>
      <c r="J96" s="35" t="s">
        <v>25</v>
      </c>
      <c r="K96" s="55" t="s">
        <v>16</v>
      </c>
      <c r="L96" s="30">
        <f>'[1]4нед'!C36</f>
        <v>0</v>
      </c>
      <c r="M96" s="31">
        <f>'[1]4нед'!D36</f>
        <v>0</v>
      </c>
      <c r="N96" s="32">
        <f>'[1]4нед'!G36</f>
        <v>0</v>
      </c>
      <c r="O96" s="33" t="str">
        <f>'[1]4нед'!H36</f>
        <v/>
      </c>
      <c r="P96" s="34"/>
    </row>
    <row r="97" ht="31.5" spans="1:16">
      <c r="A97" s="36"/>
      <c r="B97" s="37"/>
      <c r="C97" s="29" t="s">
        <v>17</v>
      </c>
      <c r="D97" s="38">
        <f>'[1]3нед'!C37</f>
        <v>0</v>
      </c>
      <c r="E97" s="39">
        <f>'[1]3нед'!D37</f>
        <v>0</v>
      </c>
      <c r="F97" s="40">
        <f>'[1]3нед'!G37</f>
        <v>0</v>
      </c>
      <c r="G97" s="41" t="str">
        <f>'[1]3нед'!H37</f>
        <v/>
      </c>
      <c r="H97" s="42"/>
      <c r="I97" s="43"/>
      <c r="J97" s="44"/>
      <c r="K97" s="29" t="s">
        <v>17</v>
      </c>
      <c r="L97" s="38">
        <f>'[1]4нед'!C37</f>
        <v>0</v>
      </c>
      <c r="M97" s="39">
        <f>'[1]4нед'!D37</f>
        <v>0</v>
      </c>
      <c r="N97" s="40">
        <f>'[1]4нед'!G37</f>
        <v>0</v>
      </c>
      <c r="O97" s="41" t="str">
        <f>'[1]4нед'!H37</f>
        <v/>
      </c>
      <c r="P97" s="42"/>
    </row>
    <row r="98" ht="31.5" spans="1:16">
      <c r="A98" s="36"/>
      <c r="B98" s="37"/>
      <c r="C98" s="29" t="s">
        <v>18</v>
      </c>
      <c r="D98" s="38">
        <f>'[1]3нед'!C38</f>
        <v>0</v>
      </c>
      <c r="E98" s="39">
        <f>'[1]3нед'!D38</f>
        <v>0</v>
      </c>
      <c r="F98" s="40">
        <f>'[1]3нед'!G38</f>
        <v>0</v>
      </c>
      <c r="G98" s="41" t="str">
        <f>'[1]3нед'!H38</f>
        <v/>
      </c>
      <c r="H98" s="42"/>
      <c r="I98" s="43"/>
      <c r="J98" s="44"/>
      <c r="K98" s="29" t="s">
        <v>18</v>
      </c>
      <c r="L98" s="38">
        <f>'[1]4нед'!C38</f>
        <v>0</v>
      </c>
      <c r="M98" s="39">
        <f>'[1]4нед'!D38</f>
        <v>0</v>
      </c>
      <c r="N98" s="40">
        <f>'[1]4нед'!G38</f>
        <v>0</v>
      </c>
      <c r="O98" s="41" t="str">
        <f>'[1]4нед'!H38</f>
        <v/>
      </c>
      <c r="P98" s="42"/>
    </row>
    <row r="99" ht="31.5" spans="1:16">
      <c r="A99" s="36"/>
      <c r="B99" s="37"/>
      <c r="C99" s="29" t="s">
        <v>19</v>
      </c>
      <c r="D99" s="38">
        <f>'[1]3нед'!C39</f>
        <v>0</v>
      </c>
      <c r="E99" s="39">
        <f>'[1]3нед'!D39</f>
        <v>0</v>
      </c>
      <c r="F99" s="40">
        <f>'[1]3нед'!G39</f>
        <v>0</v>
      </c>
      <c r="G99" s="41" t="str">
        <f>'[1]3нед'!H39</f>
        <v/>
      </c>
      <c r="H99" s="42"/>
      <c r="I99" s="43"/>
      <c r="J99" s="44"/>
      <c r="K99" s="29" t="s">
        <v>19</v>
      </c>
      <c r="L99" s="38">
        <f>'[1]4нед'!C39</f>
        <v>0</v>
      </c>
      <c r="M99" s="39">
        <f>'[1]4нед'!D39</f>
        <v>0</v>
      </c>
      <c r="N99" s="40">
        <f>'[1]4нед'!G39</f>
        <v>0</v>
      </c>
      <c r="O99" s="41" t="str">
        <f>'[1]4нед'!H39</f>
        <v/>
      </c>
      <c r="P99" s="42"/>
    </row>
    <row r="100" ht="31.5" spans="1:16">
      <c r="A100" s="36"/>
      <c r="B100" s="37"/>
      <c r="C100" s="29" t="s">
        <v>20</v>
      </c>
      <c r="D100" s="38">
        <f>'[1]3нед'!C40</f>
        <v>0</v>
      </c>
      <c r="E100" s="39">
        <f>'[1]3нед'!D40</f>
        <v>0</v>
      </c>
      <c r="F100" s="40">
        <f>'[1]3нед'!G40</f>
        <v>0</v>
      </c>
      <c r="G100" s="41" t="str">
        <f>'[1]3нед'!H40</f>
        <v/>
      </c>
      <c r="H100" s="42"/>
      <c r="I100" s="43"/>
      <c r="J100" s="44"/>
      <c r="K100" s="29" t="s">
        <v>20</v>
      </c>
      <c r="L100" s="38">
        <f>'[1]4нед'!C40</f>
        <v>0</v>
      </c>
      <c r="M100" s="39">
        <f>'[1]4нед'!D40</f>
        <v>0</v>
      </c>
      <c r="N100" s="40">
        <f>'[1]4нед'!G40</f>
        <v>0</v>
      </c>
      <c r="O100" s="41" t="str">
        <f>'[1]4нед'!H40</f>
        <v/>
      </c>
      <c r="P100" s="42"/>
    </row>
    <row r="101" ht="31.5" spans="1:16">
      <c r="A101" s="36"/>
      <c r="B101" s="37"/>
      <c r="C101" s="29" t="s">
        <v>21</v>
      </c>
      <c r="D101" s="38">
        <f>'[1]3нед'!C41</f>
        <v>0</v>
      </c>
      <c r="E101" s="39">
        <f>'[1]3нед'!D41</f>
        <v>0</v>
      </c>
      <c r="F101" s="40">
        <f>'[1]3нед'!G41</f>
        <v>0</v>
      </c>
      <c r="G101" s="41" t="str">
        <f>'[1]3нед'!H41</f>
        <v/>
      </c>
      <c r="H101" s="56"/>
      <c r="I101" s="43"/>
      <c r="J101" s="44"/>
      <c r="K101" s="29" t="s">
        <v>21</v>
      </c>
      <c r="L101" s="38">
        <f>'[1]4нед'!C41</f>
        <v>0</v>
      </c>
      <c r="M101" s="39">
        <f>'[1]4нед'!D41</f>
        <v>0</v>
      </c>
      <c r="N101" s="40">
        <f>'[1]4нед'!G41</f>
        <v>0</v>
      </c>
      <c r="O101" s="41" t="str">
        <f>'[1]4нед'!H41</f>
        <v/>
      </c>
      <c r="P101" s="56"/>
    </row>
    <row r="102" ht="32.25" spans="1:16">
      <c r="A102" s="36"/>
      <c r="B102" s="37"/>
      <c r="C102" s="29" t="s">
        <v>22</v>
      </c>
      <c r="D102" s="38">
        <f>'[1]3нед'!C42</f>
        <v>0</v>
      </c>
      <c r="E102" s="39">
        <f>'[1]3нед'!D42</f>
        <v>0</v>
      </c>
      <c r="F102" s="40">
        <f>'[1]3нед'!G42</f>
        <v>0</v>
      </c>
      <c r="G102" s="41" t="str">
        <f>'[1]3нед'!H42</f>
        <v/>
      </c>
      <c r="H102" s="56"/>
      <c r="I102" s="43"/>
      <c r="J102" s="44"/>
      <c r="K102" s="29" t="s">
        <v>22</v>
      </c>
      <c r="L102" s="38">
        <f>'[1]4нед'!C42</f>
        <v>0</v>
      </c>
      <c r="M102" s="39">
        <f>'[1]4нед'!D42</f>
        <v>0</v>
      </c>
      <c r="N102" s="40">
        <f>'[1]4нед'!G42</f>
        <v>0</v>
      </c>
      <c r="O102" s="41" t="str">
        <f>'[1]4нед'!H42</f>
        <v/>
      </c>
      <c r="P102" s="56"/>
    </row>
    <row r="103" ht="18.4" hidden="1" customHeight="1" spans="1:16">
      <c r="A103" s="45"/>
      <c r="B103" s="46"/>
      <c r="C103" s="47"/>
      <c r="D103" s="48">
        <f>'[1]3нед'!C43</f>
        <v>0</v>
      </c>
      <c r="E103" s="49">
        <f>'[1]3нед'!D43</f>
        <v>0</v>
      </c>
      <c r="F103" s="50">
        <f>'[1]3нед'!G43</f>
        <v>0</v>
      </c>
      <c r="G103" s="51" t="str">
        <f>'[1]3нед'!H43</f>
        <v/>
      </c>
      <c r="H103" s="52"/>
      <c r="I103" s="53"/>
      <c r="J103" s="54"/>
      <c r="K103" s="47"/>
      <c r="L103" s="48">
        <f>'[1]4нед'!C43</f>
        <v>0</v>
      </c>
      <c r="M103" s="49">
        <f>'[1]4нед'!D43</f>
        <v>0</v>
      </c>
      <c r="N103" s="50">
        <f>'[1]4нед'!G43</f>
        <v>0</v>
      </c>
      <c r="O103" s="51" t="str">
        <f>'[1]4нед'!H43</f>
        <v/>
      </c>
      <c r="P103" s="52"/>
    </row>
    <row r="104" ht="48" customHeight="1" spans="1:16">
      <c r="A104" s="27">
        <v>46283</v>
      </c>
      <c r="B104" s="28" t="s">
        <v>26</v>
      </c>
      <c r="C104" s="55" t="s">
        <v>16</v>
      </c>
      <c r="D104" s="30">
        <f>'[1]3нед'!C44</f>
        <v>0</v>
      </c>
      <c r="E104" s="31">
        <f>'[1]3нед'!D44</f>
        <v>0</v>
      </c>
      <c r="F104" s="32">
        <f>'[1]3нед'!G44</f>
        <v>0</v>
      </c>
      <c r="G104" s="33" t="str">
        <f>'[1]3нед'!H44</f>
        <v/>
      </c>
      <c r="H104" s="34"/>
      <c r="I104" s="27">
        <v>46290</v>
      </c>
      <c r="J104" s="35" t="s">
        <v>26</v>
      </c>
      <c r="K104" s="55" t="s">
        <v>16</v>
      </c>
      <c r="L104" s="30">
        <f>'[1]4нед'!C44</f>
        <v>0</v>
      </c>
      <c r="M104" s="31">
        <f>'[1]4нед'!D44</f>
        <v>0</v>
      </c>
      <c r="N104" s="32">
        <f>'[1]4нед'!G44</f>
        <v>0</v>
      </c>
      <c r="O104" s="33" t="str">
        <f>'[1]4нед'!H44</f>
        <v/>
      </c>
      <c r="P104" s="34"/>
    </row>
    <row r="105" ht="31.5" spans="1:16">
      <c r="A105" s="36"/>
      <c r="B105" s="37"/>
      <c r="C105" s="29" t="s">
        <v>17</v>
      </c>
      <c r="D105" s="38">
        <f>'[1]3нед'!C45</f>
        <v>0</v>
      </c>
      <c r="E105" s="39">
        <f>'[1]3нед'!D45</f>
        <v>0</v>
      </c>
      <c r="F105" s="40">
        <f>'[1]3нед'!G45</f>
        <v>0</v>
      </c>
      <c r="G105" s="41" t="str">
        <f>'[1]3нед'!H45</f>
        <v/>
      </c>
      <c r="H105" s="42"/>
      <c r="I105" s="43"/>
      <c r="J105" s="44"/>
      <c r="K105" s="29" t="s">
        <v>17</v>
      </c>
      <c r="L105" s="38">
        <f>'[1]4нед'!C45</f>
        <v>0</v>
      </c>
      <c r="M105" s="39">
        <f>'[1]4нед'!D45</f>
        <v>0</v>
      </c>
      <c r="N105" s="40">
        <f>'[1]4нед'!G45</f>
        <v>0</v>
      </c>
      <c r="O105" s="41" t="str">
        <f>'[1]4нед'!H45</f>
        <v/>
      </c>
      <c r="P105" s="42"/>
    </row>
    <row r="106" ht="31.5" spans="1:16">
      <c r="A106" s="36"/>
      <c r="B106" s="37"/>
      <c r="C106" s="29" t="s">
        <v>18</v>
      </c>
      <c r="D106" s="38">
        <f>'[1]3нед'!C46</f>
        <v>0</v>
      </c>
      <c r="E106" s="39">
        <f>'[1]3нед'!D46</f>
        <v>0</v>
      </c>
      <c r="F106" s="40">
        <f>'[1]3нед'!G46</f>
        <v>0</v>
      </c>
      <c r="G106" s="41" t="str">
        <f>'[1]3нед'!H46</f>
        <v/>
      </c>
      <c r="H106" s="42"/>
      <c r="I106" s="43"/>
      <c r="J106" s="44"/>
      <c r="K106" s="29" t="s">
        <v>18</v>
      </c>
      <c r="L106" s="38">
        <f>'[1]4нед'!C46</f>
        <v>0</v>
      </c>
      <c r="M106" s="39">
        <f>'[1]4нед'!D46</f>
        <v>0</v>
      </c>
      <c r="N106" s="40">
        <f>'[1]4нед'!G46</f>
        <v>0</v>
      </c>
      <c r="O106" s="41" t="str">
        <f>'[1]4нед'!H46</f>
        <v/>
      </c>
      <c r="P106" s="42"/>
    </row>
    <row r="107" ht="31.5" spans="1:16">
      <c r="A107" s="36"/>
      <c r="B107" s="37"/>
      <c r="C107" s="29" t="s">
        <v>19</v>
      </c>
      <c r="D107" s="38">
        <f>'[1]3нед'!C47</f>
        <v>0</v>
      </c>
      <c r="E107" s="39">
        <f>'[1]3нед'!D47</f>
        <v>0</v>
      </c>
      <c r="F107" s="40">
        <f>'[1]3нед'!G47</f>
        <v>0</v>
      </c>
      <c r="G107" s="41" t="str">
        <f>'[1]3нед'!H47</f>
        <v/>
      </c>
      <c r="H107" s="42"/>
      <c r="I107" s="43"/>
      <c r="J107" s="44"/>
      <c r="K107" s="29" t="s">
        <v>19</v>
      </c>
      <c r="L107" s="38">
        <f>'[1]4нед'!C47</f>
        <v>0</v>
      </c>
      <c r="M107" s="39">
        <f>'[1]4нед'!D47</f>
        <v>0</v>
      </c>
      <c r="N107" s="40">
        <f>'[1]4нед'!G47</f>
        <v>0</v>
      </c>
      <c r="O107" s="41" t="str">
        <f>'[1]4нед'!H47</f>
        <v/>
      </c>
      <c r="P107" s="42"/>
    </row>
    <row r="108" ht="31.5" spans="1:16">
      <c r="A108" s="36"/>
      <c r="B108" s="37"/>
      <c r="C108" s="29" t="s">
        <v>20</v>
      </c>
      <c r="D108" s="38">
        <f>'[1]3нед'!C48</f>
        <v>0</v>
      </c>
      <c r="E108" s="39">
        <f>'[1]3нед'!D48</f>
        <v>0</v>
      </c>
      <c r="F108" s="40">
        <f>'[1]3нед'!G48</f>
        <v>0</v>
      </c>
      <c r="G108" s="41" t="str">
        <f>'[1]3нед'!H48</f>
        <v/>
      </c>
      <c r="H108" s="42"/>
      <c r="I108" s="43"/>
      <c r="J108" s="44"/>
      <c r="K108" s="29" t="s">
        <v>20</v>
      </c>
      <c r="L108" s="38">
        <f>'[1]4нед'!C48</f>
        <v>0</v>
      </c>
      <c r="M108" s="39">
        <f>'[1]4нед'!D48</f>
        <v>0</v>
      </c>
      <c r="N108" s="40">
        <f>'[1]4нед'!G48</f>
        <v>0</v>
      </c>
      <c r="O108" s="41" t="str">
        <f>'[1]4нед'!H48</f>
        <v/>
      </c>
      <c r="P108" s="42"/>
    </row>
    <row r="109" ht="31.5" spans="1:16">
      <c r="A109" s="36"/>
      <c r="B109" s="37"/>
      <c r="C109" s="29" t="s">
        <v>21</v>
      </c>
      <c r="D109" s="38">
        <f>'[1]3нед'!C49</f>
        <v>0</v>
      </c>
      <c r="E109" s="39">
        <f>'[1]3нед'!D49</f>
        <v>0</v>
      </c>
      <c r="F109" s="40">
        <f>'[1]3нед'!G49</f>
        <v>0</v>
      </c>
      <c r="G109" s="41" t="str">
        <f>'[1]3нед'!H49</f>
        <v/>
      </c>
      <c r="H109" s="42"/>
      <c r="I109" s="43"/>
      <c r="J109" s="44"/>
      <c r="K109" s="29" t="s">
        <v>21</v>
      </c>
      <c r="L109" s="38">
        <f>'[1]4нед'!C49</f>
        <v>0</v>
      </c>
      <c r="M109" s="39">
        <f>'[1]4нед'!D49</f>
        <v>0</v>
      </c>
      <c r="N109" s="40">
        <f>'[1]4нед'!G49</f>
        <v>0</v>
      </c>
      <c r="O109" s="41" t="str">
        <f>'[1]4нед'!H49</f>
        <v/>
      </c>
      <c r="P109" s="42"/>
    </row>
    <row r="110" ht="32.25" spans="1:16">
      <c r="A110" s="36"/>
      <c r="B110" s="37"/>
      <c r="C110" s="29" t="s">
        <v>22</v>
      </c>
      <c r="D110" s="38">
        <f>'[1]3нед'!C50</f>
        <v>0</v>
      </c>
      <c r="E110" s="39">
        <f>'[1]3нед'!D50</f>
        <v>0</v>
      </c>
      <c r="F110" s="40">
        <f>'[1]3нед'!G50</f>
        <v>0</v>
      </c>
      <c r="G110" s="41" t="str">
        <f>'[1]3нед'!H50</f>
        <v/>
      </c>
      <c r="H110" s="42"/>
      <c r="I110" s="43"/>
      <c r="J110" s="44"/>
      <c r="K110" s="29" t="s">
        <v>22</v>
      </c>
      <c r="L110" s="38">
        <f>'[1]4нед'!C50</f>
        <v>0</v>
      </c>
      <c r="M110" s="39">
        <f>'[1]4нед'!D50</f>
        <v>0</v>
      </c>
      <c r="N110" s="40">
        <f>'[1]4нед'!G50</f>
        <v>0</v>
      </c>
      <c r="O110" s="41" t="str">
        <f>'[1]4нед'!H50</f>
        <v/>
      </c>
      <c r="P110" s="42"/>
    </row>
    <row r="111" ht="18.4" hidden="1" customHeight="1" spans="1:16">
      <c r="A111" s="45"/>
      <c r="B111" s="46"/>
      <c r="C111" s="47"/>
      <c r="D111" s="48">
        <f>'[1]3нед'!C51</f>
        <v>0</v>
      </c>
      <c r="E111" s="49">
        <f>'[1]3нед'!D51</f>
        <v>0</v>
      </c>
      <c r="F111" s="50">
        <f>'[1]3нед'!G51</f>
        <v>0</v>
      </c>
      <c r="G111" s="51" t="str">
        <f>'[1]3нед'!H51</f>
        <v/>
      </c>
      <c r="H111" s="52"/>
      <c r="I111" s="53"/>
      <c r="J111" s="54"/>
      <c r="K111" s="47"/>
      <c r="L111" s="48">
        <f>'[1]4нед'!C51</f>
        <v>0</v>
      </c>
      <c r="M111" s="49">
        <f>'[1]4нед'!D51</f>
        <v>0</v>
      </c>
      <c r="N111" s="50">
        <f>'[1]4нед'!G51</f>
        <v>0</v>
      </c>
      <c r="O111" s="51" t="str">
        <f>'[1]4нед'!H51</f>
        <v/>
      </c>
      <c r="P111" s="52"/>
    </row>
    <row r="112" ht="48" customHeight="1" spans="1:16">
      <c r="A112" s="27">
        <v>46284</v>
      </c>
      <c r="B112" s="28" t="s">
        <v>27</v>
      </c>
      <c r="C112" s="55" t="s">
        <v>16</v>
      </c>
      <c r="D112" s="30">
        <f>'[1]3нед'!C52</f>
        <v>0</v>
      </c>
      <c r="E112" s="31">
        <f>'[1]3нед'!D52</f>
        <v>0</v>
      </c>
      <c r="F112" s="32">
        <f>'[1]3нед'!G52</f>
        <v>0</v>
      </c>
      <c r="G112" s="33" t="str">
        <f>'[1]3нед'!H52</f>
        <v/>
      </c>
      <c r="H112" s="34"/>
      <c r="I112" s="27">
        <v>46291</v>
      </c>
      <c r="J112" s="35" t="s">
        <v>27</v>
      </c>
      <c r="K112" s="55" t="s">
        <v>16</v>
      </c>
      <c r="L112" s="30">
        <f>'[1]4нед'!C52</f>
        <v>0</v>
      </c>
      <c r="M112" s="31">
        <f>'[1]4нед'!D52</f>
        <v>0</v>
      </c>
      <c r="N112" s="32">
        <f>'[1]4нед'!G52</f>
        <v>0</v>
      </c>
      <c r="O112" s="33" t="str">
        <f>'[1]4нед'!H52</f>
        <v/>
      </c>
      <c r="P112" s="34"/>
    </row>
    <row r="113" ht="31.5" spans="1:16">
      <c r="A113" s="36"/>
      <c r="B113" s="37"/>
      <c r="C113" s="29" t="s">
        <v>17</v>
      </c>
      <c r="D113" s="38">
        <f>'[1]3нед'!C53</f>
        <v>0</v>
      </c>
      <c r="E113" s="39">
        <f>'[1]3нед'!D53</f>
        <v>0</v>
      </c>
      <c r="F113" s="40">
        <f>'[1]3нед'!G53</f>
        <v>0</v>
      </c>
      <c r="G113" s="41" t="str">
        <f>'[1]3нед'!H53</f>
        <v/>
      </c>
      <c r="H113" s="42"/>
      <c r="I113" s="43"/>
      <c r="J113" s="44"/>
      <c r="K113" s="29" t="s">
        <v>17</v>
      </c>
      <c r="L113" s="38">
        <f>'[1]4нед'!C53</f>
        <v>0</v>
      </c>
      <c r="M113" s="39">
        <f>'[1]4нед'!D53</f>
        <v>0</v>
      </c>
      <c r="N113" s="40">
        <f>'[1]4нед'!G53</f>
        <v>0</v>
      </c>
      <c r="O113" s="41" t="str">
        <f>'[1]4нед'!H53</f>
        <v/>
      </c>
      <c r="P113" s="42"/>
    </row>
    <row r="114" ht="31.5" spans="1:16">
      <c r="A114" s="36"/>
      <c r="B114" s="37"/>
      <c r="C114" s="29" t="s">
        <v>18</v>
      </c>
      <c r="D114" s="38">
        <f>'[1]3нед'!C54</f>
        <v>0</v>
      </c>
      <c r="E114" s="39">
        <f>'[1]3нед'!D54</f>
        <v>0</v>
      </c>
      <c r="F114" s="40">
        <f>'[1]3нед'!G54</f>
        <v>0</v>
      </c>
      <c r="G114" s="41" t="str">
        <f>'[1]3нед'!H54</f>
        <v/>
      </c>
      <c r="H114" s="42"/>
      <c r="I114" s="43"/>
      <c r="J114" s="44"/>
      <c r="K114" s="29" t="s">
        <v>18</v>
      </c>
      <c r="L114" s="38">
        <f>'[1]4нед'!C54</f>
        <v>0</v>
      </c>
      <c r="M114" s="39">
        <f>'[1]4нед'!D54</f>
        <v>0</v>
      </c>
      <c r="N114" s="40">
        <f>'[1]4нед'!G54</f>
        <v>0</v>
      </c>
      <c r="O114" s="41" t="str">
        <f>'[1]4нед'!H54</f>
        <v/>
      </c>
      <c r="P114" s="42"/>
    </row>
    <row r="115" ht="31.5" spans="1:16">
      <c r="A115" s="36"/>
      <c r="B115" s="37"/>
      <c r="C115" s="29" t="s">
        <v>19</v>
      </c>
      <c r="D115" s="38">
        <f>'[1]3нед'!C55</f>
        <v>0</v>
      </c>
      <c r="E115" s="39">
        <f>'[1]3нед'!D55</f>
        <v>0</v>
      </c>
      <c r="F115" s="40">
        <f>'[1]3нед'!G55</f>
        <v>0</v>
      </c>
      <c r="G115" s="41" t="str">
        <f>'[1]3нед'!H55</f>
        <v/>
      </c>
      <c r="H115" s="42"/>
      <c r="I115" s="43"/>
      <c r="J115" s="44"/>
      <c r="K115" s="29" t="s">
        <v>19</v>
      </c>
      <c r="L115" s="38">
        <f>'[1]4нед'!C55</f>
        <v>0</v>
      </c>
      <c r="M115" s="39">
        <f>'[1]4нед'!D55</f>
        <v>0</v>
      </c>
      <c r="N115" s="40">
        <f>'[1]4нед'!G55</f>
        <v>0</v>
      </c>
      <c r="O115" s="41" t="str">
        <f>'[1]4нед'!H55</f>
        <v/>
      </c>
      <c r="P115" s="42"/>
    </row>
    <row r="116" ht="31.5" spans="1:16">
      <c r="A116" s="36"/>
      <c r="B116" s="37"/>
      <c r="C116" s="29" t="s">
        <v>20</v>
      </c>
      <c r="D116" s="38">
        <f>'[1]3нед'!C56</f>
        <v>0</v>
      </c>
      <c r="E116" s="39">
        <f>'[1]3нед'!D56</f>
        <v>0</v>
      </c>
      <c r="F116" s="40">
        <f>'[1]3нед'!G56</f>
        <v>0</v>
      </c>
      <c r="G116" s="41" t="str">
        <f>'[1]3нед'!H56</f>
        <v/>
      </c>
      <c r="H116" s="42"/>
      <c r="I116" s="43"/>
      <c r="J116" s="44"/>
      <c r="K116" s="29" t="s">
        <v>20</v>
      </c>
      <c r="L116" s="38">
        <f>'[1]4нед'!C56</f>
        <v>0</v>
      </c>
      <c r="M116" s="39">
        <f>'[1]4нед'!D56</f>
        <v>0</v>
      </c>
      <c r="N116" s="40">
        <f>'[1]4нед'!G56</f>
        <v>0</v>
      </c>
      <c r="O116" s="41" t="str">
        <f>'[1]4нед'!H56</f>
        <v/>
      </c>
      <c r="P116" s="42"/>
    </row>
    <row r="117" ht="31.5" spans="1:16">
      <c r="A117" s="36"/>
      <c r="B117" s="37"/>
      <c r="C117" s="29" t="s">
        <v>21</v>
      </c>
      <c r="D117" s="38">
        <f>'[1]3нед'!C57</f>
        <v>0</v>
      </c>
      <c r="E117" s="39">
        <f>'[1]3нед'!D57</f>
        <v>0</v>
      </c>
      <c r="F117" s="40">
        <f>'[1]3нед'!G57</f>
        <v>0</v>
      </c>
      <c r="G117" s="41" t="str">
        <f>'[1]3нед'!H57</f>
        <v/>
      </c>
      <c r="H117" s="42"/>
      <c r="I117" s="43"/>
      <c r="J117" s="44"/>
      <c r="K117" s="29" t="s">
        <v>21</v>
      </c>
      <c r="L117" s="38">
        <f>'[1]4нед'!C57</f>
        <v>0</v>
      </c>
      <c r="M117" s="39">
        <f>'[1]4нед'!D57</f>
        <v>0</v>
      </c>
      <c r="N117" s="40">
        <f>'[1]4нед'!G57</f>
        <v>0</v>
      </c>
      <c r="O117" s="41" t="str">
        <f>'[1]4нед'!H57</f>
        <v/>
      </c>
      <c r="P117" s="42"/>
    </row>
    <row r="118" ht="32.25" spans="1:16">
      <c r="A118" s="36"/>
      <c r="B118" s="37"/>
      <c r="C118" s="29" t="s">
        <v>22</v>
      </c>
      <c r="D118" s="38">
        <f>'[1]3нед'!C58</f>
        <v>0</v>
      </c>
      <c r="E118" s="39">
        <f>'[1]3нед'!D58</f>
        <v>0</v>
      </c>
      <c r="F118" s="40">
        <f>'[1]3нед'!G58</f>
        <v>0</v>
      </c>
      <c r="G118" s="41" t="str">
        <f>'[1]3нед'!H58</f>
        <v/>
      </c>
      <c r="H118" s="42"/>
      <c r="I118" s="43"/>
      <c r="J118" s="44"/>
      <c r="K118" s="29" t="s">
        <v>22</v>
      </c>
      <c r="L118" s="38">
        <f>'[1]4нед'!C58</f>
        <v>0</v>
      </c>
      <c r="M118" s="39">
        <f>'[1]4нед'!D58</f>
        <v>0</v>
      </c>
      <c r="N118" s="40">
        <f>'[1]4нед'!G58</f>
        <v>0</v>
      </c>
      <c r="O118" s="41" t="str">
        <f>'[1]4нед'!H58</f>
        <v/>
      </c>
      <c r="P118" s="42"/>
    </row>
    <row r="119" ht="18.4" hidden="1" customHeight="1" spans="1:16">
      <c r="A119" s="45"/>
      <c r="B119" s="46"/>
      <c r="C119" s="47"/>
      <c r="D119" s="48">
        <f>'[1]3нед'!C59</f>
        <v>0</v>
      </c>
      <c r="E119" s="49">
        <f>'[1]3нед'!D59</f>
        <v>0</v>
      </c>
      <c r="F119" s="50">
        <f>'[1]3нед'!G59</f>
        <v>0</v>
      </c>
      <c r="G119" s="51" t="str">
        <f>'[1]3нед'!H59</f>
        <v/>
      </c>
      <c r="H119" s="52"/>
      <c r="I119" s="53"/>
      <c r="J119" s="54"/>
      <c r="K119" s="47"/>
      <c r="L119" s="48">
        <f>'[1]4нед'!C59</f>
        <v>0</v>
      </c>
      <c r="M119" s="49">
        <f>'[1]4нед'!D59</f>
        <v>0</v>
      </c>
      <c r="N119" s="50">
        <f>'[1]4нед'!G59</f>
        <v>0</v>
      </c>
      <c r="O119" s="51" t="str">
        <f>'[1]4нед'!H59</f>
        <v/>
      </c>
      <c r="P119" s="52"/>
    </row>
    <row r="120" ht="39" customHeight="1" spans="1:16">
      <c r="A120" s="64"/>
      <c r="B120" s="65"/>
      <c r="C120" s="66"/>
      <c r="D120" s="67"/>
      <c r="E120" s="67" t="s">
        <v>28</v>
      </c>
      <c r="F120" s="67"/>
      <c r="G120" s="68" t="s">
        <v>29</v>
      </c>
      <c r="H120" s="69"/>
      <c r="I120" s="64"/>
      <c r="J120" s="65"/>
      <c r="K120" s="66"/>
      <c r="L120" s="67"/>
      <c r="M120" s="67" t="s">
        <v>28</v>
      </c>
      <c r="N120" s="67"/>
      <c r="O120" s="68" t="s">
        <v>29</v>
      </c>
      <c r="P120" s="69"/>
    </row>
    <row r="121" ht="15.75" spans="1:16">
      <c r="A121" s="2"/>
      <c r="B121" s="3"/>
      <c r="C121" s="4"/>
      <c r="D121" s="5"/>
      <c r="E121" s="5"/>
      <c r="F121" s="5"/>
      <c r="G121" s="5"/>
      <c r="H121" s="6" t="s">
        <v>0</v>
      </c>
      <c r="I121" s="2"/>
      <c r="J121" s="3"/>
      <c r="K121" s="4"/>
      <c r="L121" s="5"/>
      <c r="M121" s="5"/>
      <c r="N121" s="5"/>
      <c r="O121" s="5"/>
      <c r="P121" s="6" t="s">
        <v>0</v>
      </c>
    </row>
    <row r="122" ht="15.75" spans="1:16">
      <c r="A122" s="2"/>
      <c r="B122" s="3"/>
      <c r="C122" s="4"/>
      <c r="D122" s="5"/>
      <c r="E122" s="5"/>
      <c r="F122" s="5"/>
      <c r="G122" s="5"/>
      <c r="H122" s="6" t="s">
        <v>1</v>
      </c>
      <c r="I122" s="2"/>
      <c r="J122" s="3"/>
      <c r="K122" s="4"/>
      <c r="L122" s="5"/>
      <c r="M122" s="5"/>
      <c r="N122" s="5"/>
      <c r="O122" s="5"/>
      <c r="P122" s="6" t="s">
        <v>1</v>
      </c>
    </row>
    <row r="123" ht="15.75" spans="1:16">
      <c r="A123" s="2"/>
      <c r="B123" s="3"/>
      <c r="C123" s="4"/>
      <c r="D123" s="5"/>
      <c r="E123" s="5"/>
      <c r="F123" s="5"/>
      <c r="G123" s="5"/>
      <c r="H123" s="6" t="s">
        <v>2</v>
      </c>
      <c r="I123" s="2"/>
      <c r="J123" s="3"/>
      <c r="K123" s="4"/>
      <c r="L123" s="5"/>
      <c r="M123" s="5"/>
      <c r="N123" s="5"/>
      <c r="O123" s="5"/>
      <c r="P123" s="6" t="s">
        <v>2</v>
      </c>
    </row>
    <row r="124" ht="15.75" spans="1:16">
      <c r="A124" s="2"/>
      <c r="B124" s="3"/>
      <c r="C124" s="4"/>
      <c r="D124" s="5"/>
      <c r="E124" s="5"/>
      <c r="F124" s="5"/>
      <c r="G124" s="5"/>
      <c r="H124" s="6" t="s">
        <v>3</v>
      </c>
      <c r="I124" s="2"/>
      <c r="J124" s="3"/>
      <c r="K124" s="4"/>
      <c r="L124" s="5"/>
      <c r="M124" s="5"/>
      <c r="N124" s="5"/>
      <c r="O124" s="5"/>
      <c r="P124" s="6" t="s">
        <v>3</v>
      </c>
    </row>
    <row r="125" ht="15.75" spans="1:16">
      <c r="A125" s="2"/>
      <c r="B125" s="7"/>
      <c r="C125" s="4"/>
      <c r="D125" s="5"/>
      <c r="E125" s="5"/>
      <c r="F125" s="5"/>
      <c r="G125" s="5"/>
      <c r="H125" s="5"/>
      <c r="I125" s="2"/>
      <c r="J125" s="7"/>
      <c r="K125" s="4"/>
      <c r="L125" s="5"/>
      <c r="M125" s="5"/>
      <c r="N125" s="5"/>
      <c r="O125" s="5"/>
      <c r="P125" s="5"/>
    </row>
    <row r="126" ht="15.75" spans="1:16">
      <c r="A126" s="2"/>
      <c r="B126" s="8" t="s">
        <v>4</v>
      </c>
      <c r="C126" s="8"/>
      <c r="D126" s="8"/>
      <c r="E126" s="8"/>
      <c r="F126" s="8"/>
      <c r="G126" s="8"/>
      <c r="H126" s="8"/>
      <c r="I126" s="2"/>
      <c r="J126" s="8" t="s">
        <v>4</v>
      </c>
      <c r="K126" s="8"/>
      <c r="L126" s="8"/>
      <c r="M126" s="8"/>
      <c r="N126" s="8"/>
      <c r="O126" s="8"/>
      <c r="P126" s="8"/>
    </row>
    <row r="127" ht="15.75" spans="1:16">
      <c r="A127" s="9"/>
      <c r="B127" s="10" t="str">
        <f>'[1]1нед'!$A$6</f>
        <v>Направление подготовки:</v>
      </c>
      <c r="C127" s="11"/>
      <c r="D127" s="12"/>
      <c r="E127" s="13" t="str">
        <f>E7</f>
        <v>00</v>
      </c>
      <c r="F127" s="12"/>
      <c r="G127" s="12">
        <f>G7</f>
        <v>0</v>
      </c>
      <c r="H127" s="14"/>
      <c r="I127" s="9"/>
      <c r="J127" s="10" t="str">
        <f>'[1]1нед'!$A$6</f>
        <v>Направление подготовки:</v>
      </c>
      <c r="K127" s="11"/>
      <c r="L127" s="12"/>
      <c r="M127" s="13" t="str">
        <f>E7</f>
        <v>00</v>
      </c>
      <c r="N127" s="12"/>
      <c r="O127" s="12">
        <f>G7</f>
        <v>0</v>
      </c>
      <c r="P127" s="14"/>
    </row>
    <row r="128" ht="15.75" spans="1:16">
      <c r="A128" s="2"/>
      <c r="B128" s="10" t="s">
        <v>5</v>
      </c>
      <c r="C128" s="10"/>
      <c r="D128" s="10"/>
      <c r="E128" s="10" t="str">
        <f>E8</f>
        <v>очная</v>
      </c>
      <c r="F128" s="10"/>
      <c r="G128" s="10"/>
      <c r="H128" s="10"/>
      <c r="I128" s="2"/>
      <c r="J128" s="10" t="s">
        <v>5</v>
      </c>
      <c r="K128" s="10"/>
      <c r="L128" s="10"/>
      <c r="M128" s="10" t="str">
        <f t="shared" ref="M128:M129" si="1">E8</f>
        <v>очная</v>
      </c>
      <c r="N128" s="10"/>
      <c r="O128" s="10"/>
      <c r="P128" s="10"/>
    </row>
    <row r="129" ht="15.75" spans="1:16">
      <c r="A129" s="2"/>
      <c r="B129" s="10" t="s">
        <v>7</v>
      </c>
      <c r="C129" s="10"/>
      <c r="D129" s="10"/>
      <c r="E129" s="10">
        <f>E9</f>
        <v>1</v>
      </c>
      <c r="F129" s="10"/>
      <c r="G129" s="10"/>
      <c r="H129" s="15"/>
      <c r="I129" s="2"/>
      <c r="J129" s="10" t="s">
        <v>7</v>
      </c>
      <c r="K129" s="10"/>
      <c r="L129" s="10"/>
      <c r="M129" s="10">
        <f t="shared" si="1"/>
        <v>1</v>
      </c>
      <c r="N129" s="10"/>
      <c r="O129" s="10"/>
      <c r="P129" s="15"/>
    </row>
    <row r="130" ht="16.5" spans="1:16">
      <c r="A130" s="2"/>
      <c r="B130" s="16" t="s">
        <v>8</v>
      </c>
      <c r="C130" s="16"/>
      <c r="D130" s="16"/>
      <c r="E130" s="16">
        <f>M70+1</f>
        <v>5</v>
      </c>
      <c r="F130" s="16"/>
      <c r="G130" s="16"/>
      <c r="H130" s="17"/>
      <c r="I130" s="2"/>
      <c r="J130" s="16" t="s">
        <v>8</v>
      </c>
      <c r="K130" s="16"/>
      <c r="L130" s="16"/>
      <c r="M130" s="16">
        <f>E130+1</f>
        <v>6</v>
      </c>
      <c r="N130" s="16"/>
      <c r="O130" s="16"/>
      <c r="P130" s="17"/>
    </row>
    <row r="131" ht="46.5" customHeight="1" spans="1:16">
      <c r="A131" s="19" t="s">
        <v>9</v>
      </c>
      <c r="B131" s="20"/>
      <c r="C131" s="21" t="s">
        <v>10</v>
      </c>
      <c r="D131" s="22" t="s">
        <v>11</v>
      </c>
      <c r="E131" s="23" t="s">
        <v>12</v>
      </c>
      <c r="F131" s="24" t="s">
        <v>13</v>
      </c>
      <c r="G131" s="25"/>
      <c r="H131" s="26" t="s">
        <v>14</v>
      </c>
      <c r="I131" s="19" t="s">
        <v>9</v>
      </c>
      <c r="J131" s="20"/>
      <c r="K131" s="21" t="s">
        <v>10</v>
      </c>
      <c r="L131" s="22" t="s">
        <v>11</v>
      </c>
      <c r="M131" s="23" t="s">
        <v>12</v>
      </c>
      <c r="N131" s="24" t="s">
        <v>13</v>
      </c>
      <c r="O131" s="25"/>
      <c r="P131" s="26" t="s">
        <v>14</v>
      </c>
    </row>
    <row r="132" ht="32.25" customHeight="1" spans="1:16">
      <c r="A132" s="27">
        <v>46293</v>
      </c>
      <c r="B132" s="28" t="s">
        <v>15</v>
      </c>
      <c r="C132" s="29" t="s">
        <v>16</v>
      </c>
      <c r="D132" s="30">
        <f>'[2]5нед'!C12</f>
        <v>0</v>
      </c>
      <c r="E132" s="31">
        <f>'[2]5нед'!D12</f>
        <v>0</v>
      </c>
      <c r="F132" s="32">
        <f>'[2]5нед'!G12</f>
        <v>0</v>
      </c>
      <c r="G132" s="33" t="str">
        <f>'[2]5нед'!H12</f>
        <v/>
      </c>
      <c r="H132" s="34"/>
      <c r="I132" s="27">
        <v>46300</v>
      </c>
      <c r="J132" s="35" t="s">
        <v>15</v>
      </c>
      <c r="K132" s="29" t="s">
        <v>16</v>
      </c>
      <c r="L132" s="30">
        <f>'[2]6нед'!C12</f>
        <v>0</v>
      </c>
      <c r="M132" s="31">
        <f>'[2]6нед'!D12</f>
        <v>0</v>
      </c>
      <c r="N132" s="32">
        <f>'[2]6нед'!G12</f>
        <v>0</v>
      </c>
      <c r="O132" s="33" t="str">
        <f>'[2]6нед'!H12</f>
        <v/>
      </c>
      <c r="P132" s="34"/>
    </row>
    <row r="133" ht="31.5" spans="1:16">
      <c r="A133" s="36"/>
      <c r="B133" s="37"/>
      <c r="C133" s="29" t="s">
        <v>17</v>
      </c>
      <c r="D133" s="38">
        <f>'[2]5нед'!C13</f>
        <v>0</v>
      </c>
      <c r="E133" s="39">
        <f>'[2]5нед'!D13</f>
        <v>0</v>
      </c>
      <c r="F133" s="40">
        <f>'[2]5нед'!G13</f>
        <v>0</v>
      </c>
      <c r="G133" s="41" t="str">
        <f>'[2]5нед'!H13</f>
        <v/>
      </c>
      <c r="H133" s="42"/>
      <c r="I133" s="43"/>
      <c r="J133" s="44"/>
      <c r="K133" s="29" t="s">
        <v>17</v>
      </c>
      <c r="L133" s="38">
        <f>'[2]6нед'!C13</f>
        <v>0</v>
      </c>
      <c r="M133" s="39">
        <f>'[2]6нед'!D13</f>
        <v>0</v>
      </c>
      <c r="N133" s="40">
        <f>'[2]6нед'!G13</f>
        <v>0</v>
      </c>
      <c r="O133" s="41" t="str">
        <f>'[2]6нед'!H13</f>
        <v/>
      </c>
      <c r="P133" s="42"/>
    </row>
    <row r="134" ht="31.5" spans="1:16">
      <c r="A134" s="36"/>
      <c r="B134" s="37"/>
      <c r="C134" s="29" t="s">
        <v>18</v>
      </c>
      <c r="D134" s="38">
        <f>'[2]5нед'!C14</f>
        <v>0</v>
      </c>
      <c r="E134" s="39">
        <f>'[2]5нед'!D14</f>
        <v>0</v>
      </c>
      <c r="F134" s="40">
        <f>'[2]5нед'!G14</f>
        <v>0</v>
      </c>
      <c r="G134" s="41" t="str">
        <f>'[2]5нед'!H14</f>
        <v/>
      </c>
      <c r="H134" s="42"/>
      <c r="I134" s="43"/>
      <c r="J134" s="44"/>
      <c r="K134" s="29" t="s">
        <v>18</v>
      </c>
      <c r="L134" s="38">
        <f>'[2]6нед'!C14</f>
        <v>0</v>
      </c>
      <c r="M134" s="39">
        <f>'[2]6нед'!D14</f>
        <v>0</v>
      </c>
      <c r="N134" s="40">
        <f>'[2]6нед'!G14</f>
        <v>0</v>
      </c>
      <c r="O134" s="41" t="str">
        <f>'[2]6нед'!H14</f>
        <v/>
      </c>
      <c r="P134" s="42"/>
    </row>
    <row r="135" ht="31.5" spans="1:16">
      <c r="A135" s="36"/>
      <c r="B135" s="37"/>
      <c r="C135" s="29" t="s">
        <v>19</v>
      </c>
      <c r="D135" s="38">
        <f>'[2]5нед'!C15</f>
        <v>0</v>
      </c>
      <c r="E135" s="39">
        <f>'[2]5нед'!D15</f>
        <v>0</v>
      </c>
      <c r="F135" s="40">
        <f>'[2]5нед'!G15</f>
        <v>0</v>
      </c>
      <c r="G135" s="41" t="str">
        <f>'[2]5нед'!H15</f>
        <v/>
      </c>
      <c r="H135" s="42"/>
      <c r="I135" s="43"/>
      <c r="J135" s="44"/>
      <c r="K135" s="29" t="s">
        <v>19</v>
      </c>
      <c r="L135" s="38">
        <f>'[2]6нед'!C15</f>
        <v>0</v>
      </c>
      <c r="M135" s="39">
        <f>'[2]6нед'!D15</f>
        <v>0</v>
      </c>
      <c r="N135" s="40">
        <f>'[2]6нед'!G15</f>
        <v>0</v>
      </c>
      <c r="O135" s="41" t="str">
        <f>'[2]6нед'!H15</f>
        <v/>
      </c>
      <c r="P135" s="42"/>
    </row>
    <row r="136" ht="31.5" spans="1:16">
      <c r="A136" s="36"/>
      <c r="B136" s="37"/>
      <c r="C136" s="29" t="s">
        <v>20</v>
      </c>
      <c r="D136" s="38">
        <f>'[2]5нед'!C16</f>
        <v>0</v>
      </c>
      <c r="E136" s="39">
        <f>'[2]5нед'!D16</f>
        <v>0</v>
      </c>
      <c r="F136" s="40">
        <f>'[2]5нед'!G16</f>
        <v>0</v>
      </c>
      <c r="G136" s="41" t="str">
        <f>'[2]5нед'!H16</f>
        <v/>
      </c>
      <c r="H136" s="42"/>
      <c r="I136" s="43"/>
      <c r="J136" s="44"/>
      <c r="K136" s="29" t="s">
        <v>20</v>
      </c>
      <c r="L136" s="38">
        <f>'[2]6нед'!C16</f>
        <v>0</v>
      </c>
      <c r="M136" s="39">
        <f>'[2]6нед'!D16</f>
        <v>0</v>
      </c>
      <c r="N136" s="40">
        <f>'[2]6нед'!G16</f>
        <v>0</v>
      </c>
      <c r="O136" s="41" t="str">
        <f>'[2]6нед'!H16</f>
        <v/>
      </c>
      <c r="P136" s="42"/>
    </row>
    <row r="137" ht="31.5" spans="1:16">
      <c r="A137" s="36"/>
      <c r="B137" s="37"/>
      <c r="C137" s="29" t="s">
        <v>21</v>
      </c>
      <c r="D137" s="38">
        <f>'[2]5нед'!C17</f>
        <v>0</v>
      </c>
      <c r="E137" s="39">
        <f>'[2]5нед'!D17</f>
        <v>0</v>
      </c>
      <c r="F137" s="40">
        <f>'[2]5нед'!G17</f>
        <v>0</v>
      </c>
      <c r="G137" s="41" t="str">
        <f>'[2]5нед'!H17</f>
        <v/>
      </c>
      <c r="H137" s="56"/>
      <c r="I137" s="43"/>
      <c r="J137" s="44"/>
      <c r="K137" s="29" t="s">
        <v>21</v>
      </c>
      <c r="L137" s="38">
        <f>'[2]6нед'!C17</f>
        <v>0</v>
      </c>
      <c r="M137" s="39">
        <f>'[2]6нед'!D17</f>
        <v>0</v>
      </c>
      <c r="N137" s="40">
        <f>'[2]6нед'!G17</f>
        <v>0</v>
      </c>
      <c r="O137" s="41" t="str">
        <f>'[2]6нед'!H17</f>
        <v/>
      </c>
      <c r="P137" s="56"/>
    </row>
    <row r="138" ht="32.25" spans="1:16">
      <c r="A138" s="36"/>
      <c r="B138" s="37"/>
      <c r="C138" s="29" t="s">
        <v>22</v>
      </c>
      <c r="D138" s="38">
        <f>'[2]5нед'!C18</f>
        <v>0</v>
      </c>
      <c r="E138" s="39">
        <f>'[2]5нед'!D18</f>
        <v>0</v>
      </c>
      <c r="F138" s="40">
        <f>'[2]5нед'!G18</f>
        <v>0</v>
      </c>
      <c r="G138" s="41" t="str">
        <f>'[2]5нед'!H18</f>
        <v/>
      </c>
      <c r="H138" s="56"/>
      <c r="I138" s="43"/>
      <c r="J138" s="44"/>
      <c r="K138" s="29" t="s">
        <v>22</v>
      </c>
      <c r="L138" s="38">
        <f>'[2]6нед'!C18</f>
        <v>0</v>
      </c>
      <c r="M138" s="39">
        <f>'[2]6нед'!D18</f>
        <v>0</v>
      </c>
      <c r="N138" s="40">
        <f>'[2]6нед'!G18</f>
        <v>0</v>
      </c>
      <c r="O138" s="41" t="str">
        <f>'[2]6нед'!H18</f>
        <v/>
      </c>
      <c r="P138" s="56"/>
    </row>
    <row r="139" ht="18.4" hidden="1" customHeight="1" spans="1:16">
      <c r="A139" s="45"/>
      <c r="B139" s="46"/>
      <c r="C139" s="47"/>
      <c r="D139" s="48">
        <f>'[2]5нед'!C19</f>
        <v>0</v>
      </c>
      <c r="E139" s="49">
        <f>'[2]5нед'!D19</f>
        <v>0</v>
      </c>
      <c r="F139" s="50">
        <f>'[2]5нед'!G19</f>
        <v>0</v>
      </c>
      <c r="G139" s="51" t="str">
        <f>'[2]5нед'!H19</f>
        <v/>
      </c>
      <c r="H139" s="52"/>
      <c r="I139" s="53"/>
      <c r="J139" s="54"/>
      <c r="K139" s="47"/>
      <c r="L139" s="48">
        <f>'[2]6нед'!C19</f>
        <v>0</v>
      </c>
      <c r="M139" s="49">
        <f>'[2]6нед'!D19</f>
        <v>0</v>
      </c>
      <c r="N139" s="50">
        <f>'[2]6нед'!G19</f>
        <v>0</v>
      </c>
      <c r="O139" s="51" t="str">
        <f>'[2]6нед'!H19</f>
        <v/>
      </c>
      <c r="P139" s="52"/>
    </row>
    <row r="140" ht="32.25" customHeight="1" spans="1:16">
      <c r="A140" s="27">
        <v>46294</v>
      </c>
      <c r="B140" s="28" t="s">
        <v>23</v>
      </c>
      <c r="C140" s="55" t="s">
        <v>16</v>
      </c>
      <c r="D140" s="30">
        <f>'[2]5нед'!C20</f>
        <v>0</v>
      </c>
      <c r="E140" s="31">
        <f>'[2]5нед'!D20</f>
        <v>0</v>
      </c>
      <c r="F140" s="32">
        <f>'[2]5нед'!G20</f>
        <v>0</v>
      </c>
      <c r="G140" s="33" t="str">
        <f>'[2]5нед'!H20</f>
        <v/>
      </c>
      <c r="H140" s="34"/>
      <c r="I140" s="27">
        <v>46301</v>
      </c>
      <c r="J140" s="35" t="s">
        <v>23</v>
      </c>
      <c r="K140" s="55" t="s">
        <v>16</v>
      </c>
      <c r="L140" s="30">
        <f>'[2]6нед'!C20</f>
        <v>0</v>
      </c>
      <c r="M140" s="31">
        <f>'[2]6нед'!D20</f>
        <v>0</v>
      </c>
      <c r="N140" s="32">
        <f>'[2]6нед'!G20</f>
        <v>0</v>
      </c>
      <c r="O140" s="33" t="str">
        <f>'[2]6нед'!H20</f>
        <v/>
      </c>
      <c r="P140" s="34"/>
    </row>
    <row r="141" ht="31.5" spans="1:16">
      <c r="A141" s="36"/>
      <c r="B141" s="37"/>
      <c r="C141" s="29" t="s">
        <v>17</v>
      </c>
      <c r="D141" s="38">
        <f>'[2]5нед'!C21</f>
        <v>0</v>
      </c>
      <c r="E141" s="39">
        <f>'[2]5нед'!D21</f>
        <v>0</v>
      </c>
      <c r="F141" s="40">
        <f>'[2]5нед'!G21</f>
        <v>0</v>
      </c>
      <c r="G141" s="41" t="str">
        <f>'[2]5нед'!H21</f>
        <v/>
      </c>
      <c r="H141" s="42"/>
      <c r="I141" s="43"/>
      <c r="J141" s="44"/>
      <c r="K141" s="29" t="s">
        <v>17</v>
      </c>
      <c r="L141" s="38">
        <f>'[2]6нед'!C21</f>
        <v>0</v>
      </c>
      <c r="M141" s="39">
        <f>'[2]6нед'!D21</f>
        <v>0</v>
      </c>
      <c r="N141" s="40">
        <f>'[2]6нед'!G21</f>
        <v>0</v>
      </c>
      <c r="O141" s="41" t="str">
        <f>'[2]6нед'!H21</f>
        <v/>
      </c>
      <c r="P141" s="42"/>
    </row>
    <row r="142" ht="31.5" spans="1:16">
      <c r="A142" s="36"/>
      <c r="B142" s="37"/>
      <c r="C142" s="29" t="s">
        <v>18</v>
      </c>
      <c r="D142" s="38">
        <f>'[2]5нед'!C22</f>
        <v>0</v>
      </c>
      <c r="E142" s="39">
        <f>'[2]5нед'!D22</f>
        <v>0</v>
      </c>
      <c r="F142" s="40">
        <f>'[2]5нед'!G22</f>
        <v>0</v>
      </c>
      <c r="G142" s="41" t="str">
        <f>'[2]5нед'!H22</f>
        <v/>
      </c>
      <c r="H142" s="42"/>
      <c r="I142" s="43"/>
      <c r="J142" s="44"/>
      <c r="K142" s="29" t="s">
        <v>18</v>
      </c>
      <c r="L142" s="38">
        <f>'[2]6нед'!C22</f>
        <v>0</v>
      </c>
      <c r="M142" s="39">
        <f>'[2]6нед'!D22</f>
        <v>0</v>
      </c>
      <c r="N142" s="40">
        <f>'[2]6нед'!G22</f>
        <v>0</v>
      </c>
      <c r="O142" s="41" t="str">
        <f>'[2]6нед'!H22</f>
        <v/>
      </c>
      <c r="P142" s="42"/>
    </row>
    <row r="143" ht="31.5" spans="1:16">
      <c r="A143" s="36"/>
      <c r="B143" s="37"/>
      <c r="C143" s="29" t="s">
        <v>19</v>
      </c>
      <c r="D143" s="38">
        <f>'[2]5нед'!C23</f>
        <v>0</v>
      </c>
      <c r="E143" s="39">
        <f>'[2]5нед'!D23</f>
        <v>0</v>
      </c>
      <c r="F143" s="40">
        <f>'[2]5нед'!G23</f>
        <v>0</v>
      </c>
      <c r="G143" s="41" t="str">
        <f>'[2]5нед'!H23</f>
        <v/>
      </c>
      <c r="H143" s="42"/>
      <c r="I143" s="43"/>
      <c r="J143" s="44"/>
      <c r="K143" s="29" t="s">
        <v>19</v>
      </c>
      <c r="L143" s="38">
        <f>'[2]6нед'!C23</f>
        <v>0</v>
      </c>
      <c r="M143" s="39">
        <f>'[2]6нед'!D23</f>
        <v>0</v>
      </c>
      <c r="N143" s="40">
        <f>'[2]6нед'!G23</f>
        <v>0</v>
      </c>
      <c r="O143" s="41" t="str">
        <f>'[2]6нед'!H23</f>
        <v/>
      </c>
      <c r="P143" s="42"/>
    </row>
    <row r="144" ht="31.5" spans="1:16">
      <c r="A144" s="36"/>
      <c r="B144" s="37"/>
      <c r="C144" s="29" t="s">
        <v>20</v>
      </c>
      <c r="D144" s="38">
        <f>'[2]5нед'!C24</f>
        <v>0</v>
      </c>
      <c r="E144" s="39">
        <f>'[2]5нед'!D24</f>
        <v>0</v>
      </c>
      <c r="F144" s="40">
        <f>'[2]5нед'!G24</f>
        <v>0</v>
      </c>
      <c r="G144" s="41" t="str">
        <f>'[2]5нед'!H24</f>
        <v/>
      </c>
      <c r="H144" s="42"/>
      <c r="I144" s="43"/>
      <c r="J144" s="44"/>
      <c r="K144" s="29" t="s">
        <v>20</v>
      </c>
      <c r="L144" s="38">
        <f>'[2]6нед'!C24</f>
        <v>0</v>
      </c>
      <c r="M144" s="39">
        <f>'[2]6нед'!D24</f>
        <v>0</v>
      </c>
      <c r="N144" s="40">
        <f>'[2]6нед'!G24</f>
        <v>0</v>
      </c>
      <c r="O144" s="41" t="str">
        <f>'[2]6нед'!H24</f>
        <v/>
      </c>
      <c r="P144" s="42"/>
    </row>
    <row r="145" ht="31.5" spans="1:16">
      <c r="A145" s="36"/>
      <c r="B145" s="37"/>
      <c r="C145" s="29" t="s">
        <v>21</v>
      </c>
      <c r="D145" s="38">
        <f>'[2]5нед'!C25</f>
        <v>0</v>
      </c>
      <c r="E145" s="39">
        <f>'[2]5нед'!D25</f>
        <v>0</v>
      </c>
      <c r="F145" s="40">
        <f>'[2]5нед'!G25</f>
        <v>0</v>
      </c>
      <c r="G145" s="41" t="str">
        <f>'[2]5нед'!H25</f>
        <v/>
      </c>
      <c r="H145" s="42"/>
      <c r="I145" s="43"/>
      <c r="J145" s="44"/>
      <c r="K145" s="29" t="s">
        <v>21</v>
      </c>
      <c r="L145" s="38">
        <f>'[2]6нед'!C25</f>
        <v>0</v>
      </c>
      <c r="M145" s="39">
        <f>'[2]6нед'!D25</f>
        <v>0</v>
      </c>
      <c r="N145" s="40">
        <f>'[2]6нед'!G25</f>
        <v>0</v>
      </c>
      <c r="O145" s="41" t="str">
        <f>'[2]6нед'!H25</f>
        <v/>
      </c>
      <c r="P145" s="42"/>
    </row>
    <row r="146" ht="32.25" spans="1:16">
      <c r="A146" s="36"/>
      <c r="B146" s="37"/>
      <c r="C146" s="29" t="s">
        <v>22</v>
      </c>
      <c r="D146" s="38">
        <f>'[2]5нед'!C26</f>
        <v>0</v>
      </c>
      <c r="E146" s="39">
        <f>'[2]5нед'!D26</f>
        <v>0</v>
      </c>
      <c r="F146" s="40">
        <f>'[2]5нед'!G26</f>
        <v>0</v>
      </c>
      <c r="G146" s="41" t="str">
        <f>'[2]5нед'!H26</f>
        <v/>
      </c>
      <c r="H146" s="42"/>
      <c r="I146" s="43"/>
      <c r="J146" s="44"/>
      <c r="K146" s="29" t="s">
        <v>22</v>
      </c>
      <c r="L146" s="38">
        <f>'[2]6нед'!C26</f>
        <v>0</v>
      </c>
      <c r="M146" s="39">
        <f>'[2]6нед'!D26</f>
        <v>0</v>
      </c>
      <c r="N146" s="40">
        <f>'[2]6нед'!G26</f>
        <v>0</v>
      </c>
      <c r="O146" s="41" t="str">
        <f>'[2]6нед'!H26</f>
        <v/>
      </c>
      <c r="P146" s="42"/>
    </row>
    <row r="147" ht="18.4" hidden="1" customHeight="1" spans="1:16">
      <c r="A147" s="45"/>
      <c r="B147" s="46"/>
      <c r="C147" s="47"/>
      <c r="D147" s="48">
        <f>'[2]5нед'!C27</f>
        <v>0</v>
      </c>
      <c r="E147" s="49">
        <f>'[2]5нед'!D27</f>
        <v>0</v>
      </c>
      <c r="F147" s="50">
        <f>'[2]5нед'!G27</f>
        <v>0</v>
      </c>
      <c r="G147" s="51" t="str">
        <f>'[2]5нед'!H27</f>
        <v/>
      </c>
      <c r="H147" s="52"/>
      <c r="I147" s="53"/>
      <c r="J147" s="54"/>
      <c r="K147" s="47"/>
      <c r="L147" s="48">
        <f>'[2]6нед'!C27</f>
        <v>0</v>
      </c>
      <c r="M147" s="49">
        <f>'[2]6нед'!D27</f>
        <v>0</v>
      </c>
      <c r="N147" s="50">
        <f>'[2]6нед'!G27</f>
        <v>0</v>
      </c>
      <c r="O147" s="51" t="str">
        <f>'[2]6нед'!H27</f>
        <v/>
      </c>
      <c r="P147" s="52"/>
    </row>
    <row r="148" ht="48" customHeight="1" spans="1:16">
      <c r="A148" s="27">
        <v>46295</v>
      </c>
      <c r="B148" s="57" t="s">
        <v>24</v>
      </c>
      <c r="C148" s="55" t="s">
        <v>16</v>
      </c>
      <c r="D148" s="30">
        <f>'[2]5нед'!C28</f>
        <v>0</v>
      </c>
      <c r="E148" s="78" t="s">
        <v>30</v>
      </c>
      <c r="F148" s="32">
        <f>'[2]5нед'!G28</f>
        <v>0</v>
      </c>
      <c r="G148" s="33" t="str">
        <f>'[2]5нед'!H28</f>
        <v/>
      </c>
      <c r="H148" s="34"/>
      <c r="I148" s="27">
        <v>46302</v>
      </c>
      <c r="J148" s="58" t="s">
        <v>24</v>
      </c>
      <c r="K148" s="55" t="s">
        <v>16</v>
      </c>
      <c r="L148" s="30">
        <f>'[2]6нед'!C28</f>
        <v>0</v>
      </c>
      <c r="M148" s="31">
        <f>'[2]6нед'!D28</f>
        <v>0</v>
      </c>
      <c r="N148" s="32">
        <f>'[2]6нед'!G28</f>
        <v>0</v>
      </c>
      <c r="O148" s="33" t="str">
        <f>'[2]6нед'!H28</f>
        <v/>
      </c>
      <c r="P148" s="34"/>
    </row>
    <row r="149" ht="31.5" spans="1:16">
      <c r="A149" s="36"/>
      <c r="B149" s="59"/>
      <c r="C149" s="29" t="s">
        <v>17</v>
      </c>
      <c r="D149" s="38">
        <f>'[2]5нед'!C29</f>
        <v>0</v>
      </c>
      <c r="E149" s="79"/>
      <c r="F149" s="40">
        <f>'[2]5нед'!G29</f>
        <v>0</v>
      </c>
      <c r="G149" s="41" t="str">
        <f>'[2]5нед'!H29</f>
        <v/>
      </c>
      <c r="H149" s="42"/>
      <c r="I149" s="43"/>
      <c r="J149" s="60"/>
      <c r="K149" s="29" t="s">
        <v>17</v>
      </c>
      <c r="L149" s="38">
        <f>'[2]6нед'!C29</f>
        <v>0</v>
      </c>
      <c r="M149" s="39">
        <f>'[2]6нед'!D29</f>
        <v>0</v>
      </c>
      <c r="N149" s="40">
        <f>'[2]6нед'!G29</f>
        <v>0</v>
      </c>
      <c r="O149" s="41" t="str">
        <f>'[2]6нед'!H29</f>
        <v/>
      </c>
      <c r="P149" s="42"/>
    </row>
    <row r="150" ht="31.5" spans="1:16">
      <c r="A150" s="36"/>
      <c r="B150" s="59"/>
      <c r="C150" s="29" t="s">
        <v>18</v>
      </c>
      <c r="D150" s="38">
        <f>'[2]5нед'!C30</f>
        <v>0</v>
      </c>
      <c r="E150" s="79"/>
      <c r="F150" s="40">
        <f>'[2]5нед'!G30</f>
        <v>0</v>
      </c>
      <c r="G150" s="41" t="str">
        <f>'[2]5нед'!H30</f>
        <v/>
      </c>
      <c r="H150" s="42"/>
      <c r="I150" s="43"/>
      <c r="J150" s="60"/>
      <c r="K150" s="29" t="s">
        <v>18</v>
      </c>
      <c r="L150" s="38">
        <f>'[2]6нед'!C30</f>
        <v>0</v>
      </c>
      <c r="M150" s="39">
        <f>'[2]6нед'!D30</f>
        <v>0</v>
      </c>
      <c r="N150" s="40">
        <f>'[2]6нед'!G30</f>
        <v>0</v>
      </c>
      <c r="O150" s="41" t="str">
        <f>'[2]6нед'!H30</f>
        <v/>
      </c>
      <c r="P150" s="42"/>
    </row>
    <row r="151" ht="31.5" spans="1:16">
      <c r="A151" s="36"/>
      <c r="B151" s="59"/>
      <c r="C151" s="29" t="s">
        <v>19</v>
      </c>
      <c r="D151" s="38">
        <f>'[2]5нед'!C31</f>
        <v>0</v>
      </c>
      <c r="E151" s="79"/>
      <c r="F151" s="40">
        <f>'[2]5нед'!G31</f>
        <v>0</v>
      </c>
      <c r="G151" s="41" t="str">
        <f>'[2]5нед'!H31</f>
        <v/>
      </c>
      <c r="H151" s="42"/>
      <c r="I151" s="43"/>
      <c r="J151" s="60"/>
      <c r="K151" s="29" t="s">
        <v>19</v>
      </c>
      <c r="L151" s="38">
        <f>'[2]6нед'!C31</f>
        <v>0</v>
      </c>
      <c r="M151" s="39">
        <f>'[2]6нед'!D31</f>
        <v>0</v>
      </c>
      <c r="N151" s="40">
        <f>'[2]6нед'!G31</f>
        <v>0</v>
      </c>
      <c r="O151" s="41" t="str">
        <f>'[2]6нед'!H31</f>
        <v/>
      </c>
      <c r="P151" s="42"/>
    </row>
    <row r="152" ht="31.5" spans="1:16">
      <c r="A152" s="36"/>
      <c r="B152" s="59"/>
      <c r="C152" s="29" t="s">
        <v>20</v>
      </c>
      <c r="D152" s="38">
        <f>'[2]5нед'!C32</f>
        <v>0</v>
      </c>
      <c r="E152" s="79"/>
      <c r="F152" s="40">
        <f>'[2]5нед'!G32</f>
        <v>0</v>
      </c>
      <c r="G152" s="41" t="str">
        <f>'[2]5нед'!H32</f>
        <v/>
      </c>
      <c r="H152" s="42"/>
      <c r="I152" s="43"/>
      <c r="J152" s="60"/>
      <c r="K152" s="29" t="s">
        <v>20</v>
      </c>
      <c r="L152" s="38">
        <f>'[2]6нед'!C32</f>
        <v>0</v>
      </c>
      <c r="M152" s="39">
        <f>'[2]6нед'!D32</f>
        <v>0</v>
      </c>
      <c r="N152" s="40">
        <f>'[2]6нед'!G32</f>
        <v>0</v>
      </c>
      <c r="O152" s="41" t="str">
        <f>'[2]6нед'!H32</f>
        <v/>
      </c>
      <c r="P152" s="42"/>
    </row>
    <row r="153" ht="31.5" spans="1:16">
      <c r="A153" s="36"/>
      <c r="B153" s="59"/>
      <c r="C153" s="29" t="s">
        <v>21</v>
      </c>
      <c r="D153" s="38">
        <f>'[2]5нед'!C33</f>
        <v>0</v>
      </c>
      <c r="E153" s="79"/>
      <c r="F153" s="40">
        <f>'[2]5нед'!G33</f>
        <v>0</v>
      </c>
      <c r="G153" s="41" t="str">
        <f>'[2]5нед'!H33</f>
        <v/>
      </c>
      <c r="H153" s="56"/>
      <c r="I153" s="43"/>
      <c r="J153" s="60"/>
      <c r="K153" s="29" t="s">
        <v>21</v>
      </c>
      <c r="L153" s="38">
        <f>'[2]6нед'!C33</f>
        <v>0</v>
      </c>
      <c r="M153" s="39">
        <f>'[2]6нед'!D33</f>
        <v>0</v>
      </c>
      <c r="N153" s="40">
        <f>'[2]6нед'!G33</f>
        <v>0</v>
      </c>
      <c r="O153" s="41" t="str">
        <f>'[2]6нед'!H33</f>
        <v/>
      </c>
      <c r="P153" s="56"/>
    </row>
    <row r="154" ht="32.25" spans="1:16">
      <c r="A154" s="36"/>
      <c r="B154" s="59"/>
      <c r="C154" s="29" t="s">
        <v>22</v>
      </c>
      <c r="D154" s="38">
        <f>'[2]5нед'!C34</f>
        <v>0</v>
      </c>
      <c r="E154" s="80"/>
      <c r="F154" s="40">
        <f>'[2]5нед'!G34</f>
        <v>0</v>
      </c>
      <c r="G154" s="41" t="str">
        <f>'[2]5нед'!H34</f>
        <v/>
      </c>
      <c r="H154" s="56"/>
      <c r="I154" s="43"/>
      <c r="J154" s="60"/>
      <c r="K154" s="29" t="s">
        <v>22</v>
      </c>
      <c r="L154" s="38">
        <f>'[2]6нед'!C34</f>
        <v>0</v>
      </c>
      <c r="M154" s="39">
        <f>'[2]6нед'!D34</f>
        <v>0</v>
      </c>
      <c r="N154" s="40">
        <f>'[2]6нед'!G34</f>
        <v>0</v>
      </c>
      <c r="O154" s="41" t="str">
        <f>'[2]6нед'!H34</f>
        <v/>
      </c>
      <c r="P154" s="56"/>
    </row>
    <row r="155" ht="18.4" hidden="1" customHeight="1" spans="1:16">
      <c r="A155" s="45"/>
      <c r="B155" s="61"/>
      <c r="C155" s="47"/>
      <c r="D155" s="48">
        <f>'[2]5нед'!C35</f>
        <v>0</v>
      </c>
      <c r="E155" s="49">
        <f>'[2]5нед'!D35</f>
        <v>0</v>
      </c>
      <c r="F155" s="50">
        <f>'[2]5нед'!G35</f>
        <v>0</v>
      </c>
      <c r="G155" s="51" t="str">
        <f>'[2]5нед'!H35</f>
        <v/>
      </c>
      <c r="H155" s="52"/>
      <c r="I155" s="53"/>
      <c r="J155" s="62"/>
      <c r="K155" s="47"/>
      <c r="L155" s="48">
        <f>'[2]6нед'!C35</f>
        <v>0</v>
      </c>
      <c r="M155" s="49">
        <f>'[2]6нед'!D35</f>
        <v>0</v>
      </c>
      <c r="N155" s="50">
        <f>'[2]6нед'!G35</f>
        <v>0</v>
      </c>
      <c r="O155" s="51" t="str">
        <f>'[2]6нед'!H35</f>
        <v/>
      </c>
      <c r="P155" s="52"/>
    </row>
    <row r="156" ht="48" customHeight="1" spans="1:16">
      <c r="A156" s="27">
        <v>46296</v>
      </c>
      <c r="B156" s="28" t="s">
        <v>25</v>
      </c>
      <c r="C156" s="55" t="s">
        <v>16</v>
      </c>
      <c r="D156" s="30">
        <f>'[2]5нед'!C36</f>
        <v>0</v>
      </c>
      <c r="E156" s="31">
        <f>'[2]5нед'!D36</f>
        <v>0</v>
      </c>
      <c r="F156" s="32">
        <f>'[2]5нед'!G36</f>
        <v>0</v>
      </c>
      <c r="G156" s="33" t="str">
        <f>'[2]5нед'!H36</f>
        <v/>
      </c>
      <c r="H156" s="34"/>
      <c r="I156" s="27">
        <v>46303</v>
      </c>
      <c r="J156" s="35" t="s">
        <v>25</v>
      </c>
      <c r="K156" s="55" t="s">
        <v>16</v>
      </c>
      <c r="L156" s="30">
        <f>'[2]6нед'!C36</f>
        <v>0</v>
      </c>
      <c r="M156" s="31">
        <f>'[2]6нед'!D36</f>
        <v>0</v>
      </c>
      <c r="N156" s="32">
        <f>'[2]6нед'!G36</f>
        <v>0</v>
      </c>
      <c r="O156" s="33" t="str">
        <f>'[2]6нед'!H36</f>
        <v/>
      </c>
      <c r="P156" s="34"/>
    </row>
    <row r="157" ht="31.5" spans="1:16">
      <c r="A157" s="36"/>
      <c r="B157" s="37"/>
      <c r="C157" s="29" t="s">
        <v>17</v>
      </c>
      <c r="D157" s="38">
        <f>'[2]5нед'!C37</f>
        <v>0</v>
      </c>
      <c r="E157" s="39">
        <f>'[2]5нед'!D37</f>
        <v>0</v>
      </c>
      <c r="F157" s="40">
        <f>'[2]5нед'!G37</f>
        <v>0</v>
      </c>
      <c r="G157" s="41" t="str">
        <f>'[2]5нед'!H37</f>
        <v/>
      </c>
      <c r="H157" s="42"/>
      <c r="I157" s="43"/>
      <c r="J157" s="44"/>
      <c r="K157" s="29" t="s">
        <v>17</v>
      </c>
      <c r="L157" s="38">
        <f>'[2]6нед'!C37</f>
        <v>0</v>
      </c>
      <c r="M157" s="39">
        <f>'[2]6нед'!D37</f>
        <v>0</v>
      </c>
      <c r="N157" s="40">
        <f>'[2]6нед'!G37</f>
        <v>0</v>
      </c>
      <c r="O157" s="41" t="str">
        <f>'[2]6нед'!H37</f>
        <v/>
      </c>
      <c r="P157" s="42"/>
    </row>
    <row r="158" ht="31.5" spans="1:16">
      <c r="A158" s="36"/>
      <c r="B158" s="37"/>
      <c r="C158" s="29" t="s">
        <v>18</v>
      </c>
      <c r="D158" s="38">
        <f>'[2]5нед'!C38</f>
        <v>0</v>
      </c>
      <c r="E158" s="39">
        <f>'[2]5нед'!D38</f>
        <v>0</v>
      </c>
      <c r="F158" s="40">
        <f>'[2]5нед'!G38</f>
        <v>0</v>
      </c>
      <c r="G158" s="41" t="str">
        <f>'[2]5нед'!H38</f>
        <v/>
      </c>
      <c r="H158" s="42"/>
      <c r="I158" s="43"/>
      <c r="J158" s="44"/>
      <c r="K158" s="29" t="s">
        <v>18</v>
      </c>
      <c r="L158" s="38">
        <f>'[2]6нед'!C38</f>
        <v>0</v>
      </c>
      <c r="M158" s="39">
        <f>'[2]6нед'!D38</f>
        <v>0</v>
      </c>
      <c r="N158" s="40">
        <f>'[2]6нед'!G38</f>
        <v>0</v>
      </c>
      <c r="O158" s="41" t="str">
        <f>'[2]6нед'!H38</f>
        <v/>
      </c>
      <c r="P158" s="42"/>
    </row>
    <row r="159" ht="31.5" spans="1:16">
      <c r="A159" s="36"/>
      <c r="B159" s="37"/>
      <c r="C159" s="29" t="s">
        <v>19</v>
      </c>
      <c r="D159" s="38">
        <f>'[2]5нед'!C39</f>
        <v>0</v>
      </c>
      <c r="E159" s="39">
        <f>'[2]5нед'!D39</f>
        <v>0</v>
      </c>
      <c r="F159" s="40">
        <f>'[2]5нед'!G39</f>
        <v>0</v>
      </c>
      <c r="G159" s="41" t="str">
        <f>'[2]5нед'!H39</f>
        <v/>
      </c>
      <c r="H159" s="42"/>
      <c r="I159" s="43"/>
      <c r="J159" s="44"/>
      <c r="K159" s="29" t="s">
        <v>19</v>
      </c>
      <c r="L159" s="38">
        <f>'[2]6нед'!C39</f>
        <v>0</v>
      </c>
      <c r="M159" s="39">
        <f>'[2]6нед'!D39</f>
        <v>0</v>
      </c>
      <c r="N159" s="40">
        <f>'[2]6нед'!G39</f>
        <v>0</v>
      </c>
      <c r="O159" s="41" t="str">
        <f>'[2]6нед'!H39</f>
        <v/>
      </c>
      <c r="P159" s="42"/>
    </row>
    <row r="160" ht="31.5" spans="1:16">
      <c r="A160" s="36"/>
      <c r="B160" s="37"/>
      <c r="C160" s="29" t="s">
        <v>20</v>
      </c>
      <c r="D160" s="38">
        <f>'[2]5нед'!C40</f>
        <v>0</v>
      </c>
      <c r="E160" s="39">
        <f>'[2]5нед'!D40</f>
        <v>0</v>
      </c>
      <c r="F160" s="40">
        <f>'[2]5нед'!G40</f>
        <v>0</v>
      </c>
      <c r="G160" s="41" t="str">
        <f>'[2]5нед'!H40</f>
        <v/>
      </c>
      <c r="H160" s="42"/>
      <c r="I160" s="43"/>
      <c r="J160" s="44"/>
      <c r="K160" s="29" t="s">
        <v>20</v>
      </c>
      <c r="L160" s="38">
        <f>'[2]6нед'!C40</f>
        <v>0</v>
      </c>
      <c r="M160" s="39">
        <f>'[2]6нед'!D40</f>
        <v>0</v>
      </c>
      <c r="N160" s="40">
        <f>'[2]6нед'!G40</f>
        <v>0</v>
      </c>
      <c r="O160" s="41" t="str">
        <f>'[2]6нед'!H40</f>
        <v/>
      </c>
      <c r="P160" s="42"/>
    </row>
    <row r="161" ht="31.5" spans="1:16">
      <c r="A161" s="36"/>
      <c r="B161" s="37"/>
      <c r="C161" s="29" t="s">
        <v>21</v>
      </c>
      <c r="D161" s="38">
        <f>'[2]5нед'!C41</f>
        <v>0</v>
      </c>
      <c r="E161" s="39">
        <f>'[2]5нед'!D41</f>
        <v>0</v>
      </c>
      <c r="F161" s="40">
        <f>'[2]5нед'!G41</f>
        <v>0</v>
      </c>
      <c r="G161" s="41" t="str">
        <f>'[2]5нед'!H41</f>
        <v/>
      </c>
      <c r="H161" s="56"/>
      <c r="I161" s="43"/>
      <c r="J161" s="44"/>
      <c r="K161" s="29" t="s">
        <v>21</v>
      </c>
      <c r="L161" s="38">
        <f>'[2]6нед'!C41</f>
        <v>0</v>
      </c>
      <c r="M161" s="39">
        <f>'[2]6нед'!D41</f>
        <v>0</v>
      </c>
      <c r="N161" s="40">
        <f>'[2]6нед'!G41</f>
        <v>0</v>
      </c>
      <c r="O161" s="41" t="str">
        <f>'[2]6нед'!H41</f>
        <v/>
      </c>
      <c r="P161" s="56"/>
    </row>
    <row r="162" ht="32.25" spans="1:16">
      <c r="A162" s="36"/>
      <c r="B162" s="37"/>
      <c r="C162" s="29" t="s">
        <v>22</v>
      </c>
      <c r="D162" s="38">
        <f>'[2]5нед'!C42</f>
        <v>0</v>
      </c>
      <c r="E162" s="39">
        <f>'[2]5нед'!D42</f>
        <v>0</v>
      </c>
      <c r="F162" s="40">
        <f>'[2]5нед'!G42</f>
        <v>0</v>
      </c>
      <c r="G162" s="41" t="str">
        <f>'[2]5нед'!H42</f>
        <v/>
      </c>
      <c r="H162" s="56"/>
      <c r="I162" s="43"/>
      <c r="J162" s="44"/>
      <c r="K162" s="29" t="s">
        <v>22</v>
      </c>
      <c r="L162" s="38">
        <f>'[2]6нед'!C42</f>
        <v>0</v>
      </c>
      <c r="M162" s="39">
        <f>'[2]6нед'!D42</f>
        <v>0</v>
      </c>
      <c r="N162" s="40">
        <f>'[2]6нед'!G42</f>
        <v>0</v>
      </c>
      <c r="O162" s="41" t="str">
        <f>'[2]6нед'!H42</f>
        <v/>
      </c>
      <c r="P162" s="56"/>
    </row>
    <row r="163" ht="18.4" hidden="1" customHeight="1" spans="1:16">
      <c r="A163" s="45"/>
      <c r="B163" s="46"/>
      <c r="C163" s="47"/>
      <c r="D163" s="48">
        <f>'[2]5нед'!C43</f>
        <v>0</v>
      </c>
      <c r="E163" s="49">
        <f>'[2]5нед'!D43</f>
        <v>0</v>
      </c>
      <c r="F163" s="50">
        <f>'[2]5нед'!G43</f>
        <v>0</v>
      </c>
      <c r="G163" s="51" t="str">
        <f>'[2]5нед'!H43</f>
        <v/>
      </c>
      <c r="H163" s="52"/>
      <c r="I163" s="53"/>
      <c r="J163" s="54"/>
      <c r="K163" s="47"/>
      <c r="L163" s="48">
        <f>'[2]6нед'!C43</f>
        <v>0</v>
      </c>
      <c r="M163" s="49">
        <f>'[2]6нед'!D43</f>
        <v>0</v>
      </c>
      <c r="N163" s="50">
        <f>'[2]6нед'!G43</f>
        <v>0</v>
      </c>
      <c r="O163" s="51" t="str">
        <f>'[2]6нед'!H43</f>
        <v/>
      </c>
      <c r="P163" s="52"/>
    </row>
    <row r="164" ht="48" customHeight="1" spans="1:16">
      <c r="A164" s="27">
        <v>46297</v>
      </c>
      <c r="B164" s="28" t="s">
        <v>26</v>
      </c>
      <c r="C164" s="55" t="s">
        <v>16</v>
      </c>
      <c r="D164" s="30">
        <f>'[2]5нед'!C44</f>
        <v>0</v>
      </c>
      <c r="E164" s="31">
        <f>'[2]5нед'!D44</f>
        <v>0</v>
      </c>
      <c r="F164" s="32">
        <f>'[2]5нед'!G44</f>
        <v>0</v>
      </c>
      <c r="G164" s="33" t="str">
        <f>'[2]5нед'!H44</f>
        <v/>
      </c>
      <c r="H164" s="34"/>
      <c r="I164" s="27">
        <v>46304</v>
      </c>
      <c r="J164" s="35" t="s">
        <v>26</v>
      </c>
      <c r="K164" s="55" t="s">
        <v>16</v>
      </c>
      <c r="L164" s="30">
        <f>'[2]6нед'!C44</f>
        <v>0</v>
      </c>
      <c r="M164" s="31">
        <f>'[2]6нед'!D44</f>
        <v>0</v>
      </c>
      <c r="N164" s="32">
        <f>'[2]6нед'!G44</f>
        <v>0</v>
      </c>
      <c r="O164" s="33" t="str">
        <f>'[2]6нед'!H44</f>
        <v/>
      </c>
      <c r="P164" s="34"/>
    </row>
    <row r="165" ht="31.5" spans="1:16">
      <c r="A165" s="36"/>
      <c r="B165" s="37"/>
      <c r="C165" s="29" t="s">
        <v>17</v>
      </c>
      <c r="D165" s="38">
        <f>'[2]5нед'!C45</f>
        <v>0</v>
      </c>
      <c r="E165" s="39">
        <f>'[2]5нед'!D45</f>
        <v>0</v>
      </c>
      <c r="F165" s="40">
        <f>'[2]5нед'!G45</f>
        <v>0</v>
      </c>
      <c r="G165" s="41" t="str">
        <f>'[2]5нед'!H45</f>
        <v/>
      </c>
      <c r="H165" s="42"/>
      <c r="I165" s="43"/>
      <c r="J165" s="44"/>
      <c r="K165" s="29" t="s">
        <v>17</v>
      </c>
      <c r="L165" s="38">
        <f>'[2]6нед'!C45</f>
        <v>0</v>
      </c>
      <c r="M165" s="39">
        <f>'[2]6нед'!D45</f>
        <v>0</v>
      </c>
      <c r="N165" s="40">
        <f>'[2]6нед'!G45</f>
        <v>0</v>
      </c>
      <c r="O165" s="41" t="str">
        <f>'[2]6нед'!H45</f>
        <v/>
      </c>
      <c r="P165" s="42"/>
    </row>
    <row r="166" ht="31.5" spans="1:16">
      <c r="A166" s="36"/>
      <c r="B166" s="37"/>
      <c r="C166" s="29" t="s">
        <v>18</v>
      </c>
      <c r="D166" s="38">
        <f>'[2]5нед'!C46</f>
        <v>0</v>
      </c>
      <c r="E166" s="39">
        <f>'[2]5нед'!D46</f>
        <v>0</v>
      </c>
      <c r="F166" s="40">
        <f>'[2]5нед'!G46</f>
        <v>0</v>
      </c>
      <c r="G166" s="41" t="str">
        <f>'[2]5нед'!H46</f>
        <v/>
      </c>
      <c r="H166" s="42"/>
      <c r="I166" s="43"/>
      <c r="J166" s="44"/>
      <c r="K166" s="29" t="s">
        <v>18</v>
      </c>
      <c r="L166" s="38">
        <f>'[2]6нед'!C46</f>
        <v>0</v>
      </c>
      <c r="M166" s="39">
        <f>'[2]6нед'!D46</f>
        <v>0</v>
      </c>
      <c r="N166" s="40">
        <f>'[2]6нед'!G46</f>
        <v>0</v>
      </c>
      <c r="O166" s="41" t="str">
        <f>'[2]6нед'!H46</f>
        <v/>
      </c>
      <c r="P166" s="42"/>
    </row>
    <row r="167" ht="31.5" spans="1:16">
      <c r="A167" s="36"/>
      <c r="B167" s="37"/>
      <c r="C167" s="29" t="s">
        <v>19</v>
      </c>
      <c r="D167" s="38">
        <f>'[2]5нед'!C47</f>
        <v>0</v>
      </c>
      <c r="E167" s="39">
        <f>'[2]5нед'!D47</f>
        <v>0</v>
      </c>
      <c r="F167" s="40">
        <f>'[2]5нед'!G47</f>
        <v>0</v>
      </c>
      <c r="G167" s="41" t="str">
        <f>'[2]5нед'!H47</f>
        <v/>
      </c>
      <c r="H167" s="42"/>
      <c r="I167" s="43"/>
      <c r="J167" s="44"/>
      <c r="K167" s="29" t="s">
        <v>19</v>
      </c>
      <c r="L167" s="38">
        <f>'[2]6нед'!C47</f>
        <v>0</v>
      </c>
      <c r="M167" s="39">
        <f>'[2]6нед'!D47</f>
        <v>0</v>
      </c>
      <c r="N167" s="40">
        <f>'[2]6нед'!G47</f>
        <v>0</v>
      </c>
      <c r="O167" s="41" t="str">
        <f>'[2]6нед'!H47</f>
        <v/>
      </c>
      <c r="P167" s="42"/>
    </row>
    <row r="168" ht="31.5" spans="1:16">
      <c r="A168" s="36"/>
      <c r="B168" s="37"/>
      <c r="C168" s="29" t="s">
        <v>20</v>
      </c>
      <c r="D168" s="38">
        <f>'[2]5нед'!C48</f>
        <v>0</v>
      </c>
      <c r="E168" s="39">
        <f>'[2]5нед'!D48</f>
        <v>0</v>
      </c>
      <c r="F168" s="40">
        <f>'[2]5нед'!G48</f>
        <v>0</v>
      </c>
      <c r="G168" s="41" t="str">
        <f>'[2]5нед'!H48</f>
        <v/>
      </c>
      <c r="H168" s="42"/>
      <c r="I168" s="43"/>
      <c r="J168" s="44"/>
      <c r="K168" s="29" t="s">
        <v>20</v>
      </c>
      <c r="L168" s="38">
        <f>'[2]6нед'!C48</f>
        <v>0</v>
      </c>
      <c r="M168" s="39">
        <f>'[2]6нед'!D48</f>
        <v>0</v>
      </c>
      <c r="N168" s="40">
        <f>'[2]6нед'!G48</f>
        <v>0</v>
      </c>
      <c r="O168" s="41" t="str">
        <f>'[2]6нед'!H48</f>
        <v/>
      </c>
      <c r="P168" s="42"/>
    </row>
    <row r="169" ht="31.5" spans="1:16">
      <c r="A169" s="36"/>
      <c r="B169" s="37"/>
      <c r="C169" s="29" t="s">
        <v>21</v>
      </c>
      <c r="D169" s="38">
        <f>'[2]5нед'!C49</f>
        <v>0</v>
      </c>
      <c r="E169" s="39">
        <f>'[2]5нед'!D49</f>
        <v>0</v>
      </c>
      <c r="F169" s="40">
        <f>'[2]5нед'!G49</f>
        <v>0</v>
      </c>
      <c r="G169" s="41" t="str">
        <f>'[2]5нед'!H49</f>
        <v/>
      </c>
      <c r="H169" s="42"/>
      <c r="I169" s="43"/>
      <c r="J169" s="44"/>
      <c r="K169" s="29" t="s">
        <v>21</v>
      </c>
      <c r="L169" s="38">
        <f>'[2]6нед'!C49</f>
        <v>0</v>
      </c>
      <c r="M169" s="39">
        <f>'[2]6нед'!D49</f>
        <v>0</v>
      </c>
      <c r="N169" s="40">
        <f>'[2]6нед'!G49</f>
        <v>0</v>
      </c>
      <c r="O169" s="41" t="str">
        <f>'[2]6нед'!H49</f>
        <v/>
      </c>
      <c r="P169" s="42"/>
    </row>
    <row r="170" ht="32.25" spans="1:16">
      <c r="A170" s="36"/>
      <c r="B170" s="37"/>
      <c r="C170" s="29" t="s">
        <v>22</v>
      </c>
      <c r="D170" s="38">
        <f>'[2]5нед'!C50</f>
        <v>0</v>
      </c>
      <c r="E170" s="39">
        <f>'[2]5нед'!D50</f>
        <v>0</v>
      </c>
      <c r="F170" s="40">
        <f>'[2]5нед'!G50</f>
        <v>0</v>
      </c>
      <c r="G170" s="41" t="str">
        <f>'[2]5нед'!H50</f>
        <v/>
      </c>
      <c r="H170" s="42"/>
      <c r="I170" s="43"/>
      <c r="J170" s="44"/>
      <c r="K170" s="29" t="s">
        <v>22</v>
      </c>
      <c r="L170" s="38">
        <f>'[2]6нед'!C50</f>
        <v>0</v>
      </c>
      <c r="M170" s="39">
        <f>'[2]6нед'!D50</f>
        <v>0</v>
      </c>
      <c r="N170" s="40">
        <f>'[2]6нед'!G50</f>
        <v>0</v>
      </c>
      <c r="O170" s="41" t="str">
        <f>'[2]6нед'!H50</f>
        <v/>
      </c>
      <c r="P170" s="42"/>
    </row>
    <row r="171" ht="18.4" hidden="1" customHeight="1" spans="1:16">
      <c r="A171" s="45"/>
      <c r="B171" s="46"/>
      <c r="C171" s="47"/>
      <c r="D171" s="48">
        <f>'[2]5нед'!C51</f>
        <v>0</v>
      </c>
      <c r="E171" s="49">
        <f>'[2]5нед'!D51</f>
        <v>0</v>
      </c>
      <c r="F171" s="50">
        <f>'[2]5нед'!G51</f>
        <v>0</v>
      </c>
      <c r="G171" s="51" t="str">
        <f>'[2]5нед'!H51</f>
        <v/>
      </c>
      <c r="H171" s="52"/>
      <c r="I171" s="53"/>
      <c r="J171" s="54"/>
      <c r="K171" s="47"/>
      <c r="L171" s="48">
        <f>'[2]6нед'!C51</f>
        <v>0</v>
      </c>
      <c r="M171" s="49">
        <f>'[2]6нед'!D51</f>
        <v>0</v>
      </c>
      <c r="N171" s="50">
        <f>'[2]6нед'!G51</f>
        <v>0</v>
      </c>
      <c r="O171" s="51" t="str">
        <f>'[2]6нед'!H51</f>
        <v/>
      </c>
      <c r="P171" s="52"/>
    </row>
    <row r="172" ht="48" customHeight="1" spans="1:16">
      <c r="A172" s="27">
        <v>46298</v>
      </c>
      <c r="B172" s="28" t="s">
        <v>27</v>
      </c>
      <c r="C172" s="55" t="s">
        <v>16</v>
      </c>
      <c r="D172" s="30">
        <f>'[2]5нед'!C52</f>
        <v>0</v>
      </c>
      <c r="E172" s="31">
        <f>'[2]5нед'!D52</f>
        <v>0</v>
      </c>
      <c r="F172" s="32">
        <f>'[2]5нед'!G52</f>
        <v>0</v>
      </c>
      <c r="G172" s="33" t="str">
        <f>'[2]5нед'!H52</f>
        <v/>
      </c>
      <c r="H172" s="34"/>
      <c r="I172" s="27">
        <v>46305</v>
      </c>
      <c r="J172" s="35" t="s">
        <v>27</v>
      </c>
      <c r="K172" s="55" t="s">
        <v>16</v>
      </c>
      <c r="L172" s="30">
        <f>'[2]6нед'!C52</f>
        <v>0</v>
      </c>
      <c r="M172" s="31">
        <f>'[2]6нед'!D52</f>
        <v>0</v>
      </c>
      <c r="N172" s="32">
        <f>'[2]6нед'!G52</f>
        <v>0</v>
      </c>
      <c r="O172" s="33" t="str">
        <f>'[2]6нед'!H52</f>
        <v/>
      </c>
      <c r="P172" s="34"/>
    </row>
    <row r="173" ht="31.5" spans="1:16">
      <c r="A173" s="36"/>
      <c r="B173" s="37"/>
      <c r="C173" s="29" t="s">
        <v>17</v>
      </c>
      <c r="D173" s="38">
        <f>'[2]5нед'!C53</f>
        <v>0</v>
      </c>
      <c r="E173" s="39">
        <f>'[2]5нед'!D53</f>
        <v>0</v>
      </c>
      <c r="F173" s="40">
        <f>'[2]5нед'!G53</f>
        <v>0</v>
      </c>
      <c r="G173" s="41" t="str">
        <f>'[2]5нед'!H53</f>
        <v/>
      </c>
      <c r="H173" s="42"/>
      <c r="I173" s="43"/>
      <c r="J173" s="44"/>
      <c r="K173" s="29" t="s">
        <v>17</v>
      </c>
      <c r="L173" s="38">
        <f>'[2]6нед'!C53</f>
        <v>0</v>
      </c>
      <c r="M173" s="39">
        <f>'[2]6нед'!D53</f>
        <v>0</v>
      </c>
      <c r="N173" s="40">
        <f>'[2]6нед'!G53</f>
        <v>0</v>
      </c>
      <c r="O173" s="41" t="str">
        <f>'[2]6нед'!H53</f>
        <v/>
      </c>
      <c r="P173" s="42"/>
    </row>
    <row r="174" ht="31.5" spans="1:16">
      <c r="A174" s="36"/>
      <c r="B174" s="37"/>
      <c r="C174" s="29" t="s">
        <v>18</v>
      </c>
      <c r="D174" s="38">
        <f>'[2]5нед'!C54</f>
        <v>0</v>
      </c>
      <c r="E174" s="39">
        <f>'[2]5нед'!D54</f>
        <v>0</v>
      </c>
      <c r="F174" s="40">
        <f>'[2]5нед'!G54</f>
        <v>0</v>
      </c>
      <c r="G174" s="41" t="str">
        <f>'[2]5нед'!H54</f>
        <v/>
      </c>
      <c r="H174" s="42"/>
      <c r="I174" s="43"/>
      <c r="J174" s="44"/>
      <c r="K174" s="29" t="s">
        <v>18</v>
      </c>
      <c r="L174" s="38">
        <f>'[2]6нед'!C54</f>
        <v>0</v>
      </c>
      <c r="M174" s="39">
        <f>'[2]6нед'!D54</f>
        <v>0</v>
      </c>
      <c r="N174" s="40">
        <f>'[2]6нед'!G54</f>
        <v>0</v>
      </c>
      <c r="O174" s="41" t="str">
        <f>'[2]6нед'!H54</f>
        <v/>
      </c>
      <c r="P174" s="42"/>
    </row>
    <row r="175" ht="31.5" spans="1:16">
      <c r="A175" s="36"/>
      <c r="B175" s="37"/>
      <c r="C175" s="29" t="s">
        <v>19</v>
      </c>
      <c r="D175" s="38">
        <f>'[2]5нед'!C55</f>
        <v>0</v>
      </c>
      <c r="E175" s="39">
        <f>'[2]5нед'!D55</f>
        <v>0</v>
      </c>
      <c r="F175" s="40">
        <f>'[2]5нед'!G55</f>
        <v>0</v>
      </c>
      <c r="G175" s="41" t="str">
        <f>'[2]5нед'!H55</f>
        <v/>
      </c>
      <c r="H175" s="42"/>
      <c r="I175" s="43"/>
      <c r="J175" s="44"/>
      <c r="K175" s="29" t="s">
        <v>19</v>
      </c>
      <c r="L175" s="38">
        <f>'[2]6нед'!C55</f>
        <v>0</v>
      </c>
      <c r="M175" s="39">
        <f>'[2]6нед'!D55</f>
        <v>0</v>
      </c>
      <c r="N175" s="40">
        <f>'[2]6нед'!G55</f>
        <v>0</v>
      </c>
      <c r="O175" s="41" t="str">
        <f>'[2]6нед'!H55</f>
        <v/>
      </c>
      <c r="P175" s="42"/>
    </row>
    <row r="176" ht="31.5" spans="1:16">
      <c r="A176" s="36"/>
      <c r="B176" s="37"/>
      <c r="C176" s="29" t="s">
        <v>20</v>
      </c>
      <c r="D176" s="38">
        <f>'[2]5нед'!C56</f>
        <v>0</v>
      </c>
      <c r="E176" s="39">
        <f>'[2]5нед'!D56</f>
        <v>0</v>
      </c>
      <c r="F176" s="40">
        <f>'[2]5нед'!G56</f>
        <v>0</v>
      </c>
      <c r="G176" s="41" t="str">
        <f>'[2]5нед'!H56</f>
        <v/>
      </c>
      <c r="H176" s="42"/>
      <c r="I176" s="43"/>
      <c r="J176" s="44"/>
      <c r="K176" s="29" t="s">
        <v>20</v>
      </c>
      <c r="L176" s="38">
        <f>'[2]6нед'!C56</f>
        <v>0</v>
      </c>
      <c r="M176" s="39">
        <f>'[2]6нед'!D56</f>
        <v>0</v>
      </c>
      <c r="N176" s="40">
        <f>'[2]6нед'!G56</f>
        <v>0</v>
      </c>
      <c r="O176" s="41" t="str">
        <f>'[2]6нед'!H56</f>
        <v/>
      </c>
      <c r="P176" s="42"/>
    </row>
    <row r="177" ht="31.5" spans="1:16">
      <c r="A177" s="36"/>
      <c r="B177" s="37"/>
      <c r="C177" s="29" t="s">
        <v>21</v>
      </c>
      <c r="D177" s="38">
        <f>'[2]5нед'!C57</f>
        <v>0</v>
      </c>
      <c r="E177" s="39">
        <f>'[2]5нед'!D57</f>
        <v>0</v>
      </c>
      <c r="F177" s="40">
        <f>'[2]5нед'!G57</f>
        <v>0</v>
      </c>
      <c r="G177" s="41" t="str">
        <f>'[2]5нед'!H57</f>
        <v/>
      </c>
      <c r="H177" s="42"/>
      <c r="I177" s="43"/>
      <c r="J177" s="44"/>
      <c r="K177" s="29" t="s">
        <v>21</v>
      </c>
      <c r="L177" s="38">
        <f>'[2]6нед'!C57</f>
        <v>0</v>
      </c>
      <c r="M177" s="39">
        <f>'[2]6нед'!D57</f>
        <v>0</v>
      </c>
      <c r="N177" s="40">
        <f>'[2]6нед'!G57</f>
        <v>0</v>
      </c>
      <c r="O177" s="41" t="str">
        <f>'[2]6нед'!H57</f>
        <v/>
      </c>
      <c r="P177" s="42"/>
    </row>
    <row r="178" ht="32.25" spans="1:16">
      <c r="A178" s="36"/>
      <c r="B178" s="37"/>
      <c r="C178" s="29" t="s">
        <v>22</v>
      </c>
      <c r="D178" s="38">
        <f>'[2]5нед'!C58</f>
        <v>0</v>
      </c>
      <c r="E178" s="39">
        <f>'[2]5нед'!D58</f>
        <v>0</v>
      </c>
      <c r="F178" s="40">
        <f>'[2]5нед'!G58</f>
        <v>0</v>
      </c>
      <c r="G178" s="41" t="str">
        <f>'[2]5нед'!H58</f>
        <v/>
      </c>
      <c r="H178" s="42"/>
      <c r="I178" s="43"/>
      <c r="J178" s="44"/>
      <c r="K178" s="29" t="s">
        <v>22</v>
      </c>
      <c r="L178" s="38">
        <f>'[2]6нед'!C58</f>
        <v>0</v>
      </c>
      <c r="M178" s="39">
        <f>'[2]6нед'!D58</f>
        <v>0</v>
      </c>
      <c r="N178" s="40">
        <f>'[2]6нед'!G58</f>
        <v>0</v>
      </c>
      <c r="O178" s="41" t="str">
        <f>'[2]6нед'!H58</f>
        <v/>
      </c>
      <c r="P178" s="42"/>
    </row>
    <row r="179" ht="18.4" hidden="1" customHeight="1" spans="1:16">
      <c r="A179" s="45"/>
      <c r="B179" s="46"/>
      <c r="C179" s="47"/>
      <c r="D179" s="48">
        <f>'[2]5нед'!C59</f>
        <v>0</v>
      </c>
      <c r="E179" s="49">
        <f>'[2]5нед'!D59</f>
        <v>0</v>
      </c>
      <c r="F179" s="50">
        <f>'[2]5нед'!G59</f>
        <v>0</v>
      </c>
      <c r="G179" s="51" t="str">
        <f>'[2]5нед'!H59</f>
        <v/>
      </c>
      <c r="H179" s="52"/>
      <c r="I179" s="53"/>
      <c r="J179" s="54"/>
      <c r="K179" s="47"/>
      <c r="L179" s="48">
        <f>'[2]6нед'!C59</f>
        <v>0</v>
      </c>
      <c r="M179" s="49">
        <f>'[2]6нед'!D59</f>
        <v>0</v>
      </c>
      <c r="N179" s="50">
        <f>'[2]6нед'!G59</f>
        <v>0</v>
      </c>
      <c r="O179" s="51" t="str">
        <f>'[2]6нед'!H59</f>
        <v/>
      </c>
      <c r="P179" s="52"/>
    </row>
    <row r="180" ht="39" customHeight="1" spans="1:16">
      <c r="A180" s="64"/>
      <c r="B180" s="65"/>
      <c r="C180" s="66"/>
      <c r="D180" s="67"/>
      <c r="E180" s="67" t="s">
        <v>28</v>
      </c>
      <c r="F180" s="67"/>
      <c r="G180" s="68" t="s">
        <v>29</v>
      </c>
      <c r="H180" s="69"/>
      <c r="I180" s="64"/>
      <c r="J180" s="65"/>
      <c r="K180" s="66"/>
      <c r="L180" s="67"/>
      <c r="M180" s="67" t="s">
        <v>28</v>
      </c>
      <c r="N180" s="67"/>
      <c r="O180" s="68" t="s">
        <v>29</v>
      </c>
      <c r="P180" s="69"/>
    </row>
    <row r="181" ht="15.75" spans="1:16">
      <c r="A181" s="2"/>
      <c r="B181" s="3"/>
      <c r="C181" s="4"/>
      <c r="D181" s="5"/>
      <c r="E181" s="5"/>
      <c r="F181" s="5"/>
      <c r="G181" s="5"/>
      <c r="H181" s="6" t="s">
        <v>0</v>
      </c>
      <c r="I181" s="2"/>
      <c r="J181" s="3"/>
      <c r="K181" s="4"/>
      <c r="L181" s="5"/>
      <c r="M181" s="5"/>
      <c r="N181" s="5"/>
      <c r="O181" s="5"/>
      <c r="P181" s="6" t="s">
        <v>0</v>
      </c>
    </row>
    <row r="182" ht="15.75" spans="1:16">
      <c r="A182" s="2"/>
      <c r="B182" s="3"/>
      <c r="C182" s="4"/>
      <c r="D182" s="5"/>
      <c r="E182" s="5"/>
      <c r="F182" s="5"/>
      <c r="G182" s="5"/>
      <c r="H182" s="6" t="s">
        <v>1</v>
      </c>
      <c r="I182" s="2"/>
      <c r="J182" s="3"/>
      <c r="K182" s="4"/>
      <c r="L182" s="5"/>
      <c r="M182" s="5"/>
      <c r="N182" s="5"/>
      <c r="O182" s="5"/>
      <c r="P182" s="6" t="s">
        <v>1</v>
      </c>
    </row>
    <row r="183" ht="15.75" spans="1:16">
      <c r="A183" s="2"/>
      <c r="B183" s="3"/>
      <c r="C183" s="4"/>
      <c r="D183" s="5"/>
      <c r="E183" s="5"/>
      <c r="F183" s="5"/>
      <c r="G183" s="5"/>
      <c r="H183" s="6" t="s">
        <v>2</v>
      </c>
      <c r="I183" s="2"/>
      <c r="J183" s="3"/>
      <c r="K183" s="4"/>
      <c r="L183" s="5"/>
      <c r="M183" s="5"/>
      <c r="N183" s="5"/>
      <c r="O183" s="5"/>
      <c r="P183" s="6" t="s">
        <v>2</v>
      </c>
    </row>
    <row r="184" ht="15.75" spans="1:16">
      <c r="A184" s="2"/>
      <c r="B184" s="3"/>
      <c r="C184" s="4"/>
      <c r="D184" s="5"/>
      <c r="E184" s="5"/>
      <c r="F184" s="5"/>
      <c r="G184" s="5"/>
      <c r="H184" s="6" t="s">
        <v>3</v>
      </c>
      <c r="I184" s="2"/>
      <c r="J184" s="3"/>
      <c r="K184" s="4"/>
      <c r="L184" s="5"/>
      <c r="M184" s="5"/>
      <c r="N184" s="5"/>
      <c r="O184" s="5"/>
      <c r="P184" s="6" t="s">
        <v>3</v>
      </c>
    </row>
    <row r="185" ht="15.75" spans="1:16">
      <c r="A185" s="2"/>
      <c r="B185" s="7"/>
      <c r="C185" s="4"/>
      <c r="D185" s="5"/>
      <c r="E185" s="5"/>
      <c r="F185" s="5"/>
      <c r="G185" s="5"/>
      <c r="H185" s="5"/>
      <c r="I185" s="2"/>
      <c r="J185" s="7"/>
      <c r="K185" s="4"/>
      <c r="L185" s="5"/>
      <c r="M185" s="5"/>
      <c r="N185" s="5"/>
      <c r="O185" s="5"/>
      <c r="P185" s="5"/>
    </row>
    <row r="186" ht="15.75" spans="1:16">
      <c r="A186" s="2"/>
      <c r="B186" s="8" t="s">
        <v>4</v>
      </c>
      <c r="C186" s="8"/>
      <c r="D186" s="8"/>
      <c r="E186" s="8"/>
      <c r="F186" s="8"/>
      <c r="G186" s="8"/>
      <c r="H186" s="8"/>
      <c r="I186" s="2"/>
      <c r="J186" s="8" t="s">
        <v>4</v>
      </c>
      <c r="K186" s="8"/>
      <c r="L186" s="8"/>
      <c r="M186" s="8"/>
      <c r="N186" s="8"/>
      <c r="O186" s="8"/>
      <c r="P186" s="8"/>
    </row>
    <row r="187" ht="15.75" spans="1:16">
      <c r="A187" s="9"/>
      <c r="B187" s="10" t="str">
        <f>'[1]1нед'!$A$6</f>
        <v>Направление подготовки:</v>
      </c>
      <c r="C187" s="11"/>
      <c r="D187" s="12"/>
      <c r="E187" s="13" t="str">
        <f>E7</f>
        <v>00</v>
      </c>
      <c r="F187" s="12"/>
      <c r="G187" s="12">
        <f>G7</f>
        <v>0</v>
      </c>
      <c r="H187" s="14"/>
      <c r="I187" s="9"/>
      <c r="J187" s="10" t="str">
        <f>'[1]1нед'!$A$6</f>
        <v>Направление подготовки:</v>
      </c>
      <c r="K187" s="11"/>
      <c r="L187" s="12"/>
      <c r="M187" s="13" t="str">
        <f>E7</f>
        <v>00</v>
      </c>
      <c r="N187" s="12"/>
      <c r="O187" s="12">
        <f>G7</f>
        <v>0</v>
      </c>
      <c r="P187" s="14"/>
    </row>
    <row r="188" ht="15.75" spans="1:16">
      <c r="A188" s="2"/>
      <c r="B188" s="10" t="s">
        <v>5</v>
      </c>
      <c r="C188" s="10"/>
      <c r="D188" s="10"/>
      <c r="E188" s="10" t="str">
        <f>E8</f>
        <v>очная</v>
      </c>
      <c r="F188" s="10"/>
      <c r="G188" s="10"/>
      <c r="H188" s="10"/>
      <c r="I188" s="2"/>
      <c r="J188" s="10" t="s">
        <v>5</v>
      </c>
      <c r="K188" s="10"/>
      <c r="L188" s="10"/>
      <c r="M188" s="10" t="str">
        <f>E8</f>
        <v>очная</v>
      </c>
      <c r="N188" s="10"/>
      <c r="O188" s="10"/>
      <c r="P188" s="10"/>
    </row>
    <row r="189" ht="15.75" spans="1:16">
      <c r="A189" s="2"/>
      <c r="B189" s="10" t="s">
        <v>7</v>
      </c>
      <c r="C189" s="10"/>
      <c r="D189" s="10"/>
      <c r="E189" s="10">
        <f>E9</f>
        <v>1</v>
      </c>
      <c r="F189" s="10"/>
      <c r="G189" s="10"/>
      <c r="H189" s="15"/>
      <c r="I189" s="2"/>
      <c r="J189" s="10" t="s">
        <v>7</v>
      </c>
      <c r="K189" s="10"/>
      <c r="L189" s="10"/>
      <c r="M189" s="10">
        <f>E9</f>
        <v>1</v>
      </c>
      <c r="N189" s="10"/>
      <c r="O189" s="10"/>
      <c r="P189" s="15"/>
    </row>
    <row r="190" ht="16.5" spans="1:16">
      <c r="A190" s="2"/>
      <c r="B190" s="16" t="s">
        <v>8</v>
      </c>
      <c r="C190" s="16"/>
      <c r="D190" s="16"/>
      <c r="E190" s="16">
        <f>M130+1</f>
        <v>7</v>
      </c>
      <c r="F190" s="16"/>
      <c r="G190" s="16"/>
      <c r="H190" s="17"/>
      <c r="I190" s="2"/>
      <c r="J190" s="16" t="s">
        <v>8</v>
      </c>
      <c r="K190" s="16"/>
      <c r="L190" s="16"/>
      <c r="M190" s="16">
        <f>E190+1</f>
        <v>8</v>
      </c>
      <c r="N190" s="16"/>
      <c r="O190" s="16"/>
      <c r="P190" s="17"/>
    </row>
    <row r="191" ht="46.5" customHeight="1" spans="1:16">
      <c r="A191" s="19" t="s">
        <v>9</v>
      </c>
      <c r="B191" s="20"/>
      <c r="C191" s="21" t="s">
        <v>10</v>
      </c>
      <c r="D191" s="22" t="s">
        <v>11</v>
      </c>
      <c r="E191" s="23" t="s">
        <v>12</v>
      </c>
      <c r="F191" s="24" t="s">
        <v>13</v>
      </c>
      <c r="G191" s="25"/>
      <c r="H191" s="26" t="s">
        <v>14</v>
      </c>
      <c r="I191" s="19" t="s">
        <v>9</v>
      </c>
      <c r="J191" s="20"/>
      <c r="K191" s="21" t="s">
        <v>10</v>
      </c>
      <c r="L191" s="22" t="s">
        <v>11</v>
      </c>
      <c r="M191" s="23" t="s">
        <v>12</v>
      </c>
      <c r="N191" s="24" t="s">
        <v>13</v>
      </c>
      <c r="O191" s="25"/>
      <c r="P191" s="26" t="s">
        <v>14</v>
      </c>
    </row>
    <row r="192" ht="32.25" customHeight="1" spans="1:16">
      <c r="A192" s="27">
        <v>46307</v>
      </c>
      <c r="B192" s="28" t="s">
        <v>15</v>
      </c>
      <c r="C192" s="29" t="s">
        <v>16</v>
      </c>
      <c r="D192" s="30">
        <f>'[2]7нед'!C12</f>
        <v>0</v>
      </c>
      <c r="E192" s="31">
        <f>'[2]7нед'!D12</f>
        <v>0</v>
      </c>
      <c r="F192" s="32">
        <f>'[2]7нед'!G12</f>
        <v>0</v>
      </c>
      <c r="G192" s="33" t="str">
        <f>'[2]7нед'!H12</f>
        <v/>
      </c>
      <c r="H192" s="34"/>
      <c r="I192" s="27">
        <v>46314</v>
      </c>
      <c r="J192" s="35" t="s">
        <v>15</v>
      </c>
      <c r="K192" s="29" t="s">
        <v>16</v>
      </c>
      <c r="L192" s="30">
        <f>'[2]8нед'!C12</f>
        <v>0</v>
      </c>
      <c r="M192" s="31">
        <f>'[2]8нед'!D12</f>
        <v>0</v>
      </c>
      <c r="N192" s="32">
        <f>'[2]8нед'!G12</f>
        <v>0</v>
      </c>
      <c r="O192" s="33" t="str">
        <f>'[2]8нед'!H12</f>
        <v/>
      </c>
      <c r="P192" s="34"/>
    </row>
    <row r="193" ht="31.5" spans="1:16">
      <c r="A193" s="36"/>
      <c r="B193" s="37"/>
      <c r="C193" s="29" t="s">
        <v>17</v>
      </c>
      <c r="D193" s="38">
        <f>'[2]7нед'!C13</f>
        <v>0</v>
      </c>
      <c r="E193" s="39">
        <f>'[2]7нед'!D13</f>
        <v>0</v>
      </c>
      <c r="F193" s="40">
        <f>'[2]7нед'!G13</f>
        <v>0</v>
      </c>
      <c r="G193" s="41" t="str">
        <f>'[2]7нед'!H13</f>
        <v/>
      </c>
      <c r="H193" s="42"/>
      <c r="I193" s="43"/>
      <c r="J193" s="44"/>
      <c r="K193" s="29" t="s">
        <v>17</v>
      </c>
      <c r="L193" s="38">
        <f>'[2]8нед'!C13</f>
        <v>0</v>
      </c>
      <c r="M193" s="39">
        <f>'[2]8нед'!D13</f>
        <v>0</v>
      </c>
      <c r="N193" s="40">
        <f>'[2]8нед'!G13</f>
        <v>0</v>
      </c>
      <c r="O193" s="41" t="str">
        <f>'[2]8нед'!H13</f>
        <v/>
      </c>
      <c r="P193" s="42"/>
    </row>
    <row r="194" ht="31.5" spans="1:16">
      <c r="A194" s="36"/>
      <c r="B194" s="37"/>
      <c r="C194" s="29" t="s">
        <v>18</v>
      </c>
      <c r="D194" s="38">
        <f>'[2]7нед'!C14</f>
        <v>0</v>
      </c>
      <c r="E194" s="39">
        <f>'[2]7нед'!D14</f>
        <v>0</v>
      </c>
      <c r="F194" s="40">
        <f>'[2]7нед'!G14</f>
        <v>0</v>
      </c>
      <c r="G194" s="41" t="str">
        <f>'[2]7нед'!H14</f>
        <v/>
      </c>
      <c r="H194" s="42"/>
      <c r="I194" s="43"/>
      <c r="J194" s="44"/>
      <c r="K194" s="29" t="s">
        <v>18</v>
      </c>
      <c r="L194" s="38">
        <f>'[2]8нед'!C14</f>
        <v>0</v>
      </c>
      <c r="M194" s="39">
        <f>'[2]8нед'!D14</f>
        <v>0</v>
      </c>
      <c r="N194" s="40">
        <f>'[2]8нед'!G14</f>
        <v>0</v>
      </c>
      <c r="O194" s="41" t="str">
        <f>'[2]8нед'!H14</f>
        <v/>
      </c>
      <c r="P194" s="42"/>
    </row>
    <row r="195" ht="31.5" spans="1:16">
      <c r="A195" s="36"/>
      <c r="B195" s="37"/>
      <c r="C195" s="29" t="s">
        <v>19</v>
      </c>
      <c r="D195" s="38">
        <f>'[2]7нед'!C15</f>
        <v>0</v>
      </c>
      <c r="E195" s="39">
        <f>'[2]7нед'!D15</f>
        <v>0</v>
      </c>
      <c r="F195" s="40">
        <f>'[2]7нед'!G15</f>
        <v>0</v>
      </c>
      <c r="G195" s="41" t="str">
        <f>'[2]7нед'!H15</f>
        <v/>
      </c>
      <c r="H195" s="42"/>
      <c r="I195" s="43"/>
      <c r="J195" s="44"/>
      <c r="K195" s="29" t="s">
        <v>19</v>
      </c>
      <c r="L195" s="38">
        <f>'[2]8нед'!C15</f>
        <v>0</v>
      </c>
      <c r="M195" s="39">
        <f>'[2]8нед'!D15</f>
        <v>0</v>
      </c>
      <c r="N195" s="40">
        <f>'[2]8нед'!G15</f>
        <v>0</v>
      </c>
      <c r="O195" s="41" t="str">
        <f>'[2]8нед'!H15</f>
        <v/>
      </c>
      <c r="P195" s="42"/>
    </row>
    <row r="196" ht="31.5" spans="1:16">
      <c r="A196" s="36"/>
      <c r="B196" s="37"/>
      <c r="C196" s="29" t="s">
        <v>20</v>
      </c>
      <c r="D196" s="38">
        <f>'[2]7нед'!C16</f>
        <v>0</v>
      </c>
      <c r="E196" s="39">
        <f>'[2]7нед'!D16</f>
        <v>0</v>
      </c>
      <c r="F196" s="40">
        <f>'[2]7нед'!G16</f>
        <v>0</v>
      </c>
      <c r="G196" s="41" t="str">
        <f>'[2]7нед'!H16</f>
        <v/>
      </c>
      <c r="H196" s="42"/>
      <c r="I196" s="43"/>
      <c r="J196" s="44"/>
      <c r="K196" s="29" t="s">
        <v>20</v>
      </c>
      <c r="L196" s="38">
        <f>'[2]8нед'!C16</f>
        <v>0</v>
      </c>
      <c r="M196" s="39">
        <f>'[2]8нед'!D16</f>
        <v>0</v>
      </c>
      <c r="N196" s="40">
        <f>'[2]8нед'!G16</f>
        <v>0</v>
      </c>
      <c r="O196" s="41" t="str">
        <f>'[2]8нед'!H16</f>
        <v/>
      </c>
      <c r="P196" s="42"/>
    </row>
    <row r="197" ht="31.5" spans="1:16">
      <c r="A197" s="36"/>
      <c r="B197" s="37"/>
      <c r="C197" s="29" t="s">
        <v>21</v>
      </c>
      <c r="D197" s="38">
        <f>'[2]7нед'!C17</f>
        <v>0</v>
      </c>
      <c r="E197" s="39">
        <f>'[2]7нед'!D17</f>
        <v>0</v>
      </c>
      <c r="F197" s="40">
        <f>'[2]7нед'!G17</f>
        <v>0</v>
      </c>
      <c r="G197" s="41" t="str">
        <f>'[2]7нед'!H17</f>
        <v/>
      </c>
      <c r="H197" s="56"/>
      <c r="I197" s="43"/>
      <c r="J197" s="44"/>
      <c r="K197" s="29" t="s">
        <v>21</v>
      </c>
      <c r="L197" s="38">
        <f>'[2]8нед'!C17</f>
        <v>0</v>
      </c>
      <c r="M197" s="39">
        <f>'[2]8нед'!D17</f>
        <v>0</v>
      </c>
      <c r="N197" s="40">
        <f>'[2]8нед'!G17</f>
        <v>0</v>
      </c>
      <c r="O197" s="41" t="str">
        <f>'[2]8нед'!H17</f>
        <v/>
      </c>
      <c r="P197" s="56"/>
    </row>
    <row r="198" ht="32.25" spans="1:16">
      <c r="A198" s="36"/>
      <c r="B198" s="37"/>
      <c r="C198" s="29" t="s">
        <v>22</v>
      </c>
      <c r="D198" s="38">
        <f>'[2]7нед'!C18</f>
        <v>0</v>
      </c>
      <c r="E198" s="39">
        <f>'[2]7нед'!D18</f>
        <v>0</v>
      </c>
      <c r="F198" s="40">
        <f>'[2]7нед'!G18</f>
        <v>0</v>
      </c>
      <c r="G198" s="41" t="str">
        <f>'[2]7нед'!H18</f>
        <v/>
      </c>
      <c r="H198" s="56"/>
      <c r="I198" s="43"/>
      <c r="J198" s="44"/>
      <c r="K198" s="29" t="s">
        <v>22</v>
      </c>
      <c r="L198" s="38">
        <f>'[2]8нед'!C18</f>
        <v>0</v>
      </c>
      <c r="M198" s="39">
        <f>'[2]8нед'!D18</f>
        <v>0</v>
      </c>
      <c r="N198" s="40">
        <f>'[2]8нед'!G18</f>
        <v>0</v>
      </c>
      <c r="O198" s="41" t="str">
        <f>'[2]8нед'!H18</f>
        <v/>
      </c>
      <c r="P198" s="56"/>
    </row>
    <row r="199" ht="18.4" hidden="1" customHeight="1" spans="1:16">
      <c r="A199" s="45"/>
      <c r="B199" s="46"/>
      <c r="C199" s="47"/>
      <c r="D199" s="48">
        <f>'[2]7нед'!C19</f>
        <v>0</v>
      </c>
      <c r="E199" s="49">
        <f>'[2]7нед'!D19</f>
        <v>0</v>
      </c>
      <c r="F199" s="50">
        <f>'[2]7нед'!G19</f>
        <v>0</v>
      </c>
      <c r="G199" s="51" t="str">
        <f>'[2]7нед'!H19</f>
        <v/>
      </c>
      <c r="H199" s="52"/>
      <c r="I199" s="53"/>
      <c r="J199" s="54"/>
      <c r="K199" s="47"/>
      <c r="L199" s="48">
        <f>'[2]8нед'!C19</f>
        <v>0</v>
      </c>
      <c r="M199" s="49">
        <f>'[2]8нед'!D19</f>
        <v>0</v>
      </c>
      <c r="N199" s="50">
        <f>'[2]8нед'!G19</f>
        <v>0</v>
      </c>
      <c r="O199" s="51" t="str">
        <f>'[2]8нед'!H19</f>
        <v/>
      </c>
      <c r="P199" s="52"/>
    </row>
    <row r="200" ht="32.25" customHeight="1" spans="1:16">
      <c r="A200" s="27">
        <v>46308</v>
      </c>
      <c r="B200" s="28" t="s">
        <v>23</v>
      </c>
      <c r="C200" s="55" t="s">
        <v>16</v>
      </c>
      <c r="D200" s="30">
        <f>'[2]7нед'!C20</f>
        <v>0</v>
      </c>
      <c r="E200" s="31">
        <f>'[2]7нед'!D20</f>
        <v>0</v>
      </c>
      <c r="F200" s="32">
        <f>'[2]7нед'!G20</f>
        <v>0</v>
      </c>
      <c r="G200" s="33" t="str">
        <f>'[2]7нед'!H20</f>
        <v/>
      </c>
      <c r="H200" s="34"/>
      <c r="I200" s="27">
        <v>46315</v>
      </c>
      <c r="J200" s="35" t="s">
        <v>23</v>
      </c>
      <c r="K200" s="55" t="s">
        <v>16</v>
      </c>
      <c r="L200" s="30">
        <f>'[2]8нед'!C20</f>
        <v>0</v>
      </c>
      <c r="M200" s="31">
        <f>'[2]8нед'!D20</f>
        <v>0</v>
      </c>
      <c r="N200" s="32">
        <f>'[2]8нед'!G20</f>
        <v>0</v>
      </c>
      <c r="O200" s="33" t="str">
        <f>'[2]8нед'!H20</f>
        <v/>
      </c>
      <c r="P200" s="34"/>
    </row>
    <row r="201" ht="31.5" spans="1:16">
      <c r="A201" s="36"/>
      <c r="B201" s="37"/>
      <c r="C201" s="29" t="s">
        <v>17</v>
      </c>
      <c r="D201" s="38">
        <f>'[2]7нед'!C21</f>
        <v>0</v>
      </c>
      <c r="E201" s="39">
        <f>'[2]7нед'!D21</f>
        <v>0</v>
      </c>
      <c r="F201" s="40">
        <f>'[2]7нед'!G21</f>
        <v>0</v>
      </c>
      <c r="G201" s="41" t="str">
        <f>'[2]7нед'!H21</f>
        <v/>
      </c>
      <c r="H201" s="42"/>
      <c r="I201" s="43"/>
      <c r="J201" s="44"/>
      <c r="K201" s="29" t="s">
        <v>17</v>
      </c>
      <c r="L201" s="38">
        <f>'[2]8нед'!C21</f>
        <v>0</v>
      </c>
      <c r="M201" s="39">
        <f>'[2]8нед'!D21</f>
        <v>0</v>
      </c>
      <c r="N201" s="40">
        <f>'[2]8нед'!G21</f>
        <v>0</v>
      </c>
      <c r="O201" s="41" t="str">
        <f>'[2]8нед'!H21</f>
        <v/>
      </c>
      <c r="P201" s="42"/>
    </row>
    <row r="202" ht="31.5" spans="1:16">
      <c r="A202" s="36"/>
      <c r="B202" s="37"/>
      <c r="C202" s="29" t="s">
        <v>18</v>
      </c>
      <c r="D202" s="38">
        <f>'[2]7нед'!C22</f>
        <v>0</v>
      </c>
      <c r="E202" s="39">
        <f>'[2]7нед'!D22</f>
        <v>0</v>
      </c>
      <c r="F202" s="40">
        <f>'[2]7нед'!G22</f>
        <v>0</v>
      </c>
      <c r="G202" s="41" t="str">
        <f>'[2]7нед'!H22</f>
        <v/>
      </c>
      <c r="H202" s="42"/>
      <c r="I202" s="43"/>
      <c r="J202" s="44"/>
      <c r="K202" s="29" t="s">
        <v>18</v>
      </c>
      <c r="L202" s="38">
        <f>'[2]8нед'!C22</f>
        <v>0</v>
      </c>
      <c r="M202" s="39">
        <f>'[2]8нед'!D22</f>
        <v>0</v>
      </c>
      <c r="N202" s="40">
        <f>'[2]8нед'!G22</f>
        <v>0</v>
      </c>
      <c r="O202" s="41" t="str">
        <f>'[2]8нед'!H22</f>
        <v/>
      </c>
      <c r="P202" s="42"/>
    </row>
    <row r="203" ht="31.5" spans="1:16">
      <c r="A203" s="36"/>
      <c r="B203" s="37"/>
      <c r="C203" s="29" t="s">
        <v>19</v>
      </c>
      <c r="D203" s="38">
        <f>'[2]7нед'!C23</f>
        <v>0</v>
      </c>
      <c r="E203" s="39">
        <f>'[2]7нед'!D23</f>
        <v>0</v>
      </c>
      <c r="F203" s="40">
        <f>'[2]7нед'!G23</f>
        <v>0</v>
      </c>
      <c r="G203" s="41" t="str">
        <f>'[2]7нед'!H23</f>
        <v/>
      </c>
      <c r="H203" s="42"/>
      <c r="I203" s="43"/>
      <c r="J203" s="44"/>
      <c r="K203" s="29" t="s">
        <v>19</v>
      </c>
      <c r="L203" s="38">
        <f>'[2]8нед'!C23</f>
        <v>0</v>
      </c>
      <c r="M203" s="39">
        <f>'[2]8нед'!D23</f>
        <v>0</v>
      </c>
      <c r="N203" s="40">
        <f>'[2]8нед'!G23</f>
        <v>0</v>
      </c>
      <c r="O203" s="41" t="str">
        <f>'[2]8нед'!H23</f>
        <v/>
      </c>
      <c r="P203" s="42"/>
    </row>
    <row r="204" ht="31.5" spans="1:16">
      <c r="A204" s="36"/>
      <c r="B204" s="37"/>
      <c r="C204" s="29" t="s">
        <v>20</v>
      </c>
      <c r="D204" s="38">
        <f>'[2]7нед'!C24</f>
        <v>0</v>
      </c>
      <c r="E204" s="39">
        <f>'[2]7нед'!D24</f>
        <v>0</v>
      </c>
      <c r="F204" s="40">
        <f>'[2]7нед'!G24</f>
        <v>0</v>
      </c>
      <c r="G204" s="41" t="str">
        <f>'[2]7нед'!H24</f>
        <v/>
      </c>
      <c r="H204" s="42"/>
      <c r="I204" s="43"/>
      <c r="J204" s="44"/>
      <c r="K204" s="29" t="s">
        <v>20</v>
      </c>
      <c r="L204" s="38">
        <f>'[2]8нед'!C24</f>
        <v>0</v>
      </c>
      <c r="M204" s="39">
        <f>'[2]8нед'!D24</f>
        <v>0</v>
      </c>
      <c r="N204" s="40">
        <f>'[2]8нед'!G24</f>
        <v>0</v>
      </c>
      <c r="O204" s="41" t="str">
        <f>'[2]8нед'!H24</f>
        <v/>
      </c>
      <c r="P204" s="42"/>
    </row>
    <row r="205" ht="31.5" spans="1:16">
      <c r="A205" s="36"/>
      <c r="B205" s="37"/>
      <c r="C205" s="29" t="s">
        <v>21</v>
      </c>
      <c r="D205" s="38">
        <f>'[2]7нед'!C25</f>
        <v>0</v>
      </c>
      <c r="E205" s="39">
        <f>'[2]7нед'!D25</f>
        <v>0</v>
      </c>
      <c r="F205" s="40">
        <f>'[2]7нед'!G25</f>
        <v>0</v>
      </c>
      <c r="G205" s="41" t="str">
        <f>'[2]7нед'!H25</f>
        <v/>
      </c>
      <c r="H205" s="42"/>
      <c r="I205" s="43"/>
      <c r="J205" s="44"/>
      <c r="K205" s="29" t="s">
        <v>21</v>
      </c>
      <c r="L205" s="38">
        <f>'[2]8нед'!C25</f>
        <v>0</v>
      </c>
      <c r="M205" s="39">
        <f>'[2]8нед'!D25</f>
        <v>0</v>
      </c>
      <c r="N205" s="40">
        <f>'[2]8нед'!G25</f>
        <v>0</v>
      </c>
      <c r="O205" s="41" t="str">
        <f>'[2]8нед'!H25</f>
        <v/>
      </c>
      <c r="P205" s="42"/>
    </row>
    <row r="206" ht="32.25" spans="1:16">
      <c r="A206" s="36"/>
      <c r="B206" s="37"/>
      <c r="C206" s="29" t="s">
        <v>22</v>
      </c>
      <c r="D206" s="38">
        <f>'[2]7нед'!C26</f>
        <v>0</v>
      </c>
      <c r="E206" s="39">
        <f>'[2]7нед'!D26</f>
        <v>0</v>
      </c>
      <c r="F206" s="40">
        <f>'[2]7нед'!G26</f>
        <v>0</v>
      </c>
      <c r="G206" s="41" t="str">
        <f>'[2]7нед'!H26</f>
        <v/>
      </c>
      <c r="H206" s="42"/>
      <c r="I206" s="43"/>
      <c r="J206" s="44"/>
      <c r="K206" s="29" t="s">
        <v>22</v>
      </c>
      <c r="L206" s="38">
        <f>'[2]8нед'!C26</f>
        <v>0</v>
      </c>
      <c r="M206" s="39">
        <f>'[2]8нед'!D26</f>
        <v>0</v>
      </c>
      <c r="N206" s="40">
        <f>'[2]8нед'!G26</f>
        <v>0</v>
      </c>
      <c r="O206" s="41" t="str">
        <f>'[2]8нед'!H26</f>
        <v/>
      </c>
      <c r="P206" s="42"/>
    </row>
    <row r="207" ht="18.4" hidden="1" customHeight="1" spans="1:16">
      <c r="A207" s="45"/>
      <c r="B207" s="46"/>
      <c r="C207" s="47"/>
      <c r="D207" s="48">
        <f>'[2]7нед'!C27</f>
        <v>0</v>
      </c>
      <c r="E207" s="49">
        <f>'[2]7нед'!D27</f>
        <v>0</v>
      </c>
      <c r="F207" s="50">
        <f>'[2]7нед'!G27</f>
        <v>0</v>
      </c>
      <c r="G207" s="51" t="str">
        <f>'[2]7нед'!H27</f>
        <v/>
      </c>
      <c r="H207" s="52"/>
      <c r="I207" s="53"/>
      <c r="J207" s="54"/>
      <c r="K207" s="47"/>
      <c r="L207" s="48">
        <f>'[2]8нед'!C27</f>
        <v>0</v>
      </c>
      <c r="M207" s="49">
        <f>'[2]8нед'!D27</f>
        <v>0</v>
      </c>
      <c r="N207" s="50">
        <f>'[2]8нед'!G27</f>
        <v>0</v>
      </c>
      <c r="O207" s="51" t="str">
        <f>'[2]8нед'!H27</f>
        <v/>
      </c>
      <c r="P207" s="52"/>
    </row>
    <row r="208" ht="48" customHeight="1" spans="1:16">
      <c r="A208" s="27">
        <v>46309</v>
      </c>
      <c r="B208" s="57" t="s">
        <v>24</v>
      </c>
      <c r="C208" s="55" t="s">
        <v>16</v>
      </c>
      <c r="D208" s="30">
        <f>'[2]7нед'!C28</f>
        <v>0</v>
      </c>
      <c r="E208" s="31">
        <f>'[2]7нед'!D28</f>
        <v>0</v>
      </c>
      <c r="F208" s="32">
        <f>'[2]7нед'!G28</f>
        <v>0</v>
      </c>
      <c r="G208" s="33" t="str">
        <f>'[2]7нед'!H28</f>
        <v/>
      </c>
      <c r="H208" s="34"/>
      <c r="I208" s="27">
        <v>46316</v>
      </c>
      <c r="J208" s="58" t="s">
        <v>24</v>
      </c>
      <c r="K208" s="55" t="s">
        <v>16</v>
      </c>
      <c r="L208" s="30">
        <f>'[2]8нед'!C28</f>
        <v>0</v>
      </c>
      <c r="M208" s="31">
        <f>'[2]8нед'!D28</f>
        <v>0</v>
      </c>
      <c r="N208" s="32">
        <f>'[2]8нед'!G28</f>
        <v>0</v>
      </c>
      <c r="O208" s="33" t="str">
        <f>'[2]8нед'!H28</f>
        <v/>
      </c>
      <c r="P208" s="34"/>
    </row>
    <row r="209" ht="31.5" spans="1:16">
      <c r="A209" s="36"/>
      <c r="B209" s="59"/>
      <c r="C209" s="29" t="s">
        <v>17</v>
      </c>
      <c r="D209" s="38">
        <f>'[2]7нед'!C29</f>
        <v>0</v>
      </c>
      <c r="E209" s="39">
        <f>'[2]7нед'!D29</f>
        <v>0</v>
      </c>
      <c r="F209" s="40">
        <f>'[2]7нед'!G29</f>
        <v>0</v>
      </c>
      <c r="G209" s="41" t="str">
        <f>'[2]7нед'!H29</f>
        <v/>
      </c>
      <c r="H209" s="42"/>
      <c r="I209" s="43"/>
      <c r="J209" s="60"/>
      <c r="K209" s="29" t="s">
        <v>17</v>
      </c>
      <c r="L209" s="38">
        <f>'[2]8нед'!C29</f>
        <v>0</v>
      </c>
      <c r="M209" s="39">
        <f>'[2]8нед'!D29</f>
        <v>0</v>
      </c>
      <c r="N209" s="40">
        <f>'[2]8нед'!G29</f>
        <v>0</v>
      </c>
      <c r="O209" s="41" t="str">
        <f>'[2]8нед'!H29</f>
        <v/>
      </c>
      <c r="P209" s="42"/>
    </row>
    <row r="210" ht="31.5" spans="1:16">
      <c r="A210" s="36"/>
      <c r="B210" s="59"/>
      <c r="C210" s="29" t="s">
        <v>18</v>
      </c>
      <c r="D210" s="38">
        <f>'[2]7нед'!C30</f>
        <v>0</v>
      </c>
      <c r="E210" s="39">
        <f>'[2]7нед'!D30</f>
        <v>0</v>
      </c>
      <c r="F210" s="40">
        <f>'[2]7нед'!G30</f>
        <v>0</v>
      </c>
      <c r="G210" s="41" t="str">
        <f>'[2]7нед'!H30</f>
        <v/>
      </c>
      <c r="H210" s="42"/>
      <c r="I210" s="43"/>
      <c r="J210" s="60"/>
      <c r="K210" s="29" t="s">
        <v>18</v>
      </c>
      <c r="L210" s="38">
        <f>'[2]8нед'!C30</f>
        <v>0</v>
      </c>
      <c r="M210" s="39">
        <f>'[2]8нед'!D30</f>
        <v>0</v>
      </c>
      <c r="N210" s="40">
        <f>'[2]8нед'!G30</f>
        <v>0</v>
      </c>
      <c r="O210" s="41" t="str">
        <f>'[2]8нед'!H30</f>
        <v/>
      </c>
      <c r="P210" s="42"/>
    </row>
    <row r="211" ht="31.5" spans="1:16">
      <c r="A211" s="36"/>
      <c r="B211" s="59"/>
      <c r="C211" s="29" t="s">
        <v>19</v>
      </c>
      <c r="D211" s="38">
        <f>'[2]7нед'!C31</f>
        <v>0</v>
      </c>
      <c r="E211" s="39">
        <f>'[2]7нед'!D31</f>
        <v>0</v>
      </c>
      <c r="F211" s="40">
        <f>'[2]7нед'!G31</f>
        <v>0</v>
      </c>
      <c r="G211" s="41" t="str">
        <f>'[2]7нед'!H31</f>
        <v/>
      </c>
      <c r="H211" s="42"/>
      <c r="I211" s="43"/>
      <c r="J211" s="60"/>
      <c r="K211" s="29" t="s">
        <v>19</v>
      </c>
      <c r="L211" s="38">
        <f>'[2]8нед'!C31</f>
        <v>0</v>
      </c>
      <c r="M211" s="39">
        <f>'[2]8нед'!D31</f>
        <v>0</v>
      </c>
      <c r="N211" s="40">
        <f>'[2]8нед'!G31</f>
        <v>0</v>
      </c>
      <c r="O211" s="41" t="str">
        <f>'[2]8нед'!H31</f>
        <v/>
      </c>
      <c r="P211" s="42"/>
    </row>
    <row r="212" ht="31.5" spans="1:16">
      <c r="A212" s="36"/>
      <c r="B212" s="59"/>
      <c r="C212" s="29" t="s">
        <v>20</v>
      </c>
      <c r="D212" s="38">
        <f>'[2]7нед'!C32</f>
        <v>0</v>
      </c>
      <c r="E212" s="39">
        <f>'[2]7нед'!D32</f>
        <v>0</v>
      </c>
      <c r="F212" s="40">
        <f>'[2]7нед'!G32</f>
        <v>0</v>
      </c>
      <c r="G212" s="41" t="str">
        <f>'[2]7нед'!H32</f>
        <v/>
      </c>
      <c r="H212" s="42"/>
      <c r="I212" s="43"/>
      <c r="J212" s="60"/>
      <c r="K212" s="29" t="s">
        <v>20</v>
      </c>
      <c r="L212" s="38">
        <f>'[2]8нед'!C32</f>
        <v>0</v>
      </c>
      <c r="M212" s="39">
        <f>'[2]8нед'!D32</f>
        <v>0</v>
      </c>
      <c r="N212" s="40">
        <f>'[2]8нед'!G32</f>
        <v>0</v>
      </c>
      <c r="O212" s="41" t="str">
        <f>'[2]8нед'!H32</f>
        <v/>
      </c>
      <c r="P212" s="42"/>
    </row>
    <row r="213" ht="31.5" spans="1:16">
      <c r="A213" s="36"/>
      <c r="B213" s="59"/>
      <c r="C213" s="29" t="s">
        <v>21</v>
      </c>
      <c r="D213" s="38">
        <f>'[2]7нед'!C33</f>
        <v>0</v>
      </c>
      <c r="E213" s="39">
        <f>'[2]7нед'!D33</f>
        <v>0</v>
      </c>
      <c r="F213" s="40">
        <f>'[2]7нед'!G33</f>
        <v>0</v>
      </c>
      <c r="G213" s="41" t="str">
        <f>'[2]7нед'!H33</f>
        <v/>
      </c>
      <c r="H213" s="56"/>
      <c r="I213" s="43"/>
      <c r="J213" s="60"/>
      <c r="K213" s="29" t="s">
        <v>21</v>
      </c>
      <c r="L213" s="38">
        <f>'[2]8нед'!C33</f>
        <v>0</v>
      </c>
      <c r="M213" s="39">
        <f>'[2]8нед'!D33</f>
        <v>0</v>
      </c>
      <c r="N213" s="40">
        <f>'[2]8нед'!G33</f>
        <v>0</v>
      </c>
      <c r="O213" s="41" t="str">
        <f>'[2]8нед'!H33</f>
        <v/>
      </c>
      <c r="P213" s="56"/>
    </row>
    <row r="214" ht="32.25" spans="1:16">
      <c r="A214" s="36"/>
      <c r="B214" s="59"/>
      <c r="C214" s="29" t="s">
        <v>22</v>
      </c>
      <c r="D214" s="38">
        <f>'[2]7нед'!C34</f>
        <v>0</v>
      </c>
      <c r="E214" s="39">
        <f>'[2]7нед'!D34</f>
        <v>0</v>
      </c>
      <c r="F214" s="40">
        <f>'[2]7нед'!G34</f>
        <v>0</v>
      </c>
      <c r="G214" s="41" t="str">
        <f>'[2]7нед'!H34</f>
        <v/>
      </c>
      <c r="H214" s="56"/>
      <c r="I214" s="43"/>
      <c r="J214" s="60"/>
      <c r="K214" s="29" t="s">
        <v>22</v>
      </c>
      <c r="L214" s="38">
        <f>'[2]8нед'!C34</f>
        <v>0</v>
      </c>
      <c r="M214" s="39">
        <f>'[2]8нед'!D34</f>
        <v>0</v>
      </c>
      <c r="N214" s="40">
        <f>'[2]8нед'!G34</f>
        <v>0</v>
      </c>
      <c r="O214" s="41" t="str">
        <f>'[2]8нед'!H34</f>
        <v/>
      </c>
      <c r="P214" s="56"/>
    </row>
    <row r="215" ht="18.4" hidden="1" customHeight="1" spans="1:16">
      <c r="A215" s="45"/>
      <c r="B215" s="61"/>
      <c r="C215" s="47"/>
      <c r="D215" s="48">
        <f>'[2]7нед'!C35</f>
        <v>0</v>
      </c>
      <c r="E215" s="49">
        <f>'[2]7нед'!D35</f>
        <v>0</v>
      </c>
      <c r="F215" s="50">
        <f>'[2]7нед'!G35</f>
        <v>0</v>
      </c>
      <c r="G215" s="51" t="str">
        <f>'[2]7нед'!H35</f>
        <v/>
      </c>
      <c r="H215" s="52"/>
      <c r="I215" s="53"/>
      <c r="J215" s="62"/>
      <c r="K215" s="47"/>
      <c r="L215" s="48">
        <f>'[2]8нед'!C35</f>
        <v>0</v>
      </c>
      <c r="M215" s="49">
        <f>'[2]8нед'!D35</f>
        <v>0</v>
      </c>
      <c r="N215" s="50">
        <f>'[2]8нед'!G35</f>
        <v>0</v>
      </c>
      <c r="O215" s="51" t="str">
        <f>'[2]8нед'!H35</f>
        <v/>
      </c>
      <c r="P215" s="52"/>
    </row>
    <row r="216" ht="48" customHeight="1" spans="1:16">
      <c r="A216" s="27">
        <v>46310</v>
      </c>
      <c r="B216" s="28" t="s">
        <v>25</v>
      </c>
      <c r="C216" s="55" t="s">
        <v>16</v>
      </c>
      <c r="D216" s="30">
        <f>'[2]7нед'!C36</f>
        <v>0</v>
      </c>
      <c r="E216" s="31">
        <f>'[2]7нед'!D36</f>
        <v>0</v>
      </c>
      <c r="F216" s="32">
        <f>'[2]7нед'!G36</f>
        <v>0</v>
      </c>
      <c r="G216" s="33" t="str">
        <f>'[2]7нед'!H36</f>
        <v/>
      </c>
      <c r="H216" s="34"/>
      <c r="I216" s="27">
        <v>46317</v>
      </c>
      <c r="J216" s="35" t="s">
        <v>25</v>
      </c>
      <c r="K216" s="55" t="s">
        <v>16</v>
      </c>
      <c r="L216" s="30">
        <f>'[2]8нед'!C36</f>
        <v>0</v>
      </c>
      <c r="M216" s="31">
        <f>'[2]8нед'!D36</f>
        <v>0</v>
      </c>
      <c r="N216" s="32">
        <f>'[2]8нед'!G36</f>
        <v>0</v>
      </c>
      <c r="O216" s="33" t="str">
        <f>'[2]8нед'!H36</f>
        <v/>
      </c>
      <c r="P216" s="34"/>
    </row>
    <row r="217" ht="31.5" spans="1:16">
      <c r="A217" s="36"/>
      <c r="B217" s="37"/>
      <c r="C217" s="29" t="s">
        <v>17</v>
      </c>
      <c r="D217" s="38">
        <f>'[2]7нед'!C37</f>
        <v>0</v>
      </c>
      <c r="E217" s="39">
        <f>'[2]7нед'!D37</f>
        <v>0</v>
      </c>
      <c r="F217" s="40">
        <f>'[2]7нед'!G37</f>
        <v>0</v>
      </c>
      <c r="G217" s="41" t="str">
        <f>'[2]7нед'!H37</f>
        <v/>
      </c>
      <c r="H217" s="42"/>
      <c r="I217" s="43"/>
      <c r="J217" s="44"/>
      <c r="K217" s="29" t="s">
        <v>17</v>
      </c>
      <c r="L217" s="38">
        <f>'[2]8нед'!C37</f>
        <v>0</v>
      </c>
      <c r="M217" s="39">
        <f>'[2]8нед'!D37</f>
        <v>0</v>
      </c>
      <c r="N217" s="40">
        <f>'[2]8нед'!G37</f>
        <v>0</v>
      </c>
      <c r="O217" s="41" t="str">
        <f>'[2]8нед'!H37</f>
        <v/>
      </c>
      <c r="P217" s="42"/>
    </row>
    <row r="218" ht="31.5" spans="1:16">
      <c r="A218" s="36"/>
      <c r="B218" s="37"/>
      <c r="C218" s="29" t="s">
        <v>18</v>
      </c>
      <c r="D218" s="38">
        <f>'[2]7нед'!C38</f>
        <v>0</v>
      </c>
      <c r="E218" s="39">
        <f>'[2]7нед'!D38</f>
        <v>0</v>
      </c>
      <c r="F218" s="40">
        <f>'[2]7нед'!G38</f>
        <v>0</v>
      </c>
      <c r="G218" s="41" t="str">
        <f>'[2]7нед'!H38</f>
        <v/>
      </c>
      <c r="H218" s="42"/>
      <c r="I218" s="43"/>
      <c r="J218" s="44"/>
      <c r="K218" s="29" t="s">
        <v>18</v>
      </c>
      <c r="L218" s="38">
        <f>'[2]8нед'!C38</f>
        <v>0</v>
      </c>
      <c r="M218" s="39">
        <f>'[2]8нед'!D38</f>
        <v>0</v>
      </c>
      <c r="N218" s="40">
        <f>'[2]8нед'!G38</f>
        <v>0</v>
      </c>
      <c r="O218" s="41" t="str">
        <f>'[2]8нед'!H38</f>
        <v/>
      </c>
      <c r="P218" s="42"/>
    </row>
    <row r="219" ht="31.5" spans="1:16">
      <c r="A219" s="36"/>
      <c r="B219" s="37"/>
      <c r="C219" s="29" t="s">
        <v>19</v>
      </c>
      <c r="D219" s="38">
        <f>'[2]7нед'!C39</f>
        <v>0</v>
      </c>
      <c r="E219" s="39">
        <f>'[2]7нед'!D39</f>
        <v>0</v>
      </c>
      <c r="F219" s="40">
        <f>'[2]7нед'!G39</f>
        <v>0</v>
      </c>
      <c r="G219" s="41" t="str">
        <f>'[2]7нед'!H39</f>
        <v/>
      </c>
      <c r="H219" s="42"/>
      <c r="I219" s="43"/>
      <c r="J219" s="44"/>
      <c r="K219" s="29" t="s">
        <v>19</v>
      </c>
      <c r="L219" s="38">
        <f>'[2]8нед'!C39</f>
        <v>0</v>
      </c>
      <c r="M219" s="39">
        <f>'[2]8нед'!D39</f>
        <v>0</v>
      </c>
      <c r="N219" s="40">
        <f>'[2]8нед'!G39</f>
        <v>0</v>
      </c>
      <c r="O219" s="41" t="str">
        <f>'[2]8нед'!H39</f>
        <v/>
      </c>
      <c r="P219" s="42"/>
    </row>
    <row r="220" ht="31.5" spans="1:16">
      <c r="A220" s="36"/>
      <c r="B220" s="37"/>
      <c r="C220" s="29" t="s">
        <v>20</v>
      </c>
      <c r="D220" s="38">
        <f>'[2]7нед'!C40</f>
        <v>0</v>
      </c>
      <c r="E220" s="39">
        <f>'[2]7нед'!D40</f>
        <v>0</v>
      </c>
      <c r="F220" s="40">
        <f>'[2]7нед'!G40</f>
        <v>0</v>
      </c>
      <c r="G220" s="41" t="str">
        <f>'[2]7нед'!H40</f>
        <v/>
      </c>
      <c r="H220" s="42"/>
      <c r="I220" s="43"/>
      <c r="J220" s="44"/>
      <c r="K220" s="29" t="s">
        <v>20</v>
      </c>
      <c r="L220" s="38">
        <f>'[2]8нед'!C40</f>
        <v>0</v>
      </c>
      <c r="M220" s="39">
        <f>'[2]8нед'!D40</f>
        <v>0</v>
      </c>
      <c r="N220" s="40">
        <f>'[2]8нед'!G40</f>
        <v>0</v>
      </c>
      <c r="O220" s="41" t="str">
        <f>'[2]8нед'!H40</f>
        <v/>
      </c>
      <c r="P220" s="42"/>
    </row>
    <row r="221" ht="31.5" spans="1:16">
      <c r="A221" s="36"/>
      <c r="B221" s="37"/>
      <c r="C221" s="29" t="s">
        <v>21</v>
      </c>
      <c r="D221" s="38">
        <f>'[2]7нед'!C41</f>
        <v>0</v>
      </c>
      <c r="E221" s="39">
        <f>'[2]7нед'!D41</f>
        <v>0</v>
      </c>
      <c r="F221" s="40">
        <f>'[2]7нед'!G41</f>
        <v>0</v>
      </c>
      <c r="G221" s="41" t="str">
        <f>'[2]7нед'!H41</f>
        <v/>
      </c>
      <c r="H221" s="56"/>
      <c r="I221" s="43"/>
      <c r="J221" s="44"/>
      <c r="K221" s="29" t="s">
        <v>21</v>
      </c>
      <c r="L221" s="38">
        <f>'[2]8нед'!C41</f>
        <v>0</v>
      </c>
      <c r="M221" s="39">
        <f>'[2]8нед'!D41</f>
        <v>0</v>
      </c>
      <c r="N221" s="40">
        <f>'[2]8нед'!G41</f>
        <v>0</v>
      </c>
      <c r="O221" s="41" t="str">
        <f>'[2]8нед'!H41</f>
        <v/>
      </c>
      <c r="P221" s="56"/>
    </row>
    <row r="222" ht="32.25" spans="1:16">
      <c r="A222" s="36"/>
      <c r="B222" s="37"/>
      <c r="C222" s="29" t="s">
        <v>22</v>
      </c>
      <c r="D222" s="38">
        <f>'[2]7нед'!C42</f>
        <v>0</v>
      </c>
      <c r="E222" s="39">
        <f>'[2]7нед'!D42</f>
        <v>0</v>
      </c>
      <c r="F222" s="40">
        <f>'[2]7нед'!G42</f>
        <v>0</v>
      </c>
      <c r="G222" s="41" t="str">
        <f>'[2]7нед'!H42</f>
        <v/>
      </c>
      <c r="H222" s="56"/>
      <c r="I222" s="43"/>
      <c r="J222" s="44"/>
      <c r="K222" s="29" t="s">
        <v>22</v>
      </c>
      <c r="L222" s="38">
        <f>'[2]8нед'!C42</f>
        <v>0</v>
      </c>
      <c r="M222" s="39">
        <f>'[2]8нед'!D42</f>
        <v>0</v>
      </c>
      <c r="N222" s="40">
        <f>'[2]8нед'!G42</f>
        <v>0</v>
      </c>
      <c r="O222" s="41" t="str">
        <f>'[2]8нед'!H42</f>
        <v/>
      </c>
      <c r="P222" s="56"/>
    </row>
    <row r="223" ht="18.4" hidden="1" customHeight="1" spans="1:16">
      <c r="A223" s="45"/>
      <c r="B223" s="46"/>
      <c r="C223" s="47"/>
      <c r="D223" s="48">
        <f>'[2]7нед'!C43</f>
        <v>0</v>
      </c>
      <c r="E223" s="49">
        <f>'[2]7нед'!D43</f>
        <v>0</v>
      </c>
      <c r="F223" s="50">
        <f>'[2]7нед'!G43</f>
        <v>0</v>
      </c>
      <c r="G223" s="51" t="str">
        <f>'[2]7нед'!H43</f>
        <v/>
      </c>
      <c r="H223" s="52"/>
      <c r="I223" s="53"/>
      <c r="J223" s="54"/>
      <c r="K223" s="47"/>
      <c r="L223" s="48">
        <f>'[2]8нед'!C43</f>
        <v>0</v>
      </c>
      <c r="M223" s="49">
        <f>'[2]8нед'!D43</f>
        <v>0</v>
      </c>
      <c r="N223" s="50">
        <f>'[2]8нед'!G43</f>
        <v>0</v>
      </c>
      <c r="O223" s="51" t="str">
        <f>'[2]8нед'!H43</f>
        <v/>
      </c>
      <c r="P223" s="52"/>
    </row>
    <row r="224" ht="48" customHeight="1" spans="1:16">
      <c r="A224" s="27">
        <v>46311</v>
      </c>
      <c r="B224" s="28" t="s">
        <v>26</v>
      </c>
      <c r="C224" s="55" t="s">
        <v>16</v>
      </c>
      <c r="D224" s="30">
        <f>'[2]7нед'!C44</f>
        <v>0</v>
      </c>
      <c r="E224" s="31">
        <f>'[2]7нед'!D44</f>
        <v>0</v>
      </c>
      <c r="F224" s="32">
        <f>'[2]7нед'!G44</f>
        <v>0</v>
      </c>
      <c r="G224" s="33" t="str">
        <f>'[2]7нед'!H44</f>
        <v/>
      </c>
      <c r="H224" s="34"/>
      <c r="I224" s="27">
        <v>46318</v>
      </c>
      <c r="J224" s="35" t="s">
        <v>26</v>
      </c>
      <c r="K224" s="55" t="s">
        <v>16</v>
      </c>
      <c r="L224" s="30">
        <f>'[2]8нед'!C44</f>
        <v>0</v>
      </c>
      <c r="M224" s="31">
        <f>'[2]8нед'!D44</f>
        <v>0</v>
      </c>
      <c r="N224" s="32">
        <f>'[2]8нед'!G44</f>
        <v>0</v>
      </c>
      <c r="O224" s="33" t="str">
        <f>'[2]8нед'!H44</f>
        <v/>
      </c>
      <c r="P224" s="34"/>
    </row>
    <row r="225" ht="31.5" spans="1:16">
      <c r="A225" s="36"/>
      <c r="B225" s="37"/>
      <c r="C225" s="29" t="s">
        <v>17</v>
      </c>
      <c r="D225" s="38">
        <f>'[2]7нед'!C45</f>
        <v>0</v>
      </c>
      <c r="E225" s="39">
        <f>'[2]7нед'!D45</f>
        <v>0</v>
      </c>
      <c r="F225" s="40">
        <f>'[2]7нед'!G45</f>
        <v>0</v>
      </c>
      <c r="G225" s="41" t="str">
        <f>'[2]7нед'!H45</f>
        <v/>
      </c>
      <c r="H225" s="42"/>
      <c r="I225" s="43"/>
      <c r="J225" s="44"/>
      <c r="K225" s="29" t="s">
        <v>17</v>
      </c>
      <c r="L225" s="38">
        <f>'[2]8нед'!C45</f>
        <v>0</v>
      </c>
      <c r="M225" s="39">
        <f>'[2]8нед'!D45</f>
        <v>0</v>
      </c>
      <c r="N225" s="40">
        <f>'[2]8нед'!G45</f>
        <v>0</v>
      </c>
      <c r="O225" s="41" t="str">
        <f>'[2]8нед'!H45</f>
        <v/>
      </c>
      <c r="P225" s="42"/>
    </row>
    <row r="226" ht="31.5" spans="1:16">
      <c r="A226" s="36"/>
      <c r="B226" s="37"/>
      <c r="C226" s="29" t="s">
        <v>18</v>
      </c>
      <c r="D226" s="38">
        <f>'[2]7нед'!C46</f>
        <v>0</v>
      </c>
      <c r="E226" s="39">
        <f>'[2]7нед'!D46</f>
        <v>0</v>
      </c>
      <c r="F226" s="40">
        <f>'[2]7нед'!G46</f>
        <v>0</v>
      </c>
      <c r="G226" s="41" t="str">
        <f>'[2]7нед'!H46</f>
        <v/>
      </c>
      <c r="H226" s="42"/>
      <c r="I226" s="43"/>
      <c r="J226" s="44"/>
      <c r="K226" s="29" t="s">
        <v>18</v>
      </c>
      <c r="L226" s="38">
        <f>'[2]8нед'!C46</f>
        <v>0</v>
      </c>
      <c r="M226" s="39">
        <f>'[2]8нед'!D46</f>
        <v>0</v>
      </c>
      <c r="N226" s="40">
        <f>'[2]8нед'!G46</f>
        <v>0</v>
      </c>
      <c r="O226" s="41" t="str">
        <f>'[2]8нед'!H46</f>
        <v/>
      </c>
      <c r="P226" s="42"/>
    </row>
    <row r="227" ht="31.5" spans="1:16">
      <c r="A227" s="36"/>
      <c r="B227" s="37"/>
      <c r="C227" s="29" t="s">
        <v>19</v>
      </c>
      <c r="D227" s="38">
        <f>'[2]7нед'!C47</f>
        <v>0</v>
      </c>
      <c r="E227" s="39">
        <f>'[2]7нед'!D47</f>
        <v>0</v>
      </c>
      <c r="F227" s="40">
        <f>'[2]7нед'!G47</f>
        <v>0</v>
      </c>
      <c r="G227" s="41" t="str">
        <f>'[2]7нед'!H47</f>
        <v/>
      </c>
      <c r="H227" s="42"/>
      <c r="I227" s="43"/>
      <c r="J227" s="44"/>
      <c r="K227" s="29" t="s">
        <v>19</v>
      </c>
      <c r="L227" s="38">
        <f>'[2]8нед'!C47</f>
        <v>0</v>
      </c>
      <c r="M227" s="39">
        <f>'[2]8нед'!D47</f>
        <v>0</v>
      </c>
      <c r="N227" s="40">
        <f>'[2]8нед'!G47</f>
        <v>0</v>
      </c>
      <c r="O227" s="41" t="str">
        <f>'[2]8нед'!H47</f>
        <v/>
      </c>
      <c r="P227" s="42"/>
    </row>
    <row r="228" ht="31.5" spans="1:16">
      <c r="A228" s="36"/>
      <c r="B228" s="37"/>
      <c r="C228" s="29" t="s">
        <v>20</v>
      </c>
      <c r="D228" s="38">
        <f>'[2]7нед'!C48</f>
        <v>0</v>
      </c>
      <c r="E228" s="39">
        <f>'[2]7нед'!D48</f>
        <v>0</v>
      </c>
      <c r="F228" s="40">
        <f>'[2]7нед'!G48</f>
        <v>0</v>
      </c>
      <c r="G228" s="41" t="str">
        <f>'[2]7нед'!H48</f>
        <v/>
      </c>
      <c r="H228" s="42"/>
      <c r="I228" s="43"/>
      <c r="J228" s="44"/>
      <c r="K228" s="29" t="s">
        <v>20</v>
      </c>
      <c r="L228" s="38">
        <f>'[2]8нед'!C48</f>
        <v>0</v>
      </c>
      <c r="M228" s="39">
        <f>'[2]8нед'!D48</f>
        <v>0</v>
      </c>
      <c r="N228" s="40">
        <f>'[2]8нед'!G48</f>
        <v>0</v>
      </c>
      <c r="O228" s="41" t="str">
        <f>'[2]8нед'!H48</f>
        <v/>
      </c>
      <c r="P228" s="42"/>
    </row>
    <row r="229" ht="31.5" spans="1:16">
      <c r="A229" s="36"/>
      <c r="B229" s="37"/>
      <c r="C229" s="29" t="s">
        <v>21</v>
      </c>
      <c r="D229" s="38">
        <f>'[2]7нед'!C49</f>
        <v>0</v>
      </c>
      <c r="E229" s="39">
        <f>'[2]7нед'!D49</f>
        <v>0</v>
      </c>
      <c r="F229" s="40">
        <f>'[2]7нед'!G49</f>
        <v>0</v>
      </c>
      <c r="G229" s="41" t="str">
        <f>'[2]7нед'!H49</f>
        <v/>
      </c>
      <c r="H229" s="42"/>
      <c r="I229" s="43"/>
      <c r="J229" s="44"/>
      <c r="K229" s="29" t="s">
        <v>21</v>
      </c>
      <c r="L229" s="38">
        <f>'[2]8нед'!C49</f>
        <v>0</v>
      </c>
      <c r="M229" s="39">
        <f>'[2]8нед'!D49</f>
        <v>0</v>
      </c>
      <c r="N229" s="40">
        <f>'[2]8нед'!G49</f>
        <v>0</v>
      </c>
      <c r="O229" s="41" t="str">
        <f>'[2]8нед'!H49</f>
        <v/>
      </c>
      <c r="P229" s="42"/>
    </row>
    <row r="230" ht="32.25" spans="1:16">
      <c r="A230" s="36"/>
      <c r="B230" s="37"/>
      <c r="C230" s="29" t="s">
        <v>22</v>
      </c>
      <c r="D230" s="38">
        <f>'[2]7нед'!C50</f>
        <v>0</v>
      </c>
      <c r="E230" s="39">
        <f>'[2]7нед'!D50</f>
        <v>0</v>
      </c>
      <c r="F230" s="40">
        <f>'[2]7нед'!G50</f>
        <v>0</v>
      </c>
      <c r="G230" s="41" t="str">
        <f>'[2]7нед'!H50</f>
        <v/>
      </c>
      <c r="H230" s="42"/>
      <c r="I230" s="43"/>
      <c r="J230" s="44"/>
      <c r="K230" s="29" t="s">
        <v>22</v>
      </c>
      <c r="L230" s="38">
        <f>'[2]8нед'!C50</f>
        <v>0</v>
      </c>
      <c r="M230" s="39">
        <f>'[2]8нед'!D50</f>
        <v>0</v>
      </c>
      <c r="N230" s="40">
        <f>'[2]8нед'!G50</f>
        <v>0</v>
      </c>
      <c r="O230" s="41" t="str">
        <f>'[2]8нед'!H50</f>
        <v/>
      </c>
      <c r="P230" s="42"/>
    </row>
    <row r="231" ht="18.4" hidden="1" customHeight="1" spans="1:16">
      <c r="A231" s="45"/>
      <c r="B231" s="46"/>
      <c r="C231" s="47"/>
      <c r="D231" s="48">
        <f>'[2]7нед'!C51</f>
        <v>0</v>
      </c>
      <c r="E231" s="49">
        <f>'[2]7нед'!D51</f>
        <v>0</v>
      </c>
      <c r="F231" s="50">
        <f>'[2]7нед'!G51</f>
        <v>0</v>
      </c>
      <c r="G231" s="51" t="str">
        <f>'[2]7нед'!H51</f>
        <v/>
      </c>
      <c r="H231" s="52"/>
      <c r="I231" s="53"/>
      <c r="J231" s="54"/>
      <c r="K231" s="47"/>
      <c r="L231" s="48">
        <f>'[2]8нед'!C51</f>
        <v>0</v>
      </c>
      <c r="M231" s="49">
        <f>'[2]8нед'!D51</f>
        <v>0</v>
      </c>
      <c r="N231" s="50">
        <f>'[2]8нед'!G51</f>
        <v>0</v>
      </c>
      <c r="O231" s="51" t="str">
        <f>'[2]8нед'!H51</f>
        <v/>
      </c>
      <c r="P231" s="52"/>
    </row>
    <row r="232" ht="48" customHeight="1" spans="1:16">
      <c r="A232" s="27">
        <v>46312</v>
      </c>
      <c r="B232" s="28" t="s">
        <v>27</v>
      </c>
      <c r="C232" s="55" t="s">
        <v>16</v>
      </c>
      <c r="D232" s="30">
        <f>'[2]7нед'!C52</f>
        <v>0</v>
      </c>
      <c r="E232" s="31">
        <f>'[2]7нед'!D52</f>
        <v>0</v>
      </c>
      <c r="F232" s="32">
        <f>'[2]7нед'!G52</f>
        <v>0</v>
      </c>
      <c r="G232" s="33" t="str">
        <f>'[2]7нед'!H52</f>
        <v/>
      </c>
      <c r="H232" s="34"/>
      <c r="I232" s="27">
        <v>46319</v>
      </c>
      <c r="J232" s="35" t="s">
        <v>27</v>
      </c>
      <c r="K232" s="55" t="s">
        <v>16</v>
      </c>
      <c r="L232" s="30">
        <f>'[2]8нед'!C52</f>
        <v>0</v>
      </c>
      <c r="M232" s="31">
        <f>'[2]8нед'!D52</f>
        <v>0</v>
      </c>
      <c r="N232" s="32">
        <f>'[2]8нед'!G52</f>
        <v>0</v>
      </c>
      <c r="O232" s="33" t="str">
        <f>'[2]8нед'!H52</f>
        <v/>
      </c>
      <c r="P232" s="34"/>
    </row>
    <row r="233" ht="31.5" spans="1:16">
      <c r="A233" s="36"/>
      <c r="B233" s="37"/>
      <c r="C233" s="29" t="s">
        <v>17</v>
      </c>
      <c r="D233" s="38">
        <f>'[2]7нед'!C53</f>
        <v>0</v>
      </c>
      <c r="E233" s="39">
        <f>'[2]7нед'!D53</f>
        <v>0</v>
      </c>
      <c r="F233" s="40">
        <f>'[2]7нед'!G53</f>
        <v>0</v>
      </c>
      <c r="G233" s="41" t="str">
        <f>'[2]7нед'!H53</f>
        <v/>
      </c>
      <c r="H233" s="42"/>
      <c r="I233" s="43"/>
      <c r="J233" s="44"/>
      <c r="K233" s="29" t="s">
        <v>17</v>
      </c>
      <c r="L233" s="38">
        <f>'[2]8нед'!C53</f>
        <v>0</v>
      </c>
      <c r="M233" s="39">
        <f>'[2]8нед'!D53</f>
        <v>0</v>
      </c>
      <c r="N233" s="40">
        <f>'[2]8нед'!G53</f>
        <v>0</v>
      </c>
      <c r="O233" s="41" t="str">
        <f>'[2]8нед'!H53</f>
        <v/>
      </c>
      <c r="P233" s="42"/>
    </row>
    <row r="234" ht="31.5" spans="1:16">
      <c r="A234" s="36"/>
      <c r="B234" s="37"/>
      <c r="C234" s="29" t="s">
        <v>18</v>
      </c>
      <c r="D234" s="38">
        <f>'[2]7нед'!C54</f>
        <v>0</v>
      </c>
      <c r="E234" s="39">
        <f>'[2]7нед'!D54</f>
        <v>0</v>
      </c>
      <c r="F234" s="40">
        <f>'[2]7нед'!G54</f>
        <v>0</v>
      </c>
      <c r="G234" s="41" t="str">
        <f>'[2]7нед'!H54</f>
        <v/>
      </c>
      <c r="H234" s="42"/>
      <c r="I234" s="43"/>
      <c r="J234" s="44"/>
      <c r="K234" s="29" t="s">
        <v>18</v>
      </c>
      <c r="L234" s="38">
        <f>'[2]8нед'!C54</f>
        <v>0</v>
      </c>
      <c r="M234" s="39">
        <f>'[2]8нед'!D54</f>
        <v>0</v>
      </c>
      <c r="N234" s="40">
        <f>'[2]8нед'!G54</f>
        <v>0</v>
      </c>
      <c r="O234" s="41" t="str">
        <f>'[2]8нед'!H54</f>
        <v/>
      </c>
      <c r="P234" s="42"/>
    </row>
    <row r="235" ht="31.5" spans="1:16">
      <c r="A235" s="36"/>
      <c r="B235" s="37"/>
      <c r="C235" s="29" t="s">
        <v>19</v>
      </c>
      <c r="D235" s="38">
        <f>'[2]7нед'!C55</f>
        <v>0</v>
      </c>
      <c r="E235" s="39">
        <f>'[2]7нед'!D55</f>
        <v>0</v>
      </c>
      <c r="F235" s="40">
        <f>'[2]7нед'!G55</f>
        <v>0</v>
      </c>
      <c r="G235" s="41" t="str">
        <f>'[2]7нед'!H55</f>
        <v/>
      </c>
      <c r="H235" s="42"/>
      <c r="I235" s="43"/>
      <c r="J235" s="44"/>
      <c r="K235" s="29" t="s">
        <v>19</v>
      </c>
      <c r="L235" s="38">
        <f>'[2]8нед'!C55</f>
        <v>0</v>
      </c>
      <c r="M235" s="39">
        <f>'[2]8нед'!D55</f>
        <v>0</v>
      </c>
      <c r="N235" s="40">
        <f>'[2]8нед'!G55</f>
        <v>0</v>
      </c>
      <c r="O235" s="41" t="str">
        <f>'[2]8нед'!H55</f>
        <v/>
      </c>
      <c r="P235" s="42"/>
    </row>
    <row r="236" ht="31.5" spans="1:16">
      <c r="A236" s="36"/>
      <c r="B236" s="37"/>
      <c r="C236" s="29" t="s">
        <v>20</v>
      </c>
      <c r="D236" s="38">
        <f>'[2]7нед'!C56</f>
        <v>0</v>
      </c>
      <c r="E236" s="39">
        <f>'[2]7нед'!D56</f>
        <v>0</v>
      </c>
      <c r="F236" s="40">
        <f>'[2]7нед'!G56</f>
        <v>0</v>
      </c>
      <c r="G236" s="41" t="str">
        <f>'[2]7нед'!H56</f>
        <v/>
      </c>
      <c r="H236" s="42"/>
      <c r="I236" s="43"/>
      <c r="J236" s="44"/>
      <c r="K236" s="29" t="s">
        <v>20</v>
      </c>
      <c r="L236" s="38">
        <f>'[2]8нед'!C56</f>
        <v>0</v>
      </c>
      <c r="M236" s="39">
        <f>'[2]8нед'!D56</f>
        <v>0</v>
      </c>
      <c r="N236" s="40">
        <f>'[2]8нед'!G56</f>
        <v>0</v>
      </c>
      <c r="O236" s="41" t="str">
        <f>'[2]8нед'!H56</f>
        <v/>
      </c>
      <c r="P236" s="42"/>
    </row>
    <row r="237" ht="31.5" spans="1:16">
      <c r="A237" s="36"/>
      <c r="B237" s="37"/>
      <c r="C237" s="29" t="s">
        <v>21</v>
      </c>
      <c r="D237" s="38">
        <f>'[2]7нед'!C57</f>
        <v>0</v>
      </c>
      <c r="E237" s="39">
        <f>'[2]7нед'!D57</f>
        <v>0</v>
      </c>
      <c r="F237" s="40">
        <f>'[2]7нед'!G57</f>
        <v>0</v>
      </c>
      <c r="G237" s="41" t="str">
        <f>'[2]7нед'!H57</f>
        <v/>
      </c>
      <c r="H237" s="42"/>
      <c r="I237" s="43"/>
      <c r="J237" s="44"/>
      <c r="K237" s="29" t="s">
        <v>21</v>
      </c>
      <c r="L237" s="38">
        <f>'[2]8нед'!C57</f>
        <v>0</v>
      </c>
      <c r="M237" s="39">
        <f>'[2]8нед'!D57</f>
        <v>0</v>
      </c>
      <c r="N237" s="40">
        <f>'[2]8нед'!G57</f>
        <v>0</v>
      </c>
      <c r="O237" s="41" t="str">
        <f>'[2]8нед'!H57</f>
        <v/>
      </c>
      <c r="P237" s="42"/>
    </row>
    <row r="238" ht="32.25" spans="1:16">
      <c r="A238" s="36"/>
      <c r="B238" s="37"/>
      <c r="C238" s="29" t="s">
        <v>22</v>
      </c>
      <c r="D238" s="38">
        <f>'[2]7нед'!C58</f>
        <v>0</v>
      </c>
      <c r="E238" s="39">
        <f>'[2]7нед'!D58</f>
        <v>0</v>
      </c>
      <c r="F238" s="40">
        <f>'[2]7нед'!G58</f>
        <v>0</v>
      </c>
      <c r="G238" s="41" t="str">
        <f>'[2]7нед'!H58</f>
        <v/>
      </c>
      <c r="H238" s="42"/>
      <c r="I238" s="43"/>
      <c r="J238" s="44"/>
      <c r="K238" s="29" t="s">
        <v>22</v>
      </c>
      <c r="L238" s="38">
        <f>'[2]8нед'!C58</f>
        <v>0</v>
      </c>
      <c r="M238" s="39">
        <f>'[2]8нед'!D58</f>
        <v>0</v>
      </c>
      <c r="N238" s="40">
        <f>'[2]8нед'!G58</f>
        <v>0</v>
      </c>
      <c r="O238" s="41" t="str">
        <f>'[2]8нед'!H58</f>
        <v/>
      </c>
      <c r="P238" s="42"/>
    </row>
    <row r="239" ht="18.4" hidden="1" customHeight="1" spans="1:16">
      <c r="A239" s="45"/>
      <c r="B239" s="46"/>
      <c r="C239" s="47"/>
      <c r="D239" s="48">
        <f>'[2]7нед'!C59</f>
        <v>0</v>
      </c>
      <c r="E239" s="49">
        <f>'[2]7нед'!D59</f>
        <v>0</v>
      </c>
      <c r="F239" s="50">
        <f>'[2]7нед'!G59</f>
        <v>0</v>
      </c>
      <c r="G239" s="51" t="str">
        <f>'[2]7нед'!H59</f>
        <v/>
      </c>
      <c r="H239" s="52"/>
      <c r="I239" s="53"/>
      <c r="J239" s="54"/>
      <c r="K239" s="47"/>
      <c r="L239" s="48">
        <f>'[2]8нед'!C59</f>
        <v>0</v>
      </c>
      <c r="M239" s="49">
        <f>'[2]8нед'!D59</f>
        <v>0</v>
      </c>
      <c r="N239" s="50">
        <f>'[2]8нед'!G59</f>
        <v>0</v>
      </c>
      <c r="O239" s="51" t="str">
        <f>'[2]8нед'!H59</f>
        <v/>
      </c>
      <c r="P239" s="52"/>
    </row>
    <row r="240" ht="39" customHeight="1" spans="1:16">
      <c r="A240" s="64"/>
      <c r="B240" s="65"/>
      <c r="C240" s="66"/>
      <c r="D240" s="67"/>
      <c r="E240" s="67" t="s">
        <v>28</v>
      </c>
      <c r="F240" s="67"/>
      <c r="G240" s="68" t="s">
        <v>29</v>
      </c>
      <c r="H240" s="69"/>
      <c r="I240" s="64"/>
      <c r="J240" s="65"/>
      <c r="K240" s="66"/>
      <c r="L240" s="67"/>
      <c r="M240" s="67" t="s">
        <v>28</v>
      </c>
      <c r="N240" s="67"/>
      <c r="O240" s="68" t="s">
        <v>29</v>
      </c>
      <c r="P240" s="69"/>
    </row>
    <row r="241" ht="15.75" spans="1:16">
      <c r="A241" s="2"/>
      <c r="B241" s="3"/>
      <c r="C241" s="4"/>
      <c r="D241" s="5"/>
      <c r="E241" s="5"/>
      <c r="F241" s="5"/>
      <c r="G241" s="5"/>
      <c r="H241" s="6" t="s">
        <v>0</v>
      </c>
      <c r="I241" s="2"/>
      <c r="J241" s="3"/>
      <c r="K241" s="4"/>
      <c r="L241" s="5"/>
      <c r="M241" s="5"/>
      <c r="N241" s="5"/>
      <c r="O241" s="5"/>
      <c r="P241" s="6" t="s">
        <v>0</v>
      </c>
    </row>
    <row r="242" ht="15.75" spans="1:16">
      <c r="A242" s="2"/>
      <c r="B242" s="3"/>
      <c r="C242" s="4"/>
      <c r="D242" s="5"/>
      <c r="E242" s="5"/>
      <c r="F242" s="5"/>
      <c r="G242" s="5"/>
      <c r="H242" s="6" t="s">
        <v>1</v>
      </c>
      <c r="I242" s="2"/>
      <c r="J242" s="3"/>
      <c r="K242" s="4"/>
      <c r="L242" s="5"/>
      <c r="M242" s="5"/>
      <c r="N242" s="5"/>
      <c r="O242" s="5"/>
      <c r="P242" s="6" t="s">
        <v>1</v>
      </c>
    </row>
    <row r="243" ht="15.75" spans="1:16">
      <c r="A243" s="2"/>
      <c r="B243" s="3"/>
      <c r="C243" s="4"/>
      <c r="D243" s="5"/>
      <c r="E243" s="5"/>
      <c r="F243" s="5"/>
      <c r="G243" s="5"/>
      <c r="H243" s="6" t="s">
        <v>2</v>
      </c>
      <c r="I243" s="2"/>
      <c r="J243" s="3"/>
      <c r="K243" s="4"/>
      <c r="L243" s="5"/>
      <c r="M243" s="5"/>
      <c r="N243" s="5"/>
      <c r="O243" s="5"/>
      <c r="P243" s="6" t="s">
        <v>2</v>
      </c>
    </row>
    <row r="244" ht="15.75" spans="1:16">
      <c r="A244" s="2"/>
      <c r="B244" s="3"/>
      <c r="C244" s="4"/>
      <c r="D244" s="5"/>
      <c r="E244" s="5"/>
      <c r="F244" s="5"/>
      <c r="G244" s="5"/>
      <c r="H244" s="6" t="s">
        <v>3</v>
      </c>
      <c r="I244" s="2"/>
      <c r="J244" s="3"/>
      <c r="K244" s="4"/>
      <c r="L244" s="5"/>
      <c r="M244" s="5"/>
      <c r="N244" s="5"/>
      <c r="O244" s="5"/>
      <c r="P244" s="6" t="s">
        <v>3</v>
      </c>
    </row>
    <row r="245" ht="15.75" spans="1:16">
      <c r="A245" s="2"/>
      <c r="B245" s="7"/>
      <c r="C245" s="4"/>
      <c r="D245" s="5"/>
      <c r="E245" s="5"/>
      <c r="F245" s="5"/>
      <c r="G245" s="5"/>
      <c r="H245" s="5"/>
      <c r="I245" s="2"/>
      <c r="J245" s="7"/>
      <c r="K245" s="4"/>
      <c r="L245" s="5"/>
      <c r="M245" s="5"/>
      <c r="N245" s="5"/>
      <c r="O245" s="5"/>
      <c r="P245" s="5"/>
    </row>
    <row r="246" ht="15.75" spans="1:16">
      <c r="A246" s="2"/>
      <c r="B246" s="8" t="s">
        <v>4</v>
      </c>
      <c r="C246" s="8"/>
      <c r="D246" s="8"/>
      <c r="E246" s="8"/>
      <c r="F246" s="8"/>
      <c r="G246" s="8"/>
      <c r="H246" s="8"/>
      <c r="I246" s="2"/>
      <c r="J246" s="8" t="s">
        <v>4</v>
      </c>
      <c r="K246" s="8"/>
      <c r="L246" s="8"/>
      <c r="M246" s="8"/>
      <c r="N246" s="8"/>
      <c r="O246" s="8"/>
      <c r="P246" s="8"/>
    </row>
    <row r="247" ht="15.75" spans="1:16">
      <c r="A247" s="9"/>
      <c r="B247" s="10" t="str">
        <f>'[1]1нед'!$A$6</f>
        <v>Направление подготовки:</v>
      </c>
      <c r="C247" s="11"/>
      <c r="D247" s="12"/>
      <c r="E247" s="13" t="str">
        <f>E7</f>
        <v>00</v>
      </c>
      <c r="F247" s="12"/>
      <c r="G247" s="12">
        <f>G7</f>
        <v>0</v>
      </c>
      <c r="H247" s="14"/>
      <c r="I247" s="9"/>
      <c r="J247" s="10" t="str">
        <f>'[1]1нед'!$A$6</f>
        <v>Направление подготовки:</v>
      </c>
      <c r="K247" s="11"/>
      <c r="L247" s="12"/>
      <c r="M247" s="13" t="str">
        <f>E7</f>
        <v>00</v>
      </c>
      <c r="N247" s="12"/>
      <c r="O247" s="12">
        <f>G7</f>
        <v>0</v>
      </c>
      <c r="P247" s="14"/>
    </row>
    <row r="248" ht="15.75" spans="1:16">
      <c r="A248" s="2"/>
      <c r="B248" s="10" t="s">
        <v>5</v>
      </c>
      <c r="C248" s="10"/>
      <c r="D248" s="10"/>
      <c r="E248" s="10" t="str">
        <f t="shared" ref="E248:E249" si="2">E8</f>
        <v>очная</v>
      </c>
      <c r="F248" s="10"/>
      <c r="G248" s="10"/>
      <c r="H248" s="10"/>
      <c r="I248" s="2"/>
      <c r="J248" s="10" t="s">
        <v>5</v>
      </c>
      <c r="K248" s="10"/>
      <c r="L248" s="10"/>
      <c r="M248" s="10" t="str">
        <f t="shared" ref="M248:M249" si="3">E8</f>
        <v>очная</v>
      </c>
      <c r="N248" s="10"/>
      <c r="O248" s="10"/>
      <c r="P248" s="10"/>
    </row>
    <row r="249" ht="15.75" spans="1:16">
      <c r="A249" s="2"/>
      <c r="B249" s="10" t="s">
        <v>7</v>
      </c>
      <c r="C249" s="10"/>
      <c r="D249" s="10"/>
      <c r="E249" s="10">
        <f t="shared" si="2"/>
        <v>1</v>
      </c>
      <c r="F249" s="10"/>
      <c r="G249" s="10"/>
      <c r="H249" s="15"/>
      <c r="I249" s="2"/>
      <c r="J249" s="10" t="s">
        <v>7</v>
      </c>
      <c r="K249" s="10"/>
      <c r="L249" s="10"/>
      <c r="M249" s="10">
        <f t="shared" si="3"/>
        <v>1</v>
      </c>
      <c r="N249" s="10"/>
      <c r="O249" s="10"/>
      <c r="P249" s="15"/>
    </row>
    <row r="250" ht="16.5" spans="1:16">
      <c r="A250" s="2"/>
      <c r="B250" s="16" t="s">
        <v>8</v>
      </c>
      <c r="C250" s="16"/>
      <c r="D250" s="16"/>
      <c r="E250" s="16">
        <f>M190+1</f>
        <v>9</v>
      </c>
      <c r="F250" s="16"/>
      <c r="G250" s="16"/>
      <c r="H250" s="17"/>
      <c r="I250" s="2"/>
      <c r="J250" s="16" t="s">
        <v>8</v>
      </c>
      <c r="K250" s="16"/>
      <c r="L250" s="16"/>
      <c r="M250" s="16">
        <f>E250+1</f>
        <v>10</v>
      </c>
      <c r="N250" s="16"/>
      <c r="O250" s="16"/>
      <c r="P250" s="17"/>
    </row>
    <row r="251" ht="46.5" customHeight="1" spans="1:16">
      <c r="A251" s="19" t="s">
        <v>9</v>
      </c>
      <c r="B251" s="20"/>
      <c r="C251" s="21" t="s">
        <v>10</v>
      </c>
      <c r="D251" s="22" t="s">
        <v>11</v>
      </c>
      <c r="E251" s="23" t="s">
        <v>12</v>
      </c>
      <c r="F251" s="24" t="s">
        <v>13</v>
      </c>
      <c r="G251" s="25"/>
      <c r="H251" s="26" t="s">
        <v>14</v>
      </c>
      <c r="I251" s="19" t="s">
        <v>9</v>
      </c>
      <c r="J251" s="20"/>
      <c r="K251" s="21" t="s">
        <v>10</v>
      </c>
      <c r="L251" s="22" t="s">
        <v>11</v>
      </c>
      <c r="M251" s="23" t="s">
        <v>12</v>
      </c>
      <c r="N251" s="24" t="s">
        <v>13</v>
      </c>
      <c r="O251" s="25"/>
      <c r="P251" s="26" t="s">
        <v>14</v>
      </c>
    </row>
    <row r="252" ht="32.25" customHeight="1" spans="1:16">
      <c r="A252" s="27">
        <v>46321</v>
      </c>
      <c r="B252" s="28" t="s">
        <v>15</v>
      </c>
      <c r="C252" s="29" t="s">
        <v>16</v>
      </c>
      <c r="D252" s="30">
        <f>'[2]9нед'!C12</f>
        <v>0</v>
      </c>
      <c r="E252" s="31">
        <f>'[2]9нед'!D12</f>
        <v>0</v>
      </c>
      <c r="F252" s="32">
        <f>'[2]9нед'!G12</f>
        <v>0</v>
      </c>
      <c r="G252" s="33" t="str">
        <f>'[2]9нед'!H12</f>
        <v/>
      </c>
      <c r="H252" s="34"/>
      <c r="I252" s="27">
        <v>46328</v>
      </c>
      <c r="J252" s="35" t="s">
        <v>15</v>
      </c>
      <c r="K252" s="29" t="s">
        <v>16</v>
      </c>
      <c r="L252" s="30">
        <f>'[3]10нед'!C12</f>
        <v>0</v>
      </c>
      <c r="M252" s="31">
        <f>'[3]10нед'!D12</f>
        <v>0</v>
      </c>
      <c r="N252" s="32">
        <f>'[3]10нед'!G12</f>
        <v>0</v>
      </c>
      <c r="O252" s="33" t="str">
        <f>'[3]10нед'!H12</f>
        <v/>
      </c>
      <c r="P252" s="34"/>
    </row>
    <row r="253" ht="31.5" spans="1:16">
      <c r="A253" s="36"/>
      <c r="B253" s="37"/>
      <c r="C253" s="29" t="s">
        <v>17</v>
      </c>
      <c r="D253" s="38">
        <f>'[2]9нед'!C13</f>
        <v>0</v>
      </c>
      <c r="E253" s="39">
        <f>'[2]9нед'!D13</f>
        <v>0</v>
      </c>
      <c r="F253" s="40">
        <f>'[2]9нед'!G13</f>
        <v>0</v>
      </c>
      <c r="G253" s="41" t="str">
        <f>'[2]9нед'!H13</f>
        <v/>
      </c>
      <c r="H253" s="42"/>
      <c r="I253" s="43"/>
      <c r="J253" s="44"/>
      <c r="K253" s="29" t="s">
        <v>17</v>
      </c>
      <c r="L253" s="38">
        <f>'[3]10нед'!C13</f>
        <v>0</v>
      </c>
      <c r="M253" s="39">
        <f>'[3]10нед'!D13</f>
        <v>0</v>
      </c>
      <c r="N253" s="40">
        <f>'[3]10нед'!G13</f>
        <v>0</v>
      </c>
      <c r="O253" s="41" t="str">
        <f>'[3]10нед'!H13</f>
        <v/>
      </c>
      <c r="P253" s="42"/>
    </row>
    <row r="254" ht="31.5" spans="1:16">
      <c r="A254" s="36"/>
      <c r="B254" s="37"/>
      <c r="C254" s="29" t="s">
        <v>18</v>
      </c>
      <c r="D254" s="38">
        <f>'[2]9нед'!C14</f>
        <v>0</v>
      </c>
      <c r="E254" s="39">
        <f>'[2]9нед'!D14</f>
        <v>0</v>
      </c>
      <c r="F254" s="40">
        <f>'[2]9нед'!G14</f>
        <v>0</v>
      </c>
      <c r="G254" s="41" t="str">
        <f>'[2]9нед'!H14</f>
        <v/>
      </c>
      <c r="H254" s="42"/>
      <c r="I254" s="43"/>
      <c r="J254" s="44"/>
      <c r="K254" s="29" t="s">
        <v>18</v>
      </c>
      <c r="L254" s="38">
        <f>'[3]10нед'!C14</f>
        <v>0</v>
      </c>
      <c r="M254" s="39">
        <f>'[3]10нед'!D14</f>
        <v>0</v>
      </c>
      <c r="N254" s="40">
        <f>'[3]10нед'!G14</f>
        <v>0</v>
      </c>
      <c r="O254" s="41" t="str">
        <f>'[3]10нед'!H14</f>
        <v/>
      </c>
      <c r="P254" s="42"/>
    </row>
    <row r="255" ht="31.5" spans="1:16">
      <c r="A255" s="36"/>
      <c r="B255" s="37"/>
      <c r="C255" s="29" t="s">
        <v>19</v>
      </c>
      <c r="D255" s="38">
        <f>'[2]9нед'!C15</f>
        <v>0</v>
      </c>
      <c r="E255" s="39">
        <f>'[2]9нед'!D15</f>
        <v>0</v>
      </c>
      <c r="F255" s="40">
        <f>'[2]9нед'!G15</f>
        <v>0</v>
      </c>
      <c r="G255" s="41" t="str">
        <f>'[2]9нед'!H15</f>
        <v/>
      </c>
      <c r="H255" s="42"/>
      <c r="I255" s="43"/>
      <c r="J255" s="44"/>
      <c r="K255" s="29" t="s">
        <v>19</v>
      </c>
      <c r="L255" s="38">
        <f>'[3]10нед'!C15</f>
        <v>0</v>
      </c>
      <c r="M255" s="39">
        <f>'[3]10нед'!D15</f>
        <v>0</v>
      </c>
      <c r="N255" s="40">
        <f>'[3]10нед'!G15</f>
        <v>0</v>
      </c>
      <c r="O255" s="41" t="str">
        <f>'[3]10нед'!H15</f>
        <v/>
      </c>
      <c r="P255" s="42"/>
    </row>
    <row r="256" ht="31.5" spans="1:16">
      <c r="A256" s="36"/>
      <c r="B256" s="37"/>
      <c r="C256" s="29" t="s">
        <v>20</v>
      </c>
      <c r="D256" s="38">
        <f>'[2]9нед'!C16</f>
        <v>0</v>
      </c>
      <c r="E256" s="39">
        <f>'[2]9нед'!D16</f>
        <v>0</v>
      </c>
      <c r="F256" s="40">
        <f>'[2]9нед'!G16</f>
        <v>0</v>
      </c>
      <c r="G256" s="41" t="str">
        <f>'[2]9нед'!H16</f>
        <v/>
      </c>
      <c r="H256" s="42"/>
      <c r="I256" s="43"/>
      <c r="J256" s="44"/>
      <c r="K256" s="29" t="s">
        <v>20</v>
      </c>
      <c r="L256" s="38">
        <f>'[3]10нед'!C16</f>
        <v>0</v>
      </c>
      <c r="M256" s="39">
        <f>'[3]10нед'!D16</f>
        <v>0</v>
      </c>
      <c r="N256" s="40">
        <f>'[3]10нед'!G16</f>
        <v>0</v>
      </c>
      <c r="O256" s="41" t="str">
        <f>'[3]10нед'!H16</f>
        <v/>
      </c>
      <c r="P256" s="42"/>
    </row>
    <row r="257" ht="31.5" spans="1:16">
      <c r="A257" s="36"/>
      <c r="B257" s="37"/>
      <c r="C257" s="29" t="s">
        <v>21</v>
      </c>
      <c r="D257" s="38">
        <f>'[2]9нед'!C17</f>
        <v>0</v>
      </c>
      <c r="E257" s="39">
        <f>'[2]9нед'!D17</f>
        <v>0</v>
      </c>
      <c r="F257" s="40">
        <f>'[2]9нед'!G17</f>
        <v>0</v>
      </c>
      <c r="G257" s="41" t="str">
        <f>'[2]9нед'!H17</f>
        <v/>
      </c>
      <c r="H257" s="56"/>
      <c r="I257" s="43"/>
      <c r="J257" s="44"/>
      <c r="K257" s="29" t="s">
        <v>21</v>
      </c>
      <c r="L257" s="38">
        <f>'[3]10нед'!C17</f>
        <v>0</v>
      </c>
      <c r="M257" s="39">
        <f>'[3]10нед'!D17</f>
        <v>0</v>
      </c>
      <c r="N257" s="40">
        <f>'[3]10нед'!G17</f>
        <v>0</v>
      </c>
      <c r="O257" s="41" t="str">
        <f>'[3]10нед'!H17</f>
        <v/>
      </c>
      <c r="P257" s="56"/>
    </row>
    <row r="258" ht="32.25" spans="1:16">
      <c r="A258" s="36"/>
      <c r="B258" s="37"/>
      <c r="C258" s="29" t="s">
        <v>22</v>
      </c>
      <c r="D258" s="38">
        <f>'[2]9нед'!C18</f>
        <v>0</v>
      </c>
      <c r="E258" s="39">
        <f>'[2]9нед'!D18</f>
        <v>0</v>
      </c>
      <c r="F258" s="40">
        <f>'[2]9нед'!G18</f>
        <v>0</v>
      </c>
      <c r="G258" s="41" t="str">
        <f>'[2]9нед'!H18</f>
        <v/>
      </c>
      <c r="H258" s="56"/>
      <c r="I258" s="43"/>
      <c r="J258" s="44"/>
      <c r="K258" s="29" t="s">
        <v>22</v>
      </c>
      <c r="L258" s="38">
        <f>'[3]10нед'!C18</f>
        <v>0</v>
      </c>
      <c r="M258" s="39">
        <f>'[3]10нед'!D18</f>
        <v>0</v>
      </c>
      <c r="N258" s="40">
        <f>'[3]10нед'!G18</f>
        <v>0</v>
      </c>
      <c r="O258" s="41" t="str">
        <f>'[3]10нед'!H18</f>
        <v/>
      </c>
      <c r="P258" s="56"/>
    </row>
    <row r="259" ht="18.4" hidden="1" customHeight="1" spans="1:16">
      <c r="A259" s="45"/>
      <c r="B259" s="46"/>
      <c r="C259" s="47"/>
      <c r="D259" s="48">
        <f>'[2]9нед'!C19</f>
        <v>0</v>
      </c>
      <c r="E259" s="49">
        <f>'[2]9нед'!D19</f>
        <v>0</v>
      </c>
      <c r="F259" s="50">
        <f>'[2]9нед'!G19</f>
        <v>0</v>
      </c>
      <c r="G259" s="51" t="str">
        <f>'[2]9нед'!H19</f>
        <v/>
      </c>
      <c r="H259" s="52"/>
      <c r="I259" s="53"/>
      <c r="J259" s="54"/>
      <c r="K259" s="47"/>
      <c r="L259" s="48">
        <f>'[3]10нед'!C19</f>
        <v>0</v>
      </c>
      <c r="M259" s="49">
        <f>'[3]10нед'!D19</f>
        <v>0</v>
      </c>
      <c r="N259" s="50">
        <f>'[3]10нед'!G19</f>
        <v>0</v>
      </c>
      <c r="O259" s="51" t="str">
        <f>'[3]10нед'!H19</f>
        <v/>
      </c>
      <c r="P259" s="52"/>
    </row>
    <row r="260" ht="32.25" customHeight="1" spans="1:16">
      <c r="A260" s="27">
        <v>46322</v>
      </c>
      <c r="B260" s="28" t="s">
        <v>23</v>
      </c>
      <c r="C260" s="55" t="s">
        <v>16</v>
      </c>
      <c r="D260" s="30">
        <f>'[2]9нед'!C20</f>
        <v>0</v>
      </c>
      <c r="E260" s="31">
        <f>'[2]9нед'!D20</f>
        <v>0</v>
      </c>
      <c r="F260" s="32">
        <f>'[2]9нед'!G20</f>
        <v>0</v>
      </c>
      <c r="G260" s="33" t="str">
        <f>'[2]9нед'!H20</f>
        <v/>
      </c>
      <c r="H260" s="34"/>
      <c r="I260" s="27">
        <v>46329</v>
      </c>
      <c r="J260" s="35" t="s">
        <v>23</v>
      </c>
      <c r="K260" s="55" t="s">
        <v>16</v>
      </c>
      <c r="L260" s="30">
        <f>'[3]10нед'!C20</f>
        <v>0</v>
      </c>
      <c r="M260" s="31">
        <f>'[3]10нед'!D20</f>
        <v>0</v>
      </c>
      <c r="N260" s="32">
        <f>'[3]10нед'!G20</f>
        <v>0</v>
      </c>
      <c r="O260" s="33" t="str">
        <f>'[3]10нед'!H20</f>
        <v/>
      </c>
      <c r="P260" s="34"/>
    </row>
    <row r="261" ht="31.5" spans="1:16">
      <c r="A261" s="36"/>
      <c r="B261" s="37"/>
      <c r="C261" s="29" t="s">
        <v>17</v>
      </c>
      <c r="D261" s="38">
        <f>'[2]9нед'!C21</f>
        <v>0</v>
      </c>
      <c r="E261" s="39">
        <f>'[2]9нед'!D21</f>
        <v>0</v>
      </c>
      <c r="F261" s="40">
        <f>'[2]9нед'!G21</f>
        <v>0</v>
      </c>
      <c r="G261" s="41" t="str">
        <f>'[2]9нед'!H21</f>
        <v/>
      </c>
      <c r="H261" s="42"/>
      <c r="I261" s="43"/>
      <c r="J261" s="44"/>
      <c r="K261" s="29" t="s">
        <v>17</v>
      </c>
      <c r="L261" s="38">
        <f>'[3]10нед'!C21</f>
        <v>0</v>
      </c>
      <c r="M261" s="39">
        <f>'[3]10нед'!D21</f>
        <v>0</v>
      </c>
      <c r="N261" s="40">
        <f>'[3]10нед'!G21</f>
        <v>0</v>
      </c>
      <c r="O261" s="41" t="str">
        <f>'[3]10нед'!H21</f>
        <v/>
      </c>
      <c r="P261" s="42"/>
    </row>
    <row r="262" ht="31.5" spans="1:16">
      <c r="A262" s="36"/>
      <c r="B262" s="37"/>
      <c r="C262" s="29" t="s">
        <v>18</v>
      </c>
      <c r="D262" s="38">
        <f>'[2]9нед'!C22</f>
        <v>0</v>
      </c>
      <c r="E262" s="39">
        <f>'[2]9нед'!D22</f>
        <v>0</v>
      </c>
      <c r="F262" s="40">
        <f>'[2]9нед'!G22</f>
        <v>0</v>
      </c>
      <c r="G262" s="41" t="str">
        <f>'[2]9нед'!H22</f>
        <v/>
      </c>
      <c r="H262" s="42"/>
      <c r="I262" s="43"/>
      <c r="J262" s="44"/>
      <c r="K262" s="29" t="s">
        <v>18</v>
      </c>
      <c r="L262" s="38">
        <f>'[3]10нед'!C22</f>
        <v>0</v>
      </c>
      <c r="M262" s="39">
        <f>'[3]10нед'!D22</f>
        <v>0</v>
      </c>
      <c r="N262" s="40">
        <f>'[3]10нед'!G22</f>
        <v>0</v>
      </c>
      <c r="O262" s="41" t="str">
        <f>'[3]10нед'!H22</f>
        <v/>
      </c>
      <c r="P262" s="42"/>
    </row>
    <row r="263" ht="31.5" spans="1:16">
      <c r="A263" s="36"/>
      <c r="B263" s="37"/>
      <c r="C263" s="29" t="s">
        <v>19</v>
      </c>
      <c r="D263" s="38">
        <f>'[2]9нед'!C23</f>
        <v>0</v>
      </c>
      <c r="E263" s="39">
        <f>'[2]9нед'!D23</f>
        <v>0</v>
      </c>
      <c r="F263" s="40">
        <f>'[2]9нед'!G23</f>
        <v>0</v>
      </c>
      <c r="G263" s="41" t="str">
        <f>'[2]9нед'!H23</f>
        <v/>
      </c>
      <c r="H263" s="42"/>
      <c r="I263" s="43"/>
      <c r="J263" s="44"/>
      <c r="K263" s="29" t="s">
        <v>19</v>
      </c>
      <c r="L263" s="38">
        <f>'[3]10нед'!C23</f>
        <v>0</v>
      </c>
      <c r="M263" s="39">
        <f>'[3]10нед'!D23</f>
        <v>0</v>
      </c>
      <c r="N263" s="40">
        <f>'[3]10нед'!G23</f>
        <v>0</v>
      </c>
      <c r="O263" s="41" t="str">
        <f>'[3]10нед'!H23</f>
        <v/>
      </c>
      <c r="P263" s="42"/>
    </row>
    <row r="264" ht="31.5" spans="1:16">
      <c r="A264" s="36"/>
      <c r="B264" s="37"/>
      <c r="C264" s="29" t="s">
        <v>20</v>
      </c>
      <c r="D264" s="38">
        <f>'[2]9нед'!C24</f>
        <v>0</v>
      </c>
      <c r="E264" s="39">
        <f>'[2]9нед'!D24</f>
        <v>0</v>
      </c>
      <c r="F264" s="40">
        <f>'[2]9нед'!G24</f>
        <v>0</v>
      </c>
      <c r="G264" s="41" t="str">
        <f>'[2]9нед'!H24</f>
        <v/>
      </c>
      <c r="H264" s="42"/>
      <c r="I264" s="43"/>
      <c r="J264" s="44"/>
      <c r="K264" s="29" t="s">
        <v>20</v>
      </c>
      <c r="L264" s="38">
        <f>'[3]10нед'!C24</f>
        <v>0</v>
      </c>
      <c r="M264" s="39">
        <f>'[3]10нед'!D24</f>
        <v>0</v>
      </c>
      <c r="N264" s="40">
        <f>'[3]10нед'!G24</f>
        <v>0</v>
      </c>
      <c r="O264" s="41" t="str">
        <f>'[3]10нед'!H24</f>
        <v/>
      </c>
      <c r="P264" s="42"/>
    </row>
    <row r="265" ht="31.5" spans="1:16">
      <c r="A265" s="36"/>
      <c r="B265" s="37"/>
      <c r="C265" s="29" t="s">
        <v>21</v>
      </c>
      <c r="D265" s="38">
        <f>'[2]9нед'!C25</f>
        <v>0</v>
      </c>
      <c r="E265" s="39">
        <f>'[2]9нед'!D25</f>
        <v>0</v>
      </c>
      <c r="F265" s="40">
        <f>'[2]9нед'!G25</f>
        <v>0</v>
      </c>
      <c r="G265" s="41" t="str">
        <f>'[2]9нед'!H25</f>
        <v/>
      </c>
      <c r="H265" s="42"/>
      <c r="I265" s="43"/>
      <c r="J265" s="44"/>
      <c r="K265" s="29" t="s">
        <v>21</v>
      </c>
      <c r="L265" s="38">
        <f>'[3]10нед'!C25</f>
        <v>0</v>
      </c>
      <c r="M265" s="39">
        <f>'[3]10нед'!D25</f>
        <v>0</v>
      </c>
      <c r="N265" s="40">
        <f>'[3]10нед'!G25</f>
        <v>0</v>
      </c>
      <c r="O265" s="41" t="str">
        <f>'[3]10нед'!H25</f>
        <v/>
      </c>
      <c r="P265" s="42"/>
    </row>
    <row r="266" ht="32.25" spans="1:16">
      <c r="A266" s="36"/>
      <c r="B266" s="37"/>
      <c r="C266" s="29" t="s">
        <v>22</v>
      </c>
      <c r="D266" s="38">
        <f>'[2]9нед'!C26</f>
        <v>0</v>
      </c>
      <c r="E266" s="39">
        <f>'[2]9нед'!D26</f>
        <v>0</v>
      </c>
      <c r="F266" s="40">
        <f>'[2]9нед'!G26</f>
        <v>0</v>
      </c>
      <c r="G266" s="41" t="str">
        <f>'[2]9нед'!H26</f>
        <v/>
      </c>
      <c r="H266" s="42"/>
      <c r="I266" s="43"/>
      <c r="J266" s="44"/>
      <c r="K266" s="29" t="s">
        <v>22</v>
      </c>
      <c r="L266" s="38">
        <f>'[3]10нед'!C26</f>
        <v>0</v>
      </c>
      <c r="M266" s="39">
        <f>'[3]10нед'!D26</f>
        <v>0</v>
      </c>
      <c r="N266" s="40">
        <f>'[3]10нед'!G26</f>
        <v>0</v>
      </c>
      <c r="O266" s="41" t="str">
        <f>'[3]10нед'!H26</f>
        <v/>
      </c>
      <c r="P266" s="42"/>
    </row>
    <row r="267" ht="18.4" hidden="1" customHeight="1" spans="1:16">
      <c r="A267" s="45"/>
      <c r="B267" s="46"/>
      <c r="C267" s="47"/>
      <c r="D267" s="48">
        <f>'[2]9нед'!C27</f>
        <v>0</v>
      </c>
      <c r="E267" s="49">
        <f>'[2]9нед'!D27</f>
        <v>0</v>
      </c>
      <c r="F267" s="50">
        <f>'[2]9нед'!G27</f>
        <v>0</v>
      </c>
      <c r="G267" s="51" t="str">
        <f>'[2]9нед'!H27</f>
        <v/>
      </c>
      <c r="H267" s="52"/>
      <c r="I267" s="53"/>
      <c r="J267" s="54"/>
      <c r="K267" s="47"/>
      <c r="L267" s="48">
        <f>'[3]10нед'!C27</f>
        <v>0</v>
      </c>
      <c r="M267" s="49">
        <f>'[3]10нед'!D27</f>
        <v>0</v>
      </c>
      <c r="N267" s="50">
        <f>'[3]10нед'!G27</f>
        <v>0</v>
      </c>
      <c r="O267" s="51" t="str">
        <f>'[3]10нед'!H27</f>
        <v/>
      </c>
      <c r="P267" s="52"/>
    </row>
    <row r="268" ht="48" customHeight="1" spans="1:16">
      <c r="A268" s="27">
        <v>46323</v>
      </c>
      <c r="B268" s="57" t="s">
        <v>24</v>
      </c>
      <c r="C268" s="55" t="s">
        <v>16</v>
      </c>
      <c r="D268" s="30">
        <f>'[2]9нед'!C28</f>
        <v>0</v>
      </c>
      <c r="E268" s="31">
        <f>'[2]9нед'!D28</f>
        <v>0</v>
      </c>
      <c r="F268" s="32">
        <f>'[2]9нед'!G28</f>
        <v>0</v>
      </c>
      <c r="G268" s="33" t="str">
        <f>'[2]9нед'!H28</f>
        <v/>
      </c>
      <c r="H268" s="34"/>
      <c r="I268" s="27">
        <v>46330</v>
      </c>
      <c r="J268" s="58" t="s">
        <v>24</v>
      </c>
      <c r="K268" s="55" t="s">
        <v>16</v>
      </c>
      <c r="L268" s="30">
        <f>'[3]10нед'!C28</f>
        <v>0</v>
      </c>
      <c r="M268" s="31">
        <f>'[3]10нед'!D28</f>
        <v>0</v>
      </c>
      <c r="N268" s="32">
        <f>'[3]10нед'!G28</f>
        <v>0</v>
      </c>
      <c r="O268" s="33" t="str">
        <f>'[3]10нед'!H28</f>
        <v/>
      </c>
      <c r="P268" s="34"/>
    </row>
    <row r="269" ht="31.5" spans="1:16">
      <c r="A269" s="36"/>
      <c r="B269" s="59"/>
      <c r="C269" s="29" t="s">
        <v>17</v>
      </c>
      <c r="D269" s="38">
        <f>'[2]9нед'!C29</f>
        <v>0</v>
      </c>
      <c r="E269" s="39">
        <f>'[2]9нед'!D29</f>
        <v>0</v>
      </c>
      <c r="F269" s="40">
        <f>'[2]9нед'!G29</f>
        <v>0</v>
      </c>
      <c r="G269" s="41" t="str">
        <f>'[2]9нед'!H29</f>
        <v/>
      </c>
      <c r="H269" s="42"/>
      <c r="I269" s="43"/>
      <c r="J269" s="60"/>
      <c r="K269" s="29" t="s">
        <v>17</v>
      </c>
      <c r="L269" s="38">
        <f>'[3]10нед'!C29</f>
        <v>0</v>
      </c>
      <c r="M269" s="39">
        <f>'[3]10нед'!D29</f>
        <v>0</v>
      </c>
      <c r="N269" s="40">
        <f>'[3]10нед'!G29</f>
        <v>0</v>
      </c>
      <c r="O269" s="41" t="str">
        <f>'[3]10нед'!H29</f>
        <v/>
      </c>
      <c r="P269" s="42"/>
    </row>
    <row r="270" ht="31.5" spans="1:16">
      <c r="A270" s="36"/>
      <c r="B270" s="59"/>
      <c r="C270" s="29" t="s">
        <v>18</v>
      </c>
      <c r="D270" s="38">
        <f>'[2]9нед'!C30</f>
        <v>0</v>
      </c>
      <c r="E270" s="39">
        <f>'[2]9нед'!D30</f>
        <v>0</v>
      </c>
      <c r="F270" s="40">
        <f>'[2]9нед'!G30</f>
        <v>0</v>
      </c>
      <c r="G270" s="41" t="str">
        <f>'[2]9нед'!H30</f>
        <v/>
      </c>
      <c r="H270" s="42"/>
      <c r="I270" s="43"/>
      <c r="J270" s="60"/>
      <c r="K270" s="29" t="s">
        <v>18</v>
      </c>
      <c r="L270" s="38">
        <f>'[3]10нед'!C30</f>
        <v>0</v>
      </c>
      <c r="M270" s="39">
        <f>'[3]10нед'!D30</f>
        <v>0</v>
      </c>
      <c r="N270" s="40">
        <f>'[3]10нед'!G30</f>
        <v>0</v>
      </c>
      <c r="O270" s="41" t="str">
        <f>'[3]10нед'!H30</f>
        <v/>
      </c>
      <c r="P270" s="42"/>
    </row>
    <row r="271" ht="31.5" spans="1:16">
      <c r="A271" s="36"/>
      <c r="B271" s="59"/>
      <c r="C271" s="29" t="s">
        <v>19</v>
      </c>
      <c r="D271" s="38">
        <f>'[2]9нед'!C31</f>
        <v>0</v>
      </c>
      <c r="E271" s="39">
        <f>'[2]9нед'!D31</f>
        <v>0</v>
      </c>
      <c r="F271" s="40">
        <f>'[2]9нед'!G31</f>
        <v>0</v>
      </c>
      <c r="G271" s="41" t="str">
        <f>'[2]9нед'!H31</f>
        <v/>
      </c>
      <c r="H271" s="42"/>
      <c r="I271" s="43"/>
      <c r="J271" s="60"/>
      <c r="K271" s="29" t="s">
        <v>19</v>
      </c>
      <c r="L271" s="38">
        <f>'[3]10нед'!C31</f>
        <v>0</v>
      </c>
      <c r="M271" s="39">
        <f>'[3]10нед'!D31</f>
        <v>0</v>
      </c>
      <c r="N271" s="40">
        <f>'[3]10нед'!G31</f>
        <v>0</v>
      </c>
      <c r="O271" s="41" t="str">
        <f>'[3]10нед'!H31</f>
        <v/>
      </c>
      <c r="P271" s="42"/>
    </row>
    <row r="272" ht="31.5" spans="1:16">
      <c r="A272" s="36"/>
      <c r="B272" s="59"/>
      <c r="C272" s="29" t="s">
        <v>20</v>
      </c>
      <c r="D272" s="38">
        <f>'[2]9нед'!C32</f>
        <v>0</v>
      </c>
      <c r="E272" s="39">
        <f>'[2]9нед'!D32</f>
        <v>0</v>
      </c>
      <c r="F272" s="40">
        <f>'[2]9нед'!G32</f>
        <v>0</v>
      </c>
      <c r="G272" s="41" t="str">
        <f>'[2]9нед'!H32</f>
        <v/>
      </c>
      <c r="H272" s="42"/>
      <c r="I272" s="43"/>
      <c r="J272" s="60"/>
      <c r="K272" s="29" t="s">
        <v>20</v>
      </c>
      <c r="L272" s="38">
        <f>'[3]10нед'!C32</f>
        <v>0</v>
      </c>
      <c r="M272" s="39">
        <f>'[3]10нед'!D32</f>
        <v>0</v>
      </c>
      <c r="N272" s="40">
        <f>'[3]10нед'!G32</f>
        <v>0</v>
      </c>
      <c r="O272" s="41" t="str">
        <f>'[3]10нед'!H32</f>
        <v/>
      </c>
      <c r="P272" s="42"/>
    </row>
    <row r="273" ht="31.5" spans="1:16">
      <c r="A273" s="36"/>
      <c r="B273" s="59"/>
      <c r="C273" s="29" t="s">
        <v>21</v>
      </c>
      <c r="D273" s="38">
        <f>'[2]9нед'!C33</f>
        <v>0</v>
      </c>
      <c r="E273" s="39">
        <f>'[2]9нед'!D33</f>
        <v>0</v>
      </c>
      <c r="F273" s="40">
        <f>'[2]9нед'!G33</f>
        <v>0</v>
      </c>
      <c r="G273" s="41" t="str">
        <f>'[2]9нед'!H33</f>
        <v/>
      </c>
      <c r="H273" s="56"/>
      <c r="I273" s="43"/>
      <c r="J273" s="60"/>
      <c r="K273" s="29" t="s">
        <v>21</v>
      </c>
      <c r="L273" s="38">
        <f>'[3]10нед'!C33</f>
        <v>0</v>
      </c>
      <c r="M273" s="39">
        <f>'[3]10нед'!D33</f>
        <v>0</v>
      </c>
      <c r="N273" s="40">
        <f>'[3]10нед'!G33</f>
        <v>0</v>
      </c>
      <c r="O273" s="41" t="str">
        <f>'[3]10нед'!H33</f>
        <v/>
      </c>
      <c r="P273" s="56"/>
    </row>
    <row r="274" ht="32.25" spans="1:16">
      <c r="A274" s="36"/>
      <c r="B274" s="59"/>
      <c r="C274" s="29" t="s">
        <v>22</v>
      </c>
      <c r="D274" s="38">
        <f>'[2]9нед'!C34</f>
        <v>0</v>
      </c>
      <c r="E274" s="39">
        <f>'[2]9нед'!D34</f>
        <v>0</v>
      </c>
      <c r="F274" s="40">
        <f>'[2]9нед'!G34</f>
        <v>0</v>
      </c>
      <c r="G274" s="41" t="str">
        <f>'[2]9нед'!H34</f>
        <v/>
      </c>
      <c r="H274" s="56"/>
      <c r="I274" s="43"/>
      <c r="J274" s="60"/>
      <c r="K274" s="29" t="s">
        <v>22</v>
      </c>
      <c r="L274" s="38">
        <f>'[3]10нед'!C34</f>
        <v>0</v>
      </c>
      <c r="M274" s="39">
        <f>'[3]10нед'!D34</f>
        <v>0</v>
      </c>
      <c r="N274" s="40">
        <f>'[3]10нед'!G34</f>
        <v>0</v>
      </c>
      <c r="O274" s="41" t="str">
        <f>'[3]10нед'!H34</f>
        <v/>
      </c>
      <c r="P274" s="56"/>
    </row>
    <row r="275" ht="18.4" hidden="1" customHeight="1" spans="1:16">
      <c r="A275" s="45"/>
      <c r="B275" s="61"/>
      <c r="C275" s="47"/>
      <c r="D275" s="48">
        <f>'[2]9нед'!C35</f>
        <v>0</v>
      </c>
      <c r="E275" s="49">
        <f>'[2]9нед'!D35</f>
        <v>0</v>
      </c>
      <c r="F275" s="50">
        <f>'[2]9нед'!G35</f>
        <v>0</v>
      </c>
      <c r="G275" s="51" t="str">
        <f>'[2]9нед'!H35</f>
        <v/>
      </c>
      <c r="H275" s="52"/>
      <c r="I275" s="53"/>
      <c r="J275" s="62"/>
      <c r="K275" s="47"/>
      <c r="L275" s="48">
        <f>'[3]10нед'!C35</f>
        <v>0</v>
      </c>
      <c r="M275" s="49">
        <f>'[3]10нед'!D35</f>
        <v>0</v>
      </c>
      <c r="N275" s="50">
        <f>'[3]10нед'!G35</f>
        <v>0</v>
      </c>
      <c r="O275" s="51" t="str">
        <f>'[3]10нед'!H35</f>
        <v/>
      </c>
      <c r="P275" s="52"/>
    </row>
    <row r="276" ht="48" customHeight="1" spans="1:16">
      <c r="A276" s="27">
        <v>46324</v>
      </c>
      <c r="B276" s="28" t="s">
        <v>25</v>
      </c>
      <c r="C276" s="55" t="s">
        <v>16</v>
      </c>
      <c r="D276" s="30">
        <f>'[2]9нед'!C36</f>
        <v>0</v>
      </c>
      <c r="E276" s="31">
        <f>'[2]9нед'!D36</f>
        <v>0</v>
      </c>
      <c r="F276" s="32">
        <f>'[2]9нед'!G36</f>
        <v>0</v>
      </c>
      <c r="G276" s="33" t="str">
        <f>'[2]9нед'!H36</f>
        <v/>
      </c>
      <c r="H276" s="34"/>
      <c r="I276" s="27">
        <v>46331</v>
      </c>
      <c r="J276" s="35" t="s">
        <v>25</v>
      </c>
      <c r="K276" s="55" t="s">
        <v>16</v>
      </c>
      <c r="L276" s="30">
        <f>'[3]10нед'!C36</f>
        <v>0</v>
      </c>
      <c r="M276" s="31">
        <f>'[3]10нед'!D36</f>
        <v>0</v>
      </c>
      <c r="N276" s="32">
        <f>'[3]10нед'!G36</f>
        <v>0</v>
      </c>
      <c r="O276" s="33" t="str">
        <f>'[3]10нед'!H36</f>
        <v/>
      </c>
      <c r="P276" s="34"/>
    </row>
    <row r="277" ht="31.5" spans="1:16">
      <c r="A277" s="36"/>
      <c r="B277" s="37"/>
      <c r="C277" s="29" t="s">
        <v>17</v>
      </c>
      <c r="D277" s="38">
        <f>'[2]9нед'!C37</f>
        <v>0</v>
      </c>
      <c r="E277" s="39">
        <f>'[2]9нед'!D37</f>
        <v>0</v>
      </c>
      <c r="F277" s="40">
        <f>'[2]9нед'!G37</f>
        <v>0</v>
      </c>
      <c r="G277" s="41" t="str">
        <f>'[2]9нед'!H37</f>
        <v/>
      </c>
      <c r="H277" s="42"/>
      <c r="I277" s="43"/>
      <c r="J277" s="44"/>
      <c r="K277" s="29" t="s">
        <v>17</v>
      </c>
      <c r="L277" s="38">
        <f>'[3]10нед'!C37</f>
        <v>0</v>
      </c>
      <c r="M277" s="39">
        <f>'[3]10нед'!D37</f>
        <v>0</v>
      </c>
      <c r="N277" s="40">
        <f>'[3]10нед'!G37</f>
        <v>0</v>
      </c>
      <c r="O277" s="41" t="str">
        <f>'[3]10нед'!H37</f>
        <v/>
      </c>
      <c r="P277" s="42"/>
    </row>
    <row r="278" ht="31.5" spans="1:16">
      <c r="A278" s="36"/>
      <c r="B278" s="37"/>
      <c r="C278" s="29" t="s">
        <v>18</v>
      </c>
      <c r="D278" s="38">
        <f>'[2]9нед'!C38</f>
        <v>0</v>
      </c>
      <c r="E278" s="39">
        <f>'[2]9нед'!D38</f>
        <v>0</v>
      </c>
      <c r="F278" s="40">
        <f>'[2]9нед'!G38</f>
        <v>0</v>
      </c>
      <c r="G278" s="41" t="str">
        <f>'[2]9нед'!H38</f>
        <v/>
      </c>
      <c r="H278" s="42"/>
      <c r="I278" s="43"/>
      <c r="J278" s="44"/>
      <c r="K278" s="29" t="s">
        <v>18</v>
      </c>
      <c r="L278" s="38">
        <f>'[3]10нед'!C38</f>
        <v>0</v>
      </c>
      <c r="M278" s="39">
        <f>'[3]10нед'!D38</f>
        <v>0</v>
      </c>
      <c r="N278" s="40">
        <f>'[3]10нед'!G38</f>
        <v>0</v>
      </c>
      <c r="O278" s="41" t="str">
        <f>'[3]10нед'!H38</f>
        <v/>
      </c>
      <c r="P278" s="42"/>
    </row>
    <row r="279" ht="31.5" spans="1:16">
      <c r="A279" s="36"/>
      <c r="B279" s="37"/>
      <c r="C279" s="29" t="s">
        <v>19</v>
      </c>
      <c r="D279" s="38">
        <f>'[2]9нед'!C39</f>
        <v>0</v>
      </c>
      <c r="E279" s="39">
        <f>'[2]9нед'!D39</f>
        <v>0</v>
      </c>
      <c r="F279" s="40">
        <f>'[2]9нед'!G39</f>
        <v>0</v>
      </c>
      <c r="G279" s="41" t="str">
        <f>'[2]9нед'!H39</f>
        <v/>
      </c>
      <c r="H279" s="42"/>
      <c r="I279" s="43"/>
      <c r="J279" s="44"/>
      <c r="K279" s="29" t="s">
        <v>19</v>
      </c>
      <c r="L279" s="38">
        <f>'[3]10нед'!C39</f>
        <v>0</v>
      </c>
      <c r="M279" s="39">
        <f>'[3]10нед'!D39</f>
        <v>0</v>
      </c>
      <c r="N279" s="40">
        <f>'[3]10нед'!G39</f>
        <v>0</v>
      </c>
      <c r="O279" s="41" t="str">
        <f>'[3]10нед'!H39</f>
        <v/>
      </c>
      <c r="P279" s="42"/>
    </row>
    <row r="280" ht="31.5" spans="1:16">
      <c r="A280" s="36"/>
      <c r="B280" s="37"/>
      <c r="C280" s="29" t="s">
        <v>20</v>
      </c>
      <c r="D280" s="38">
        <f>'[2]9нед'!C40</f>
        <v>0</v>
      </c>
      <c r="E280" s="39">
        <f>'[2]9нед'!D40</f>
        <v>0</v>
      </c>
      <c r="F280" s="40">
        <f>'[2]9нед'!G40</f>
        <v>0</v>
      </c>
      <c r="G280" s="41" t="str">
        <f>'[2]9нед'!H40</f>
        <v/>
      </c>
      <c r="H280" s="42"/>
      <c r="I280" s="43"/>
      <c r="J280" s="44"/>
      <c r="K280" s="29" t="s">
        <v>20</v>
      </c>
      <c r="L280" s="38">
        <f>'[3]10нед'!C40</f>
        <v>0</v>
      </c>
      <c r="M280" s="39">
        <f>'[3]10нед'!D40</f>
        <v>0</v>
      </c>
      <c r="N280" s="40">
        <f>'[3]10нед'!G40</f>
        <v>0</v>
      </c>
      <c r="O280" s="41" t="str">
        <f>'[3]10нед'!H40</f>
        <v/>
      </c>
      <c r="P280" s="42"/>
    </row>
    <row r="281" ht="31.5" spans="1:16">
      <c r="A281" s="36"/>
      <c r="B281" s="37"/>
      <c r="C281" s="29" t="s">
        <v>21</v>
      </c>
      <c r="D281" s="38">
        <f>'[2]9нед'!C41</f>
        <v>0</v>
      </c>
      <c r="E281" s="39">
        <f>'[2]9нед'!D41</f>
        <v>0</v>
      </c>
      <c r="F281" s="40">
        <f>'[2]9нед'!G41</f>
        <v>0</v>
      </c>
      <c r="G281" s="41" t="str">
        <f>'[2]9нед'!H41</f>
        <v/>
      </c>
      <c r="H281" s="56"/>
      <c r="I281" s="43"/>
      <c r="J281" s="44"/>
      <c r="K281" s="29" t="s">
        <v>21</v>
      </c>
      <c r="L281" s="38">
        <f>'[3]10нед'!C41</f>
        <v>0</v>
      </c>
      <c r="M281" s="39">
        <f>'[3]10нед'!D41</f>
        <v>0</v>
      </c>
      <c r="N281" s="40">
        <f>'[3]10нед'!G41</f>
        <v>0</v>
      </c>
      <c r="O281" s="41" t="str">
        <f>'[3]10нед'!H41</f>
        <v/>
      </c>
      <c r="P281" s="56"/>
    </row>
    <row r="282" ht="32.25" spans="1:16">
      <c r="A282" s="36"/>
      <c r="B282" s="37"/>
      <c r="C282" s="29" t="s">
        <v>22</v>
      </c>
      <c r="D282" s="38">
        <f>'[2]9нед'!C42</f>
        <v>0</v>
      </c>
      <c r="E282" s="39">
        <f>'[2]9нед'!D42</f>
        <v>0</v>
      </c>
      <c r="F282" s="40">
        <f>'[2]9нед'!G42</f>
        <v>0</v>
      </c>
      <c r="G282" s="41" t="str">
        <f>'[2]9нед'!H42</f>
        <v/>
      </c>
      <c r="H282" s="56"/>
      <c r="I282" s="43"/>
      <c r="J282" s="44"/>
      <c r="K282" s="29" t="s">
        <v>22</v>
      </c>
      <c r="L282" s="38">
        <f>'[3]10нед'!C42</f>
        <v>0</v>
      </c>
      <c r="M282" s="39">
        <f>'[3]10нед'!D42</f>
        <v>0</v>
      </c>
      <c r="N282" s="40">
        <f>'[3]10нед'!G42</f>
        <v>0</v>
      </c>
      <c r="O282" s="41" t="str">
        <f>'[3]10нед'!H42</f>
        <v/>
      </c>
      <c r="P282" s="56"/>
    </row>
    <row r="283" ht="18.4" hidden="1" customHeight="1" spans="1:16">
      <c r="A283" s="45"/>
      <c r="B283" s="46"/>
      <c r="C283" s="47"/>
      <c r="D283" s="48">
        <f>'[2]9нед'!C43</f>
        <v>0</v>
      </c>
      <c r="E283" s="49">
        <f>'[2]9нед'!D43</f>
        <v>0</v>
      </c>
      <c r="F283" s="50">
        <f>'[2]9нед'!G43</f>
        <v>0</v>
      </c>
      <c r="G283" s="51" t="str">
        <f>'[2]9нед'!H43</f>
        <v/>
      </c>
      <c r="H283" s="52"/>
      <c r="I283" s="53"/>
      <c r="J283" s="54"/>
      <c r="K283" s="47"/>
      <c r="L283" s="48">
        <f>'[3]10нед'!C43</f>
        <v>0</v>
      </c>
      <c r="M283" s="49">
        <f>'[3]10нед'!D43</f>
        <v>0</v>
      </c>
      <c r="N283" s="50">
        <f>'[3]10нед'!G43</f>
        <v>0</v>
      </c>
      <c r="O283" s="51" t="str">
        <f>'[3]10нед'!H43</f>
        <v/>
      </c>
      <c r="P283" s="52"/>
    </row>
    <row r="284" ht="48" customHeight="1" spans="1:16">
      <c r="A284" s="27">
        <v>46325</v>
      </c>
      <c r="B284" s="28" t="s">
        <v>26</v>
      </c>
      <c r="C284" s="55" t="s">
        <v>16</v>
      </c>
      <c r="D284" s="30">
        <f>'[2]9нед'!C44</f>
        <v>0</v>
      </c>
      <c r="E284" s="31">
        <f>'[2]9нед'!D44</f>
        <v>0</v>
      </c>
      <c r="F284" s="32">
        <f>'[2]9нед'!G44</f>
        <v>0</v>
      </c>
      <c r="G284" s="33" t="str">
        <f>'[2]9нед'!H44</f>
        <v/>
      </c>
      <c r="H284" s="34"/>
      <c r="I284" s="27">
        <v>46332</v>
      </c>
      <c r="J284" s="35" t="s">
        <v>26</v>
      </c>
      <c r="K284" s="55" t="s">
        <v>16</v>
      </c>
      <c r="L284" s="30">
        <f>'[3]10нед'!C44</f>
        <v>0</v>
      </c>
      <c r="M284" s="31">
        <f>'[3]10нед'!D44</f>
        <v>0</v>
      </c>
      <c r="N284" s="32">
        <f>'[3]10нед'!G44</f>
        <v>0</v>
      </c>
      <c r="O284" s="33" t="str">
        <f>'[3]10нед'!H44</f>
        <v/>
      </c>
      <c r="P284" s="34"/>
    </row>
    <row r="285" ht="31.5" spans="1:16">
      <c r="A285" s="36"/>
      <c r="B285" s="37"/>
      <c r="C285" s="29" t="s">
        <v>17</v>
      </c>
      <c r="D285" s="38">
        <f>'[2]9нед'!C45</f>
        <v>0</v>
      </c>
      <c r="E285" s="39">
        <f>'[2]9нед'!D45</f>
        <v>0</v>
      </c>
      <c r="F285" s="40">
        <f>'[2]9нед'!G45</f>
        <v>0</v>
      </c>
      <c r="G285" s="41" t="str">
        <f>'[2]9нед'!H45</f>
        <v/>
      </c>
      <c r="H285" s="42"/>
      <c r="I285" s="43"/>
      <c r="J285" s="44"/>
      <c r="K285" s="29" t="s">
        <v>17</v>
      </c>
      <c r="L285" s="38">
        <f>'[3]10нед'!C45</f>
        <v>0</v>
      </c>
      <c r="M285" s="39">
        <f>'[3]10нед'!D45</f>
        <v>0</v>
      </c>
      <c r="N285" s="40">
        <f>'[3]10нед'!G45</f>
        <v>0</v>
      </c>
      <c r="O285" s="41" t="str">
        <f>'[3]10нед'!H45</f>
        <v/>
      </c>
      <c r="P285" s="42"/>
    </row>
    <row r="286" ht="31.5" spans="1:16">
      <c r="A286" s="36"/>
      <c r="B286" s="37"/>
      <c r="C286" s="29" t="s">
        <v>18</v>
      </c>
      <c r="D286" s="38">
        <f>'[2]9нед'!C46</f>
        <v>0</v>
      </c>
      <c r="E286" s="39">
        <f>'[2]9нед'!D46</f>
        <v>0</v>
      </c>
      <c r="F286" s="40">
        <f>'[2]9нед'!G46</f>
        <v>0</v>
      </c>
      <c r="G286" s="41" t="str">
        <f>'[2]9нед'!H46</f>
        <v/>
      </c>
      <c r="H286" s="42"/>
      <c r="I286" s="43"/>
      <c r="J286" s="44"/>
      <c r="K286" s="29" t="s">
        <v>18</v>
      </c>
      <c r="L286" s="38">
        <f>'[3]10нед'!C46</f>
        <v>0</v>
      </c>
      <c r="M286" s="39">
        <f>'[3]10нед'!D46</f>
        <v>0</v>
      </c>
      <c r="N286" s="40">
        <f>'[3]10нед'!G46</f>
        <v>0</v>
      </c>
      <c r="O286" s="41" t="str">
        <f>'[3]10нед'!H46</f>
        <v/>
      </c>
      <c r="P286" s="42"/>
    </row>
    <row r="287" ht="31.5" spans="1:16">
      <c r="A287" s="36"/>
      <c r="B287" s="37"/>
      <c r="C287" s="29" t="s">
        <v>19</v>
      </c>
      <c r="D287" s="38">
        <f>'[2]9нед'!C47</f>
        <v>0</v>
      </c>
      <c r="E287" s="39">
        <f>'[2]9нед'!D47</f>
        <v>0</v>
      </c>
      <c r="F287" s="40">
        <f>'[2]9нед'!G47</f>
        <v>0</v>
      </c>
      <c r="G287" s="41" t="str">
        <f>'[2]9нед'!H47</f>
        <v/>
      </c>
      <c r="H287" s="42"/>
      <c r="I287" s="43"/>
      <c r="J287" s="44"/>
      <c r="K287" s="29" t="s">
        <v>19</v>
      </c>
      <c r="L287" s="38">
        <f>'[3]10нед'!C47</f>
        <v>0</v>
      </c>
      <c r="M287" s="39">
        <f>'[3]10нед'!D47</f>
        <v>0</v>
      </c>
      <c r="N287" s="40">
        <f>'[3]10нед'!G47</f>
        <v>0</v>
      </c>
      <c r="O287" s="41" t="str">
        <f>'[3]10нед'!H47</f>
        <v/>
      </c>
      <c r="P287" s="42"/>
    </row>
    <row r="288" ht="31.5" spans="1:16">
      <c r="A288" s="36"/>
      <c r="B288" s="37"/>
      <c r="C288" s="29" t="s">
        <v>20</v>
      </c>
      <c r="D288" s="38">
        <f>'[2]9нед'!C48</f>
        <v>0</v>
      </c>
      <c r="E288" s="39">
        <f>'[2]9нед'!D48</f>
        <v>0</v>
      </c>
      <c r="F288" s="40">
        <f>'[2]9нед'!G48</f>
        <v>0</v>
      </c>
      <c r="G288" s="41" t="str">
        <f>'[2]9нед'!H48</f>
        <v/>
      </c>
      <c r="H288" s="42"/>
      <c r="I288" s="43"/>
      <c r="J288" s="44"/>
      <c r="K288" s="29" t="s">
        <v>20</v>
      </c>
      <c r="L288" s="38">
        <f>'[3]10нед'!C48</f>
        <v>0</v>
      </c>
      <c r="M288" s="39">
        <f>'[3]10нед'!D48</f>
        <v>0</v>
      </c>
      <c r="N288" s="40">
        <f>'[3]10нед'!G48</f>
        <v>0</v>
      </c>
      <c r="O288" s="41" t="str">
        <f>'[3]10нед'!H48</f>
        <v/>
      </c>
      <c r="P288" s="42"/>
    </row>
    <row r="289" ht="31.5" spans="1:16">
      <c r="A289" s="36"/>
      <c r="B289" s="37"/>
      <c r="C289" s="29" t="s">
        <v>21</v>
      </c>
      <c r="D289" s="38">
        <f>'[2]9нед'!C49</f>
        <v>0</v>
      </c>
      <c r="E289" s="39">
        <f>'[2]9нед'!D49</f>
        <v>0</v>
      </c>
      <c r="F289" s="40">
        <f>'[2]9нед'!G49</f>
        <v>0</v>
      </c>
      <c r="G289" s="41" t="str">
        <f>'[2]9нед'!H49</f>
        <v/>
      </c>
      <c r="H289" s="42"/>
      <c r="I289" s="43"/>
      <c r="J289" s="44"/>
      <c r="K289" s="29" t="s">
        <v>21</v>
      </c>
      <c r="L289" s="38">
        <f>'[3]10нед'!C49</f>
        <v>0</v>
      </c>
      <c r="M289" s="39">
        <f>'[3]10нед'!D49</f>
        <v>0</v>
      </c>
      <c r="N289" s="40">
        <f>'[3]10нед'!G49</f>
        <v>0</v>
      </c>
      <c r="O289" s="41" t="str">
        <f>'[3]10нед'!H49</f>
        <v/>
      </c>
      <c r="P289" s="42"/>
    </row>
    <row r="290" ht="32.25" spans="1:16">
      <c r="A290" s="36"/>
      <c r="B290" s="37"/>
      <c r="C290" s="29" t="s">
        <v>22</v>
      </c>
      <c r="D290" s="38">
        <f>'[2]9нед'!C50</f>
        <v>0</v>
      </c>
      <c r="E290" s="39">
        <f>'[2]9нед'!D50</f>
        <v>0</v>
      </c>
      <c r="F290" s="40">
        <f>'[2]9нед'!G50</f>
        <v>0</v>
      </c>
      <c r="G290" s="41" t="str">
        <f>'[2]9нед'!H50</f>
        <v/>
      </c>
      <c r="H290" s="42"/>
      <c r="I290" s="43"/>
      <c r="J290" s="44"/>
      <c r="K290" s="29" t="s">
        <v>22</v>
      </c>
      <c r="L290" s="38">
        <f>'[3]10нед'!C50</f>
        <v>0</v>
      </c>
      <c r="M290" s="39">
        <f>'[3]10нед'!D50</f>
        <v>0</v>
      </c>
      <c r="N290" s="40">
        <f>'[3]10нед'!G50</f>
        <v>0</v>
      </c>
      <c r="O290" s="41" t="str">
        <f>'[3]10нед'!H50</f>
        <v/>
      </c>
      <c r="P290" s="42"/>
    </row>
    <row r="291" ht="18.4" hidden="1" customHeight="1" spans="1:16">
      <c r="A291" s="45"/>
      <c r="B291" s="46"/>
      <c r="C291" s="47"/>
      <c r="D291" s="48">
        <f>'[2]9нед'!C51</f>
        <v>0</v>
      </c>
      <c r="E291" s="49">
        <f>'[2]9нед'!D51</f>
        <v>0</v>
      </c>
      <c r="F291" s="50">
        <f>'[2]9нед'!G51</f>
        <v>0</v>
      </c>
      <c r="G291" s="51" t="str">
        <f>'[2]9нед'!H51</f>
        <v/>
      </c>
      <c r="H291" s="52"/>
      <c r="I291" s="53"/>
      <c r="J291" s="54"/>
      <c r="K291" s="47"/>
      <c r="L291" s="48">
        <f>'[3]10нед'!C51</f>
        <v>0</v>
      </c>
      <c r="M291" s="49">
        <f>'[3]10нед'!D51</f>
        <v>0</v>
      </c>
      <c r="N291" s="50">
        <f>'[3]10нед'!G51</f>
        <v>0</v>
      </c>
      <c r="O291" s="51" t="str">
        <f>'[3]10нед'!H51</f>
        <v/>
      </c>
      <c r="P291" s="52"/>
    </row>
    <row r="292" ht="48" customHeight="1" spans="1:16">
      <c r="A292" s="27">
        <v>46326</v>
      </c>
      <c r="B292" s="28" t="s">
        <v>27</v>
      </c>
      <c r="C292" s="55" t="s">
        <v>16</v>
      </c>
      <c r="D292" s="30">
        <f>'[2]9нед'!C52</f>
        <v>0</v>
      </c>
      <c r="E292" s="31">
        <f>'[2]9нед'!D52</f>
        <v>0</v>
      </c>
      <c r="F292" s="32">
        <f>'[2]9нед'!G52</f>
        <v>0</v>
      </c>
      <c r="G292" s="33" t="str">
        <f>'[2]9нед'!H52</f>
        <v/>
      </c>
      <c r="H292" s="34"/>
      <c r="I292" s="27">
        <v>46333</v>
      </c>
      <c r="J292" s="35" t="s">
        <v>27</v>
      </c>
      <c r="K292" s="55" t="s">
        <v>16</v>
      </c>
      <c r="L292" s="30">
        <f>'[3]10нед'!C52</f>
        <v>0</v>
      </c>
      <c r="M292" s="31">
        <f>'[3]10нед'!D52</f>
        <v>0</v>
      </c>
      <c r="N292" s="32">
        <f>'[3]10нед'!G52</f>
        <v>0</v>
      </c>
      <c r="O292" s="33" t="str">
        <f>'[3]10нед'!H52</f>
        <v/>
      </c>
      <c r="P292" s="34"/>
    </row>
    <row r="293" ht="31.5" spans="1:16">
      <c r="A293" s="36"/>
      <c r="B293" s="37"/>
      <c r="C293" s="29" t="s">
        <v>17</v>
      </c>
      <c r="D293" s="38">
        <f>'[2]9нед'!C53</f>
        <v>0</v>
      </c>
      <c r="E293" s="39">
        <f>'[2]9нед'!D53</f>
        <v>0</v>
      </c>
      <c r="F293" s="40">
        <f>'[2]9нед'!G53</f>
        <v>0</v>
      </c>
      <c r="G293" s="41" t="str">
        <f>'[2]9нед'!H53</f>
        <v/>
      </c>
      <c r="H293" s="42"/>
      <c r="I293" s="43"/>
      <c r="J293" s="44"/>
      <c r="K293" s="29" t="s">
        <v>17</v>
      </c>
      <c r="L293" s="38">
        <f>'[3]10нед'!C53</f>
        <v>0</v>
      </c>
      <c r="M293" s="39">
        <f>'[3]10нед'!D53</f>
        <v>0</v>
      </c>
      <c r="N293" s="40">
        <f>'[3]10нед'!G53</f>
        <v>0</v>
      </c>
      <c r="O293" s="41" t="str">
        <f>'[3]10нед'!H53</f>
        <v/>
      </c>
      <c r="P293" s="42"/>
    </row>
    <row r="294" ht="31.5" spans="1:16">
      <c r="A294" s="36"/>
      <c r="B294" s="37"/>
      <c r="C294" s="29" t="s">
        <v>18</v>
      </c>
      <c r="D294" s="38">
        <f>'[2]9нед'!C54</f>
        <v>0</v>
      </c>
      <c r="E294" s="39">
        <f>'[2]9нед'!D54</f>
        <v>0</v>
      </c>
      <c r="F294" s="40">
        <f>'[2]9нед'!G54</f>
        <v>0</v>
      </c>
      <c r="G294" s="41" t="str">
        <f>'[2]9нед'!H54</f>
        <v/>
      </c>
      <c r="H294" s="42"/>
      <c r="I294" s="43"/>
      <c r="J294" s="44"/>
      <c r="K294" s="29" t="s">
        <v>18</v>
      </c>
      <c r="L294" s="38">
        <f>'[3]10нед'!C54</f>
        <v>0</v>
      </c>
      <c r="M294" s="39">
        <f>'[3]10нед'!D54</f>
        <v>0</v>
      </c>
      <c r="N294" s="40">
        <f>'[3]10нед'!G54</f>
        <v>0</v>
      </c>
      <c r="O294" s="41" t="str">
        <f>'[3]10нед'!H54</f>
        <v/>
      </c>
      <c r="P294" s="42"/>
    </row>
    <row r="295" ht="31.5" spans="1:16">
      <c r="A295" s="36"/>
      <c r="B295" s="37"/>
      <c r="C295" s="29" t="s">
        <v>19</v>
      </c>
      <c r="D295" s="38">
        <f>'[2]9нед'!C55</f>
        <v>0</v>
      </c>
      <c r="E295" s="39">
        <f>'[2]9нед'!D55</f>
        <v>0</v>
      </c>
      <c r="F295" s="40">
        <f>'[2]9нед'!G55</f>
        <v>0</v>
      </c>
      <c r="G295" s="41" t="str">
        <f>'[2]9нед'!H55</f>
        <v/>
      </c>
      <c r="H295" s="42"/>
      <c r="I295" s="43"/>
      <c r="J295" s="44"/>
      <c r="K295" s="29" t="s">
        <v>19</v>
      </c>
      <c r="L295" s="38">
        <f>'[3]10нед'!C55</f>
        <v>0</v>
      </c>
      <c r="M295" s="39">
        <f>'[3]10нед'!D55</f>
        <v>0</v>
      </c>
      <c r="N295" s="40">
        <f>'[3]10нед'!G55</f>
        <v>0</v>
      </c>
      <c r="O295" s="41" t="str">
        <f>'[3]10нед'!H55</f>
        <v/>
      </c>
      <c r="P295" s="42"/>
    </row>
    <row r="296" ht="31.5" spans="1:16">
      <c r="A296" s="36"/>
      <c r="B296" s="37"/>
      <c r="C296" s="29" t="s">
        <v>20</v>
      </c>
      <c r="D296" s="38">
        <f>'[2]9нед'!C56</f>
        <v>0</v>
      </c>
      <c r="E296" s="39">
        <f>'[2]9нед'!D56</f>
        <v>0</v>
      </c>
      <c r="F296" s="40">
        <f>'[2]9нед'!G56</f>
        <v>0</v>
      </c>
      <c r="G296" s="41" t="str">
        <f>'[2]9нед'!H56</f>
        <v/>
      </c>
      <c r="H296" s="42"/>
      <c r="I296" s="43"/>
      <c r="J296" s="44"/>
      <c r="K296" s="29" t="s">
        <v>20</v>
      </c>
      <c r="L296" s="38">
        <f>'[3]10нед'!C56</f>
        <v>0</v>
      </c>
      <c r="M296" s="39">
        <f>'[3]10нед'!D56</f>
        <v>0</v>
      </c>
      <c r="N296" s="40">
        <f>'[3]10нед'!G56</f>
        <v>0</v>
      </c>
      <c r="O296" s="41" t="str">
        <f>'[3]10нед'!H56</f>
        <v/>
      </c>
      <c r="P296" s="42"/>
    </row>
    <row r="297" ht="31.5" spans="1:16">
      <c r="A297" s="36"/>
      <c r="B297" s="37"/>
      <c r="C297" s="29" t="s">
        <v>21</v>
      </c>
      <c r="D297" s="38">
        <f>'[2]9нед'!C57</f>
        <v>0</v>
      </c>
      <c r="E297" s="39">
        <f>'[2]9нед'!D57</f>
        <v>0</v>
      </c>
      <c r="F297" s="40">
        <f>'[2]9нед'!G57</f>
        <v>0</v>
      </c>
      <c r="G297" s="41" t="str">
        <f>'[2]9нед'!H57</f>
        <v/>
      </c>
      <c r="H297" s="42"/>
      <c r="I297" s="43"/>
      <c r="J297" s="44"/>
      <c r="K297" s="29" t="s">
        <v>21</v>
      </c>
      <c r="L297" s="38">
        <f>'[3]10нед'!C57</f>
        <v>0</v>
      </c>
      <c r="M297" s="39">
        <f>'[3]10нед'!D57</f>
        <v>0</v>
      </c>
      <c r="N297" s="40">
        <f>'[3]10нед'!G57</f>
        <v>0</v>
      </c>
      <c r="O297" s="41" t="str">
        <f>'[3]10нед'!H57</f>
        <v/>
      </c>
      <c r="P297" s="42"/>
    </row>
    <row r="298" ht="32.25" spans="1:16">
      <c r="A298" s="36"/>
      <c r="B298" s="37"/>
      <c r="C298" s="29" t="s">
        <v>22</v>
      </c>
      <c r="D298" s="38">
        <f>'[2]9нед'!C58</f>
        <v>0</v>
      </c>
      <c r="E298" s="39">
        <f>'[2]9нед'!D58</f>
        <v>0</v>
      </c>
      <c r="F298" s="40">
        <f>'[2]9нед'!G58</f>
        <v>0</v>
      </c>
      <c r="G298" s="41" t="str">
        <f>'[2]9нед'!H58</f>
        <v/>
      </c>
      <c r="H298" s="42"/>
      <c r="I298" s="43"/>
      <c r="J298" s="44"/>
      <c r="K298" s="29" t="s">
        <v>22</v>
      </c>
      <c r="L298" s="38">
        <f>'[3]10нед'!C58</f>
        <v>0</v>
      </c>
      <c r="M298" s="39">
        <f>'[3]10нед'!D58</f>
        <v>0</v>
      </c>
      <c r="N298" s="40">
        <f>'[3]10нед'!G58</f>
        <v>0</v>
      </c>
      <c r="O298" s="41" t="str">
        <f>'[3]10нед'!H58</f>
        <v/>
      </c>
      <c r="P298" s="42"/>
    </row>
    <row r="299" ht="18.4" hidden="1" customHeight="1" spans="1:16">
      <c r="A299" s="45"/>
      <c r="B299" s="46"/>
      <c r="C299" s="47"/>
      <c r="D299" s="48">
        <f>'[2]9нед'!C59</f>
        <v>0</v>
      </c>
      <c r="E299" s="49">
        <f>'[2]9нед'!D59</f>
        <v>0</v>
      </c>
      <c r="F299" s="50">
        <f>'[2]9нед'!G59</f>
        <v>0</v>
      </c>
      <c r="G299" s="51" t="str">
        <f>'[2]9нед'!H59</f>
        <v/>
      </c>
      <c r="H299" s="52"/>
      <c r="I299" s="53"/>
      <c r="J299" s="54"/>
      <c r="K299" s="47"/>
      <c r="L299" s="48">
        <f>'[3]10нед'!C59</f>
        <v>0</v>
      </c>
      <c r="M299" s="49">
        <f>'[3]10нед'!D59</f>
        <v>0</v>
      </c>
      <c r="N299" s="50">
        <f>'[3]10нед'!G59</f>
        <v>0</v>
      </c>
      <c r="O299" s="51" t="str">
        <f>'[3]10нед'!H59</f>
        <v/>
      </c>
      <c r="P299" s="52"/>
    </row>
    <row r="300" ht="39" customHeight="1" spans="1:16">
      <c r="A300" s="64"/>
      <c r="B300" s="65"/>
      <c r="C300" s="66"/>
      <c r="D300" s="67"/>
      <c r="E300" s="67" t="s">
        <v>28</v>
      </c>
      <c r="F300" s="67"/>
      <c r="G300" s="68" t="s">
        <v>29</v>
      </c>
      <c r="H300" s="69"/>
      <c r="I300" s="64"/>
      <c r="J300" s="65"/>
      <c r="K300" s="66"/>
      <c r="L300" s="67"/>
      <c r="M300" s="67" t="s">
        <v>28</v>
      </c>
      <c r="N300" s="67"/>
      <c r="O300" s="68" t="s">
        <v>29</v>
      </c>
      <c r="P300" s="69"/>
    </row>
    <row r="301" ht="15.75" spans="1:16">
      <c r="A301" s="2"/>
      <c r="B301" s="3"/>
      <c r="C301" s="4"/>
      <c r="D301" s="5"/>
      <c r="E301" s="5"/>
      <c r="F301" s="5"/>
      <c r="G301" s="5"/>
      <c r="H301" s="6" t="s">
        <v>0</v>
      </c>
      <c r="I301" s="2"/>
      <c r="J301" s="3"/>
      <c r="K301" s="4"/>
      <c r="L301" s="5"/>
      <c r="M301" s="5"/>
      <c r="N301" s="5"/>
      <c r="O301" s="5"/>
      <c r="P301" s="6" t="s">
        <v>0</v>
      </c>
    </row>
    <row r="302" ht="15.75" spans="1:16">
      <c r="A302" s="2"/>
      <c r="B302" s="3"/>
      <c r="C302" s="4"/>
      <c r="D302" s="5"/>
      <c r="E302" s="5"/>
      <c r="F302" s="5"/>
      <c r="G302" s="5"/>
      <c r="H302" s="6" t="s">
        <v>1</v>
      </c>
      <c r="I302" s="2"/>
      <c r="J302" s="3"/>
      <c r="K302" s="4"/>
      <c r="L302" s="5"/>
      <c r="M302" s="5"/>
      <c r="N302" s="5"/>
      <c r="O302" s="5"/>
      <c r="P302" s="6" t="s">
        <v>1</v>
      </c>
    </row>
    <row r="303" ht="15.75" spans="1:16">
      <c r="A303" s="2"/>
      <c r="B303" s="3"/>
      <c r="C303" s="4"/>
      <c r="D303" s="5"/>
      <c r="E303" s="5"/>
      <c r="F303" s="5"/>
      <c r="G303" s="5"/>
      <c r="H303" s="6" t="s">
        <v>2</v>
      </c>
      <c r="I303" s="2"/>
      <c r="J303" s="3"/>
      <c r="K303" s="4"/>
      <c r="L303" s="5"/>
      <c r="M303" s="5"/>
      <c r="N303" s="5"/>
      <c r="O303" s="5"/>
      <c r="P303" s="6" t="s">
        <v>2</v>
      </c>
    </row>
    <row r="304" ht="15.75" spans="1:16">
      <c r="A304" s="2"/>
      <c r="B304" s="3"/>
      <c r="C304" s="4"/>
      <c r="D304" s="5"/>
      <c r="E304" s="5"/>
      <c r="F304" s="5"/>
      <c r="G304" s="5"/>
      <c r="H304" s="6" t="s">
        <v>3</v>
      </c>
      <c r="I304" s="2"/>
      <c r="J304" s="3"/>
      <c r="K304" s="4"/>
      <c r="L304" s="5"/>
      <c r="M304" s="5"/>
      <c r="N304" s="5"/>
      <c r="O304" s="5"/>
      <c r="P304" s="6" t="s">
        <v>3</v>
      </c>
    </row>
    <row r="305" ht="15.75" spans="1:16">
      <c r="A305" s="2"/>
      <c r="B305" s="7"/>
      <c r="C305" s="4"/>
      <c r="D305" s="5"/>
      <c r="E305" s="5"/>
      <c r="F305" s="5"/>
      <c r="G305" s="5"/>
      <c r="H305" s="5"/>
      <c r="I305" s="2"/>
      <c r="J305" s="7"/>
      <c r="K305" s="4"/>
      <c r="L305" s="5"/>
      <c r="M305" s="5"/>
      <c r="N305" s="5"/>
      <c r="O305" s="5"/>
      <c r="P305" s="5"/>
    </row>
    <row r="306" ht="15.75" spans="1:16">
      <c r="A306" s="2"/>
      <c r="B306" s="8" t="s">
        <v>4</v>
      </c>
      <c r="C306" s="8"/>
      <c r="D306" s="8"/>
      <c r="E306" s="8"/>
      <c r="F306" s="8"/>
      <c r="G306" s="8"/>
      <c r="H306" s="8"/>
      <c r="I306" s="2"/>
      <c r="J306" s="8" t="s">
        <v>4</v>
      </c>
      <c r="K306" s="8"/>
      <c r="L306" s="8"/>
      <c r="M306" s="8"/>
      <c r="N306" s="8"/>
      <c r="O306" s="8"/>
      <c r="P306" s="8"/>
    </row>
    <row r="307" ht="15.75" spans="1:16">
      <c r="A307" s="9"/>
      <c r="B307" s="10" t="str">
        <f>'[1]1нед'!$A$6</f>
        <v>Направление подготовки:</v>
      </c>
      <c r="C307" s="11"/>
      <c r="D307" s="12"/>
      <c r="E307" s="13" t="str">
        <f>E7</f>
        <v>00</v>
      </c>
      <c r="F307" s="12"/>
      <c r="G307" s="12">
        <f>G7</f>
        <v>0</v>
      </c>
      <c r="H307" s="14"/>
      <c r="I307" s="9"/>
      <c r="J307" s="10" t="str">
        <f>'[1]1нед'!$A$6</f>
        <v>Направление подготовки:</v>
      </c>
      <c r="K307" s="11"/>
      <c r="L307" s="12"/>
      <c r="M307" s="13" t="str">
        <f>E7</f>
        <v>00</v>
      </c>
      <c r="N307" s="12"/>
      <c r="O307" s="12">
        <f>G7</f>
        <v>0</v>
      </c>
      <c r="P307" s="14"/>
    </row>
    <row r="308" ht="15.75" spans="1:16">
      <c r="A308" s="2"/>
      <c r="B308" s="10" t="s">
        <v>5</v>
      </c>
      <c r="C308" s="10"/>
      <c r="D308" s="10"/>
      <c r="E308" s="10" t="str">
        <f>E8</f>
        <v>очная</v>
      </c>
      <c r="F308" s="10"/>
      <c r="G308" s="10"/>
      <c r="H308" s="10"/>
      <c r="I308" s="2"/>
      <c r="J308" s="10" t="s">
        <v>5</v>
      </c>
      <c r="K308" s="10"/>
      <c r="L308" s="10"/>
      <c r="M308" s="10" t="str">
        <f>E8</f>
        <v>очная</v>
      </c>
      <c r="N308" s="10"/>
      <c r="O308" s="10"/>
      <c r="P308" s="10"/>
    </row>
    <row r="309" ht="15.75" spans="1:16">
      <c r="A309" s="2"/>
      <c r="B309" s="10" t="s">
        <v>7</v>
      </c>
      <c r="C309" s="10"/>
      <c r="D309" s="10"/>
      <c r="E309" s="10">
        <f>E9</f>
        <v>1</v>
      </c>
      <c r="F309" s="10"/>
      <c r="G309" s="10"/>
      <c r="H309" s="15"/>
      <c r="I309" s="2"/>
      <c r="J309" s="10" t="s">
        <v>7</v>
      </c>
      <c r="K309" s="10"/>
      <c r="L309" s="10"/>
      <c r="M309" s="10">
        <f>E9</f>
        <v>1</v>
      </c>
      <c r="N309" s="10"/>
      <c r="O309" s="10"/>
      <c r="P309" s="15"/>
    </row>
    <row r="310" ht="16.5" spans="1:16">
      <c r="A310" s="2"/>
      <c r="B310" s="16" t="s">
        <v>8</v>
      </c>
      <c r="C310" s="16"/>
      <c r="D310" s="16"/>
      <c r="E310" s="16">
        <f>M250+1</f>
        <v>11</v>
      </c>
      <c r="F310" s="16"/>
      <c r="G310" s="16"/>
      <c r="H310" s="17"/>
      <c r="I310" s="2"/>
      <c r="J310" s="16" t="s">
        <v>8</v>
      </c>
      <c r="K310" s="16"/>
      <c r="L310" s="16"/>
      <c r="M310" s="16">
        <f>E310+1</f>
        <v>12</v>
      </c>
      <c r="N310" s="16"/>
      <c r="O310" s="16"/>
      <c r="P310" s="17"/>
    </row>
    <row r="311" ht="46.5" customHeight="1" spans="1:16">
      <c r="A311" s="19" t="s">
        <v>9</v>
      </c>
      <c r="B311" s="20"/>
      <c r="C311" s="21" t="s">
        <v>10</v>
      </c>
      <c r="D311" s="22" t="s">
        <v>11</v>
      </c>
      <c r="E311" s="23" t="s">
        <v>12</v>
      </c>
      <c r="F311" s="24" t="s">
        <v>13</v>
      </c>
      <c r="G311" s="25"/>
      <c r="H311" s="26" t="s">
        <v>14</v>
      </c>
      <c r="I311" s="19" t="s">
        <v>9</v>
      </c>
      <c r="J311" s="20"/>
      <c r="K311" s="21" t="s">
        <v>10</v>
      </c>
      <c r="L311" s="22" t="s">
        <v>11</v>
      </c>
      <c r="M311" s="23" t="s">
        <v>12</v>
      </c>
      <c r="N311" s="24" t="s">
        <v>13</v>
      </c>
      <c r="O311" s="25"/>
      <c r="P311" s="26" t="s">
        <v>14</v>
      </c>
    </row>
    <row r="312" ht="32.25" customHeight="1" spans="1:16">
      <c r="A312" s="27">
        <v>46335</v>
      </c>
      <c r="B312" s="28" t="s">
        <v>15</v>
      </c>
      <c r="C312" s="29" t="s">
        <v>16</v>
      </c>
      <c r="D312" s="30">
        <f>'[3]11нед'!C12</f>
        <v>0</v>
      </c>
      <c r="E312" s="31">
        <f>'[3]11нед'!D12</f>
        <v>0</v>
      </c>
      <c r="F312" s="32">
        <f>'[3]11нед'!G12</f>
        <v>0</v>
      </c>
      <c r="G312" s="33" t="str">
        <f>'[3]11нед'!H12</f>
        <v/>
      </c>
      <c r="H312" s="34"/>
      <c r="I312" s="27">
        <v>46342</v>
      </c>
      <c r="J312" s="35" t="s">
        <v>15</v>
      </c>
      <c r="K312" s="29" t="s">
        <v>16</v>
      </c>
      <c r="L312" s="30">
        <f>'[3]12нед'!C12</f>
        <v>0</v>
      </c>
      <c r="M312" s="31">
        <f>'[3]12нед'!D12</f>
        <v>0</v>
      </c>
      <c r="N312" s="32">
        <f>'[3]12нед'!G12</f>
        <v>0</v>
      </c>
      <c r="O312" s="33" t="str">
        <f>'[3]12нед'!H12</f>
        <v/>
      </c>
      <c r="P312" s="34"/>
    </row>
    <row r="313" ht="31.5" spans="1:16">
      <c r="A313" s="36"/>
      <c r="B313" s="37"/>
      <c r="C313" s="29" t="s">
        <v>17</v>
      </c>
      <c r="D313" s="38">
        <f>'[3]11нед'!C13</f>
        <v>0</v>
      </c>
      <c r="E313" s="39">
        <f>'[3]11нед'!D13</f>
        <v>0</v>
      </c>
      <c r="F313" s="40">
        <f>'[3]11нед'!G13</f>
        <v>0</v>
      </c>
      <c r="G313" s="41" t="str">
        <f>'[3]11нед'!H13</f>
        <v/>
      </c>
      <c r="H313" s="42"/>
      <c r="I313" s="43"/>
      <c r="J313" s="44"/>
      <c r="K313" s="29" t="s">
        <v>17</v>
      </c>
      <c r="L313" s="38">
        <f>'[3]12нед'!C13</f>
        <v>0</v>
      </c>
      <c r="M313" s="39">
        <f>'[3]12нед'!D13</f>
        <v>0</v>
      </c>
      <c r="N313" s="40">
        <f>'[3]12нед'!G13</f>
        <v>0</v>
      </c>
      <c r="O313" s="41" t="str">
        <f>'[3]12нед'!H13</f>
        <v/>
      </c>
      <c r="P313" s="42"/>
    </row>
    <row r="314" ht="31.5" spans="1:16">
      <c r="A314" s="36"/>
      <c r="B314" s="37"/>
      <c r="C314" s="29" t="s">
        <v>18</v>
      </c>
      <c r="D314" s="38">
        <f>'[3]11нед'!C14</f>
        <v>0</v>
      </c>
      <c r="E314" s="39">
        <f>'[3]11нед'!D14</f>
        <v>0</v>
      </c>
      <c r="F314" s="40">
        <f>'[3]11нед'!G14</f>
        <v>0</v>
      </c>
      <c r="G314" s="41" t="str">
        <f>'[3]11нед'!H14</f>
        <v/>
      </c>
      <c r="H314" s="42"/>
      <c r="I314" s="43"/>
      <c r="J314" s="44"/>
      <c r="K314" s="29" t="s">
        <v>18</v>
      </c>
      <c r="L314" s="38">
        <f>'[3]12нед'!C14</f>
        <v>0</v>
      </c>
      <c r="M314" s="39">
        <f>'[3]12нед'!D14</f>
        <v>0</v>
      </c>
      <c r="N314" s="40">
        <f>'[3]12нед'!G14</f>
        <v>0</v>
      </c>
      <c r="O314" s="41" t="str">
        <f>'[3]12нед'!H14</f>
        <v/>
      </c>
      <c r="P314" s="42"/>
    </row>
    <row r="315" ht="31.5" spans="1:16">
      <c r="A315" s="36"/>
      <c r="B315" s="37"/>
      <c r="C315" s="29" t="s">
        <v>19</v>
      </c>
      <c r="D315" s="38">
        <f>'[3]11нед'!C15</f>
        <v>0</v>
      </c>
      <c r="E315" s="39">
        <f>'[3]11нед'!D15</f>
        <v>0</v>
      </c>
      <c r="F315" s="40">
        <f>'[3]11нед'!G15</f>
        <v>0</v>
      </c>
      <c r="G315" s="41" t="str">
        <f>'[3]11нед'!H15</f>
        <v/>
      </c>
      <c r="H315" s="42"/>
      <c r="I315" s="43"/>
      <c r="J315" s="44"/>
      <c r="K315" s="29" t="s">
        <v>19</v>
      </c>
      <c r="L315" s="38">
        <f>'[3]12нед'!C15</f>
        <v>0</v>
      </c>
      <c r="M315" s="39">
        <f>'[3]12нед'!D15</f>
        <v>0</v>
      </c>
      <c r="N315" s="40">
        <f>'[3]12нед'!G15</f>
        <v>0</v>
      </c>
      <c r="O315" s="41" t="str">
        <f>'[3]12нед'!H15</f>
        <v/>
      </c>
      <c r="P315" s="42"/>
    </row>
    <row r="316" ht="31.5" spans="1:16">
      <c r="A316" s="36"/>
      <c r="B316" s="37"/>
      <c r="C316" s="29" t="s">
        <v>20</v>
      </c>
      <c r="D316" s="38">
        <f>'[3]11нед'!C16</f>
        <v>0</v>
      </c>
      <c r="E316" s="39">
        <f>'[3]11нед'!D16</f>
        <v>0</v>
      </c>
      <c r="F316" s="40">
        <f>'[3]11нед'!G16</f>
        <v>0</v>
      </c>
      <c r="G316" s="41" t="str">
        <f>'[3]11нед'!H16</f>
        <v/>
      </c>
      <c r="H316" s="42"/>
      <c r="I316" s="43"/>
      <c r="J316" s="44"/>
      <c r="K316" s="29" t="s">
        <v>20</v>
      </c>
      <c r="L316" s="38">
        <f>'[3]12нед'!C16</f>
        <v>0</v>
      </c>
      <c r="M316" s="39">
        <f>'[3]12нед'!D16</f>
        <v>0</v>
      </c>
      <c r="N316" s="40">
        <f>'[3]12нед'!G16</f>
        <v>0</v>
      </c>
      <c r="O316" s="41" t="str">
        <f>'[3]12нед'!H16</f>
        <v/>
      </c>
      <c r="P316" s="42"/>
    </row>
    <row r="317" ht="31.5" spans="1:16">
      <c r="A317" s="36"/>
      <c r="B317" s="37"/>
      <c r="C317" s="29" t="s">
        <v>21</v>
      </c>
      <c r="D317" s="38">
        <f>'[3]11нед'!C17</f>
        <v>0</v>
      </c>
      <c r="E317" s="39">
        <f>'[3]11нед'!D17</f>
        <v>0</v>
      </c>
      <c r="F317" s="40">
        <f>'[3]11нед'!G17</f>
        <v>0</v>
      </c>
      <c r="G317" s="41" t="str">
        <f>'[3]11нед'!H17</f>
        <v/>
      </c>
      <c r="H317" s="56"/>
      <c r="I317" s="43"/>
      <c r="J317" s="44"/>
      <c r="K317" s="29" t="s">
        <v>21</v>
      </c>
      <c r="L317" s="38">
        <f>'[3]12нед'!C17</f>
        <v>0</v>
      </c>
      <c r="M317" s="39">
        <f>'[3]12нед'!D17</f>
        <v>0</v>
      </c>
      <c r="N317" s="40">
        <f>'[3]12нед'!G17</f>
        <v>0</v>
      </c>
      <c r="O317" s="41" t="str">
        <f>'[3]12нед'!H17</f>
        <v/>
      </c>
      <c r="P317" s="56"/>
    </row>
    <row r="318" ht="32.25" spans="1:16">
      <c r="A318" s="36"/>
      <c r="B318" s="37"/>
      <c r="C318" s="29" t="s">
        <v>22</v>
      </c>
      <c r="D318" s="38">
        <f>'[3]11нед'!C18</f>
        <v>0</v>
      </c>
      <c r="E318" s="39">
        <f>'[3]11нед'!D18</f>
        <v>0</v>
      </c>
      <c r="F318" s="40">
        <f>'[3]11нед'!G18</f>
        <v>0</v>
      </c>
      <c r="G318" s="41" t="str">
        <f>'[3]11нед'!H18</f>
        <v/>
      </c>
      <c r="H318" s="56"/>
      <c r="I318" s="43"/>
      <c r="J318" s="44"/>
      <c r="K318" s="29" t="s">
        <v>22</v>
      </c>
      <c r="L318" s="38">
        <f>'[3]12нед'!C18</f>
        <v>0</v>
      </c>
      <c r="M318" s="39">
        <f>'[3]12нед'!D18</f>
        <v>0</v>
      </c>
      <c r="N318" s="40">
        <f>'[3]12нед'!G18</f>
        <v>0</v>
      </c>
      <c r="O318" s="41" t="str">
        <f>'[3]12нед'!H18</f>
        <v/>
      </c>
      <c r="P318" s="56"/>
    </row>
    <row r="319" ht="18.6" hidden="1" customHeight="1" spans="1:16">
      <c r="A319" s="45"/>
      <c r="B319" s="46"/>
      <c r="C319" s="47"/>
      <c r="D319" s="48">
        <f>'[3]11нед'!C19</f>
        <v>0</v>
      </c>
      <c r="E319" s="49">
        <f>'[3]11нед'!D19</f>
        <v>0</v>
      </c>
      <c r="F319" s="50">
        <f>'[3]11нед'!G19</f>
        <v>0</v>
      </c>
      <c r="G319" s="51" t="str">
        <f>'[3]11нед'!H19</f>
        <v/>
      </c>
      <c r="H319" s="52"/>
      <c r="I319" s="53"/>
      <c r="J319" s="54"/>
      <c r="K319" s="47"/>
      <c r="L319" s="48">
        <f>'[3]12нед'!C19</f>
        <v>0</v>
      </c>
      <c r="M319" s="49">
        <f>'[3]12нед'!D19</f>
        <v>0</v>
      </c>
      <c r="N319" s="50">
        <f>'[3]12нед'!G19</f>
        <v>0</v>
      </c>
      <c r="O319" s="51" t="str">
        <f>'[3]12нед'!H19</f>
        <v/>
      </c>
      <c r="P319" s="52"/>
    </row>
    <row r="320" ht="32.25" customHeight="1" spans="1:16">
      <c r="A320" s="27">
        <v>46336</v>
      </c>
      <c r="B320" s="28" t="s">
        <v>23</v>
      </c>
      <c r="C320" s="55" t="s">
        <v>16</v>
      </c>
      <c r="D320" s="30">
        <f>'[3]11нед'!C20</f>
        <v>0</v>
      </c>
      <c r="E320" s="31">
        <f>'[3]11нед'!D20</f>
        <v>0</v>
      </c>
      <c r="F320" s="32">
        <f>'[3]11нед'!G20</f>
        <v>0</v>
      </c>
      <c r="G320" s="33" t="str">
        <f>'[3]11нед'!H20</f>
        <v/>
      </c>
      <c r="H320" s="34"/>
      <c r="I320" s="27">
        <v>46343</v>
      </c>
      <c r="J320" s="35" t="s">
        <v>23</v>
      </c>
      <c r="K320" s="55" t="s">
        <v>16</v>
      </c>
      <c r="L320" s="30">
        <f>'[3]12нед'!C20</f>
        <v>0</v>
      </c>
      <c r="M320" s="31">
        <f>'[3]12нед'!D20</f>
        <v>0</v>
      </c>
      <c r="N320" s="32">
        <f>'[3]12нед'!G20</f>
        <v>0</v>
      </c>
      <c r="O320" s="33" t="str">
        <f>'[3]12нед'!H20</f>
        <v/>
      </c>
      <c r="P320" s="34"/>
    </row>
    <row r="321" ht="31.5" spans="1:16">
      <c r="A321" s="36"/>
      <c r="B321" s="37"/>
      <c r="C321" s="29" t="s">
        <v>17</v>
      </c>
      <c r="D321" s="38">
        <f>'[3]11нед'!C21</f>
        <v>0</v>
      </c>
      <c r="E321" s="39">
        <f>'[3]11нед'!D21</f>
        <v>0</v>
      </c>
      <c r="F321" s="40">
        <f>'[3]11нед'!G21</f>
        <v>0</v>
      </c>
      <c r="G321" s="41" t="str">
        <f>'[3]11нед'!H21</f>
        <v/>
      </c>
      <c r="H321" s="42"/>
      <c r="I321" s="43"/>
      <c r="J321" s="44"/>
      <c r="K321" s="29" t="s">
        <v>17</v>
      </c>
      <c r="L321" s="38">
        <f>'[3]12нед'!C21</f>
        <v>0</v>
      </c>
      <c r="M321" s="39">
        <f>'[3]12нед'!D21</f>
        <v>0</v>
      </c>
      <c r="N321" s="40">
        <f>'[3]12нед'!G21</f>
        <v>0</v>
      </c>
      <c r="O321" s="41" t="str">
        <f>'[3]12нед'!H21</f>
        <v/>
      </c>
      <c r="P321" s="42"/>
    </row>
    <row r="322" ht="31.5" spans="1:16">
      <c r="A322" s="36"/>
      <c r="B322" s="37"/>
      <c r="C322" s="29" t="s">
        <v>18</v>
      </c>
      <c r="D322" s="38">
        <f>'[3]11нед'!C22</f>
        <v>0</v>
      </c>
      <c r="E322" s="39">
        <f>'[3]11нед'!D22</f>
        <v>0</v>
      </c>
      <c r="F322" s="40">
        <f>'[3]11нед'!G22</f>
        <v>0</v>
      </c>
      <c r="G322" s="41" t="str">
        <f>'[3]11нед'!H22</f>
        <v/>
      </c>
      <c r="H322" s="42"/>
      <c r="I322" s="43"/>
      <c r="J322" s="44"/>
      <c r="K322" s="29" t="s">
        <v>18</v>
      </c>
      <c r="L322" s="38">
        <f>'[3]12нед'!C22</f>
        <v>0</v>
      </c>
      <c r="M322" s="39">
        <f>'[3]12нед'!D22</f>
        <v>0</v>
      </c>
      <c r="N322" s="40">
        <f>'[3]12нед'!G22</f>
        <v>0</v>
      </c>
      <c r="O322" s="41" t="str">
        <f>'[3]12нед'!H22</f>
        <v/>
      </c>
      <c r="P322" s="42"/>
    </row>
    <row r="323" ht="31.5" spans="1:16">
      <c r="A323" s="36"/>
      <c r="B323" s="37"/>
      <c r="C323" s="29" t="s">
        <v>19</v>
      </c>
      <c r="D323" s="38">
        <f>'[3]11нед'!C23</f>
        <v>0</v>
      </c>
      <c r="E323" s="39">
        <f>'[3]11нед'!D23</f>
        <v>0</v>
      </c>
      <c r="F323" s="40">
        <f>'[3]11нед'!G23</f>
        <v>0</v>
      </c>
      <c r="G323" s="41" t="str">
        <f>'[3]11нед'!H23</f>
        <v/>
      </c>
      <c r="H323" s="42"/>
      <c r="I323" s="43"/>
      <c r="J323" s="44"/>
      <c r="K323" s="29" t="s">
        <v>19</v>
      </c>
      <c r="L323" s="38">
        <f>'[3]12нед'!C23</f>
        <v>0</v>
      </c>
      <c r="M323" s="39">
        <f>'[3]12нед'!D23</f>
        <v>0</v>
      </c>
      <c r="N323" s="40">
        <f>'[3]12нед'!G23</f>
        <v>0</v>
      </c>
      <c r="O323" s="41" t="str">
        <f>'[3]12нед'!H23</f>
        <v/>
      </c>
      <c r="P323" s="42"/>
    </row>
    <row r="324" ht="31.5" spans="1:16">
      <c r="A324" s="36"/>
      <c r="B324" s="37"/>
      <c r="C324" s="29" t="s">
        <v>20</v>
      </c>
      <c r="D324" s="38">
        <f>'[3]11нед'!C24</f>
        <v>0</v>
      </c>
      <c r="E324" s="39">
        <f>'[3]11нед'!D24</f>
        <v>0</v>
      </c>
      <c r="F324" s="40">
        <f>'[3]11нед'!G24</f>
        <v>0</v>
      </c>
      <c r="G324" s="41" t="str">
        <f>'[3]11нед'!H24</f>
        <v/>
      </c>
      <c r="H324" s="42"/>
      <c r="I324" s="43"/>
      <c r="J324" s="44"/>
      <c r="K324" s="29" t="s">
        <v>20</v>
      </c>
      <c r="L324" s="38">
        <f>'[3]12нед'!C24</f>
        <v>0</v>
      </c>
      <c r="M324" s="39">
        <f>'[3]12нед'!D24</f>
        <v>0</v>
      </c>
      <c r="N324" s="40">
        <f>'[3]12нед'!G24</f>
        <v>0</v>
      </c>
      <c r="O324" s="41" t="str">
        <f>'[3]12нед'!H24</f>
        <v/>
      </c>
      <c r="P324" s="42"/>
    </row>
    <row r="325" ht="31.5" spans="1:16">
      <c r="A325" s="36"/>
      <c r="B325" s="37"/>
      <c r="C325" s="29" t="s">
        <v>21</v>
      </c>
      <c r="D325" s="38">
        <f>'[3]11нед'!C25</f>
        <v>0</v>
      </c>
      <c r="E325" s="39">
        <f>'[3]11нед'!D25</f>
        <v>0</v>
      </c>
      <c r="F325" s="40">
        <f>'[3]11нед'!G25</f>
        <v>0</v>
      </c>
      <c r="G325" s="41" t="str">
        <f>'[3]11нед'!H25</f>
        <v/>
      </c>
      <c r="H325" s="42"/>
      <c r="I325" s="43"/>
      <c r="J325" s="44"/>
      <c r="K325" s="29" t="s">
        <v>21</v>
      </c>
      <c r="L325" s="38">
        <f>'[3]12нед'!C25</f>
        <v>0</v>
      </c>
      <c r="M325" s="39">
        <f>'[3]12нед'!D25</f>
        <v>0</v>
      </c>
      <c r="N325" s="40">
        <f>'[3]12нед'!G25</f>
        <v>0</v>
      </c>
      <c r="O325" s="41" t="str">
        <f>'[3]12нед'!H25</f>
        <v/>
      </c>
      <c r="P325" s="42"/>
    </row>
    <row r="326" ht="32.25" spans="1:16">
      <c r="A326" s="36"/>
      <c r="B326" s="37"/>
      <c r="C326" s="29" t="s">
        <v>22</v>
      </c>
      <c r="D326" s="38">
        <f>'[3]11нед'!C26</f>
        <v>0</v>
      </c>
      <c r="E326" s="39">
        <f>'[3]11нед'!D26</f>
        <v>0</v>
      </c>
      <c r="F326" s="40">
        <f>'[3]11нед'!G26</f>
        <v>0</v>
      </c>
      <c r="G326" s="41" t="str">
        <f>'[3]11нед'!H26</f>
        <v/>
      </c>
      <c r="H326" s="42"/>
      <c r="I326" s="43"/>
      <c r="J326" s="44"/>
      <c r="K326" s="29" t="s">
        <v>22</v>
      </c>
      <c r="L326" s="38">
        <f>'[3]12нед'!C26</f>
        <v>0</v>
      </c>
      <c r="M326" s="39">
        <f>'[3]12нед'!D26</f>
        <v>0</v>
      </c>
      <c r="N326" s="40">
        <f>'[3]12нед'!G26</f>
        <v>0</v>
      </c>
      <c r="O326" s="41" t="str">
        <f>'[3]12нед'!H26</f>
        <v/>
      </c>
      <c r="P326" s="42"/>
    </row>
    <row r="327" ht="18.6" hidden="1" customHeight="1" spans="1:16">
      <c r="A327" s="45"/>
      <c r="B327" s="46"/>
      <c r="C327" s="47"/>
      <c r="D327" s="48">
        <f>'[3]11нед'!C27</f>
        <v>0</v>
      </c>
      <c r="E327" s="49">
        <f>'[3]11нед'!D27</f>
        <v>0</v>
      </c>
      <c r="F327" s="50">
        <f>'[3]11нед'!G27</f>
        <v>0</v>
      </c>
      <c r="G327" s="51" t="str">
        <f>'[3]11нед'!H27</f>
        <v/>
      </c>
      <c r="H327" s="52"/>
      <c r="I327" s="53"/>
      <c r="J327" s="54"/>
      <c r="K327" s="47"/>
      <c r="L327" s="48">
        <f>'[3]12нед'!C27</f>
        <v>0</v>
      </c>
      <c r="M327" s="49">
        <f>'[3]12нед'!D27</f>
        <v>0</v>
      </c>
      <c r="N327" s="50">
        <f>'[3]12нед'!G27</f>
        <v>0</v>
      </c>
      <c r="O327" s="51" t="str">
        <f>'[3]12нед'!H27</f>
        <v/>
      </c>
      <c r="P327" s="52"/>
    </row>
    <row r="328" ht="48" customHeight="1" spans="1:16">
      <c r="A328" s="27">
        <v>46337</v>
      </c>
      <c r="B328" s="57" t="s">
        <v>24</v>
      </c>
      <c r="C328" s="55" t="s">
        <v>16</v>
      </c>
      <c r="D328" s="30">
        <f>'[3]11нед'!C28</f>
        <v>0</v>
      </c>
      <c r="E328" s="31">
        <f>'[3]11нед'!D28</f>
        <v>0</v>
      </c>
      <c r="F328" s="32">
        <f>'[3]11нед'!G28</f>
        <v>0</v>
      </c>
      <c r="G328" s="33" t="str">
        <f>'[3]11нед'!H28</f>
        <v/>
      </c>
      <c r="H328" s="34"/>
      <c r="I328" s="27">
        <v>46344</v>
      </c>
      <c r="J328" s="58" t="s">
        <v>24</v>
      </c>
      <c r="K328" s="55" t="s">
        <v>16</v>
      </c>
      <c r="L328" s="30">
        <f>'[3]12нед'!C28</f>
        <v>0</v>
      </c>
      <c r="M328" s="31">
        <f>'[3]12нед'!D28</f>
        <v>0</v>
      </c>
      <c r="N328" s="32">
        <f>'[3]12нед'!G28</f>
        <v>0</v>
      </c>
      <c r="O328" s="33" t="str">
        <f>'[3]12нед'!H28</f>
        <v/>
      </c>
      <c r="P328" s="34"/>
    </row>
    <row r="329" ht="31.5" spans="1:16">
      <c r="A329" s="36"/>
      <c r="B329" s="59"/>
      <c r="C329" s="29" t="s">
        <v>17</v>
      </c>
      <c r="D329" s="38">
        <f>'[3]11нед'!C29</f>
        <v>0</v>
      </c>
      <c r="E329" s="39">
        <f>'[3]11нед'!D29</f>
        <v>0</v>
      </c>
      <c r="F329" s="40">
        <f>'[3]11нед'!G29</f>
        <v>0</v>
      </c>
      <c r="G329" s="41" t="str">
        <f>'[3]11нед'!H29</f>
        <v/>
      </c>
      <c r="H329" s="42"/>
      <c r="I329" s="43"/>
      <c r="J329" s="60"/>
      <c r="K329" s="29" t="s">
        <v>17</v>
      </c>
      <c r="L329" s="38">
        <f>'[3]12нед'!C29</f>
        <v>0</v>
      </c>
      <c r="M329" s="39">
        <f>'[3]12нед'!D29</f>
        <v>0</v>
      </c>
      <c r="N329" s="40">
        <f>'[3]12нед'!G29</f>
        <v>0</v>
      </c>
      <c r="O329" s="41" t="str">
        <f>'[3]12нед'!H29</f>
        <v/>
      </c>
      <c r="P329" s="42"/>
    </row>
    <row r="330" ht="31.5" spans="1:16">
      <c r="A330" s="36"/>
      <c r="B330" s="59"/>
      <c r="C330" s="29" t="s">
        <v>18</v>
      </c>
      <c r="D330" s="38">
        <f>'[3]11нед'!C30</f>
        <v>0</v>
      </c>
      <c r="E330" s="39">
        <f>'[3]11нед'!D30</f>
        <v>0</v>
      </c>
      <c r="F330" s="40">
        <f>'[3]11нед'!G30</f>
        <v>0</v>
      </c>
      <c r="G330" s="41" t="str">
        <f>'[3]11нед'!H30</f>
        <v/>
      </c>
      <c r="H330" s="42"/>
      <c r="I330" s="43"/>
      <c r="J330" s="60"/>
      <c r="K330" s="29" t="s">
        <v>18</v>
      </c>
      <c r="L330" s="38">
        <f>'[3]12нед'!C30</f>
        <v>0</v>
      </c>
      <c r="M330" s="39">
        <f>'[3]12нед'!D30</f>
        <v>0</v>
      </c>
      <c r="N330" s="40">
        <f>'[3]12нед'!G30</f>
        <v>0</v>
      </c>
      <c r="O330" s="41" t="str">
        <f>'[3]12нед'!H30</f>
        <v/>
      </c>
      <c r="P330" s="42"/>
    </row>
    <row r="331" ht="31.5" spans="1:16">
      <c r="A331" s="36"/>
      <c r="B331" s="59"/>
      <c r="C331" s="29" t="s">
        <v>19</v>
      </c>
      <c r="D331" s="38">
        <f>'[3]11нед'!C31</f>
        <v>0</v>
      </c>
      <c r="E331" s="39">
        <f>'[3]11нед'!D31</f>
        <v>0</v>
      </c>
      <c r="F331" s="40">
        <f>'[3]11нед'!G31</f>
        <v>0</v>
      </c>
      <c r="G331" s="41" t="str">
        <f>'[3]11нед'!H31</f>
        <v/>
      </c>
      <c r="H331" s="42"/>
      <c r="I331" s="43"/>
      <c r="J331" s="60"/>
      <c r="K331" s="29" t="s">
        <v>19</v>
      </c>
      <c r="L331" s="38">
        <f>'[3]12нед'!C31</f>
        <v>0</v>
      </c>
      <c r="M331" s="39">
        <f>'[3]12нед'!D31</f>
        <v>0</v>
      </c>
      <c r="N331" s="40">
        <f>'[3]12нед'!G31</f>
        <v>0</v>
      </c>
      <c r="O331" s="41" t="str">
        <f>'[3]12нед'!H31</f>
        <v/>
      </c>
      <c r="P331" s="42"/>
    </row>
    <row r="332" ht="31.5" spans="1:16">
      <c r="A332" s="36"/>
      <c r="B332" s="59"/>
      <c r="C332" s="29" t="s">
        <v>20</v>
      </c>
      <c r="D332" s="38">
        <f>'[3]11нед'!C32</f>
        <v>0</v>
      </c>
      <c r="E332" s="39">
        <f>'[3]11нед'!D32</f>
        <v>0</v>
      </c>
      <c r="F332" s="40">
        <f>'[3]11нед'!G32</f>
        <v>0</v>
      </c>
      <c r="G332" s="41" t="str">
        <f>'[3]11нед'!H32</f>
        <v/>
      </c>
      <c r="H332" s="42"/>
      <c r="I332" s="43"/>
      <c r="J332" s="60"/>
      <c r="K332" s="29" t="s">
        <v>20</v>
      </c>
      <c r="L332" s="38">
        <f>'[3]12нед'!C32</f>
        <v>0</v>
      </c>
      <c r="M332" s="39">
        <f>'[3]12нед'!D32</f>
        <v>0</v>
      </c>
      <c r="N332" s="40">
        <f>'[3]12нед'!G32</f>
        <v>0</v>
      </c>
      <c r="O332" s="41" t="str">
        <f>'[3]12нед'!H32</f>
        <v/>
      </c>
      <c r="P332" s="42"/>
    </row>
    <row r="333" ht="31.5" spans="1:16">
      <c r="A333" s="36"/>
      <c r="B333" s="59"/>
      <c r="C333" s="29" t="s">
        <v>21</v>
      </c>
      <c r="D333" s="38">
        <f>'[3]11нед'!C33</f>
        <v>0</v>
      </c>
      <c r="E333" s="39">
        <f>'[3]11нед'!D33</f>
        <v>0</v>
      </c>
      <c r="F333" s="40">
        <f>'[3]11нед'!G33</f>
        <v>0</v>
      </c>
      <c r="G333" s="41" t="str">
        <f>'[3]11нед'!H33</f>
        <v/>
      </c>
      <c r="H333" s="56"/>
      <c r="I333" s="43"/>
      <c r="J333" s="60"/>
      <c r="K333" s="29" t="s">
        <v>21</v>
      </c>
      <c r="L333" s="38">
        <f>'[3]12нед'!C33</f>
        <v>0</v>
      </c>
      <c r="M333" s="39">
        <f>'[3]12нед'!D33</f>
        <v>0</v>
      </c>
      <c r="N333" s="40">
        <f>'[3]12нед'!G33</f>
        <v>0</v>
      </c>
      <c r="O333" s="41" t="str">
        <f>'[3]12нед'!H33</f>
        <v/>
      </c>
      <c r="P333" s="56"/>
    </row>
    <row r="334" ht="32.25" spans="1:16">
      <c r="A334" s="36"/>
      <c r="B334" s="59"/>
      <c r="C334" s="29" t="s">
        <v>22</v>
      </c>
      <c r="D334" s="38">
        <f>'[3]11нед'!C34</f>
        <v>0</v>
      </c>
      <c r="E334" s="39">
        <f>'[3]11нед'!D34</f>
        <v>0</v>
      </c>
      <c r="F334" s="40">
        <f>'[3]11нед'!G34</f>
        <v>0</v>
      </c>
      <c r="G334" s="41" t="str">
        <f>'[3]11нед'!H34</f>
        <v/>
      </c>
      <c r="H334" s="56"/>
      <c r="I334" s="43"/>
      <c r="J334" s="60"/>
      <c r="K334" s="29" t="s">
        <v>22</v>
      </c>
      <c r="L334" s="38">
        <f>'[3]12нед'!C34</f>
        <v>0</v>
      </c>
      <c r="M334" s="39">
        <f>'[3]12нед'!D34</f>
        <v>0</v>
      </c>
      <c r="N334" s="40">
        <f>'[3]12нед'!G34</f>
        <v>0</v>
      </c>
      <c r="O334" s="41" t="str">
        <f>'[3]12нед'!H34</f>
        <v/>
      </c>
      <c r="P334" s="56"/>
    </row>
    <row r="335" ht="18.6" hidden="1" customHeight="1" spans="1:16">
      <c r="A335" s="45"/>
      <c r="B335" s="61"/>
      <c r="C335" s="47"/>
      <c r="D335" s="48">
        <f>'[3]11нед'!C35</f>
        <v>0</v>
      </c>
      <c r="E335" s="49">
        <f>'[3]11нед'!D35</f>
        <v>0</v>
      </c>
      <c r="F335" s="50">
        <f>'[3]11нед'!G35</f>
        <v>0</v>
      </c>
      <c r="G335" s="51" t="str">
        <f>'[3]11нед'!H35</f>
        <v/>
      </c>
      <c r="H335" s="52"/>
      <c r="I335" s="53"/>
      <c r="J335" s="62"/>
      <c r="K335" s="47"/>
      <c r="L335" s="48">
        <f>'[3]12нед'!C35</f>
        <v>0</v>
      </c>
      <c r="M335" s="49">
        <f>'[3]12нед'!D35</f>
        <v>0</v>
      </c>
      <c r="N335" s="50">
        <f>'[3]12нед'!G35</f>
        <v>0</v>
      </c>
      <c r="O335" s="51" t="str">
        <f>'[3]12нед'!H35</f>
        <v/>
      </c>
      <c r="P335" s="52"/>
    </row>
    <row r="336" ht="48" customHeight="1" spans="1:16">
      <c r="A336" s="27">
        <v>46338</v>
      </c>
      <c r="B336" s="28" t="s">
        <v>25</v>
      </c>
      <c r="C336" s="55" t="s">
        <v>16</v>
      </c>
      <c r="D336" s="30">
        <f>'[3]11нед'!C36</f>
        <v>0</v>
      </c>
      <c r="E336" s="31">
        <f>'[3]11нед'!D36</f>
        <v>0</v>
      </c>
      <c r="F336" s="32">
        <f>'[3]11нед'!G36</f>
        <v>0</v>
      </c>
      <c r="G336" s="33" t="str">
        <f>'[3]11нед'!H36</f>
        <v/>
      </c>
      <c r="H336" s="34"/>
      <c r="I336" s="27">
        <v>46345</v>
      </c>
      <c r="J336" s="35" t="s">
        <v>25</v>
      </c>
      <c r="K336" s="55" t="s">
        <v>16</v>
      </c>
      <c r="L336" s="30">
        <f>'[3]12нед'!C36</f>
        <v>0</v>
      </c>
      <c r="M336" s="31">
        <f>'[3]12нед'!D36</f>
        <v>0</v>
      </c>
      <c r="N336" s="32">
        <f>'[3]12нед'!G36</f>
        <v>0</v>
      </c>
      <c r="O336" s="33" t="str">
        <f>'[3]12нед'!H36</f>
        <v/>
      </c>
      <c r="P336" s="34"/>
    </row>
    <row r="337" ht="31.5" spans="1:16">
      <c r="A337" s="36"/>
      <c r="B337" s="37"/>
      <c r="C337" s="29" t="s">
        <v>17</v>
      </c>
      <c r="D337" s="38">
        <f>'[3]11нед'!C37</f>
        <v>0</v>
      </c>
      <c r="E337" s="39">
        <f>'[3]11нед'!D37</f>
        <v>0</v>
      </c>
      <c r="F337" s="40">
        <f>'[3]11нед'!G37</f>
        <v>0</v>
      </c>
      <c r="G337" s="41" t="str">
        <f>'[3]11нед'!H37</f>
        <v/>
      </c>
      <c r="H337" s="42"/>
      <c r="I337" s="43"/>
      <c r="J337" s="44"/>
      <c r="K337" s="29" t="s">
        <v>17</v>
      </c>
      <c r="L337" s="38">
        <f>'[3]12нед'!C37</f>
        <v>0</v>
      </c>
      <c r="M337" s="39">
        <f>'[3]12нед'!D37</f>
        <v>0</v>
      </c>
      <c r="N337" s="40">
        <f>'[3]12нед'!G37</f>
        <v>0</v>
      </c>
      <c r="O337" s="41" t="str">
        <f>'[3]12нед'!H37</f>
        <v/>
      </c>
      <c r="P337" s="42"/>
    </row>
    <row r="338" ht="31.5" spans="1:16">
      <c r="A338" s="36"/>
      <c r="B338" s="37"/>
      <c r="C338" s="29" t="s">
        <v>18</v>
      </c>
      <c r="D338" s="38">
        <f>'[3]11нед'!C38</f>
        <v>0</v>
      </c>
      <c r="E338" s="39">
        <f>'[3]11нед'!D38</f>
        <v>0</v>
      </c>
      <c r="F338" s="40">
        <f>'[3]11нед'!G38</f>
        <v>0</v>
      </c>
      <c r="G338" s="41" t="str">
        <f>'[3]11нед'!H38</f>
        <v/>
      </c>
      <c r="H338" s="42"/>
      <c r="I338" s="43"/>
      <c r="J338" s="44"/>
      <c r="K338" s="29" t="s">
        <v>18</v>
      </c>
      <c r="L338" s="38">
        <f>'[3]12нед'!C38</f>
        <v>0</v>
      </c>
      <c r="M338" s="39">
        <f>'[3]12нед'!D38</f>
        <v>0</v>
      </c>
      <c r="N338" s="40">
        <f>'[3]12нед'!G38</f>
        <v>0</v>
      </c>
      <c r="O338" s="41" t="str">
        <f>'[3]12нед'!H38</f>
        <v/>
      </c>
      <c r="P338" s="42"/>
    </row>
    <row r="339" ht="31.5" spans="1:16">
      <c r="A339" s="36"/>
      <c r="B339" s="37"/>
      <c r="C339" s="29" t="s">
        <v>19</v>
      </c>
      <c r="D339" s="38">
        <f>'[3]11нед'!C39</f>
        <v>0</v>
      </c>
      <c r="E339" s="39">
        <f>'[3]11нед'!D39</f>
        <v>0</v>
      </c>
      <c r="F339" s="40">
        <f>'[3]11нед'!G39</f>
        <v>0</v>
      </c>
      <c r="G339" s="41" t="str">
        <f>'[3]11нед'!H39</f>
        <v/>
      </c>
      <c r="H339" s="42"/>
      <c r="I339" s="43"/>
      <c r="J339" s="44"/>
      <c r="K339" s="29" t="s">
        <v>19</v>
      </c>
      <c r="L339" s="38">
        <f>'[3]12нед'!C39</f>
        <v>0</v>
      </c>
      <c r="M339" s="39">
        <f>'[3]12нед'!D39</f>
        <v>0</v>
      </c>
      <c r="N339" s="40">
        <f>'[3]12нед'!G39</f>
        <v>0</v>
      </c>
      <c r="O339" s="41" t="str">
        <f>'[3]12нед'!H39</f>
        <v/>
      </c>
      <c r="P339" s="42"/>
    </row>
    <row r="340" ht="31.5" spans="1:16">
      <c r="A340" s="36"/>
      <c r="B340" s="37"/>
      <c r="C340" s="29" t="s">
        <v>20</v>
      </c>
      <c r="D340" s="38">
        <f>'[3]11нед'!C40</f>
        <v>0</v>
      </c>
      <c r="E340" s="39">
        <f>'[3]11нед'!D40</f>
        <v>0</v>
      </c>
      <c r="F340" s="40">
        <f>'[3]11нед'!G40</f>
        <v>0</v>
      </c>
      <c r="G340" s="41" t="str">
        <f>'[3]11нед'!H40</f>
        <v/>
      </c>
      <c r="H340" s="42"/>
      <c r="I340" s="43"/>
      <c r="J340" s="44"/>
      <c r="K340" s="29" t="s">
        <v>20</v>
      </c>
      <c r="L340" s="38">
        <f>'[3]12нед'!C40</f>
        <v>0</v>
      </c>
      <c r="M340" s="39">
        <f>'[3]12нед'!D40</f>
        <v>0</v>
      </c>
      <c r="N340" s="40">
        <f>'[3]12нед'!G40</f>
        <v>0</v>
      </c>
      <c r="O340" s="41" t="str">
        <f>'[3]12нед'!H40</f>
        <v/>
      </c>
      <c r="P340" s="42"/>
    </row>
    <row r="341" ht="31.5" spans="1:16">
      <c r="A341" s="36"/>
      <c r="B341" s="37"/>
      <c r="C341" s="29" t="s">
        <v>21</v>
      </c>
      <c r="D341" s="38">
        <f>'[3]11нед'!C41</f>
        <v>0</v>
      </c>
      <c r="E341" s="39">
        <f>'[3]11нед'!D41</f>
        <v>0</v>
      </c>
      <c r="F341" s="40">
        <f>'[3]11нед'!G41</f>
        <v>0</v>
      </c>
      <c r="G341" s="41" t="str">
        <f>'[3]11нед'!H41</f>
        <v/>
      </c>
      <c r="H341" s="56"/>
      <c r="I341" s="43"/>
      <c r="J341" s="44"/>
      <c r="K341" s="29" t="s">
        <v>21</v>
      </c>
      <c r="L341" s="38">
        <f>'[3]12нед'!C41</f>
        <v>0</v>
      </c>
      <c r="M341" s="39">
        <f>'[3]12нед'!D41</f>
        <v>0</v>
      </c>
      <c r="N341" s="40">
        <f>'[3]12нед'!G41</f>
        <v>0</v>
      </c>
      <c r="O341" s="41" t="str">
        <f>'[3]12нед'!H41</f>
        <v/>
      </c>
      <c r="P341" s="56"/>
    </row>
    <row r="342" ht="32.25" spans="1:16">
      <c r="A342" s="36"/>
      <c r="B342" s="37"/>
      <c r="C342" s="29" t="s">
        <v>22</v>
      </c>
      <c r="D342" s="38">
        <f>'[3]11нед'!C42</f>
        <v>0</v>
      </c>
      <c r="E342" s="39">
        <f>'[3]11нед'!D42</f>
        <v>0</v>
      </c>
      <c r="F342" s="40">
        <f>'[3]11нед'!G42</f>
        <v>0</v>
      </c>
      <c r="G342" s="41" t="str">
        <f>'[3]11нед'!H42</f>
        <v/>
      </c>
      <c r="H342" s="56"/>
      <c r="I342" s="43"/>
      <c r="J342" s="44"/>
      <c r="K342" s="29" t="s">
        <v>22</v>
      </c>
      <c r="L342" s="38">
        <f>'[3]12нед'!C42</f>
        <v>0</v>
      </c>
      <c r="M342" s="39">
        <f>'[3]12нед'!D42</f>
        <v>0</v>
      </c>
      <c r="N342" s="40">
        <f>'[3]12нед'!G42</f>
        <v>0</v>
      </c>
      <c r="O342" s="41" t="str">
        <f>'[3]12нед'!H42</f>
        <v/>
      </c>
      <c r="P342" s="56"/>
    </row>
    <row r="343" ht="18.6" hidden="1" customHeight="1" spans="1:16">
      <c r="A343" s="45"/>
      <c r="B343" s="46"/>
      <c r="C343" s="47"/>
      <c r="D343" s="48">
        <f>'[3]11нед'!C43</f>
        <v>0</v>
      </c>
      <c r="E343" s="49">
        <f>'[3]11нед'!D43</f>
        <v>0</v>
      </c>
      <c r="F343" s="50">
        <f>'[3]11нед'!G43</f>
        <v>0</v>
      </c>
      <c r="G343" s="51" t="str">
        <f>'[3]11нед'!H43</f>
        <v/>
      </c>
      <c r="H343" s="52"/>
      <c r="I343" s="53"/>
      <c r="J343" s="54"/>
      <c r="K343" s="47"/>
      <c r="L343" s="48">
        <f>'[3]12нед'!C43</f>
        <v>0</v>
      </c>
      <c r="M343" s="49">
        <f>'[3]12нед'!D43</f>
        <v>0</v>
      </c>
      <c r="N343" s="50">
        <f>'[3]12нед'!G43</f>
        <v>0</v>
      </c>
      <c r="O343" s="51" t="str">
        <f>'[3]12нед'!H43</f>
        <v/>
      </c>
      <c r="P343" s="52"/>
    </row>
    <row r="344" ht="48" customHeight="1" spans="1:16">
      <c r="A344" s="27">
        <v>46339</v>
      </c>
      <c r="B344" s="28" t="s">
        <v>26</v>
      </c>
      <c r="C344" s="55" t="s">
        <v>16</v>
      </c>
      <c r="D344" s="30">
        <f>'[3]11нед'!C44</f>
        <v>0</v>
      </c>
      <c r="E344" s="31">
        <f>'[3]11нед'!D44</f>
        <v>0</v>
      </c>
      <c r="F344" s="32">
        <f>'[3]11нед'!G44</f>
        <v>0</v>
      </c>
      <c r="G344" s="33" t="str">
        <f>'[3]11нед'!H44</f>
        <v/>
      </c>
      <c r="H344" s="34"/>
      <c r="I344" s="27">
        <v>46346</v>
      </c>
      <c r="J344" s="35" t="s">
        <v>26</v>
      </c>
      <c r="K344" s="55" t="s">
        <v>16</v>
      </c>
      <c r="L344" s="30">
        <f>'[3]12нед'!C44</f>
        <v>0</v>
      </c>
      <c r="M344" s="31">
        <f>'[3]12нед'!D44</f>
        <v>0</v>
      </c>
      <c r="N344" s="32">
        <f>'[3]12нед'!G44</f>
        <v>0</v>
      </c>
      <c r="O344" s="33" t="str">
        <f>'[3]12нед'!H44</f>
        <v/>
      </c>
      <c r="P344" s="34"/>
    </row>
    <row r="345" ht="31.5" spans="1:16">
      <c r="A345" s="36"/>
      <c r="B345" s="37"/>
      <c r="C345" s="29" t="s">
        <v>17</v>
      </c>
      <c r="D345" s="38">
        <f>'[3]11нед'!C45</f>
        <v>0</v>
      </c>
      <c r="E345" s="39">
        <f>'[3]11нед'!D45</f>
        <v>0</v>
      </c>
      <c r="F345" s="40">
        <f>'[3]11нед'!G45</f>
        <v>0</v>
      </c>
      <c r="G345" s="41" t="str">
        <f>'[3]11нед'!H45</f>
        <v/>
      </c>
      <c r="H345" s="42"/>
      <c r="I345" s="43"/>
      <c r="J345" s="44"/>
      <c r="K345" s="29" t="s">
        <v>17</v>
      </c>
      <c r="L345" s="38">
        <f>'[3]12нед'!C45</f>
        <v>0</v>
      </c>
      <c r="M345" s="39">
        <f>'[3]12нед'!D45</f>
        <v>0</v>
      </c>
      <c r="N345" s="40">
        <f>'[3]12нед'!G45</f>
        <v>0</v>
      </c>
      <c r="O345" s="41" t="str">
        <f>'[3]12нед'!H45</f>
        <v/>
      </c>
      <c r="P345" s="42"/>
    </row>
    <row r="346" ht="31.5" spans="1:16">
      <c r="A346" s="36"/>
      <c r="B346" s="37"/>
      <c r="C346" s="29" t="s">
        <v>18</v>
      </c>
      <c r="D346" s="38">
        <f>'[3]11нед'!C46</f>
        <v>0</v>
      </c>
      <c r="E346" s="39">
        <f>'[3]11нед'!D46</f>
        <v>0</v>
      </c>
      <c r="F346" s="40">
        <f>'[3]11нед'!G46</f>
        <v>0</v>
      </c>
      <c r="G346" s="41" t="str">
        <f>'[3]11нед'!H46</f>
        <v/>
      </c>
      <c r="H346" s="42"/>
      <c r="I346" s="43"/>
      <c r="J346" s="44"/>
      <c r="K346" s="29" t="s">
        <v>18</v>
      </c>
      <c r="L346" s="38">
        <f>'[3]12нед'!C46</f>
        <v>0</v>
      </c>
      <c r="M346" s="39">
        <f>'[3]12нед'!D46</f>
        <v>0</v>
      </c>
      <c r="N346" s="40">
        <f>'[3]12нед'!G46</f>
        <v>0</v>
      </c>
      <c r="O346" s="41" t="str">
        <f>'[3]12нед'!H46</f>
        <v/>
      </c>
      <c r="P346" s="42"/>
    </row>
    <row r="347" ht="31.5" spans="1:16">
      <c r="A347" s="36"/>
      <c r="B347" s="37"/>
      <c r="C347" s="29" t="s">
        <v>19</v>
      </c>
      <c r="D347" s="38">
        <f>'[3]11нед'!C47</f>
        <v>0</v>
      </c>
      <c r="E347" s="39">
        <f>'[3]11нед'!D47</f>
        <v>0</v>
      </c>
      <c r="F347" s="40">
        <f>'[3]11нед'!G47</f>
        <v>0</v>
      </c>
      <c r="G347" s="41" t="str">
        <f>'[3]11нед'!H47</f>
        <v/>
      </c>
      <c r="H347" s="42"/>
      <c r="I347" s="43"/>
      <c r="J347" s="44"/>
      <c r="K347" s="29" t="s">
        <v>19</v>
      </c>
      <c r="L347" s="38">
        <f>'[3]12нед'!C47</f>
        <v>0</v>
      </c>
      <c r="M347" s="39">
        <f>'[3]12нед'!D47</f>
        <v>0</v>
      </c>
      <c r="N347" s="40">
        <f>'[3]12нед'!G47</f>
        <v>0</v>
      </c>
      <c r="O347" s="41" t="str">
        <f>'[3]12нед'!H47</f>
        <v/>
      </c>
      <c r="P347" s="42"/>
    </row>
    <row r="348" ht="31.5" spans="1:16">
      <c r="A348" s="36"/>
      <c r="B348" s="37"/>
      <c r="C348" s="29" t="s">
        <v>20</v>
      </c>
      <c r="D348" s="38">
        <f>'[3]11нед'!C48</f>
        <v>0</v>
      </c>
      <c r="E348" s="39">
        <f>'[3]11нед'!D48</f>
        <v>0</v>
      </c>
      <c r="F348" s="40">
        <f>'[3]11нед'!G48</f>
        <v>0</v>
      </c>
      <c r="G348" s="41" t="str">
        <f>'[3]11нед'!H48</f>
        <v/>
      </c>
      <c r="H348" s="42"/>
      <c r="I348" s="43"/>
      <c r="J348" s="44"/>
      <c r="K348" s="29" t="s">
        <v>20</v>
      </c>
      <c r="L348" s="38">
        <f>'[3]12нед'!C48</f>
        <v>0</v>
      </c>
      <c r="M348" s="39">
        <f>'[3]12нед'!D48</f>
        <v>0</v>
      </c>
      <c r="N348" s="40">
        <f>'[3]12нед'!G48</f>
        <v>0</v>
      </c>
      <c r="O348" s="41" t="str">
        <f>'[3]12нед'!H48</f>
        <v/>
      </c>
      <c r="P348" s="42"/>
    </row>
    <row r="349" ht="31.5" spans="1:16">
      <c r="A349" s="36"/>
      <c r="B349" s="37"/>
      <c r="C349" s="29" t="s">
        <v>21</v>
      </c>
      <c r="D349" s="38">
        <f>'[3]11нед'!C49</f>
        <v>0</v>
      </c>
      <c r="E349" s="39">
        <f>'[3]11нед'!D49</f>
        <v>0</v>
      </c>
      <c r="F349" s="40">
        <f>'[3]11нед'!G49</f>
        <v>0</v>
      </c>
      <c r="G349" s="41" t="str">
        <f>'[3]11нед'!H49</f>
        <v/>
      </c>
      <c r="H349" s="42"/>
      <c r="I349" s="43"/>
      <c r="J349" s="44"/>
      <c r="K349" s="29" t="s">
        <v>21</v>
      </c>
      <c r="L349" s="38">
        <f>'[3]12нед'!C49</f>
        <v>0</v>
      </c>
      <c r="M349" s="39">
        <f>'[3]12нед'!D49</f>
        <v>0</v>
      </c>
      <c r="N349" s="40">
        <f>'[3]12нед'!G49</f>
        <v>0</v>
      </c>
      <c r="O349" s="41" t="str">
        <f>'[3]12нед'!H49</f>
        <v/>
      </c>
      <c r="P349" s="42"/>
    </row>
    <row r="350" ht="32.25" spans="1:16">
      <c r="A350" s="36"/>
      <c r="B350" s="37"/>
      <c r="C350" s="29" t="s">
        <v>22</v>
      </c>
      <c r="D350" s="38">
        <f>'[3]11нед'!C50</f>
        <v>0</v>
      </c>
      <c r="E350" s="39">
        <f>'[3]11нед'!D50</f>
        <v>0</v>
      </c>
      <c r="F350" s="40">
        <f>'[3]11нед'!G50</f>
        <v>0</v>
      </c>
      <c r="G350" s="41" t="str">
        <f>'[3]11нед'!H50</f>
        <v/>
      </c>
      <c r="H350" s="42"/>
      <c r="I350" s="43"/>
      <c r="J350" s="44"/>
      <c r="K350" s="29" t="s">
        <v>22</v>
      </c>
      <c r="L350" s="38">
        <f>'[3]12нед'!C50</f>
        <v>0</v>
      </c>
      <c r="M350" s="39">
        <f>'[3]12нед'!D50</f>
        <v>0</v>
      </c>
      <c r="N350" s="40">
        <f>'[3]12нед'!G50</f>
        <v>0</v>
      </c>
      <c r="O350" s="41" t="str">
        <f>'[3]12нед'!H50</f>
        <v/>
      </c>
      <c r="P350" s="42"/>
    </row>
    <row r="351" ht="18.6" hidden="1" customHeight="1" spans="1:16">
      <c r="A351" s="45"/>
      <c r="B351" s="46"/>
      <c r="C351" s="47"/>
      <c r="D351" s="48">
        <f>'[3]11нед'!C51</f>
        <v>0</v>
      </c>
      <c r="E351" s="49">
        <f>'[3]11нед'!D51</f>
        <v>0</v>
      </c>
      <c r="F351" s="50">
        <f>'[3]11нед'!G51</f>
        <v>0</v>
      </c>
      <c r="G351" s="51" t="str">
        <f>'[3]11нед'!H51</f>
        <v/>
      </c>
      <c r="H351" s="52"/>
      <c r="I351" s="53"/>
      <c r="J351" s="54"/>
      <c r="K351" s="47"/>
      <c r="L351" s="48">
        <f>'[3]12нед'!C51</f>
        <v>0</v>
      </c>
      <c r="M351" s="49">
        <f>'[3]12нед'!D51</f>
        <v>0</v>
      </c>
      <c r="N351" s="50">
        <f>'[3]12нед'!G51</f>
        <v>0</v>
      </c>
      <c r="O351" s="51" t="str">
        <f>'[3]12нед'!H51</f>
        <v/>
      </c>
      <c r="P351" s="52"/>
    </row>
    <row r="352" ht="48" customHeight="1" spans="1:16">
      <c r="A352" s="27">
        <v>46340</v>
      </c>
      <c r="B352" s="28" t="s">
        <v>27</v>
      </c>
      <c r="C352" s="55" t="s">
        <v>16</v>
      </c>
      <c r="D352" s="30">
        <f>'[3]11нед'!C52</f>
        <v>0</v>
      </c>
      <c r="E352" s="31">
        <f>'[3]11нед'!D52</f>
        <v>0</v>
      </c>
      <c r="F352" s="32">
        <f>'[3]11нед'!G52</f>
        <v>0</v>
      </c>
      <c r="G352" s="33" t="str">
        <f>'[3]11нед'!H52</f>
        <v/>
      </c>
      <c r="H352" s="34"/>
      <c r="I352" s="27">
        <v>46347</v>
      </c>
      <c r="J352" s="35" t="s">
        <v>27</v>
      </c>
      <c r="K352" s="55" t="s">
        <v>16</v>
      </c>
      <c r="L352" s="30">
        <f>'[3]12нед'!C52</f>
        <v>0</v>
      </c>
      <c r="M352" s="31">
        <f>'[3]12нед'!D52</f>
        <v>0</v>
      </c>
      <c r="N352" s="32">
        <f>'[3]12нед'!G52</f>
        <v>0</v>
      </c>
      <c r="O352" s="33" t="str">
        <f>'[3]12нед'!H52</f>
        <v/>
      </c>
      <c r="P352" s="34"/>
    </row>
    <row r="353" ht="31.5" spans="1:16">
      <c r="A353" s="36"/>
      <c r="B353" s="37"/>
      <c r="C353" s="29" t="s">
        <v>17</v>
      </c>
      <c r="D353" s="38">
        <f>'[3]11нед'!C53</f>
        <v>0</v>
      </c>
      <c r="E353" s="39">
        <f>'[3]11нед'!D53</f>
        <v>0</v>
      </c>
      <c r="F353" s="40">
        <f>'[3]11нед'!G53</f>
        <v>0</v>
      </c>
      <c r="G353" s="41" t="str">
        <f>'[3]11нед'!H53</f>
        <v/>
      </c>
      <c r="H353" s="42"/>
      <c r="I353" s="43"/>
      <c r="J353" s="44"/>
      <c r="K353" s="29" t="s">
        <v>17</v>
      </c>
      <c r="L353" s="38">
        <f>'[3]12нед'!C53</f>
        <v>0</v>
      </c>
      <c r="M353" s="39">
        <f>'[3]12нед'!D53</f>
        <v>0</v>
      </c>
      <c r="N353" s="40">
        <f>'[3]12нед'!G53</f>
        <v>0</v>
      </c>
      <c r="O353" s="41" t="str">
        <f>'[3]12нед'!H53</f>
        <v/>
      </c>
      <c r="P353" s="42"/>
    </row>
    <row r="354" ht="31.5" spans="1:16">
      <c r="A354" s="36"/>
      <c r="B354" s="37"/>
      <c r="C354" s="29" t="s">
        <v>18</v>
      </c>
      <c r="D354" s="38">
        <f>'[3]11нед'!C54</f>
        <v>0</v>
      </c>
      <c r="E354" s="39">
        <f>'[3]11нед'!D54</f>
        <v>0</v>
      </c>
      <c r="F354" s="40">
        <f>'[3]11нед'!G54</f>
        <v>0</v>
      </c>
      <c r="G354" s="41" t="str">
        <f>'[3]11нед'!H54</f>
        <v/>
      </c>
      <c r="H354" s="42"/>
      <c r="I354" s="43"/>
      <c r="J354" s="44"/>
      <c r="K354" s="29" t="s">
        <v>18</v>
      </c>
      <c r="L354" s="38">
        <f>'[3]12нед'!C54</f>
        <v>0</v>
      </c>
      <c r="M354" s="39">
        <f>'[3]12нед'!D54</f>
        <v>0</v>
      </c>
      <c r="N354" s="40">
        <f>'[3]12нед'!G54</f>
        <v>0</v>
      </c>
      <c r="O354" s="41" t="str">
        <f>'[3]12нед'!H54</f>
        <v/>
      </c>
      <c r="P354" s="42"/>
    </row>
    <row r="355" ht="31.5" spans="1:16">
      <c r="A355" s="36"/>
      <c r="B355" s="37"/>
      <c r="C355" s="29" t="s">
        <v>19</v>
      </c>
      <c r="D355" s="38">
        <f>'[3]11нед'!C55</f>
        <v>0</v>
      </c>
      <c r="E355" s="39">
        <f>'[3]11нед'!D55</f>
        <v>0</v>
      </c>
      <c r="F355" s="40">
        <f>'[3]11нед'!G55</f>
        <v>0</v>
      </c>
      <c r="G355" s="41" t="str">
        <f>'[3]11нед'!H55</f>
        <v/>
      </c>
      <c r="H355" s="42"/>
      <c r="I355" s="43"/>
      <c r="J355" s="44"/>
      <c r="K355" s="29" t="s">
        <v>19</v>
      </c>
      <c r="L355" s="38">
        <f>'[3]12нед'!C55</f>
        <v>0</v>
      </c>
      <c r="M355" s="39">
        <f>'[3]12нед'!D55</f>
        <v>0</v>
      </c>
      <c r="N355" s="40">
        <f>'[3]12нед'!G55</f>
        <v>0</v>
      </c>
      <c r="O355" s="41" t="str">
        <f>'[3]12нед'!H55</f>
        <v/>
      </c>
      <c r="P355" s="42"/>
    </row>
    <row r="356" ht="31.5" spans="1:16">
      <c r="A356" s="36"/>
      <c r="B356" s="37"/>
      <c r="C356" s="29" t="s">
        <v>20</v>
      </c>
      <c r="D356" s="38">
        <f>'[3]11нед'!C56</f>
        <v>0</v>
      </c>
      <c r="E356" s="39">
        <f>'[3]11нед'!D56</f>
        <v>0</v>
      </c>
      <c r="F356" s="40">
        <f>'[3]11нед'!G56</f>
        <v>0</v>
      </c>
      <c r="G356" s="41" t="str">
        <f>'[3]11нед'!H56</f>
        <v/>
      </c>
      <c r="H356" s="42"/>
      <c r="I356" s="43"/>
      <c r="J356" s="44"/>
      <c r="K356" s="29" t="s">
        <v>20</v>
      </c>
      <c r="L356" s="38">
        <f>'[3]12нед'!C56</f>
        <v>0</v>
      </c>
      <c r="M356" s="39">
        <f>'[3]12нед'!D56</f>
        <v>0</v>
      </c>
      <c r="N356" s="40">
        <f>'[3]12нед'!G56</f>
        <v>0</v>
      </c>
      <c r="O356" s="41" t="str">
        <f>'[3]12нед'!H56</f>
        <v/>
      </c>
      <c r="P356" s="42"/>
    </row>
    <row r="357" ht="31.5" spans="1:16">
      <c r="A357" s="36"/>
      <c r="B357" s="37"/>
      <c r="C357" s="29" t="s">
        <v>21</v>
      </c>
      <c r="D357" s="38">
        <f>'[3]11нед'!C57</f>
        <v>0</v>
      </c>
      <c r="E357" s="39">
        <f>'[3]11нед'!D57</f>
        <v>0</v>
      </c>
      <c r="F357" s="40">
        <f>'[3]11нед'!G57</f>
        <v>0</v>
      </c>
      <c r="G357" s="41" t="str">
        <f>'[3]11нед'!H57</f>
        <v/>
      </c>
      <c r="H357" s="42"/>
      <c r="I357" s="43"/>
      <c r="J357" s="44"/>
      <c r="K357" s="29" t="s">
        <v>21</v>
      </c>
      <c r="L357" s="38">
        <f>'[3]12нед'!C57</f>
        <v>0</v>
      </c>
      <c r="M357" s="39">
        <f>'[3]12нед'!D57</f>
        <v>0</v>
      </c>
      <c r="N357" s="40">
        <f>'[3]12нед'!G57</f>
        <v>0</v>
      </c>
      <c r="O357" s="41" t="str">
        <f>'[3]12нед'!H57</f>
        <v/>
      </c>
      <c r="P357" s="42"/>
    </row>
    <row r="358" ht="32.25" spans="1:16">
      <c r="A358" s="36"/>
      <c r="B358" s="37"/>
      <c r="C358" s="29" t="s">
        <v>22</v>
      </c>
      <c r="D358" s="38">
        <f>'[3]11нед'!C58</f>
        <v>0</v>
      </c>
      <c r="E358" s="39">
        <f>'[3]11нед'!D58</f>
        <v>0</v>
      </c>
      <c r="F358" s="40">
        <f>'[3]11нед'!G58</f>
        <v>0</v>
      </c>
      <c r="G358" s="41" t="str">
        <f>'[3]11нед'!H58</f>
        <v/>
      </c>
      <c r="H358" s="42"/>
      <c r="I358" s="43"/>
      <c r="J358" s="44"/>
      <c r="K358" s="29" t="s">
        <v>22</v>
      </c>
      <c r="L358" s="38">
        <f>'[3]12нед'!C58</f>
        <v>0</v>
      </c>
      <c r="M358" s="39">
        <f>'[3]12нед'!D58</f>
        <v>0</v>
      </c>
      <c r="N358" s="40">
        <f>'[3]12нед'!G58</f>
        <v>0</v>
      </c>
      <c r="O358" s="41" t="str">
        <f>'[3]12нед'!H58</f>
        <v/>
      </c>
      <c r="P358" s="42"/>
    </row>
    <row r="359" ht="18.6" hidden="1" customHeight="1" spans="1:16">
      <c r="A359" s="45"/>
      <c r="B359" s="46"/>
      <c r="C359" s="47"/>
      <c r="D359" s="48">
        <f>'[3]11нед'!C59</f>
        <v>0</v>
      </c>
      <c r="E359" s="49">
        <f>'[3]11нед'!D59</f>
        <v>0</v>
      </c>
      <c r="F359" s="50">
        <f>'[3]11нед'!G59</f>
        <v>0</v>
      </c>
      <c r="G359" s="51" t="str">
        <f>'[3]11нед'!H59</f>
        <v/>
      </c>
      <c r="H359" s="52"/>
      <c r="I359" s="53"/>
      <c r="J359" s="54"/>
      <c r="K359" s="47"/>
      <c r="L359" s="48">
        <f>'[3]12нед'!C59</f>
        <v>0</v>
      </c>
      <c r="M359" s="49">
        <f>'[3]12нед'!D59</f>
        <v>0</v>
      </c>
      <c r="N359" s="50">
        <f>'[3]12нед'!G59</f>
        <v>0</v>
      </c>
      <c r="O359" s="51" t="str">
        <f>'[3]11нед'!H59</f>
        <v/>
      </c>
      <c r="P359" s="52"/>
    </row>
    <row r="360" ht="39" customHeight="1" spans="1:16">
      <c r="A360" s="64"/>
      <c r="B360" s="65"/>
      <c r="C360" s="66"/>
      <c r="D360" s="67"/>
      <c r="E360" s="67" t="s">
        <v>28</v>
      </c>
      <c r="F360" s="67"/>
      <c r="G360" s="68" t="s">
        <v>29</v>
      </c>
      <c r="H360" s="69"/>
      <c r="I360" s="64"/>
      <c r="J360" s="65"/>
      <c r="K360" s="66"/>
      <c r="L360" s="67"/>
      <c r="M360" s="67" t="s">
        <v>28</v>
      </c>
      <c r="N360" s="67"/>
      <c r="O360" s="68" t="s">
        <v>29</v>
      </c>
      <c r="P360" s="69"/>
    </row>
    <row r="361" ht="15.75" spans="1:16">
      <c r="A361" s="2"/>
      <c r="B361" s="3"/>
      <c r="C361" s="4"/>
      <c r="D361" s="5"/>
      <c r="E361" s="5"/>
      <c r="F361" s="5"/>
      <c r="G361" s="5"/>
      <c r="H361" s="6" t="s">
        <v>0</v>
      </c>
      <c r="I361" s="2"/>
      <c r="J361" s="3"/>
      <c r="K361" s="4"/>
      <c r="L361" s="5"/>
      <c r="M361" s="5"/>
      <c r="N361" s="5"/>
      <c r="O361" s="5"/>
      <c r="P361" s="6" t="s">
        <v>0</v>
      </c>
    </row>
    <row r="362" ht="15.75" spans="1:16">
      <c r="A362" s="2"/>
      <c r="B362" s="3"/>
      <c r="C362" s="4"/>
      <c r="D362" s="5"/>
      <c r="E362" s="5"/>
      <c r="F362" s="5"/>
      <c r="G362" s="5"/>
      <c r="H362" s="6" t="s">
        <v>1</v>
      </c>
      <c r="I362" s="2"/>
      <c r="J362" s="3"/>
      <c r="K362" s="4"/>
      <c r="L362" s="5"/>
      <c r="M362" s="5"/>
      <c r="N362" s="5"/>
      <c r="O362" s="5"/>
      <c r="P362" s="6" t="s">
        <v>1</v>
      </c>
    </row>
    <row r="363" ht="15.75" spans="1:16">
      <c r="A363" s="2"/>
      <c r="B363" s="3"/>
      <c r="C363" s="4"/>
      <c r="D363" s="5"/>
      <c r="E363" s="5"/>
      <c r="F363" s="5"/>
      <c r="G363" s="5"/>
      <c r="H363" s="6" t="s">
        <v>2</v>
      </c>
      <c r="I363" s="2"/>
      <c r="J363" s="3"/>
      <c r="K363" s="4"/>
      <c r="L363" s="5"/>
      <c r="M363" s="5"/>
      <c r="N363" s="5"/>
      <c r="O363" s="5"/>
      <c r="P363" s="6" t="s">
        <v>2</v>
      </c>
    </row>
    <row r="364" ht="15.75" spans="1:16">
      <c r="A364" s="2"/>
      <c r="B364" s="3"/>
      <c r="C364" s="4"/>
      <c r="D364" s="5"/>
      <c r="E364" s="5"/>
      <c r="F364" s="5"/>
      <c r="G364" s="5"/>
      <c r="H364" s="6" t="s">
        <v>3</v>
      </c>
      <c r="I364" s="2"/>
      <c r="J364" s="3"/>
      <c r="K364" s="4"/>
      <c r="L364" s="5"/>
      <c r="M364" s="5"/>
      <c r="N364" s="5"/>
      <c r="O364" s="5"/>
      <c r="P364" s="6" t="s">
        <v>3</v>
      </c>
    </row>
    <row r="365" ht="15.75" spans="1:16">
      <c r="A365" s="2"/>
      <c r="B365" s="7"/>
      <c r="C365" s="4"/>
      <c r="D365" s="5"/>
      <c r="E365" s="5"/>
      <c r="F365" s="5"/>
      <c r="G365" s="5"/>
      <c r="H365" s="5"/>
      <c r="I365" s="2"/>
      <c r="J365" s="7"/>
      <c r="K365" s="4"/>
      <c r="L365" s="5"/>
      <c r="M365" s="5"/>
      <c r="N365" s="5"/>
      <c r="O365" s="5"/>
      <c r="P365" s="5"/>
    </row>
    <row r="366" ht="15.75" spans="1:16">
      <c r="A366" s="2"/>
      <c r="B366" s="8" t="s">
        <v>4</v>
      </c>
      <c r="C366" s="8"/>
      <c r="D366" s="8"/>
      <c r="E366" s="8"/>
      <c r="F366" s="8"/>
      <c r="G366" s="8"/>
      <c r="H366" s="8"/>
      <c r="I366" s="2"/>
      <c r="J366" s="8" t="s">
        <v>4</v>
      </c>
      <c r="K366" s="8"/>
      <c r="L366" s="8"/>
      <c r="M366" s="8"/>
      <c r="N366" s="8"/>
      <c r="O366" s="8"/>
      <c r="P366" s="8"/>
    </row>
    <row r="367" ht="15.75" spans="1:16">
      <c r="A367" s="9"/>
      <c r="B367" s="10" t="str">
        <f>'[1]1нед'!$A$6</f>
        <v>Направление подготовки:</v>
      </c>
      <c r="C367" s="11"/>
      <c r="D367" s="12"/>
      <c r="E367" s="13" t="str">
        <f>E7</f>
        <v>00</v>
      </c>
      <c r="F367" s="12"/>
      <c r="G367" s="12">
        <f>G7</f>
        <v>0</v>
      </c>
      <c r="H367" s="14"/>
      <c r="I367" s="9"/>
      <c r="J367" s="10" t="str">
        <f>'[1]1нед'!$A$6</f>
        <v>Направление подготовки:</v>
      </c>
      <c r="K367" s="11"/>
      <c r="L367" s="12"/>
      <c r="M367" s="13" t="str">
        <f>E7</f>
        <v>00</v>
      </c>
      <c r="N367" s="12"/>
      <c r="O367" s="12">
        <f>G7</f>
        <v>0</v>
      </c>
      <c r="P367" s="14"/>
    </row>
    <row r="368" ht="15.75" spans="1:16">
      <c r="A368" s="2"/>
      <c r="B368" s="10" t="s">
        <v>5</v>
      </c>
      <c r="C368" s="10"/>
      <c r="D368" s="10"/>
      <c r="E368" s="10" t="str">
        <f t="shared" ref="E368:E369" si="4">E8</f>
        <v>очная</v>
      </c>
      <c r="F368" s="10"/>
      <c r="G368" s="10"/>
      <c r="H368" s="10"/>
      <c r="I368" s="2"/>
      <c r="J368" s="10" t="s">
        <v>5</v>
      </c>
      <c r="K368" s="10"/>
      <c r="L368" s="10"/>
      <c r="M368" s="10" t="str">
        <f t="shared" ref="M368:M369" si="5">E8</f>
        <v>очная</v>
      </c>
      <c r="N368" s="10"/>
      <c r="O368" s="10"/>
      <c r="P368" s="10"/>
    </row>
    <row r="369" ht="15.75" spans="1:16">
      <c r="A369" s="2"/>
      <c r="B369" s="10" t="s">
        <v>7</v>
      </c>
      <c r="C369" s="10"/>
      <c r="D369" s="10"/>
      <c r="E369" s="10">
        <f t="shared" si="4"/>
        <v>1</v>
      </c>
      <c r="F369" s="10"/>
      <c r="G369" s="10"/>
      <c r="H369" s="15"/>
      <c r="I369" s="2"/>
      <c r="J369" s="10" t="s">
        <v>7</v>
      </c>
      <c r="K369" s="10"/>
      <c r="L369" s="10"/>
      <c r="M369" s="10">
        <f t="shared" si="5"/>
        <v>1</v>
      </c>
      <c r="N369" s="10"/>
      <c r="O369" s="10"/>
      <c r="P369" s="15"/>
    </row>
    <row r="370" ht="16.5" spans="1:16">
      <c r="A370" s="2"/>
      <c r="B370" s="16" t="s">
        <v>8</v>
      </c>
      <c r="C370" s="16"/>
      <c r="D370" s="16"/>
      <c r="E370" s="16">
        <f>M310+1</f>
        <v>13</v>
      </c>
      <c r="F370" s="16"/>
      <c r="G370" s="16"/>
      <c r="H370" s="17"/>
      <c r="I370" s="2"/>
      <c r="J370" s="16" t="s">
        <v>8</v>
      </c>
      <c r="K370" s="16"/>
      <c r="L370" s="16"/>
      <c r="M370" s="16">
        <f>E370+1</f>
        <v>14</v>
      </c>
      <c r="N370" s="16"/>
      <c r="O370" s="16"/>
      <c r="P370" s="17"/>
    </row>
    <row r="371" ht="46.5" customHeight="1" spans="1:16">
      <c r="A371" s="19" t="s">
        <v>9</v>
      </c>
      <c r="B371" s="20"/>
      <c r="C371" s="21" t="s">
        <v>10</v>
      </c>
      <c r="D371" s="22" t="s">
        <v>11</v>
      </c>
      <c r="E371" s="23" t="s">
        <v>12</v>
      </c>
      <c r="F371" s="24" t="s">
        <v>13</v>
      </c>
      <c r="G371" s="25"/>
      <c r="H371" s="26" t="s">
        <v>14</v>
      </c>
      <c r="I371" s="19" t="s">
        <v>9</v>
      </c>
      <c r="J371" s="20"/>
      <c r="K371" s="21" t="s">
        <v>10</v>
      </c>
      <c r="L371" s="22" t="s">
        <v>11</v>
      </c>
      <c r="M371" s="23" t="s">
        <v>12</v>
      </c>
      <c r="N371" s="24" t="s">
        <v>13</v>
      </c>
      <c r="O371" s="25"/>
      <c r="P371" s="26" t="s">
        <v>14</v>
      </c>
    </row>
    <row r="372" ht="32.25" customHeight="1" spans="1:16">
      <c r="A372" s="27">
        <v>46349</v>
      </c>
      <c r="B372" s="28" t="s">
        <v>15</v>
      </c>
      <c r="C372" s="29" t="s">
        <v>16</v>
      </c>
      <c r="D372" s="30">
        <f>'[3]13нед'!C12</f>
        <v>0</v>
      </c>
      <c r="E372" s="31">
        <f>'[3]13нед'!D12</f>
        <v>0</v>
      </c>
      <c r="F372" s="32">
        <f>'[3]13нед'!G12</f>
        <v>0</v>
      </c>
      <c r="G372" s="33" t="str">
        <f>'[3]13нед'!H12</f>
        <v/>
      </c>
      <c r="H372" s="34"/>
      <c r="I372" s="27">
        <v>46356</v>
      </c>
      <c r="J372" s="35" t="s">
        <v>15</v>
      </c>
      <c r="K372" s="29" t="s">
        <v>16</v>
      </c>
      <c r="L372" s="30">
        <f>'[4]14нед'!C12</f>
        <v>0</v>
      </c>
      <c r="M372" s="31">
        <f>'[4]14нед'!D12</f>
        <v>0</v>
      </c>
      <c r="N372" s="32">
        <f>'[4]14нед'!G12</f>
        <v>0</v>
      </c>
      <c r="O372" s="33" t="str">
        <f>'[4]14нед'!H12</f>
        <v/>
      </c>
      <c r="P372" s="34"/>
    </row>
    <row r="373" ht="31.5" spans="1:16">
      <c r="A373" s="36"/>
      <c r="B373" s="37"/>
      <c r="C373" s="29" t="s">
        <v>17</v>
      </c>
      <c r="D373" s="38">
        <f>'[3]13нед'!C13</f>
        <v>0</v>
      </c>
      <c r="E373" s="39">
        <f>'[3]13нед'!D13</f>
        <v>0</v>
      </c>
      <c r="F373" s="40">
        <f>'[3]13нед'!G13</f>
        <v>0</v>
      </c>
      <c r="G373" s="41" t="str">
        <f>'[3]13нед'!H13</f>
        <v/>
      </c>
      <c r="H373" s="42"/>
      <c r="I373" s="43"/>
      <c r="J373" s="44"/>
      <c r="K373" s="29" t="s">
        <v>17</v>
      </c>
      <c r="L373" s="38">
        <f>'[4]14нед'!C13</f>
        <v>0</v>
      </c>
      <c r="M373" s="39">
        <f>'[4]14нед'!D13</f>
        <v>0</v>
      </c>
      <c r="N373" s="40">
        <f>'[4]14нед'!G13</f>
        <v>0</v>
      </c>
      <c r="O373" s="41" t="str">
        <f>'[4]14нед'!H13</f>
        <v/>
      </c>
      <c r="P373" s="42"/>
    </row>
    <row r="374" ht="31.5" spans="1:16">
      <c r="A374" s="36"/>
      <c r="B374" s="37"/>
      <c r="C374" s="29" t="s">
        <v>18</v>
      </c>
      <c r="D374" s="38">
        <f>'[3]13нед'!C14</f>
        <v>0</v>
      </c>
      <c r="E374" s="39">
        <f>'[3]13нед'!D14</f>
        <v>0</v>
      </c>
      <c r="F374" s="40">
        <f>'[3]13нед'!G14</f>
        <v>0</v>
      </c>
      <c r="G374" s="41" t="str">
        <f>'[3]13нед'!H14</f>
        <v/>
      </c>
      <c r="H374" s="42"/>
      <c r="I374" s="43"/>
      <c r="J374" s="44"/>
      <c r="K374" s="29" t="s">
        <v>18</v>
      </c>
      <c r="L374" s="38">
        <f>'[4]14нед'!C14</f>
        <v>0</v>
      </c>
      <c r="M374" s="39">
        <f>'[4]14нед'!D14</f>
        <v>0</v>
      </c>
      <c r="N374" s="40">
        <f>'[4]14нед'!G14</f>
        <v>0</v>
      </c>
      <c r="O374" s="41" t="str">
        <f>'[4]14нед'!H14</f>
        <v/>
      </c>
      <c r="P374" s="42"/>
    </row>
    <row r="375" ht="31.5" spans="1:16">
      <c r="A375" s="36"/>
      <c r="B375" s="37"/>
      <c r="C375" s="29" t="s">
        <v>19</v>
      </c>
      <c r="D375" s="38">
        <f>'[3]13нед'!C15</f>
        <v>0</v>
      </c>
      <c r="E375" s="39">
        <f>'[3]13нед'!D15</f>
        <v>0</v>
      </c>
      <c r="F375" s="40">
        <f>'[3]13нед'!G15</f>
        <v>0</v>
      </c>
      <c r="G375" s="41" t="str">
        <f>'[3]13нед'!H15</f>
        <v/>
      </c>
      <c r="H375" s="42"/>
      <c r="I375" s="43"/>
      <c r="J375" s="44"/>
      <c r="K375" s="29" t="s">
        <v>19</v>
      </c>
      <c r="L375" s="38">
        <f>'[4]14нед'!C15</f>
        <v>0</v>
      </c>
      <c r="M375" s="39">
        <f>'[4]14нед'!D15</f>
        <v>0</v>
      </c>
      <c r="N375" s="40">
        <f>'[4]14нед'!G15</f>
        <v>0</v>
      </c>
      <c r="O375" s="41" t="str">
        <f>'[4]14нед'!H15</f>
        <v/>
      </c>
      <c r="P375" s="42"/>
    </row>
    <row r="376" ht="31.5" spans="1:16">
      <c r="A376" s="36"/>
      <c r="B376" s="37"/>
      <c r="C376" s="29" t="s">
        <v>20</v>
      </c>
      <c r="D376" s="38">
        <f>'[3]13нед'!C16</f>
        <v>0</v>
      </c>
      <c r="E376" s="39">
        <f>'[3]13нед'!D16</f>
        <v>0</v>
      </c>
      <c r="F376" s="40">
        <f>'[3]13нед'!G16</f>
        <v>0</v>
      </c>
      <c r="G376" s="41" t="str">
        <f>'[3]13нед'!H16</f>
        <v/>
      </c>
      <c r="H376" s="42"/>
      <c r="I376" s="43"/>
      <c r="J376" s="44"/>
      <c r="K376" s="29" t="s">
        <v>20</v>
      </c>
      <c r="L376" s="38">
        <f>'[4]14нед'!C16</f>
        <v>0</v>
      </c>
      <c r="M376" s="39">
        <f>'[4]14нед'!D16</f>
        <v>0</v>
      </c>
      <c r="N376" s="40">
        <f>'[4]14нед'!G16</f>
        <v>0</v>
      </c>
      <c r="O376" s="41" t="str">
        <f>'[4]14нед'!H16</f>
        <v/>
      </c>
      <c r="P376" s="42"/>
    </row>
    <row r="377" ht="31.5" spans="1:16">
      <c r="A377" s="36"/>
      <c r="B377" s="37"/>
      <c r="C377" s="29" t="s">
        <v>21</v>
      </c>
      <c r="D377" s="38">
        <f>'[3]13нед'!C17</f>
        <v>0</v>
      </c>
      <c r="E377" s="39">
        <f>'[3]13нед'!D17</f>
        <v>0</v>
      </c>
      <c r="F377" s="40">
        <f>'[3]13нед'!G17</f>
        <v>0</v>
      </c>
      <c r="G377" s="41" t="str">
        <f>'[3]13нед'!H17</f>
        <v/>
      </c>
      <c r="H377" s="56"/>
      <c r="I377" s="43"/>
      <c r="J377" s="44"/>
      <c r="K377" s="29" t="s">
        <v>21</v>
      </c>
      <c r="L377" s="38">
        <f>'[4]14нед'!C17</f>
        <v>0</v>
      </c>
      <c r="M377" s="39">
        <f>'[4]14нед'!D17</f>
        <v>0</v>
      </c>
      <c r="N377" s="40">
        <f>'[4]14нед'!G17</f>
        <v>0</v>
      </c>
      <c r="O377" s="41" t="str">
        <f>'[4]14нед'!H17</f>
        <v/>
      </c>
      <c r="P377" s="56"/>
    </row>
    <row r="378" ht="32.25" spans="1:16">
      <c r="A378" s="36"/>
      <c r="B378" s="37"/>
      <c r="C378" s="29" t="s">
        <v>22</v>
      </c>
      <c r="D378" s="38">
        <f>'[3]13нед'!C18</f>
        <v>0</v>
      </c>
      <c r="E378" s="39">
        <f>'[3]13нед'!D18</f>
        <v>0</v>
      </c>
      <c r="F378" s="40">
        <f>'[3]13нед'!G18</f>
        <v>0</v>
      </c>
      <c r="G378" s="41" t="str">
        <f>'[3]13нед'!H18</f>
        <v/>
      </c>
      <c r="H378" s="56"/>
      <c r="I378" s="43"/>
      <c r="J378" s="44"/>
      <c r="K378" s="29" t="s">
        <v>22</v>
      </c>
      <c r="L378" s="38">
        <f>'[4]14нед'!C18</f>
        <v>0</v>
      </c>
      <c r="M378" s="39">
        <f>'[4]14нед'!D18</f>
        <v>0</v>
      </c>
      <c r="N378" s="40">
        <f>'[4]14нед'!G18</f>
        <v>0</v>
      </c>
      <c r="O378" s="41" t="str">
        <f>'[4]14нед'!H18</f>
        <v/>
      </c>
      <c r="P378" s="56"/>
    </row>
    <row r="379" ht="18.4" hidden="1" customHeight="1" spans="1:16">
      <c r="A379" s="45"/>
      <c r="B379" s="46"/>
      <c r="C379" s="47"/>
      <c r="D379" s="48">
        <f>'[3]13нед'!C19</f>
        <v>0</v>
      </c>
      <c r="E379" s="49">
        <f>'[3]13нед'!D19</f>
        <v>0</v>
      </c>
      <c r="F379" s="50">
        <f>'[3]13нед'!G19</f>
        <v>0</v>
      </c>
      <c r="G379" s="51" t="str">
        <f>'[3]13нед'!H19</f>
        <v/>
      </c>
      <c r="H379" s="52"/>
      <c r="I379" s="53"/>
      <c r="J379" s="54"/>
      <c r="K379" s="47"/>
      <c r="L379" s="48">
        <f>'[4]14нед'!C19</f>
        <v>0</v>
      </c>
      <c r="M379" s="49">
        <f>'[4]14нед'!D19</f>
        <v>0</v>
      </c>
      <c r="N379" s="50">
        <f>'[4]14нед'!G19</f>
        <v>0</v>
      </c>
      <c r="O379" s="51" t="str">
        <f>'[4]14нед'!H19</f>
        <v/>
      </c>
      <c r="P379" s="52"/>
    </row>
    <row r="380" ht="32.25" customHeight="1" spans="1:16">
      <c r="A380" s="27">
        <v>46350</v>
      </c>
      <c r="B380" s="28" t="s">
        <v>23</v>
      </c>
      <c r="C380" s="55" t="s">
        <v>16</v>
      </c>
      <c r="D380" s="30">
        <f>'[3]13нед'!C20</f>
        <v>0</v>
      </c>
      <c r="E380" s="31">
        <f>'[3]13нед'!D20</f>
        <v>0</v>
      </c>
      <c r="F380" s="32">
        <f>'[3]13нед'!G20</f>
        <v>0</v>
      </c>
      <c r="G380" s="33" t="str">
        <f>'[3]13нед'!H20</f>
        <v/>
      </c>
      <c r="H380" s="34"/>
      <c r="I380" s="27">
        <v>46357</v>
      </c>
      <c r="J380" s="35" t="s">
        <v>23</v>
      </c>
      <c r="K380" s="55" t="s">
        <v>16</v>
      </c>
      <c r="L380" s="30">
        <f>'[4]14нед'!C20</f>
        <v>0</v>
      </c>
      <c r="M380" s="31">
        <f>'[4]14нед'!D20</f>
        <v>0</v>
      </c>
      <c r="N380" s="32">
        <f>'[4]14нед'!G20</f>
        <v>0</v>
      </c>
      <c r="O380" s="33" t="str">
        <f>'[4]14нед'!H20</f>
        <v/>
      </c>
      <c r="P380" s="34"/>
    </row>
    <row r="381" ht="31.5" spans="1:16">
      <c r="A381" s="36"/>
      <c r="B381" s="37"/>
      <c r="C381" s="29" t="s">
        <v>17</v>
      </c>
      <c r="D381" s="38">
        <f>'[3]13нед'!C21</f>
        <v>0</v>
      </c>
      <c r="E381" s="39">
        <f>'[3]13нед'!D21</f>
        <v>0</v>
      </c>
      <c r="F381" s="40">
        <f>'[3]13нед'!G21</f>
        <v>0</v>
      </c>
      <c r="G381" s="41" t="str">
        <f>'[3]13нед'!H21</f>
        <v/>
      </c>
      <c r="H381" s="42"/>
      <c r="I381" s="43"/>
      <c r="J381" s="44"/>
      <c r="K381" s="29" t="s">
        <v>17</v>
      </c>
      <c r="L381" s="38">
        <f>'[4]14нед'!C21</f>
        <v>0</v>
      </c>
      <c r="M381" s="39">
        <f>'[4]14нед'!D21</f>
        <v>0</v>
      </c>
      <c r="N381" s="40">
        <f>'[4]14нед'!G21</f>
        <v>0</v>
      </c>
      <c r="O381" s="41" t="str">
        <f>'[4]14нед'!H21</f>
        <v/>
      </c>
      <c r="P381" s="42"/>
    </row>
    <row r="382" ht="31.5" spans="1:16">
      <c r="A382" s="36"/>
      <c r="B382" s="37"/>
      <c r="C382" s="29" t="s">
        <v>18</v>
      </c>
      <c r="D382" s="38">
        <f>'[3]13нед'!C22</f>
        <v>0</v>
      </c>
      <c r="E382" s="39">
        <f>'[3]13нед'!D22</f>
        <v>0</v>
      </c>
      <c r="F382" s="40">
        <f>'[3]13нед'!G22</f>
        <v>0</v>
      </c>
      <c r="G382" s="41" t="str">
        <f>'[3]13нед'!H22</f>
        <v/>
      </c>
      <c r="H382" s="42"/>
      <c r="I382" s="43"/>
      <c r="J382" s="44"/>
      <c r="K382" s="29" t="s">
        <v>18</v>
      </c>
      <c r="L382" s="38">
        <f>'[4]14нед'!C22</f>
        <v>0</v>
      </c>
      <c r="M382" s="39">
        <f>'[4]14нед'!D22</f>
        <v>0</v>
      </c>
      <c r="N382" s="40">
        <f>'[4]14нед'!G22</f>
        <v>0</v>
      </c>
      <c r="O382" s="41" t="str">
        <f>'[4]14нед'!H22</f>
        <v/>
      </c>
      <c r="P382" s="42"/>
    </row>
    <row r="383" ht="31.5" spans="1:16">
      <c r="A383" s="36"/>
      <c r="B383" s="37"/>
      <c r="C383" s="29" t="s">
        <v>19</v>
      </c>
      <c r="D383" s="38">
        <f>'[3]13нед'!C23</f>
        <v>0</v>
      </c>
      <c r="E383" s="39">
        <f>'[3]13нед'!D23</f>
        <v>0</v>
      </c>
      <c r="F383" s="40">
        <f>'[3]13нед'!G23</f>
        <v>0</v>
      </c>
      <c r="G383" s="41" t="str">
        <f>'[3]13нед'!H23</f>
        <v/>
      </c>
      <c r="H383" s="42"/>
      <c r="I383" s="43"/>
      <c r="J383" s="44"/>
      <c r="K383" s="29" t="s">
        <v>19</v>
      </c>
      <c r="L383" s="38">
        <f>'[4]14нед'!C23</f>
        <v>0</v>
      </c>
      <c r="M383" s="39">
        <f>'[4]14нед'!D23</f>
        <v>0</v>
      </c>
      <c r="N383" s="40">
        <f>'[4]14нед'!G23</f>
        <v>0</v>
      </c>
      <c r="O383" s="41" t="str">
        <f>'[4]14нед'!H23</f>
        <v/>
      </c>
      <c r="P383" s="42"/>
    </row>
    <row r="384" ht="31.5" spans="1:16">
      <c r="A384" s="36"/>
      <c r="B384" s="37"/>
      <c r="C384" s="29" t="s">
        <v>20</v>
      </c>
      <c r="D384" s="38">
        <f>'[3]13нед'!C24</f>
        <v>0</v>
      </c>
      <c r="E384" s="39">
        <f>'[3]13нед'!D24</f>
        <v>0</v>
      </c>
      <c r="F384" s="40">
        <f>'[3]13нед'!G24</f>
        <v>0</v>
      </c>
      <c r="G384" s="41" t="str">
        <f>'[3]13нед'!H24</f>
        <v/>
      </c>
      <c r="H384" s="42"/>
      <c r="I384" s="43"/>
      <c r="J384" s="44"/>
      <c r="K384" s="29" t="s">
        <v>20</v>
      </c>
      <c r="L384" s="38">
        <f>'[4]14нед'!C24</f>
        <v>0</v>
      </c>
      <c r="M384" s="39">
        <f>'[4]14нед'!D24</f>
        <v>0</v>
      </c>
      <c r="N384" s="40">
        <f>'[4]14нед'!G24</f>
        <v>0</v>
      </c>
      <c r="O384" s="41" t="str">
        <f>'[4]14нед'!H24</f>
        <v/>
      </c>
      <c r="P384" s="42"/>
    </row>
    <row r="385" ht="31.5" spans="1:16">
      <c r="A385" s="36"/>
      <c r="B385" s="37"/>
      <c r="C385" s="29" t="s">
        <v>21</v>
      </c>
      <c r="D385" s="38">
        <f>'[3]13нед'!C25</f>
        <v>0</v>
      </c>
      <c r="E385" s="39">
        <f>'[3]13нед'!D25</f>
        <v>0</v>
      </c>
      <c r="F385" s="40">
        <f>'[3]13нед'!G25</f>
        <v>0</v>
      </c>
      <c r="G385" s="41" t="str">
        <f>'[3]13нед'!H25</f>
        <v/>
      </c>
      <c r="H385" s="42"/>
      <c r="I385" s="43"/>
      <c r="J385" s="44"/>
      <c r="K385" s="29" t="s">
        <v>21</v>
      </c>
      <c r="L385" s="38">
        <f>'[4]14нед'!C25</f>
        <v>0</v>
      </c>
      <c r="M385" s="39">
        <f>'[4]14нед'!D25</f>
        <v>0</v>
      </c>
      <c r="N385" s="40">
        <f>'[4]14нед'!G25</f>
        <v>0</v>
      </c>
      <c r="O385" s="41" t="str">
        <f>'[4]14нед'!H25</f>
        <v/>
      </c>
      <c r="P385" s="42"/>
    </row>
    <row r="386" ht="32.25" spans="1:16">
      <c r="A386" s="36"/>
      <c r="B386" s="37"/>
      <c r="C386" s="29" t="s">
        <v>22</v>
      </c>
      <c r="D386" s="38">
        <f>'[3]13нед'!C26</f>
        <v>0</v>
      </c>
      <c r="E386" s="39">
        <f>'[3]13нед'!D26</f>
        <v>0</v>
      </c>
      <c r="F386" s="40">
        <f>'[3]13нед'!G26</f>
        <v>0</v>
      </c>
      <c r="G386" s="41" t="str">
        <f>'[3]13нед'!H26</f>
        <v/>
      </c>
      <c r="H386" s="42"/>
      <c r="I386" s="43"/>
      <c r="J386" s="44"/>
      <c r="K386" s="29" t="s">
        <v>22</v>
      </c>
      <c r="L386" s="38">
        <f>'[4]14нед'!C26</f>
        <v>0</v>
      </c>
      <c r="M386" s="39">
        <f>'[4]14нед'!D26</f>
        <v>0</v>
      </c>
      <c r="N386" s="40">
        <f>'[4]14нед'!G26</f>
        <v>0</v>
      </c>
      <c r="O386" s="41" t="str">
        <f>'[4]14нед'!H26</f>
        <v/>
      </c>
      <c r="P386" s="42"/>
    </row>
    <row r="387" ht="18.4" hidden="1" customHeight="1" spans="1:16">
      <c r="A387" s="45"/>
      <c r="B387" s="46"/>
      <c r="C387" s="47"/>
      <c r="D387" s="48">
        <f>'[3]13нед'!C27</f>
        <v>0</v>
      </c>
      <c r="E387" s="49">
        <f>'[3]13нед'!D27</f>
        <v>0</v>
      </c>
      <c r="F387" s="50">
        <f>'[3]13нед'!G27</f>
        <v>0</v>
      </c>
      <c r="G387" s="51" t="str">
        <f>'[3]13нед'!H27</f>
        <v/>
      </c>
      <c r="H387" s="52"/>
      <c r="I387" s="53"/>
      <c r="J387" s="54"/>
      <c r="K387" s="47"/>
      <c r="L387" s="48">
        <f>'[4]14нед'!C27</f>
        <v>0</v>
      </c>
      <c r="M387" s="49">
        <f>'[4]14нед'!D27</f>
        <v>0</v>
      </c>
      <c r="N387" s="50">
        <f>'[4]14нед'!G27</f>
        <v>0</v>
      </c>
      <c r="O387" s="51" t="str">
        <f>'[4]14нед'!H27</f>
        <v/>
      </c>
      <c r="P387" s="52"/>
    </row>
    <row r="388" ht="48" customHeight="1" spans="1:16">
      <c r="A388" s="27">
        <v>46351</v>
      </c>
      <c r="B388" s="57" t="s">
        <v>24</v>
      </c>
      <c r="C388" s="55" t="s">
        <v>16</v>
      </c>
      <c r="D388" s="30">
        <f>'[3]13нед'!C28</f>
        <v>0</v>
      </c>
      <c r="E388" s="31">
        <f>'[3]13нед'!D28</f>
        <v>0</v>
      </c>
      <c r="F388" s="32">
        <f>'[3]13нед'!G28</f>
        <v>0</v>
      </c>
      <c r="G388" s="33" t="str">
        <f>'[3]13нед'!H28</f>
        <v/>
      </c>
      <c r="H388" s="34"/>
      <c r="I388" s="27">
        <v>46358</v>
      </c>
      <c r="J388" s="58" t="s">
        <v>24</v>
      </c>
      <c r="K388" s="55" t="s">
        <v>16</v>
      </c>
      <c r="L388" s="30">
        <f>'[4]14нед'!C28</f>
        <v>0</v>
      </c>
      <c r="M388" s="31">
        <f>'[4]14нед'!D28</f>
        <v>0</v>
      </c>
      <c r="N388" s="32">
        <f>'[4]14нед'!G28</f>
        <v>0</v>
      </c>
      <c r="O388" s="33" t="str">
        <f>'[4]14нед'!H28</f>
        <v/>
      </c>
      <c r="P388" s="34"/>
    </row>
    <row r="389" ht="31.5" spans="1:16">
      <c r="A389" s="36"/>
      <c r="B389" s="59"/>
      <c r="C389" s="29" t="s">
        <v>17</v>
      </c>
      <c r="D389" s="38">
        <f>'[3]13нед'!C29</f>
        <v>0</v>
      </c>
      <c r="E389" s="39">
        <f>'[3]13нед'!D29</f>
        <v>0</v>
      </c>
      <c r="F389" s="40">
        <f>'[3]13нед'!G29</f>
        <v>0</v>
      </c>
      <c r="G389" s="41" t="str">
        <f>'[3]13нед'!H29</f>
        <v/>
      </c>
      <c r="H389" s="42"/>
      <c r="I389" s="43"/>
      <c r="J389" s="60"/>
      <c r="K389" s="29" t="s">
        <v>17</v>
      </c>
      <c r="L389" s="38">
        <f>'[4]14нед'!C29</f>
        <v>0</v>
      </c>
      <c r="M389" s="39">
        <f>'[4]14нед'!D29</f>
        <v>0</v>
      </c>
      <c r="N389" s="40">
        <f>'[4]14нед'!G29</f>
        <v>0</v>
      </c>
      <c r="O389" s="41" t="str">
        <f>'[4]14нед'!H29</f>
        <v/>
      </c>
      <c r="P389" s="42"/>
    </row>
    <row r="390" ht="31.5" spans="1:16">
      <c r="A390" s="36"/>
      <c r="B390" s="59"/>
      <c r="C390" s="29" t="s">
        <v>18</v>
      </c>
      <c r="D390" s="38">
        <f>'[3]13нед'!C30</f>
        <v>0</v>
      </c>
      <c r="E390" s="39">
        <f>'[3]13нед'!D30</f>
        <v>0</v>
      </c>
      <c r="F390" s="40">
        <f>'[3]13нед'!G30</f>
        <v>0</v>
      </c>
      <c r="G390" s="41" t="str">
        <f>'[3]13нед'!H30</f>
        <v/>
      </c>
      <c r="H390" s="42"/>
      <c r="I390" s="43"/>
      <c r="J390" s="60"/>
      <c r="K390" s="29" t="s">
        <v>18</v>
      </c>
      <c r="L390" s="38">
        <f>'[4]14нед'!C30</f>
        <v>0</v>
      </c>
      <c r="M390" s="39">
        <f>'[4]14нед'!D30</f>
        <v>0</v>
      </c>
      <c r="N390" s="40">
        <f>'[4]14нед'!G30</f>
        <v>0</v>
      </c>
      <c r="O390" s="41" t="str">
        <f>'[4]14нед'!H30</f>
        <v/>
      </c>
      <c r="P390" s="42"/>
    </row>
    <row r="391" ht="31.5" spans="1:16">
      <c r="A391" s="36"/>
      <c r="B391" s="59"/>
      <c r="C391" s="29" t="s">
        <v>19</v>
      </c>
      <c r="D391" s="38">
        <f>'[3]13нед'!C31</f>
        <v>0</v>
      </c>
      <c r="E391" s="39">
        <f>'[3]13нед'!D31</f>
        <v>0</v>
      </c>
      <c r="F391" s="40">
        <f>'[3]13нед'!G31</f>
        <v>0</v>
      </c>
      <c r="G391" s="41" t="str">
        <f>'[3]13нед'!H31</f>
        <v/>
      </c>
      <c r="H391" s="42"/>
      <c r="I391" s="43"/>
      <c r="J391" s="60"/>
      <c r="K391" s="29" t="s">
        <v>19</v>
      </c>
      <c r="L391" s="38">
        <f>'[4]14нед'!C31</f>
        <v>0</v>
      </c>
      <c r="M391" s="39">
        <f>'[4]14нед'!D31</f>
        <v>0</v>
      </c>
      <c r="N391" s="40">
        <f>'[4]14нед'!G31</f>
        <v>0</v>
      </c>
      <c r="O391" s="41" t="str">
        <f>'[4]14нед'!H31</f>
        <v/>
      </c>
      <c r="P391" s="42"/>
    </row>
    <row r="392" ht="31.5" spans="1:16">
      <c r="A392" s="36"/>
      <c r="B392" s="59"/>
      <c r="C392" s="29" t="s">
        <v>20</v>
      </c>
      <c r="D392" s="38">
        <f>'[3]13нед'!C32</f>
        <v>0</v>
      </c>
      <c r="E392" s="39">
        <f>'[3]13нед'!D32</f>
        <v>0</v>
      </c>
      <c r="F392" s="40">
        <f>'[3]13нед'!G32</f>
        <v>0</v>
      </c>
      <c r="G392" s="41" t="str">
        <f>'[3]13нед'!H32</f>
        <v/>
      </c>
      <c r="H392" s="42"/>
      <c r="I392" s="43"/>
      <c r="J392" s="60"/>
      <c r="K392" s="29" t="s">
        <v>20</v>
      </c>
      <c r="L392" s="38">
        <f>'[4]14нед'!C32</f>
        <v>0</v>
      </c>
      <c r="M392" s="39">
        <f>'[4]14нед'!D32</f>
        <v>0</v>
      </c>
      <c r="N392" s="40">
        <f>'[4]14нед'!G32</f>
        <v>0</v>
      </c>
      <c r="O392" s="41" t="str">
        <f>'[4]14нед'!H32</f>
        <v/>
      </c>
      <c r="P392" s="42"/>
    </row>
    <row r="393" ht="31.5" spans="1:16">
      <c r="A393" s="36"/>
      <c r="B393" s="59"/>
      <c r="C393" s="29" t="s">
        <v>21</v>
      </c>
      <c r="D393" s="38">
        <f>'[3]13нед'!C33</f>
        <v>0</v>
      </c>
      <c r="E393" s="39">
        <f>'[3]13нед'!D33</f>
        <v>0</v>
      </c>
      <c r="F393" s="40">
        <f>'[3]13нед'!G33</f>
        <v>0</v>
      </c>
      <c r="G393" s="41" t="str">
        <f>'[3]13нед'!H33</f>
        <v/>
      </c>
      <c r="H393" s="56"/>
      <c r="I393" s="43"/>
      <c r="J393" s="60"/>
      <c r="K393" s="29" t="s">
        <v>21</v>
      </c>
      <c r="L393" s="38">
        <f>'[4]14нед'!C33</f>
        <v>0</v>
      </c>
      <c r="M393" s="39">
        <f>'[4]14нед'!D33</f>
        <v>0</v>
      </c>
      <c r="N393" s="40">
        <f>'[4]14нед'!G33</f>
        <v>0</v>
      </c>
      <c r="O393" s="41" t="str">
        <f>'[4]14нед'!H33</f>
        <v/>
      </c>
      <c r="P393" s="56"/>
    </row>
    <row r="394" ht="32.25" spans="1:16">
      <c r="A394" s="36"/>
      <c r="B394" s="59"/>
      <c r="C394" s="29" t="s">
        <v>22</v>
      </c>
      <c r="D394" s="38">
        <f>'[3]13нед'!C34</f>
        <v>0</v>
      </c>
      <c r="E394" s="39">
        <f>'[3]13нед'!D34</f>
        <v>0</v>
      </c>
      <c r="F394" s="40">
        <f>'[3]13нед'!G34</f>
        <v>0</v>
      </c>
      <c r="G394" s="41" t="str">
        <f>'[3]13нед'!H34</f>
        <v/>
      </c>
      <c r="H394" s="56"/>
      <c r="I394" s="43"/>
      <c r="J394" s="60"/>
      <c r="K394" s="29" t="s">
        <v>22</v>
      </c>
      <c r="L394" s="38">
        <f>'[4]14нед'!C34</f>
        <v>0</v>
      </c>
      <c r="M394" s="39">
        <f>'[4]14нед'!D34</f>
        <v>0</v>
      </c>
      <c r="N394" s="40">
        <f>'[4]14нед'!G34</f>
        <v>0</v>
      </c>
      <c r="O394" s="41" t="str">
        <f>'[4]14нед'!H34</f>
        <v/>
      </c>
      <c r="P394" s="56"/>
    </row>
    <row r="395" ht="18.4" hidden="1" customHeight="1" spans="1:16">
      <c r="A395" s="45"/>
      <c r="B395" s="61"/>
      <c r="C395" s="47"/>
      <c r="D395" s="48">
        <f>'[3]13нед'!C35</f>
        <v>0</v>
      </c>
      <c r="E395" s="49">
        <f>'[3]13нед'!D35</f>
        <v>0</v>
      </c>
      <c r="F395" s="50">
        <f>'[3]13нед'!G35</f>
        <v>0</v>
      </c>
      <c r="G395" s="51" t="str">
        <f>'[3]13нед'!H35</f>
        <v/>
      </c>
      <c r="H395" s="52"/>
      <c r="I395" s="53"/>
      <c r="J395" s="62"/>
      <c r="K395" s="47"/>
      <c r="L395" s="48">
        <f>'[4]14нед'!C35</f>
        <v>0</v>
      </c>
      <c r="M395" s="49">
        <f>'[4]14нед'!D35</f>
        <v>0</v>
      </c>
      <c r="N395" s="50">
        <f>'[4]14нед'!G35</f>
        <v>0</v>
      </c>
      <c r="O395" s="51" t="str">
        <f>'[4]14нед'!H35</f>
        <v/>
      </c>
      <c r="P395" s="52"/>
    </row>
    <row r="396" ht="48" customHeight="1" spans="1:16">
      <c r="A396" s="27">
        <v>46352</v>
      </c>
      <c r="B396" s="28" t="s">
        <v>25</v>
      </c>
      <c r="C396" s="55" t="s">
        <v>16</v>
      </c>
      <c r="D396" s="30">
        <f>'[3]13нед'!C36</f>
        <v>0</v>
      </c>
      <c r="E396" s="31">
        <f>'[3]13нед'!D36</f>
        <v>0</v>
      </c>
      <c r="F396" s="32">
        <f>'[3]13нед'!G36</f>
        <v>0</v>
      </c>
      <c r="G396" s="33" t="str">
        <f>'[3]13нед'!H36</f>
        <v/>
      </c>
      <c r="H396" s="34"/>
      <c r="I396" s="27">
        <v>46359</v>
      </c>
      <c r="J396" s="35" t="s">
        <v>25</v>
      </c>
      <c r="K396" s="55" t="s">
        <v>16</v>
      </c>
      <c r="L396" s="30">
        <f>'[4]14нед'!C36</f>
        <v>0</v>
      </c>
      <c r="M396" s="31">
        <f>'[4]14нед'!D36</f>
        <v>0</v>
      </c>
      <c r="N396" s="32">
        <f>'[4]14нед'!G36</f>
        <v>0</v>
      </c>
      <c r="O396" s="33" t="str">
        <f>'[4]14нед'!H36</f>
        <v/>
      </c>
      <c r="P396" s="34"/>
    </row>
    <row r="397" ht="31.5" spans="1:16">
      <c r="A397" s="36"/>
      <c r="B397" s="37"/>
      <c r="C397" s="29" t="s">
        <v>17</v>
      </c>
      <c r="D397" s="38">
        <f>'[3]13нед'!C37</f>
        <v>0</v>
      </c>
      <c r="E397" s="39">
        <f>'[3]13нед'!D37</f>
        <v>0</v>
      </c>
      <c r="F397" s="40">
        <f>'[3]13нед'!G37</f>
        <v>0</v>
      </c>
      <c r="G397" s="41" t="str">
        <f>'[3]13нед'!H37</f>
        <v/>
      </c>
      <c r="H397" s="42"/>
      <c r="I397" s="43"/>
      <c r="J397" s="44"/>
      <c r="K397" s="29" t="s">
        <v>17</v>
      </c>
      <c r="L397" s="38">
        <f>'[4]14нед'!C37</f>
        <v>0</v>
      </c>
      <c r="M397" s="39">
        <f>'[4]14нед'!D37</f>
        <v>0</v>
      </c>
      <c r="N397" s="40">
        <f>'[4]14нед'!G37</f>
        <v>0</v>
      </c>
      <c r="O397" s="41" t="str">
        <f>'[4]14нед'!H37</f>
        <v/>
      </c>
      <c r="P397" s="42"/>
    </row>
    <row r="398" ht="31.5" spans="1:16">
      <c r="A398" s="36"/>
      <c r="B398" s="37"/>
      <c r="C398" s="29" t="s">
        <v>18</v>
      </c>
      <c r="D398" s="38">
        <f>'[3]13нед'!C38</f>
        <v>0</v>
      </c>
      <c r="E398" s="39">
        <f>'[3]13нед'!D38</f>
        <v>0</v>
      </c>
      <c r="F398" s="40">
        <f>'[3]13нед'!G38</f>
        <v>0</v>
      </c>
      <c r="G398" s="41" t="str">
        <f>'[3]13нед'!H38</f>
        <v/>
      </c>
      <c r="H398" s="42"/>
      <c r="I398" s="43"/>
      <c r="J398" s="44"/>
      <c r="K398" s="29" t="s">
        <v>18</v>
      </c>
      <c r="L398" s="38">
        <f>'[4]14нед'!C38</f>
        <v>0</v>
      </c>
      <c r="M398" s="39">
        <f>'[4]14нед'!D38</f>
        <v>0</v>
      </c>
      <c r="N398" s="40">
        <f>'[4]14нед'!G38</f>
        <v>0</v>
      </c>
      <c r="O398" s="41" t="str">
        <f>'[4]14нед'!H38</f>
        <v/>
      </c>
      <c r="P398" s="42"/>
    </row>
    <row r="399" ht="31.5" spans="1:16">
      <c r="A399" s="36"/>
      <c r="B399" s="37"/>
      <c r="C399" s="29" t="s">
        <v>19</v>
      </c>
      <c r="D399" s="38">
        <f>'[3]13нед'!C39</f>
        <v>0</v>
      </c>
      <c r="E399" s="39">
        <f>'[3]13нед'!D39</f>
        <v>0</v>
      </c>
      <c r="F399" s="40">
        <f>'[3]13нед'!G39</f>
        <v>0</v>
      </c>
      <c r="G399" s="41" t="str">
        <f>'[3]13нед'!H39</f>
        <v/>
      </c>
      <c r="H399" s="42"/>
      <c r="I399" s="43"/>
      <c r="J399" s="44"/>
      <c r="K399" s="29" t="s">
        <v>19</v>
      </c>
      <c r="L399" s="38">
        <f>'[4]14нед'!C39</f>
        <v>0</v>
      </c>
      <c r="M399" s="39">
        <f>'[4]14нед'!D39</f>
        <v>0</v>
      </c>
      <c r="N399" s="40">
        <f>'[4]14нед'!G39</f>
        <v>0</v>
      </c>
      <c r="O399" s="41" t="str">
        <f>'[4]14нед'!H39</f>
        <v/>
      </c>
      <c r="P399" s="42"/>
    </row>
    <row r="400" ht="31.5" spans="1:16">
      <c r="A400" s="36"/>
      <c r="B400" s="37"/>
      <c r="C400" s="29" t="s">
        <v>20</v>
      </c>
      <c r="D400" s="38">
        <f>'[3]13нед'!C40</f>
        <v>0</v>
      </c>
      <c r="E400" s="39">
        <f>'[3]13нед'!D40</f>
        <v>0</v>
      </c>
      <c r="F400" s="40">
        <f>'[3]13нед'!G40</f>
        <v>0</v>
      </c>
      <c r="G400" s="41" t="str">
        <f>'[3]13нед'!H40</f>
        <v/>
      </c>
      <c r="H400" s="42"/>
      <c r="I400" s="43"/>
      <c r="J400" s="44"/>
      <c r="K400" s="29" t="s">
        <v>20</v>
      </c>
      <c r="L400" s="38">
        <f>'[4]14нед'!C40</f>
        <v>0</v>
      </c>
      <c r="M400" s="39">
        <f>'[4]14нед'!D40</f>
        <v>0</v>
      </c>
      <c r="N400" s="40">
        <f>'[4]14нед'!G40</f>
        <v>0</v>
      </c>
      <c r="O400" s="41" t="str">
        <f>'[4]14нед'!H40</f>
        <v/>
      </c>
      <c r="P400" s="42"/>
    </row>
    <row r="401" ht="31.5" spans="1:16">
      <c r="A401" s="36"/>
      <c r="B401" s="37"/>
      <c r="C401" s="29" t="s">
        <v>21</v>
      </c>
      <c r="D401" s="38">
        <f>'[3]13нед'!C41</f>
        <v>0</v>
      </c>
      <c r="E401" s="39">
        <f>'[3]13нед'!D41</f>
        <v>0</v>
      </c>
      <c r="F401" s="40">
        <f>'[3]13нед'!G41</f>
        <v>0</v>
      </c>
      <c r="G401" s="41" t="str">
        <f>'[3]13нед'!H41</f>
        <v/>
      </c>
      <c r="H401" s="56"/>
      <c r="I401" s="43"/>
      <c r="J401" s="44"/>
      <c r="K401" s="29" t="s">
        <v>21</v>
      </c>
      <c r="L401" s="38">
        <f>'[4]14нед'!C41</f>
        <v>0</v>
      </c>
      <c r="M401" s="39">
        <f>'[4]14нед'!D41</f>
        <v>0</v>
      </c>
      <c r="N401" s="40">
        <f>'[4]14нед'!G41</f>
        <v>0</v>
      </c>
      <c r="O401" s="41" t="str">
        <f>'[4]14нед'!H41</f>
        <v/>
      </c>
      <c r="P401" s="56"/>
    </row>
    <row r="402" ht="32.25" spans="1:16">
      <c r="A402" s="36"/>
      <c r="B402" s="37"/>
      <c r="C402" s="29" t="s">
        <v>22</v>
      </c>
      <c r="D402" s="38">
        <f>'[3]13нед'!C42</f>
        <v>0</v>
      </c>
      <c r="E402" s="39">
        <f>'[3]13нед'!D42</f>
        <v>0</v>
      </c>
      <c r="F402" s="40">
        <f>'[3]13нед'!G42</f>
        <v>0</v>
      </c>
      <c r="G402" s="41" t="str">
        <f>'[3]13нед'!H42</f>
        <v/>
      </c>
      <c r="H402" s="56"/>
      <c r="I402" s="43"/>
      <c r="J402" s="44"/>
      <c r="K402" s="29" t="s">
        <v>22</v>
      </c>
      <c r="L402" s="38">
        <f>'[4]14нед'!C42</f>
        <v>0</v>
      </c>
      <c r="M402" s="39">
        <f>'[4]14нед'!D42</f>
        <v>0</v>
      </c>
      <c r="N402" s="40">
        <f>'[4]14нед'!G42</f>
        <v>0</v>
      </c>
      <c r="O402" s="41" t="str">
        <f>'[4]14нед'!H42</f>
        <v/>
      </c>
      <c r="P402" s="56"/>
    </row>
    <row r="403" ht="18.4" hidden="1" customHeight="1" spans="1:16">
      <c r="A403" s="45"/>
      <c r="B403" s="46"/>
      <c r="C403" s="47"/>
      <c r="D403" s="48">
        <f>'[3]13нед'!C43</f>
        <v>0</v>
      </c>
      <c r="E403" s="49">
        <f>'[3]13нед'!D43</f>
        <v>0</v>
      </c>
      <c r="F403" s="50">
        <f>'[3]13нед'!G43</f>
        <v>0</v>
      </c>
      <c r="G403" s="51" t="str">
        <f>'[3]13нед'!H43</f>
        <v/>
      </c>
      <c r="H403" s="52"/>
      <c r="I403" s="53"/>
      <c r="J403" s="54"/>
      <c r="K403" s="47"/>
      <c r="L403" s="48">
        <f>'[4]14нед'!C43</f>
        <v>0</v>
      </c>
      <c r="M403" s="49">
        <f>'[4]14нед'!D43</f>
        <v>0</v>
      </c>
      <c r="N403" s="50">
        <f>'[4]14нед'!G43</f>
        <v>0</v>
      </c>
      <c r="O403" s="51" t="str">
        <f>'[4]14нед'!H43</f>
        <v/>
      </c>
      <c r="P403" s="52"/>
    </row>
    <row r="404" ht="48" customHeight="1" spans="1:16">
      <c r="A404" s="27">
        <v>46353</v>
      </c>
      <c r="B404" s="28" t="s">
        <v>26</v>
      </c>
      <c r="C404" s="55" t="s">
        <v>16</v>
      </c>
      <c r="D404" s="30">
        <f>'[3]13нед'!C44</f>
        <v>0</v>
      </c>
      <c r="E404" s="31">
        <f>'[3]13нед'!D44</f>
        <v>0</v>
      </c>
      <c r="F404" s="32">
        <f>'[3]13нед'!G44</f>
        <v>0</v>
      </c>
      <c r="G404" s="33" t="str">
        <f>'[3]13нед'!H44</f>
        <v/>
      </c>
      <c r="H404" s="34"/>
      <c r="I404" s="27">
        <v>46360</v>
      </c>
      <c r="J404" s="35" t="s">
        <v>26</v>
      </c>
      <c r="K404" s="55" t="s">
        <v>16</v>
      </c>
      <c r="L404" s="30">
        <f>'[4]14нед'!C44</f>
        <v>0</v>
      </c>
      <c r="M404" s="31">
        <f>'[4]14нед'!D44</f>
        <v>0</v>
      </c>
      <c r="N404" s="32">
        <f>'[4]14нед'!G44</f>
        <v>0</v>
      </c>
      <c r="O404" s="33" t="str">
        <f>'[4]14нед'!H44</f>
        <v/>
      </c>
      <c r="P404" s="34"/>
    </row>
    <row r="405" ht="31.5" spans="1:16">
      <c r="A405" s="36"/>
      <c r="B405" s="37"/>
      <c r="C405" s="29" t="s">
        <v>17</v>
      </c>
      <c r="D405" s="38">
        <f>'[3]13нед'!C45</f>
        <v>0</v>
      </c>
      <c r="E405" s="39">
        <f>'[3]13нед'!D45</f>
        <v>0</v>
      </c>
      <c r="F405" s="40">
        <f>'[3]13нед'!G45</f>
        <v>0</v>
      </c>
      <c r="G405" s="41" t="str">
        <f>'[3]13нед'!H45</f>
        <v/>
      </c>
      <c r="H405" s="42"/>
      <c r="I405" s="43"/>
      <c r="J405" s="44"/>
      <c r="K405" s="29" t="s">
        <v>17</v>
      </c>
      <c r="L405" s="38">
        <f>'[4]14нед'!C45</f>
        <v>0</v>
      </c>
      <c r="M405" s="39">
        <f>'[4]14нед'!D45</f>
        <v>0</v>
      </c>
      <c r="N405" s="40">
        <f>'[4]14нед'!G45</f>
        <v>0</v>
      </c>
      <c r="O405" s="41" t="str">
        <f>'[4]14нед'!H45</f>
        <v/>
      </c>
      <c r="P405" s="42"/>
    </row>
    <row r="406" ht="31.5" spans="1:16">
      <c r="A406" s="36"/>
      <c r="B406" s="37"/>
      <c r="C406" s="29" t="s">
        <v>18</v>
      </c>
      <c r="D406" s="38">
        <f>'[3]13нед'!C46</f>
        <v>0</v>
      </c>
      <c r="E406" s="39">
        <f>'[3]13нед'!D46</f>
        <v>0</v>
      </c>
      <c r="F406" s="40">
        <f>'[3]13нед'!G46</f>
        <v>0</v>
      </c>
      <c r="G406" s="41" t="str">
        <f>'[3]13нед'!H46</f>
        <v/>
      </c>
      <c r="H406" s="42"/>
      <c r="I406" s="43"/>
      <c r="J406" s="44"/>
      <c r="K406" s="29" t="s">
        <v>18</v>
      </c>
      <c r="L406" s="38">
        <f>'[4]14нед'!C46</f>
        <v>0</v>
      </c>
      <c r="M406" s="39">
        <f>'[4]14нед'!D46</f>
        <v>0</v>
      </c>
      <c r="N406" s="40">
        <f>'[4]14нед'!G46</f>
        <v>0</v>
      </c>
      <c r="O406" s="41" t="str">
        <f>'[4]14нед'!H46</f>
        <v/>
      </c>
      <c r="P406" s="42"/>
    </row>
    <row r="407" ht="31.5" spans="1:16">
      <c r="A407" s="36"/>
      <c r="B407" s="37"/>
      <c r="C407" s="29" t="s">
        <v>19</v>
      </c>
      <c r="D407" s="38">
        <f>'[3]13нед'!C47</f>
        <v>0</v>
      </c>
      <c r="E407" s="39">
        <f>'[3]13нед'!D47</f>
        <v>0</v>
      </c>
      <c r="F407" s="40">
        <f>'[3]13нед'!G47</f>
        <v>0</v>
      </c>
      <c r="G407" s="41" t="str">
        <f>'[3]13нед'!H47</f>
        <v/>
      </c>
      <c r="H407" s="42"/>
      <c r="I407" s="43"/>
      <c r="J407" s="44"/>
      <c r="K407" s="29" t="s">
        <v>19</v>
      </c>
      <c r="L407" s="38">
        <f>'[4]14нед'!C47</f>
        <v>0</v>
      </c>
      <c r="M407" s="39">
        <f>'[4]14нед'!D47</f>
        <v>0</v>
      </c>
      <c r="N407" s="40">
        <f>'[4]14нед'!G47</f>
        <v>0</v>
      </c>
      <c r="O407" s="41" t="str">
        <f>'[4]14нед'!H47</f>
        <v/>
      </c>
      <c r="P407" s="42"/>
    </row>
    <row r="408" ht="31.5" spans="1:16">
      <c r="A408" s="36"/>
      <c r="B408" s="37"/>
      <c r="C408" s="29" t="s">
        <v>20</v>
      </c>
      <c r="D408" s="38">
        <f>'[3]13нед'!C48</f>
        <v>0</v>
      </c>
      <c r="E408" s="39">
        <f>'[3]13нед'!D48</f>
        <v>0</v>
      </c>
      <c r="F408" s="40">
        <f>'[3]13нед'!G48</f>
        <v>0</v>
      </c>
      <c r="G408" s="41" t="str">
        <f>'[3]13нед'!H48</f>
        <v/>
      </c>
      <c r="H408" s="42"/>
      <c r="I408" s="43"/>
      <c r="J408" s="44"/>
      <c r="K408" s="29" t="s">
        <v>20</v>
      </c>
      <c r="L408" s="38">
        <f>'[4]14нед'!C48</f>
        <v>0</v>
      </c>
      <c r="M408" s="39">
        <f>'[4]14нед'!D48</f>
        <v>0</v>
      </c>
      <c r="N408" s="40">
        <f>'[4]14нед'!G48</f>
        <v>0</v>
      </c>
      <c r="O408" s="41" t="str">
        <f>'[4]14нед'!H48</f>
        <v/>
      </c>
      <c r="P408" s="42"/>
    </row>
    <row r="409" ht="31.5" spans="1:16">
      <c r="A409" s="36"/>
      <c r="B409" s="37"/>
      <c r="C409" s="29" t="s">
        <v>21</v>
      </c>
      <c r="D409" s="38">
        <f>'[3]13нед'!C49</f>
        <v>0</v>
      </c>
      <c r="E409" s="39">
        <f>'[3]13нед'!D49</f>
        <v>0</v>
      </c>
      <c r="F409" s="40">
        <f>'[3]13нед'!G49</f>
        <v>0</v>
      </c>
      <c r="G409" s="41" t="str">
        <f>'[3]13нед'!H49</f>
        <v/>
      </c>
      <c r="H409" s="42"/>
      <c r="I409" s="43"/>
      <c r="J409" s="44"/>
      <c r="K409" s="29" t="s">
        <v>21</v>
      </c>
      <c r="L409" s="38">
        <f>'[4]14нед'!C49</f>
        <v>0</v>
      </c>
      <c r="M409" s="39">
        <f>'[4]14нед'!D49</f>
        <v>0</v>
      </c>
      <c r="N409" s="40">
        <f>'[4]14нед'!G49</f>
        <v>0</v>
      </c>
      <c r="O409" s="41" t="str">
        <f>'[4]14нед'!H49</f>
        <v/>
      </c>
      <c r="P409" s="42"/>
    </row>
    <row r="410" ht="32.25" spans="1:16">
      <c r="A410" s="36"/>
      <c r="B410" s="37"/>
      <c r="C410" s="29" t="s">
        <v>22</v>
      </c>
      <c r="D410" s="38">
        <f>'[3]13нед'!C50</f>
        <v>0</v>
      </c>
      <c r="E410" s="39">
        <f>'[3]13нед'!D50</f>
        <v>0</v>
      </c>
      <c r="F410" s="40">
        <f>'[3]13нед'!G50</f>
        <v>0</v>
      </c>
      <c r="G410" s="41" t="str">
        <f>'[3]13нед'!H50</f>
        <v/>
      </c>
      <c r="H410" s="42"/>
      <c r="I410" s="43"/>
      <c r="J410" s="44"/>
      <c r="K410" s="29" t="s">
        <v>22</v>
      </c>
      <c r="L410" s="38">
        <f>'[4]14нед'!C50</f>
        <v>0</v>
      </c>
      <c r="M410" s="39">
        <f>'[4]14нед'!D50</f>
        <v>0</v>
      </c>
      <c r="N410" s="40">
        <f>'[4]14нед'!G50</f>
        <v>0</v>
      </c>
      <c r="O410" s="41" t="str">
        <f>'[4]14нед'!H50</f>
        <v/>
      </c>
      <c r="P410" s="42"/>
    </row>
    <row r="411" ht="18.4" hidden="1" customHeight="1" spans="1:16">
      <c r="A411" s="45"/>
      <c r="B411" s="46"/>
      <c r="C411" s="47"/>
      <c r="D411" s="48">
        <f>'[3]13нед'!C51</f>
        <v>0</v>
      </c>
      <c r="E411" s="49">
        <f>'[3]13нед'!D51</f>
        <v>0</v>
      </c>
      <c r="F411" s="50">
        <f>'[3]13нед'!G51</f>
        <v>0</v>
      </c>
      <c r="G411" s="51" t="str">
        <f>'[3]13нед'!H51</f>
        <v/>
      </c>
      <c r="H411" s="52"/>
      <c r="I411" s="53"/>
      <c r="J411" s="54"/>
      <c r="K411" s="47"/>
      <c r="L411" s="48">
        <f>'[4]14нед'!C51</f>
        <v>0</v>
      </c>
      <c r="M411" s="49">
        <f>'[4]14нед'!D51</f>
        <v>0</v>
      </c>
      <c r="N411" s="50">
        <f>'[4]14нед'!G51</f>
        <v>0</v>
      </c>
      <c r="O411" s="51" t="str">
        <f>'[4]14нед'!H51</f>
        <v/>
      </c>
      <c r="P411" s="52"/>
    </row>
    <row r="412" ht="48" customHeight="1" spans="1:16">
      <c r="A412" s="27">
        <v>46354</v>
      </c>
      <c r="B412" s="28" t="s">
        <v>27</v>
      </c>
      <c r="C412" s="55" t="s">
        <v>16</v>
      </c>
      <c r="D412" s="30">
        <f>'[3]13нед'!C52</f>
        <v>0</v>
      </c>
      <c r="E412" s="31">
        <f>'[3]13нед'!D52</f>
        <v>0</v>
      </c>
      <c r="F412" s="32">
        <f>'[3]13нед'!G52</f>
        <v>0</v>
      </c>
      <c r="G412" s="33" t="str">
        <f>'[3]13нед'!H52</f>
        <v/>
      </c>
      <c r="H412" s="34"/>
      <c r="I412" s="27">
        <v>46361</v>
      </c>
      <c r="J412" s="35" t="s">
        <v>27</v>
      </c>
      <c r="K412" s="55" t="s">
        <v>16</v>
      </c>
      <c r="L412" s="30">
        <f>'[4]14нед'!C52</f>
        <v>0</v>
      </c>
      <c r="M412" s="31">
        <f>'[4]14нед'!D52</f>
        <v>0</v>
      </c>
      <c r="N412" s="32">
        <f>'[4]14нед'!G52</f>
        <v>0</v>
      </c>
      <c r="O412" s="33" t="str">
        <f>'[4]14нед'!H52</f>
        <v/>
      </c>
      <c r="P412" s="34"/>
    </row>
    <row r="413" ht="31.5" spans="1:16">
      <c r="A413" s="36"/>
      <c r="B413" s="37"/>
      <c r="C413" s="29" t="s">
        <v>17</v>
      </c>
      <c r="D413" s="38">
        <f>'[3]13нед'!C53</f>
        <v>0</v>
      </c>
      <c r="E413" s="39">
        <f>'[3]13нед'!D53</f>
        <v>0</v>
      </c>
      <c r="F413" s="40">
        <f>'[3]13нед'!G53</f>
        <v>0</v>
      </c>
      <c r="G413" s="41" t="str">
        <f>'[3]13нед'!H53</f>
        <v/>
      </c>
      <c r="H413" s="42"/>
      <c r="I413" s="43"/>
      <c r="J413" s="44"/>
      <c r="K413" s="29" t="s">
        <v>17</v>
      </c>
      <c r="L413" s="38">
        <f>'[4]14нед'!C53</f>
        <v>0</v>
      </c>
      <c r="M413" s="39">
        <f>'[4]14нед'!D53</f>
        <v>0</v>
      </c>
      <c r="N413" s="40">
        <f>'[4]14нед'!G53</f>
        <v>0</v>
      </c>
      <c r="O413" s="41" t="str">
        <f>'[4]14нед'!H53</f>
        <v/>
      </c>
      <c r="P413" s="42"/>
    </row>
    <row r="414" ht="31.5" spans="1:16">
      <c r="A414" s="36"/>
      <c r="B414" s="37"/>
      <c r="C414" s="29" t="s">
        <v>18</v>
      </c>
      <c r="D414" s="38">
        <f>'[3]13нед'!C54</f>
        <v>0</v>
      </c>
      <c r="E414" s="39">
        <f>'[3]13нед'!D54</f>
        <v>0</v>
      </c>
      <c r="F414" s="40">
        <f>'[3]13нед'!G54</f>
        <v>0</v>
      </c>
      <c r="G414" s="41" t="str">
        <f>'[3]13нед'!H54</f>
        <v/>
      </c>
      <c r="H414" s="42"/>
      <c r="I414" s="43"/>
      <c r="J414" s="44"/>
      <c r="K414" s="29" t="s">
        <v>18</v>
      </c>
      <c r="L414" s="38">
        <f>'[4]14нед'!C54</f>
        <v>0</v>
      </c>
      <c r="M414" s="39">
        <f>'[4]14нед'!D54</f>
        <v>0</v>
      </c>
      <c r="N414" s="40">
        <f>'[4]14нед'!G54</f>
        <v>0</v>
      </c>
      <c r="O414" s="41" t="str">
        <f>'[4]14нед'!H54</f>
        <v/>
      </c>
      <c r="P414" s="42"/>
    </row>
    <row r="415" ht="31.5" spans="1:16">
      <c r="A415" s="36"/>
      <c r="B415" s="37"/>
      <c r="C415" s="29" t="s">
        <v>19</v>
      </c>
      <c r="D415" s="38">
        <f>'[3]13нед'!C55</f>
        <v>0</v>
      </c>
      <c r="E415" s="39">
        <f>'[3]13нед'!D55</f>
        <v>0</v>
      </c>
      <c r="F415" s="40">
        <f>'[3]13нед'!G55</f>
        <v>0</v>
      </c>
      <c r="G415" s="41" t="str">
        <f>'[3]13нед'!H55</f>
        <v/>
      </c>
      <c r="H415" s="42"/>
      <c r="I415" s="43"/>
      <c r="J415" s="44"/>
      <c r="K415" s="29" t="s">
        <v>19</v>
      </c>
      <c r="L415" s="38">
        <f>'[4]14нед'!C55</f>
        <v>0</v>
      </c>
      <c r="M415" s="39">
        <f>'[4]14нед'!D55</f>
        <v>0</v>
      </c>
      <c r="N415" s="40">
        <f>'[4]14нед'!G55</f>
        <v>0</v>
      </c>
      <c r="O415" s="41" t="str">
        <f>'[4]14нед'!H55</f>
        <v/>
      </c>
      <c r="P415" s="42"/>
    </row>
    <row r="416" ht="31.5" spans="1:16">
      <c r="A416" s="36"/>
      <c r="B416" s="37"/>
      <c r="C416" s="29" t="s">
        <v>20</v>
      </c>
      <c r="D416" s="38">
        <f>'[3]13нед'!C56</f>
        <v>0</v>
      </c>
      <c r="E416" s="39">
        <f>'[3]13нед'!D56</f>
        <v>0</v>
      </c>
      <c r="F416" s="40">
        <f>'[3]13нед'!G56</f>
        <v>0</v>
      </c>
      <c r="G416" s="41" t="str">
        <f>'[3]13нед'!H56</f>
        <v/>
      </c>
      <c r="H416" s="42"/>
      <c r="I416" s="43"/>
      <c r="J416" s="44"/>
      <c r="K416" s="29" t="s">
        <v>20</v>
      </c>
      <c r="L416" s="38">
        <f>'[4]14нед'!C56</f>
        <v>0</v>
      </c>
      <c r="M416" s="39">
        <f>'[4]14нед'!D56</f>
        <v>0</v>
      </c>
      <c r="N416" s="40">
        <f>'[4]14нед'!G56</f>
        <v>0</v>
      </c>
      <c r="O416" s="41" t="str">
        <f>'[4]14нед'!H56</f>
        <v/>
      </c>
      <c r="P416" s="42"/>
    </row>
    <row r="417" ht="31.5" spans="1:16">
      <c r="A417" s="36"/>
      <c r="B417" s="37"/>
      <c r="C417" s="29" t="s">
        <v>21</v>
      </c>
      <c r="D417" s="38">
        <f>'[3]13нед'!C57</f>
        <v>0</v>
      </c>
      <c r="E417" s="39">
        <f>'[3]13нед'!D57</f>
        <v>0</v>
      </c>
      <c r="F417" s="40">
        <f>'[3]13нед'!G57</f>
        <v>0</v>
      </c>
      <c r="G417" s="41" t="str">
        <f>'[3]13нед'!H57</f>
        <v/>
      </c>
      <c r="H417" s="42"/>
      <c r="I417" s="43"/>
      <c r="J417" s="44"/>
      <c r="K417" s="29" t="s">
        <v>21</v>
      </c>
      <c r="L417" s="38">
        <f>'[4]14нед'!C57</f>
        <v>0</v>
      </c>
      <c r="M417" s="39">
        <f>'[4]14нед'!D57</f>
        <v>0</v>
      </c>
      <c r="N417" s="40">
        <f>'[4]14нед'!G57</f>
        <v>0</v>
      </c>
      <c r="O417" s="41" t="str">
        <f>'[4]14нед'!H57</f>
        <v/>
      </c>
      <c r="P417" s="42"/>
    </row>
    <row r="418" ht="32.25" spans="1:16">
      <c r="A418" s="36"/>
      <c r="B418" s="37"/>
      <c r="C418" s="29" t="s">
        <v>22</v>
      </c>
      <c r="D418" s="38">
        <f>'[3]13нед'!C58</f>
        <v>0</v>
      </c>
      <c r="E418" s="39">
        <f>'[3]13нед'!D58</f>
        <v>0</v>
      </c>
      <c r="F418" s="40">
        <f>'[3]13нед'!G58</f>
        <v>0</v>
      </c>
      <c r="G418" s="41" t="str">
        <f>'[3]13нед'!H58</f>
        <v/>
      </c>
      <c r="H418" s="42"/>
      <c r="I418" s="43"/>
      <c r="J418" s="44"/>
      <c r="K418" s="29" t="s">
        <v>22</v>
      </c>
      <c r="L418" s="38">
        <f>'[4]14нед'!C58</f>
        <v>0</v>
      </c>
      <c r="M418" s="39">
        <f>'[4]14нед'!D58</f>
        <v>0</v>
      </c>
      <c r="N418" s="40">
        <f>'[4]14нед'!G58</f>
        <v>0</v>
      </c>
      <c r="O418" s="41" t="str">
        <f>'[4]14нед'!H58</f>
        <v/>
      </c>
      <c r="P418" s="42"/>
    </row>
    <row r="419" ht="18.4" hidden="1" customHeight="1" spans="1:16">
      <c r="A419" s="45"/>
      <c r="B419" s="46"/>
      <c r="C419" s="47"/>
      <c r="D419" s="48">
        <f>'[3]13нед'!C59</f>
        <v>0</v>
      </c>
      <c r="E419" s="49">
        <f>'[3]13нед'!D59</f>
        <v>0</v>
      </c>
      <c r="F419" s="50">
        <f>'[3]13нед'!G59</f>
        <v>0</v>
      </c>
      <c r="G419" s="51" t="str">
        <f>'[3]11нед'!H59</f>
        <v/>
      </c>
      <c r="H419" s="52"/>
      <c r="I419" s="53"/>
      <c r="J419" s="54"/>
      <c r="K419" s="47"/>
      <c r="L419" s="48">
        <f>'[4]14нед'!C59</f>
        <v>0</v>
      </c>
      <c r="M419" s="49">
        <f>'[4]14нед'!D59</f>
        <v>0</v>
      </c>
      <c r="N419" s="50">
        <f>'[4]14нед'!G59</f>
        <v>0</v>
      </c>
      <c r="O419" s="51" t="str">
        <f>'[4]14нед'!H59</f>
        <v/>
      </c>
      <c r="P419" s="52"/>
    </row>
    <row r="420" ht="39" customHeight="1" spans="1:16">
      <c r="A420" s="64"/>
      <c r="B420" s="65"/>
      <c r="C420" s="66"/>
      <c r="D420" s="67"/>
      <c r="E420" s="67" t="s">
        <v>28</v>
      </c>
      <c r="F420" s="67"/>
      <c r="G420" s="68" t="s">
        <v>29</v>
      </c>
      <c r="H420" s="69"/>
      <c r="I420" s="64"/>
      <c r="J420" s="65"/>
      <c r="K420" s="66"/>
      <c r="L420" s="67"/>
      <c r="M420" s="67" t="s">
        <v>28</v>
      </c>
      <c r="N420" s="67"/>
      <c r="O420" s="68" t="s">
        <v>29</v>
      </c>
      <c r="P420" s="69"/>
    </row>
    <row r="421" ht="15.75" spans="1:16">
      <c r="A421" s="2"/>
      <c r="B421" s="3"/>
      <c r="C421" s="4"/>
      <c r="D421" s="5"/>
      <c r="E421" s="5"/>
      <c r="F421" s="5"/>
      <c r="G421" s="5"/>
      <c r="H421" s="6" t="s">
        <v>0</v>
      </c>
      <c r="I421" s="2"/>
      <c r="J421" s="3"/>
      <c r="K421" s="4"/>
      <c r="L421" s="5"/>
      <c r="M421" s="5"/>
      <c r="N421" s="5"/>
      <c r="O421" s="5"/>
      <c r="P421" s="6" t="s">
        <v>0</v>
      </c>
    </row>
    <row r="422" ht="15.75" spans="1:16">
      <c r="A422" s="2"/>
      <c r="B422" s="3"/>
      <c r="C422" s="4"/>
      <c r="D422" s="5"/>
      <c r="E422" s="5"/>
      <c r="F422" s="5"/>
      <c r="G422" s="5"/>
      <c r="H422" s="6" t="s">
        <v>1</v>
      </c>
      <c r="I422" s="2"/>
      <c r="J422" s="3"/>
      <c r="K422" s="4"/>
      <c r="L422" s="5"/>
      <c r="M422" s="5"/>
      <c r="N422" s="5"/>
      <c r="O422" s="5"/>
      <c r="P422" s="6" t="s">
        <v>1</v>
      </c>
    </row>
    <row r="423" ht="15.75" spans="1:16">
      <c r="A423" s="2"/>
      <c r="B423" s="3"/>
      <c r="C423" s="4"/>
      <c r="D423" s="5"/>
      <c r="E423" s="5"/>
      <c r="F423" s="5"/>
      <c r="G423" s="5"/>
      <c r="H423" s="6" t="s">
        <v>2</v>
      </c>
      <c r="I423" s="2"/>
      <c r="J423" s="3"/>
      <c r="K423" s="4"/>
      <c r="L423" s="5"/>
      <c r="M423" s="5"/>
      <c r="N423" s="5"/>
      <c r="O423" s="5"/>
      <c r="P423" s="6" t="s">
        <v>2</v>
      </c>
    </row>
    <row r="424" ht="15.75" spans="1:16">
      <c r="A424" s="2"/>
      <c r="B424" s="3"/>
      <c r="C424" s="4"/>
      <c r="D424" s="5"/>
      <c r="E424" s="5"/>
      <c r="F424" s="5"/>
      <c r="G424" s="5"/>
      <c r="H424" s="6" t="s">
        <v>3</v>
      </c>
      <c r="I424" s="2"/>
      <c r="J424" s="3"/>
      <c r="K424" s="4"/>
      <c r="L424" s="5"/>
      <c r="M424" s="5"/>
      <c r="N424" s="5"/>
      <c r="O424" s="5"/>
      <c r="P424" s="6" t="s">
        <v>3</v>
      </c>
    </row>
    <row r="425" ht="15.75" spans="1:16">
      <c r="A425" s="2"/>
      <c r="B425" s="7"/>
      <c r="C425" s="4"/>
      <c r="D425" s="5"/>
      <c r="E425" s="5"/>
      <c r="F425" s="5"/>
      <c r="G425" s="5"/>
      <c r="H425" s="5"/>
      <c r="I425" s="2"/>
      <c r="J425" s="7"/>
      <c r="K425" s="4"/>
      <c r="L425" s="5"/>
      <c r="M425" s="5"/>
      <c r="N425" s="5"/>
      <c r="O425" s="5"/>
      <c r="P425" s="5"/>
    </row>
    <row r="426" ht="15.75" spans="1:16">
      <c r="A426" s="2"/>
      <c r="B426" s="8" t="s">
        <v>4</v>
      </c>
      <c r="C426" s="8"/>
      <c r="D426" s="8"/>
      <c r="E426" s="8"/>
      <c r="F426" s="8"/>
      <c r="G426" s="8"/>
      <c r="H426" s="8"/>
      <c r="I426" s="2"/>
      <c r="J426" s="8" t="s">
        <v>4</v>
      </c>
      <c r="K426" s="8"/>
      <c r="L426" s="8"/>
      <c r="M426" s="8"/>
      <c r="N426" s="8"/>
      <c r="O426" s="8"/>
      <c r="P426" s="8"/>
    </row>
    <row r="427" ht="15.75" spans="1:16">
      <c r="A427" s="9"/>
      <c r="B427" s="10" t="str">
        <f>'[1]1нед'!$A$6</f>
        <v>Направление подготовки:</v>
      </c>
      <c r="C427" s="11"/>
      <c r="D427" s="12"/>
      <c r="E427" s="13" t="str">
        <f>E7</f>
        <v>00</v>
      </c>
      <c r="F427" s="12"/>
      <c r="G427" s="12">
        <f>G7</f>
        <v>0</v>
      </c>
      <c r="H427" s="14"/>
      <c r="I427" s="9"/>
      <c r="J427" s="10" t="str">
        <f>'[1]1нед'!$A$6</f>
        <v>Направление подготовки:</v>
      </c>
      <c r="K427" s="11"/>
      <c r="L427" s="12"/>
      <c r="M427" s="13" t="str">
        <f>E7</f>
        <v>00</v>
      </c>
      <c r="N427" s="12"/>
      <c r="O427" s="12">
        <f>G7</f>
        <v>0</v>
      </c>
      <c r="P427" s="14"/>
    </row>
    <row r="428" ht="15.75" spans="1:16">
      <c r="A428" s="2"/>
      <c r="B428" s="10" t="s">
        <v>5</v>
      </c>
      <c r="C428" s="10"/>
      <c r="D428" s="10"/>
      <c r="E428" s="10" t="str">
        <f t="shared" ref="E428:E429" si="6">E8</f>
        <v>очная</v>
      </c>
      <c r="F428" s="10"/>
      <c r="G428" s="10"/>
      <c r="H428" s="10"/>
      <c r="I428" s="2"/>
      <c r="J428" s="10" t="s">
        <v>5</v>
      </c>
      <c r="K428" s="10"/>
      <c r="L428" s="10"/>
      <c r="M428" s="10" t="str">
        <f t="shared" ref="M428:M429" si="7">E8</f>
        <v>очная</v>
      </c>
      <c r="N428" s="10"/>
      <c r="O428" s="10"/>
      <c r="P428" s="10"/>
    </row>
    <row r="429" ht="15.75" spans="1:16">
      <c r="A429" s="2"/>
      <c r="B429" s="10" t="s">
        <v>7</v>
      </c>
      <c r="C429" s="10"/>
      <c r="D429" s="10"/>
      <c r="E429" s="10">
        <f t="shared" si="6"/>
        <v>1</v>
      </c>
      <c r="F429" s="10"/>
      <c r="G429" s="10"/>
      <c r="H429" s="15"/>
      <c r="I429" s="2"/>
      <c r="J429" s="10" t="s">
        <v>7</v>
      </c>
      <c r="K429" s="10"/>
      <c r="L429" s="10"/>
      <c r="M429" s="10">
        <f t="shared" si="7"/>
        <v>1</v>
      </c>
      <c r="N429" s="10"/>
      <c r="O429" s="10"/>
      <c r="P429" s="15"/>
    </row>
    <row r="430" ht="16.5" spans="1:16">
      <c r="A430" s="2"/>
      <c r="B430" s="16" t="s">
        <v>8</v>
      </c>
      <c r="C430" s="16"/>
      <c r="D430" s="16"/>
      <c r="E430" s="16">
        <f>M370+1</f>
        <v>15</v>
      </c>
      <c r="F430" s="16"/>
      <c r="G430" s="16"/>
      <c r="H430" s="17"/>
      <c r="I430" s="2"/>
      <c r="J430" s="16" t="s">
        <v>8</v>
      </c>
      <c r="K430" s="16"/>
      <c r="L430" s="16"/>
      <c r="M430" s="16">
        <f>E430+1</f>
        <v>16</v>
      </c>
      <c r="N430" s="16"/>
      <c r="O430" s="16"/>
      <c r="P430" s="17"/>
    </row>
    <row r="431" ht="54" customHeight="1" spans="1:16">
      <c r="A431" s="19" t="s">
        <v>9</v>
      </c>
      <c r="B431" s="20"/>
      <c r="C431" s="21" t="s">
        <v>10</v>
      </c>
      <c r="D431" s="22" t="s">
        <v>11</v>
      </c>
      <c r="E431" s="23" t="s">
        <v>12</v>
      </c>
      <c r="F431" s="24" t="s">
        <v>13</v>
      </c>
      <c r="G431" s="25"/>
      <c r="H431" s="26" t="s">
        <v>14</v>
      </c>
      <c r="I431" s="19" t="s">
        <v>9</v>
      </c>
      <c r="J431" s="20"/>
      <c r="K431" s="21" t="s">
        <v>10</v>
      </c>
      <c r="L431" s="22" t="s">
        <v>11</v>
      </c>
      <c r="M431" s="23" t="s">
        <v>12</v>
      </c>
      <c r="N431" s="24" t="s">
        <v>13</v>
      </c>
      <c r="O431" s="25"/>
      <c r="P431" s="26" t="s">
        <v>14</v>
      </c>
    </row>
    <row r="432" ht="32.25" customHeight="1" spans="1:16">
      <c r="A432" s="27">
        <v>46363</v>
      </c>
      <c r="B432" s="28" t="s">
        <v>15</v>
      </c>
      <c r="C432" s="29" t="s">
        <v>16</v>
      </c>
      <c r="D432" s="30">
        <f>'[4]15нед'!C12</f>
        <v>0</v>
      </c>
      <c r="E432" s="31">
        <f>'[4]15нед'!D12</f>
        <v>0</v>
      </c>
      <c r="F432" s="32">
        <f>'[4]15нед'!G12</f>
        <v>0</v>
      </c>
      <c r="G432" s="33" t="str">
        <f>'[4]15нед'!H12</f>
        <v/>
      </c>
      <c r="H432" s="34"/>
      <c r="I432" s="27">
        <v>46370</v>
      </c>
      <c r="J432" s="35" t="s">
        <v>15</v>
      </c>
      <c r="K432" s="29" t="s">
        <v>16</v>
      </c>
      <c r="L432" s="30">
        <f>'[4]16нед'!C12</f>
        <v>0</v>
      </c>
      <c r="M432" s="31">
        <f>'[4]16нед'!D12</f>
        <v>0</v>
      </c>
      <c r="N432" s="32">
        <f>'[4]16нед'!G12</f>
        <v>0</v>
      </c>
      <c r="O432" s="33" t="str">
        <f>'[4]16нед'!H12</f>
        <v/>
      </c>
      <c r="P432" s="34"/>
    </row>
    <row r="433" ht="31.5" spans="1:16">
      <c r="A433" s="36"/>
      <c r="B433" s="37"/>
      <c r="C433" s="29" t="s">
        <v>17</v>
      </c>
      <c r="D433" s="38">
        <f>'[4]15нед'!C13</f>
        <v>0</v>
      </c>
      <c r="E433" s="39">
        <f>'[4]15нед'!D13</f>
        <v>0</v>
      </c>
      <c r="F433" s="40">
        <f>'[4]15нед'!G13</f>
        <v>0</v>
      </c>
      <c r="G433" s="41" t="str">
        <f>'[4]15нед'!H13</f>
        <v/>
      </c>
      <c r="H433" s="42"/>
      <c r="I433" s="43"/>
      <c r="J433" s="44"/>
      <c r="K433" s="29" t="s">
        <v>17</v>
      </c>
      <c r="L433" s="38">
        <f>'[4]16нед'!C13</f>
        <v>0</v>
      </c>
      <c r="M433" s="39">
        <f>'[4]16нед'!D13</f>
        <v>0</v>
      </c>
      <c r="N433" s="40">
        <f>'[4]16нед'!G13</f>
        <v>0</v>
      </c>
      <c r="O433" s="41" t="str">
        <f>'[4]16нед'!H13</f>
        <v/>
      </c>
      <c r="P433" s="42"/>
    </row>
    <row r="434" ht="31.5" spans="1:16">
      <c r="A434" s="36"/>
      <c r="B434" s="37"/>
      <c r="C434" s="29" t="s">
        <v>18</v>
      </c>
      <c r="D434" s="38">
        <f>'[4]15нед'!C14</f>
        <v>0</v>
      </c>
      <c r="E434" s="39">
        <f>'[4]15нед'!D14</f>
        <v>0</v>
      </c>
      <c r="F434" s="40">
        <f>'[4]15нед'!G14</f>
        <v>0</v>
      </c>
      <c r="G434" s="41" t="str">
        <f>'[4]15нед'!H14</f>
        <v/>
      </c>
      <c r="H434" s="42"/>
      <c r="I434" s="43"/>
      <c r="J434" s="44"/>
      <c r="K434" s="29" t="s">
        <v>18</v>
      </c>
      <c r="L434" s="38">
        <f>'[4]16нед'!C14</f>
        <v>0</v>
      </c>
      <c r="M434" s="39">
        <f>'[4]16нед'!D14</f>
        <v>0</v>
      </c>
      <c r="N434" s="40">
        <f>'[4]16нед'!G14</f>
        <v>0</v>
      </c>
      <c r="O434" s="41" t="str">
        <f>'[4]16нед'!H14</f>
        <v/>
      </c>
      <c r="P434" s="42"/>
    </row>
    <row r="435" ht="31.5" spans="1:16">
      <c r="A435" s="36"/>
      <c r="B435" s="37"/>
      <c r="C435" s="29" t="s">
        <v>19</v>
      </c>
      <c r="D435" s="38">
        <f>'[4]15нед'!C15</f>
        <v>0</v>
      </c>
      <c r="E435" s="39">
        <f>'[4]15нед'!D15</f>
        <v>0</v>
      </c>
      <c r="F435" s="40">
        <f>'[4]15нед'!G15</f>
        <v>0</v>
      </c>
      <c r="G435" s="41" t="str">
        <f>'[4]15нед'!H15</f>
        <v/>
      </c>
      <c r="H435" s="42"/>
      <c r="I435" s="43"/>
      <c r="J435" s="44"/>
      <c r="K435" s="29" t="s">
        <v>19</v>
      </c>
      <c r="L435" s="38">
        <f>'[4]16нед'!C15</f>
        <v>0</v>
      </c>
      <c r="M435" s="39">
        <f>'[4]16нед'!D15</f>
        <v>0</v>
      </c>
      <c r="N435" s="40">
        <f>'[4]16нед'!G15</f>
        <v>0</v>
      </c>
      <c r="O435" s="41" t="str">
        <f>'[4]16нед'!H15</f>
        <v/>
      </c>
      <c r="P435" s="42"/>
    </row>
    <row r="436" ht="31.5" spans="1:16">
      <c r="A436" s="36"/>
      <c r="B436" s="37"/>
      <c r="C436" s="29" t="s">
        <v>20</v>
      </c>
      <c r="D436" s="38">
        <f>'[4]15нед'!C16</f>
        <v>0</v>
      </c>
      <c r="E436" s="39">
        <f>'[4]15нед'!D16</f>
        <v>0</v>
      </c>
      <c r="F436" s="40">
        <f>'[4]15нед'!G16</f>
        <v>0</v>
      </c>
      <c r="G436" s="41" t="str">
        <f>'[4]15нед'!H16</f>
        <v/>
      </c>
      <c r="H436" s="42"/>
      <c r="I436" s="43"/>
      <c r="J436" s="44"/>
      <c r="K436" s="29" t="s">
        <v>20</v>
      </c>
      <c r="L436" s="38">
        <f>'[4]16нед'!C16</f>
        <v>0</v>
      </c>
      <c r="M436" s="39">
        <f>'[4]16нед'!D16</f>
        <v>0</v>
      </c>
      <c r="N436" s="40">
        <f>'[4]16нед'!G16</f>
        <v>0</v>
      </c>
      <c r="O436" s="41" t="str">
        <f>'[4]16нед'!H16</f>
        <v/>
      </c>
      <c r="P436" s="42"/>
    </row>
    <row r="437" ht="31.5" spans="1:16">
      <c r="A437" s="36"/>
      <c r="B437" s="37"/>
      <c r="C437" s="29" t="s">
        <v>21</v>
      </c>
      <c r="D437" s="38">
        <f>'[4]15нед'!C17</f>
        <v>0</v>
      </c>
      <c r="E437" s="39">
        <f>'[4]15нед'!D17</f>
        <v>0</v>
      </c>
      <c r="F437" s="40">
        <f>'[4]15нед'!G17</f>
        <v>0</v>
      </c>
      <c r="G437" s="41" t="str">
        <f>'[4]15нед'!H17</f>
        <v/>
      </c>
      <c r="H437" s="56"/>
      <c r="I437" s="43"/>
      <c r="J437" s="44"/>
      <c r="K437" s="29" t="s">
        <v>21</v>
      </c>
      <c r="L437" s="38">
        <f>'[4]16нед'!C17</f>
        <v>0</v>
      </c>
      <c r="M437" s="39">
        <f>'[4]16нед'!D17</f>
        <v>0</v>
      </c>
      <c r="N437" s="40">
        <f>'[4]16нед'!G17</f>
        <v>0</v>
      </c>
      <c r="O437" s="41" t="str">
        <f>'[4]16нед'!H17</f>
        <v/>
      </c>
      <c r="P437" s="56"/>
    </row>
    <row r="438" ht="32.25" spans="1:16">
      <c r="A438" s="36"/>
      <c r="B438" s="37"/>
      <c r="C438" s="29" t="s">
        <v>22</v>
      </c>
      <c r="D438" s="38">
        <f>'[4]15нед'!C18</f>
        <v>0</v>
      </c>
      <c r="E438" s="39">
        <f>'[4]15нед'!D18</f>
        <v>0</v>
      </c>
      <c r="F438" s="40">
        <f>'[4]15нед'!G18</f>
        <v>0</v>
      </c>
      <c r="G438" s="41" t="str">
        <f>'[4]15нед'!H18</f>
        <v/>
      </c>
      <c r="H438" s="56"/>
      <c r="I438" s="43"/>
      <c r="J438" s="44"/>
      <c r="K438" s="29" t="s">
        <v>22</v>
      </c>
      <c r="L438" s="38">
        <f>'[4]16нед'!C18</f>
        <v>0</v>
      </c>
      <c r="M438" s="39">
        <f>'[4]16нед'!D18</f>
        <v>0</v>
      </c>
      <c r="N438" s="40">
        <f>'[4]16нед'!G18</f>
        <v>0</v>
      </c>
      <c r="O438" s="41" t="str">
        <f>'[4]16нед'!H18</f>
        <v/>
      </c>
      <c r="P438" s="56"/>
    </row>
    <row r="439" ht="18.4" hidden="1" customHeight="1" spans="1:16">
      <c r="A439" s="45"/>
      <c r="B439" s="46"/>
      <c r="C439" s="47"/>
      <c r="D439" s="48">
        <f>'[4]15нед'!C19</f>
        <v>0</v>
      </c>
      <c r="E439" s="49">
        <f>'[4]15нед'!D19</f>
        <v>0</v>
      </c>
      <c r="F439" s="50">
        <f>'[4]15нед'!G19</f>
        <v>0</v>
      </c>
      <c r="G439" s="51" t="str">
        <f>'[4]15нед'!H19</f>
        <v/>
      </c>
      <c r="H439" s="52"/>
      <c r="I439" s="53"/>
      <c r="J439" s="54"/>
      <c r="K439" s="47"/>
      <c r="L439" s="48">
        <f>'[4]16нед'!C19</f>
        <v>0</v>
      </c>
      <c r="M439" s="49">
        <f>'[4]16нед'!D19</f>
        <v>0</v>
      </c>
      <c r="N439" s="50">
        <f>'[4]16нед'!G19</f>
        <v>0</v>
      </c>
      <c r="O439" s="51" t="str">
        <f>'[4]16нед'!H19</f>
        <v/>
      </c>
      <c r="P439" s="52"/>
    </row>
    <row r="440" ht="32.25" customHeight="1" spans="1:16">
      <c r="A440" s="27">
        <v>46364</v>
      </c>
      <c r="B440" s="28" t="s">
        <v>23</v>
      </c>
      <c r="C440" s="55" t="s">
        <v>16</v>
      </c>
      <c r="D440" s="30">
        <f>'[4]15нед'!C20</f>
        <v>0</v>
      </c>
      <c r="E440" s="31">
        <f>'[4]15нед'!D20</f>
        <v>0</v>
      </c>
      <c r="F440" s="32">
        <f>'[4]15нед'!G20</f>
        <v>0</v>
      </c>
      <c r="G440" s="33" t="str">
        <f>'[4]15нед'!H20</f>
        <v/>
      </c>
      <c r="H440" s="34"/>
      <c r="I440" s="27">
        <v>46371</v>
      </c>
      <c r="J440" s="35" t="s">
        <v>23</v>
      </c>
      <c r="K440" s="55" t="s">
        <v>16</v>
      </c>
      <c r="L440" s="30">
        <f>'[4]16нед'!C20</f>
        <v>0</v>
      </c>
      <c r="M440" s="31">
        <f>'[4]16нед'!D20</f>
        <v>0</v>
      </c>
      <c r="N440" s="32">
        <f>'[4]16нед'!G20</f>
        <v>0</v>
      </c>
      <c r="O440" s="33" t="str">
        <f>'[4]16нед'!H20</f>
        <v/>
      </c>
      <c r="P440" s="34"/>
    </row>
    <row r="441" ht="31.5" spans="1:16">
      <c r="A441" s="36"/>
      <c r="B441" s="37"/>
      <c r="C441" s="29" t="s">
        <v>17</v>
      </c>
      <c r="D441" s="38">
        <f>'[4]15нед'!C21</f>
        <v>0</v>
      </c>
      <c r="E441" s="39">
        <f>'[4]15нед'!D21</f>
        <v>0</v>
      </c>
      <c r="F441" s="40">
        <f>'[4]15нед'!G21</f>
        <v>0</v>
      </c>
      <c r="G441" s="41" t="str">
        <f>'[4]15нед'!H21</f>
        <v/>
      </c>
      <c r="H441" s="42"/>
      <c r="I441" s="43"/>
      <c r="J441" s="44"/>
      <c r="K441" s="29" t="s">
        <v>17</v>
      </c>
      <c r="L441" s="38">
        <f>'[4]16нед'!C21</f>
        <v>0</v>
      </c>
      <c r="M441" s="39">
        <f>'[4]16нед'!D21</f>
        <v>0</v>
      </c>
      <c r="N441" s="40">
        <f>'[4]16нед'!G21</f>
        <v>0</v>
      </c>
      <c r="O441" s="41" t="str">
        <f>'[4]16нед'!H21</f>
        <v/>
      </c>
      <c r="P441" s="42"/>
    </row>
    <row r="442" ht="31.5" spans="1:16">
      <c r="A442" s="36"/>
      <c r="B442" s="37"/>
      <c r="C442" s="29" t="s">
        <v>18</v>
      </c>
      <c r="D442" s="38">
        <f>'[4]15нед'!C22</f>
        <v>0</v>
      </c>
      <c r="E442" s="39">
        <f>'[4]15нед'!D22</f>
        <v>0</v>
      </c>
      <c r="F442" s="40">
        <f>'[4]15нед'!G22</f>
        <v>0</v>
      </c>
      <c r="G442" s="41" t="str">
        <f>'[4]15нед'!H22</f>
        <v/>
      </c>
      <c r="H442" s="42"/>
      <c r="I442" s="43"/>
      <c r="J442" s="44"/>
      <c r="K442" s="29" t="s">
        <v>18</v>
      </c>
      <c r="L442" s="38">
        <f>'[4]16нед'!C22</f>
        <v>0</v>
      </c>
      <c r="M442" s="39">
        <f>'[4]16нед'!D22</f>
        <v>0</v>
      </c>
      <c r="N442" s="40">
        <f>'[4]16нед'!G22</f>
        <v>0</v>
      </c>
      <c r="O442" s="41" t="str">
        <f>'[4]16нед'!H22</f>
        <v/>
      </c>
      <c r="P442" s="42"/>
    </row>
    <row r="443" ht="31.5" spans="1:16">
      <c r="A443" s="36"/>
      <c r="B443" s="37"/>
      <c r="C443" s="29" t="s">
        <v>19</v>
      </c>
      <c r="D443" s="38">
        <f>'[4]15нед'!C23</f>
        <v>0</v>
      </c>
      <c r="E443" s="39">
        <f>'[4]15нед'!D23</f>
        <v>0</v>
      </c>
      <c r="F443" s="40">
        <f>'[4]15нед'!G23</f>
        <v>0</v>
      </c>
      <c r="G443" s="41" t="str">
        <f>'[4]15нед'!H23</f>
        <v/>
      </c>
      <c r="H443" s="42"/>
      <c r="I443" s="43"/>
      <c r="J443" s="44"/>
      <c r="K443" s="29" t="s">
        <v>19</v>
      </c>
      <c r="L443" s="38">
        <f>'[4]16нед'!C23</f>
        <v>0</v>
      </c>
      <c r="M443" s="39">
        <f>'[4]16нед'!D23</f>
        <v>0</v>
      </c>
      <c r="N443" s="40">
        <f>'[4]16нед'!G23</f>
        <v>0</v>
      </c>
      <c r="O443" s="41" t="str">
        <f>'[4]16нед'!H23</f>
        <v/>
      </c>
      <c r="P443" s="42"/>
    </row>
    <row r="444" ht="31.5" spans="1:16">
      <c r="A444" s="36"/>
      <c r="B444" s="37"/>
      <c r="C444" s="29" t="s">
        <v>20</v>
      </c>
      <c r="D444" s="38">
        <f>'[4]15нед'!C24</f>
        <v>0</v>
      </c>
      <c r="E444" s="39">
        <f>'[4]15нед'!D24</f>
        <v>0</v>
      </c>
      <c r="F444" s="40">
        <f>'[4]15нед'!G24</f>
        <v>0</v>
      </c>
      <c r="G444" s="41" t="str">
        <f>'[4]15нед'!H24</f>
        <v/>
      </c>
      <c r="H444" s="42"/>
      <c r="I444" s="43"/>
      <c r="J444" s="44"/>
      <c r="K444" s="29" t="s">
        <v>20</v>
      </c>
      <c r="L444" s="38">
        <f>'[4]16нед'!C24</f>
        <v>0</v>
      </c>
      <c r="M444" s="39">
        <f>'[4]16нед'!D24</f>
        <v>0</v>
      </c>
      <c r="N444" s="40">
        <f>'[4]16нед'!G24</f>
        <v>0</v>
      </c>
      <c r="O444" s="41" t="str">
        <f>'[4]16нед'!H24</f>
        <v/>
      </c>
      <c r="P444" s="42"/>
    </row>
    <row r="445" ht="31.5" spans="1:16">
      <c r="A445" s="36"/>
      <c r="B445" s="37"/>
      <c r="C445" s="29" t="s">
        <v>21</v>
      </c>
      <c r="D445" s="38">
        <f>'[4]15нед'!C25</f>
        <v>0</v>
      </c>
      <c r="E445" s="39">
        <f>'[4]15нед'!D25</f>
        <v>0</v>
      </c>
      <c r="F445" s="40">
        <f>'[4]15нед'!G25</f>
        <v>0</v>
      </c>
      <c r="G445" s="41" t="str">
        <f>'[4]15нед'!H25</f>
        <v/>
      </c>
      <c r="H445" s="42"/>
      <c r="I445" s="43"/>
      <c r="J445" s="44"/>
      <c r="K445" s="29" t="s">
        <v>21</v>
      </c>
      <c r="L445" s="38">
        <f>'[4]16нед'!C25</f>
        <v>0</v>
      </c>
      <c r="M445" s="39">
        <f>'[4]16нед'!D25</f>
        <v>0</v>
      </c>
      <c r="N445" s="40">
        <f>'[4]16нед'!G25</f>
        <v>0</v>
      </c>
      <c r="O445" s="41" t="str">
        <f>'[4]16нед'!H25</f>
        <v/>
      </c>
      <c r="P445" s="42"/>
    </row>
    <row r="446" ht="32.25" spans="1:16">
      <c r="A446" s="36"/>
      <c r="B446" s="37"/>
      <c r="C446" s="29" t="s">
        <v>22</v>
      </c>
      <c r="D446" s="38">
        <f>'[4]15нед'!C26</f>
        <v>0</v>
      </c>
      <c r="E446" s="39">
        <f>'[4]15нед'!D26</f>
        <v>0</v>
      </c>
      <c r="F446" s="40">
        <f>'[4]15нед'!G26</f>
        <v>0</v>
      </c>
      <c r="G446" s="41" t="str">
        <f>'[4]15нед'!H26</f>
        <v/>
      </c>
      <c r="H446" s="42"/>
      <c r="I446" s="43"/>
      <c r="J446" s="44"/>
      <c r="K446" s="29" t="s">
        <v>22</v>
      </c>
      <c r="L446" s="38">
        <f>'[4]16нед'!C26</f>
        <v>0</v>
      </c>
      <c r="M446" s="39">
        <f>'[4]16нед'!D26</f>
        <v>0</v>
      </c>
      <c r="N446" s="40">
        <f>'[4]16нед'!G26</f>
        <v>0</v>
      </c>
      <c r="O446" s="41" t="str">
        <f>'[4]16нед'!H26</f>
        <v/>
      </c>
      <c r="P446" s="42"/>
    </row>
    <row r="447" ht="18.4" hidden="1" customHeight="1" spans="1:16">
      <c r="A447" s="45"/>
      <c r="B447" s="46"/>
      <c r="C447" s="47"/>
      <c r="D447" s="48">
        <f>'[4]15нед'!C27</f>
        <v>0</v>
      </c>
      <c r="E447" s="49">
        <f>'[4]15нед'!D27</f>
        <v>0</v>
      </c>
      <c r="F447" s="50">
        <f>'[4]15нед'!G27</f>
        <v>0</v>
      </c>
      <c r="G447" s="51" t="str">
        <f>'[4]15нед'!H27</f>
        <v/>
      </c>
      <c r="H447" s="52"/>
      <c r="I447" s="53"/>
      <c r="J447" s="54"/>
      <c r="K447" s="47"/>
      <c r="L447" s="48">
        <f>'[4]16нед'!C27</f>
        <v>0</v>
      </c>
      <c r="M447" s="49">
        <f>'[4]16нед'!D27</f>
        <v>0</v>
      </c>
      <c r="N447" s="50">
        <f>'[4]16нед'!G27</f>
        <v>0</v>
      </c>
      <c r="O447" s="51" t="str">
        <f>'[4]16нед'!H27</f>
        <v/>
      </c>
      <c r="P447" s="52"/>
    </row>
    <row r="448" ht="48" customHeight="1" spans="1:16">
      <c r="A448" s="27">
        <v>46365</v>
      </c>
      <c r="B448" s="57" t="s">
        <v>24</v>
      </c>
      <c r="C448" s="55" t="s">
        <v>16</v>
      </c>
      <c r="D448" s="30">
        <f>'[4]15нед'!C28</f>
        <v>0</v>
      </c>
      <c r="E448" s="31">
        <f>'[4]15нед'!D28</f>
        <v>0</v>
      </c>
      <c r="F448" s="32">
        <f>'[4]15нед'!G28</f>
        <v>0</v>
      </c>
      <c r="G448" s="33" t="str">
        <f>'[4]15нед'!H28</f>
        <v/>
      </c>
      <c r="H448" s="34"/>
      <c r="I448" s="27">
        <v>46372</v>
      </c>
      <c r="J448" s="58" t="s">
        <v>24</v>
      </c>
      <c r="K448" s="55" t="s">
        <v>16</v>
      </c>
      <c r="L448" s="30">
        <f>'[4]16нед'!C28</f>
        <v>0</v>
      </c>
      <c r="M448" s="31">
        <f>'[4]16нед'!D28</f>
        <v>0</v>
      </c>
      <c r="N448" s="32">
        <f>'[4]16нед'!G28</f>
        <v>0</v>
      </c>
      <c r="O448" s="33" t="str">
        <f>'[4]16нед'!H28</f>
        <v/>
      </c>
      <c r="P448" s="34"/>
    </row>
    <row r="449" ht="31.5" spans="1:16">
      <c r="A449" s="36"/>
      <c r="B449" s="59"/>
      <c r="C449" s="29" t="s">
        <v>17</v>
      </c>
      <c r="D449" s="38">
        <f>'[4]15нед'!C29</f>
        <v>0</v>
      </c>
      <c r="E449" s="39">
        <f>'[4]15нед'!D29</f>
        <v>0</v>
      </c>
      <c r="F449" s="40">
        <f>'[4]15нед'!G29</f>
        <v>0</v>
      </c>
      <c r="G449" s="41" t="str">
        <f>'[4]15нед'!H29</f>
        <v/>
      </c>
      <c r="H449" s="42"/>
      <c r="I449" s="43"/>
      <c r="J449" s="60"/>
      <c r="K449" s="29" t="s">
        <v>17</v>
      </c>
      <c r="L449" s="38">
        <f>'[4]16нед'!C29</f>
        <v>0</v>
      </c>
      <c r="M449" s="39">
        <f>'[4]16нед'!D29</f>
        <v>0</v>
      </c>
      <c r="N449" s="40">
        <f>'[4]16нед'!G29</f>
        <v>0</v>
      </c>
      <c r="O449" s="41" t="str">
        <f>'[4]16нед'!H29</f>
        <v/>
      </c>
      <c r="P449" s="42"/>
    </row>
    <row r="450" ht="31.5" spans="1:16">
      <c r="A450" s="36"/>
      <c r="B450" s="59"/>
      <c r="C450" s="29" t="s">
        <v>18</v>
      </c>
      <c r="D450" s="38">
        <f>'[4]15нед'!C30</f>
        <v>0</v>
      </c>
      <c r="E450" s="39">
        <f>'[4]15нед'!D30</f>
        <v>0</v>
      </c>
      <c r="F450" s="40">
        <f>'[4]15нед'!G30</f>
        <v>0</v>
      </c>
      <c r="G450" s="41" t="str">
        <f>'[4]15нед'!H30</f>
        <v/>
      </c>
      <c r="H450" s="42"/>
      <c r="I450" s="43"/>
      <c r="J450" s="60"/>
      <c r="K450" s="29" t="s">
        <v>18</v>
      </c>
      <c r="L450" s="38">
        <f>'[4]16нед'!C30</f>
        <v>0</v>
      </c>
      <c r="M450" s="39">
        <f>'[4]16нед'!D30</f>
        <v>0</v>
      </c>
      <c r="N450" s="40">
        <f>'[4]16нед'!G30</f>
        <v>0</v>
      </c>
      <c r="O450" s="41" t="str">
        <f>'[4]16нед'!H30</f>
        <v/>
      </c>
      <c r="P450" s="42"/>
    </row>
    <row r="451" ht="31.5" spans="1:16">
      <c r="A451" s="36"/>
      <c r="B451" s="59"/>
      <c r="C451" s="29" t="s">
        <v>19</v>
      </c>
      <c r="D451" s="38">
        <f>'[4]15нед'!C31</f>
        <v>0</v>
      </c>
      <c r="E451" s="39">
        <f>'[4]15нед'!D31</f>
        <v>0</v>
      </c>
      <c r="F451" s="40">
        <f>'[4]15нед'!G31</f>
        <v>0</v>
      </c>
      <c r="G451" s="41" t="str">
        <f>'[4]15нед'!H31</f>
        <v/>
      </c>
      <c r="H451" s="42"/>
      <c r="I451" s="43"/>
      <c r="J451" s="60"/>
      <c r="K451" s="29" t="s">
        <v>19</v>
      </c>
      <c r="L451" s="38">
        <f>'[4]16нед'!C31</f>
        <v>0</v>
      </c>
      <c r="M451" s="39">
        <f>'[4]16нед'!D31</f>
        <v>0</v>
      </c>
      <c r="N451" s="40">
        <f>'[4]16нед'!G31</f>
        <v>0</v>
      </c>
      <c r="O451" s="41" t="str">
        <f>'[4]16нед'!H31</f>
        <v/>
      </c>
      <c r="P451" s="42"/>
    </row>
    <row r="452" ht="31.5" spans="1:16">
      <c r="A452" s="36"/>
      <c r="B452" s="59"/>
      <c r="C452" s="29" t="s">
        <v>20</v>
      </c>
      <c r="D452" s="38">
        <f>'[4]15нед'!C32</f>
        <v>0</v>
      </c>
      <c r="E452" s="39">
        <f>'[4]15нед'!D32</f>
        <v>0</v>
      </c>
      <c r="F452" s="40">
        <f>'[4]15нед'!G32</f>
        <v>0</v>
      </c>
      <c r="G452" s="41" t="str">
        <f>'[4]15нед'!H32</f>
        <v/>
      </c>
      <c r="H452" s="42"/>
      <c r="I452" s="43"/>
      <c r="J452" s="60"/>
      <c r="K452" s="29" t="s">
        <v>20</v>
      </c>
      <c r="L452" s="38">
        <f>'[4]16нед'!C32</f>
        <v>0</v>
      </c>
      <c r="M452" s="39">
        <f>'[4]16нед'!D32</f>
        <v>0</v>
      </c>
      <c r="N452" s="40">
        <f>'[4]16нед'!G32</f>
        <v>0</v>
      </c>
      <c r="O452" s="41" t="str">
        <f>'[4]16нед'!H32</f>
        <v/>
      </c>
      <c r="P452" s="42"/>
    </row>
    <row r="453" ht="31.5" spans="1:16">
      <c r="A453" s="36"/>
      <c r="B453" s="59"/>
      <c r="C453" s="29" t="s">
        <v>21</v>
      </c>
      <c r="D453" s="38">
        <f>'[4]15нед'!C33</f>
        <v>0</v>
      </c>
      <c r="E453" s="39">
        <f>'[4]15нед'!D33</f>
        <v>0</v>
      </c>
      <c r="F453" s="40">
        <f>'[4]15нед'!G33</f>
        <v>0</v>
      </c>
      <c r="G453" s="41" t="str">
        <f>'[4]15нед'!H33</f>
        <v/>
      </c>
      <c r="H453" s="56"/>
      <c r="I453" s="43"/>
      <c r="J453" s="60"/>
      <c r="K453" s="29" t="s">
        <v>21</v>
      </c>
      <c r="L453" s="38">
        <f>'[4]16нед'!C33</f>
        <v>0</v>
      </c>
      <c r="M453" s="39">
        <f>'[4]16нед'!D33</f>
        <v>0</v>
      </c>
      <c r="N453" s="40">
        <f>'[4]16нед'!G33</f>
        <v>0</v>
      </c>
      <c r="O453" s="41" t="str">
        <f>'[4]16нед'!H33</f>
        <v/>
      </c>
      <c r="P453" s="56"/>
    </row>
    <row r="454" ht="32.25" spans="1:16">
      <c r="A454" s="36"/>
      <c r="B454" s="59"/>
      <c r="C454" s="29" t="s">
        <v>22</v>
      </c>
      <c r="D454" s="38">
        <f>'[4]15нед'!C34</f>
        <v>0</v>
      </c>
      <c r="E454" s="39">
        <f>'[4]15нед'!D34</f>
        <v>0</v>
      </c>
      <c r="F454" s="40">
        <f>'[4]15нед'!G34</f>
        <v>0</v>
      </c>
      <c r="G454" s="41" t="str">
        <f>'[4]15нед'!H34</f>
        <v/>
      </c>
      <c r="H454" s="56"/>
      <c r="I454" s="43"/>
      <c r="J454" s="60"/>
      <c r="K454" s="29" t="s">
        <v>22</v>
      </c>
      <c r="L454" s="38">
        <f>'[4]16нед'!C34</f>
        <v>0</v>
      </c>
      <c r="M454" s="39">
        <f>'[4]16нед'!D34</f>
        <v>0</v>
      </c>
      <c r="N454" s="40">
        <f>'[4]16нед'!G34</f>
        <v>0</v>
      </c>
      <c r="O454" s="41" t="str">
        <f>'[4]16нед'!H34</f>
        <v/>
      </c>
      <c r="P454" s="56"/>
    </row>
    <row r="455" ht="18.4" hidden="1" customHeight="1" spans="1:16">
      <c r="A455" s="45"/>
      <c r="B455" s="61"/>
      <c r="C455" s="47"/>
      <c r="D455" s="48">
        <f>'[4]15нед'!C35</f>
        <v>0</v>
      </c>
      <c r="E455" s="49">
        <f>'[4]15нед'!D35</f>
        <v>0</v>
      </c>
      <c r="F455" s="50">
        <f>'[4]15нед'!G35</f>
        <v>0</v>
      </c>
      <c r="G455" s="51" t="str">
        <f>'[4]15нед'!H35</f>
        <v/>
      </c>
      <c r="H455" s="52"/>
      <c r="I455" s="53"/>
      <c r="J455" s="62"/>
      <c r="K455" s="47"/>
      <c r="L455" s="48">
        <f>'[4]16нед'!C35</f>
        <v>0</v>
      </c>
      <c r="M455" s="49">
        <f>'[4]16нед'!D35</f>
        <v>0</v>
      </c>
      <c r="N455" s="50">
        <f>'[4]16нед'!G35</f>
        <v>0</v>
      </c>
      <c r="O455" s="51" t="str">
        <f>'[4]16нед'!H35</f>
        <v/>
      </c>
      <c r="P455" s="52"/>
    </row>
    <row r="456" ht="48" customHeight="1" spans="1:16">
      <c r="A456" s="27">
        <v>46366</v>
      </c>
      <c r="B456" s="28" t="s">
        <v>25</v>
      </c>
      <c r="C456" s="55" t="s">
        <v>16</v>
      </c>
      <c r="D456" s="30">
        <f>'[4]15нед'!C36</f>
        <v>0</v>
      </c>
      <c r="E456" s="31">
        <f>'[4]15нед'!D36</f>
        <v>0</v>
      </c>
      <c r="F456" s="32">
        <f>'[4]15нед'!G36</f>
        <v>0</v>
      </c>
      <c r="G456" s="33" t="str">
        <f>'[4]15нед'!H36</f>
        <v/>
      </c>
      <c r="H456" s="34"/>
      <c r="I456" s="27">
        <v>46373</v>
      </c>
      <c r="J456" s="35" t="s">
        <v>25</v>
      </c>
      <c r="K456" s="55" t="s">
        <v>16</v>
      </c>
      <c r="L456" s="30">
        <f>'[4]16нед'!C36</f>
        <v>0</v>
      </c>
      <c r="M456" s="31">
        <f>'[4]16нед'!D36</f>
        <v>0</v>
      </c>
      <c r="N456" s="32">
        <f>'[4]16нед'!G36</f>
        <v>0</v>
      </c>
      <c r="O456" s="33" t="str">
        <f>'[4]16нед'!H36</f>
        <v/>
      </c>
      <c r="P456" s="34"/>
    </row>
    <row r="457" ht="31.5" spans="1:16">
      <c r="A457" s="36"/>
      <c r="B457" s="37"/>
      <c r="C457" s="29" t="s">
        <v>17</v>
      </c>
      <c r="D457" s="38">
        <f>'[4]15нед'!C37</f>
        <v>0</v>
      </c>
      <c r="E457" s="39">
        <f>'[4]15нед'!D37</f>
        <v>0</v>
      </c>
      <c r="F457" s="40">
        <f>'[4]15нед'!G37</f>
        <v>0</v>
      </c>
      <c r="G457" s="41" t="str">
        <f>'[4]15нед'!H37</f>
        <v/>
      </c>
      <c r="H457" s="42"/>
      <c r="I457" s="43"/>
      <c r="J457" s="44"/>
      <c r="K457" s="29" t="s">
        <v>17</v>
      </c>
      <c r="L457" s="38">
        <f>'[4]16нед'!C37</f>
        <v>0</v>
      </c>
      <c r="M457" s="39">
        <f>'[4]16нед'!D37</f>
        <v>0</v>
      </c>
      <c r="N457" s="40">
        <f>'[4]16нед'!G37</f>
        <v>0</v>
      </c>
      <c r="O457" s="41" t="str">
        <f>'[4]16нед'!H37</f>
        <v/>
      </c>
      <c r="P457" s="42"/>
    </row>
    <row r="458" ht="31.5" spans="1:16">
      <c r="A458" s="36"/>
      <c r="B458" s="37"/>
      <c r="C458" s="29" t="s">
        <v>18</v>
      </c>
      <c r="D458" s="38">
        <f>'[4]15нед'!C38</f>
        <v>0</v>
      </c>
      <c r="E458" s="39">
        <f>'[4]15нед'!D38</f>
        <v>0</v>
      </c>
      <c r="F458" s="40">
        <f>'[4]15нед'!G38</f>
        <v>0</v>
      </c>
      <c r="G458" s="41" t="str">
        <f>'[4]15нед'!H38</f>
        <v/>
      </c>
      <c r="H458" s="42"/>
      <c r="I458" s="43"/>
      <c r="J458" s="44"/>
      <c r="K458" s="29" t="s">
        <v>18</v>
      </c>
      <c r="L458" s="38">
        <f>'[4]16нед'!C38</f>
        <v>0</v>
      </c>
      <c r="M458" s="39">
        <f>'[4]16нед'!D38</f>
        <v>0</v>
      </c>
      <c r="N458" s="40">
        <f>'[4]16нед'!G38</f>
        <v>0</v>
      </c>
      <c r="O458" s="41" t="str">
        <f>'[4]16нед'!H38</f>
        <v/>
      </c>
      <c r="P458" s="42"/>
    </row>
    <row r="459" ht="31.5" spans="1:16">
      <c r="A459" s="36"/>
      <c r="B459" s="37"/>
      <c r="C459" s="29" t="s">
        <v>19</v>
      </c>
      <c r="D459" s="38">
        <f>'[4]15нед'!C39</f>
        <v>0</v>
      </c>
      <c r="E459" s="39">
        <f>'[4]15нед'!D39</f>
        <v>0</v>
      </c>
      <c r="F459" s="40">
        <f>'[4]15нед'!G39</f>
        <v>0</v>
      </c>
      <c r="G459" s="41" t="str">
        <f>'[4]15нед'!H39</f>
        <v/>
      </c>
      <c r="H459" s="42"/>
      <c r="I459" s="43"/>
      <c r="J459" s="44"/>
      <c r="K459" s="29" t="s">
        <v>19</v>
      </c>
      <c r="L459" s="38">
        <f>'[4]16нед'!C39</f>
        <v>0</v>
      </c>
      <c r="M459" s="39">
        <f>'[4]16нед'!D39</f>
        <v>0</v>
      </c>
      <c r="N459" s="40">
        <f>'[4]16нед'!G39</f>
        <v>0</v>
      </c>
      <c r="O459" s="41" t="str">
        <f>'[4]16нед'!H39</f>
        <v/>
      </c>
      <c r="P459" s="42"/>
    </row>
    <row r="460" ht="31.5" spans="1:16">
      <c r="A460" s="36"/>
      <c r="B460" s="37"/>
      <c r="C460" s="29" t="s">
        <v>20</v>
      </c>
      <c r="D460" s="38">
        <f>'[4]15нед'!C40</f>
        <v>0</v>
      </c>
      <c r="E460" s="39">
        <f>'[4]15нед'!D40</f>
        <v>0</v>
      </c>
      <c r="F460" s="40">
        <f>'[4]15нед'!G40</f>
        <v>0</v>
      </c>
      <c r="G460" s="41" t="str">
        <f>'[4]15нед'!H40</f>
        <v/>
      </c>
      <c r="H460" s="42"/>
      <c r="I460" s="43"/>
      <c r="J460" s="44"/>
      <c r="K460" s="29" t="s">
        <v>20</v>
      </c>
      <c r="L460" s="38">
        <f>'[4]16нед'!C40</f>
        <v>0</v>
      </c>
      <c r="M460" s="39">
        <f>'[4]16нед'!D40</f>
        <v>0</v>
      </c>
      <c r="N460" s="40">
        <f>'[4]16нед'!G40</f>
        <v>0</v>
      </c>
      <c r="O460" s="41" t="str">
        <f>'[4]16нед'!H40</f>
        <v/>
      </c>
      <c r="P460" s="42"/>
    </row>
    <row r="461" ht="31.5" spans="1:16">
      <c r="A461" s="36"/>
      <c r="B461" s="37"/>
      <c r="C461" s="29" t="s">
        <v>21</v>
      </c>
      <c r="D461" s="38">
        <f>'[4]15нед'!C41</f>
        <v>0</v>
      </c>
      <c r="E461" s="39">
        <f>'[4]15нед'!D41</f>
        <v>0</v>
      </c>
      <c r="F461" s="40">
        <f>'[4]15нед'!G41</f>
        <v>0</v>
      </c>
      <c r="G461" s="41" t="str">
        <f>'[4]15нед'!H41</f>
        <v/>
      </c>
      <c r="H461" s="56"/>
      <c r="I461" s="43"/>
      <c r="J461" s="44"/>
      <c r="K461" s="29" t="s">
        <v>21</v>
      </c>
      <c r="L461" s="38">
        <f>'[4]16нед'!C41</f>
        <v>0</v>
      </c>
      <c r="M461" s="39">
        <f>'[4]16нед'!D41</f>
        <v>0</v>
      </c>
      <c r="N461" s="40">
        <f>'[4]16нед'!G41</f>
        <v>0</v>
      </c>
      <c r="O461" s="41" t="str">
        <f>'[4]16нед'!H41</f>
        <v/>
      </c>
      <c r="P461" s="56"/>
    </row>
    <row r="462" ht="32.25" spans="1:16">
      <c r="A462" s="36"/>
      <c r="B462" s="37"/>
      <c r="C462" s="29" t="s">
        <v>22</v>
      </c>
      <c r="D462" s="38">
        <f>'[4]15нед'!C42</f>
        <v>0</v>
      </c>
      <c r="E462" s="39">
        <f>'[4]15нед'!D42</f>
        <v>0</v>
      </c>
      <c r="F462" s="40">
        <f>'[4]15нед'!G42</f>
        <v>0</v>
      </c>
      <c r="G462" s="41" t="str">
        <f>'[4]15нед'!H42</f>
        <v/>
      </c>
      <c r="H462" s="56"/>
      <c r="I462" s="43"/>
      <c r="J462" s="44"/>
      <c r="K462" s="29" t="s">
        <v>22</v>
      </c>
      <c r="L462" s="38">
        <f>'[4]16нед'!C42</f>
        <v>0</v>
      </c>
      <c r="M462" s="39">
        <f>'[4]16нед'!D42</f>
        <v>0</v>
      </c>
      <c r="N462" s="40">
        <f>'[4]16нед'!G42</f>
        <v>0</v>
      </c>
      <c r="O462" s="41" t="str">
        <f>'[4]16нед'!H42</f>
        <v/>
      </c>
      <c r="P462" s="56"/>
    </row>
    <row r="463" ht="18.4" hidden="1" customHeight="1" spans="1:16">
      <c r="A463" s="45"/>
      <c r="B463" s="46"/>
      <c r="C463" s="47"/>
      <c r="D463" s="48">
        <f>'[4]15нед'!C43</f>
        <v>0</v>
      </c>
      <c r="E463" s="49">
        <f>'[4]15нед'!D43</f>
        <v>0</v>
      </c>
      <c r="F463" s="50">
        <f>'[4]15нед'!G43</f>
        <v>0</v>
      </c>
      <c r="G463" s="51" t="str">
        <f>'[4]15нед'!H43</f>
        <v/>
      </c>
      <c r="H463" s="52"/>
      <c r="I463" s="53"/>
      <c r="J463" s="54"/>
      <c r="K463" s="47"/>
      <c r="L463" s="48">
        <f>'[4]16нед'!C43</f>
        <v>0</v>
      </c>
      <c r="M463" s="49">
        <f>'[4]16нед'!D43</f>
        <v>0</v>
      </c>
      <c r="N463" s="50">
        <f>'[4]16нед'!G43</f>
        <v>0</v>
      </c>
      <c r="O463" s="51" t="str">
        <f>'[4]16нед'!H43</f>
        <v/>
      </c>
      <c r="P463" s="52"/>
    </row>
    <row r="464" ht="48" customHeight="1" spans="1:16">
      <c r="A464" s="27">
        <v>46367</v>
      </c>
      <c r="B464" s="28" t="s">
        <v>26</v>
      </c>
      <c r="C464" s="55" t="s">
        <v>16</v>
      </c>
      <c r="D464" s="30">
        <f>'[4]15нед'!C44</f>
        <v>0</v>
      </c>
      <c r="E464" s="31">
        <f>'[4]15нед'!D44</f>
        <v>0</v>
      </c>
      <c r="F464" s="32">
        <f>'[4]15нед'!G44</f>
        <v>0</v>
      </c>
      <c r="G464" s="33" t="str">
        <f>'[4]15нед'!H44</f>
        <v/>
      </c>
      <c r="H464" s="34"/>
      <c r="I464" s="27">
        <v>46374</v>
      </c>
      <c r="J464" s="35" t="s">
        <v>26</v>
      </c>
      <c r="K464" s="55" t="s">
        <v>16</v>
      </c>
      <c r="L464" s="30">
        <f>'[4]16нед'!C44</f>
        <v>0</v>
      </c>
      <c r="M464" s="31">
        <f>'[4]16нед'!D44</f>
        <v>0</v>
      </c>
      <c r="N464" s="32">
        <f>'[4]16нед'!G44</f>
        <v>0</v>
      </c>
      <c r="O464" s="33" t="str">
        <f>'[4]16нед'!H44</f>
        <v/>
      </c>
      <c r="P464" s="34"/>
    </row>
    <row r="465" ht="31.5" spans="1:16">
      <c r="A465" s="36"/>
      <c r="B465" s="37"/>
      <c r="C465" s="29" t="s">
        <v>17</v>
      </c>
      <c r="D465" s="38">
        <f>'[4]15нед'!C45</f>
        <v>0</v>
      </c>
      <c r="E465" s="39">
        <f>'[4]15нед'!D45</f>
        <v>0</v>
      </c>
      <c r="F465" s="40">
        <f>'[4]15нед'!G45</f>
        <v>0</v>
      </c>
      <c r="G465" s="41" t="str">
        <f>'[4]15нед'!H45</f>
        <v/>
      </c>
      <c r="H465" s="42"/>
      <c r="I465" s="43"/>
      <c r="J465" s="44"/>
      <c r="K465" s="29" t="s">
        <v>17</v>
      </c>
      <c r="L465" s="38">
        <f>'[4]16нед'!C45</f>
        <v>0</v>
      </c>
      <c r="M465" s="39">
        <f>'[4]16нед'!D45</f>
        <v>0</v>
      </c>
      <c r="N465" s="40">
        <f>'[4]16нед'!G45</f>
        <v>0</v>
      </c>
      <c r="O465" s="41" t="str">
        <f>'[4]16нед'!H45</f>
        <v/>
      </c>
      <c r="P465" s="42"/>
    </row>
    <row r="466" ht="31.5" spans="1:16">
      <c r="A466" s="36"/>
      <c r="B466" s="37"/>
      <c r="C466" s="29" t="s">
        <v>18</v>
      </c>
      <c r="D466" s="38">
        <f>'[4]15нед'!C46</f>
        <v>0</v>
      </c>
      <c r="E466" s="39">
        <f>'[4]15нед'!D46</f>
        <v>0</v>
      </c>
      <c r="F466" s="40">
        <f>'[4]15нед'!G46</f>
        <v>0</v>
      </c>
      <c r="G466" s="41" t="str">
        <f>'[4]15нед'!H46</f>
        <v/>
      </c>
      <c r="H466" s="42"/>
      <c r="I466" s="43"/>
      <c r="J466" s="44"/>
      <c r="K466" s="29" t="s">
        <v>18</v>
      </c>
      <c r="L466" s="38">
        <f>'[4]16нед'!C46</f>
        <v>0</v>
      </c>
      <c r="M466" s="39">
        <f>'[4]16нед'!D46</f>
        <v>0</v>
      </c>
      <c r="N466" s="40">
        <f>'[4]16нед'!G46</f>
        <v>0</v>
      </c>
      <c r="O466" s="41" t="str">
        <f>'[4]16нед'!H46</f>
        <v/>
      </c>
      <c r="P466" s="42"/>
    </row>
    <row r="467" ht="31.5" spans="1:16">
      <c r="A467" s="36"/>
      <c r="B467" s="37"/>
      <c r="C467" s="29" t="s">
        <v>19</v>
      </c>
      <c r="D467" s="38">
        <f>'[4]15нед'!C47</f>
        <v>0</v>
      </c>
      <c r="E467" s="39">
        <f>'[4]15нед'!D47</f>
        <v>0</v>
      </c>
      <c r="F467" s="40">
        <f>'[4]15нед'!G47</f>
        <v>0</v>
      </c>
      <c r="G467" s="41" t="str">
        <f>'[4]15нед'!H47</f>
        <v/>
      </c>
      <c r="H467" s="42"/>
      <c r="I467" s="43"/>
      <c r="J467" s="44"/>
      <c r="K467" s="29" t="s">
        <v>19</v>
      </c>
      <c r="L467" s="38">
        <f>'[4]16нед'!C47</f>
        <v>0</v>
      </c>
      <c r="M467" s="39">
        <f>'[4]16нед'!D47</f>
        <v>0</v>
      </c>
      <c r="N467" s="40">
        <f>'[4]16нед'!G47</f>
        <v>0</v>
      </c>
      <c r="O467" s="41" t="str">
        <f>'[4]16нед'!H47</f>
        <v/>
      </c>
      <c r="P467" s="42"/>
    </row>
    <row r="468" ht="31.5" spans="1:16">
      <c r="A468" s="36"/>
      <c r="B468" s="37"/>
      <c r="C468" s="29" t="s">
        <v>20</v>
      </c>
      <c r="D468" s="38">
        <f>'[4]15нед'!C48</f>
        <v>0</v>
      </c>
      <c r="E468" s="39">
        <f>'[4]15нед'!D48</f>
        <v>0</v>
      </c>
      <c r="F468" s="40">
        <f>'[4]15нед'!G48</f>
        <v>0</v>
      </c>
      <c r="G468" s="41" t="str">
        <f>'[4]15нед'!H48</f>
        <v/>
      </c>
      <c r="H468" s="42"/>
      <c r="I468" s="43"/>
      <c r="J468" s="44"/>
      <c r="K468" s="29" t="s">
        <v>20</v>
      </c>
      <c r="L468" s="38">
        <f>'[4]16нед'!C48</f>
        <v>0</v>
      </c>
      <c r="M468" s="39">
        <f>'[4]16нед'!D48</f>
        <v>0</v>
      </c>
      <c r="N468" s="40">
        <f>'[4]16нед'!G48</f>
        <v>0</v>
      </c>
      <c r="O468" s="41" t="str">
        <f>'[4]16нед'!H48</f>
        <v/>
      </c>
      <c r="P468" s="42"/>
    </row>
    <row r="469" ht="31.5" spans="1:16">
      <c r="A469" s="36"/>
      <c r="B469" s="37"/>
      <c r="C469" s="29" t="s">
        <v>21</v>
      </c>
      <c r="D469" s="38">
        <f>'[4]15нед'!C49</f>
        <v>0</v>
      </c>
      <c r="E469" s="39">
        <f>'[4]15нед'!D49</f>
        <v>0</v>
      </c>
      <c r="F469" s="40">
        <f>'[4]15нед'!G49</f>
        <v>0</v>
      </c>
      <c r="G469" s="41" t="str">
        <f>'[4]15нед'!H49</f>
        <v/>
      </c>
      <c r="H469" s="42"/>
      <c r="I469" s="43"/>
      <c r="J469" s="44"/>
      <c r="K469" s="29" t="s">
        <v>21</v>
      </c>
      <c r="L469" s="38">
        <f>'[4]16нед'!C49</f>
        <v>0</v>
      </c>
      <c r="M469" s="39">
        <f>'[4]16нед'!D49</f>
        <v>0</v>
      </c>
      <c r="N469" s="40">
        <f>'[4]16нед'!G49</f>
        <v>0</v>
      </c>
      <c r="O469" s="41" t="str">
        <f>'[4]16нед'!H49</f>
        <v/>
      </c>
      <c r="P469" s="42"/>
    </row>
    <row r="470" ht="32.25" spans="1:16">
      <c r="A470" s="36"/>
      <c r="B470" s="37"/>
      <c r="C470" s="29" t="s">
        <v>22</v>
      </c>
      <c r="D470" s="38">
        <f>'[4]15нед'!C50</f>
        <v>0</v>
      </c>
      <c r="E470" s="39">
        <f>'[4]15нед'!D50</f>
        <v>0</v>
      </c>
      <c r="F470" s="40">
        <f>'[4]15нед'!G50</f>
        <v>0</v>
      </c>
      <c r="G470" s="41" t="str">
        <f>'[4]15нед'!H50</f>
        <v/>
      </c>
      <c r="H470" s="42"/>
      <c r="I470" s="43"/>
      <c r="J470" s="44"/>
      <c r="K470" s="29" t="s">
        <v>22</v>
      </c>
      <c r="L470" s="38">
        <f>'[4]16нед'!C50</f>
        <v>0</v>
      </c>
      <c r="M470" s="39">
        <f>'[4]16нед'!D50</f>
        <v>0</v>
      </c>
      <c r="N470" s="40">
        <f>'[4]16нед'!G50</f>
        <v>0</v>
      </c>
      <c r="O470" s="41" t="str">
        <f>'[4]16нед'!H50</f>
        <v/>
      </c>
      <c r="P470" s="42"/>
    </row>
    <row r="471" ht="18.4" hidden="1" customHeight="1" spans="1:16">
      <c r="A471" s="45"/>
      <c r="B471" s="46"/>
      <c r="C471" s="47"/>
      <c r="D471" s="48">
        <f>'[4]15нед'!C51</f>
        <v>0</v>
      </c>
      <c r="E471" s="49">
        <f>'[4]15нед'!D51</f>
        <v>0</v>
      </c>
      <c r="F471" s="50">
        <f>'[4]15нед'!G51</f>
        <v>0</v>
      </c>
      <c r="G471" s="51" t="str">
        <f>'[4]15нед'!H51</f>
        <v/>
      </c>
      <c r="H471" s="52"/>
      <c r="I471" s="53"/>
      <c r="J471" s="54"/>
      <c r="K471" s="47"/>
      <c r="L471" s="48">
        <f>'[4]16нед'!C51</f>
        <v>0</v>
      </c>
      <c r="M471" s="49">
        <f>'[4]16нед'!D51</f>
        <v>0</v>
      </c>
      <c r="N471" s="50">
        <f>'[4]16нед'!G51</f>
        <v>0</v>
      </c>
      <c r="O471" s="51" t="str">
        <f>'[4]16нед'!H51</f>
        <v/>
      </c>
      <c r="P471" s="52"/>
    </row>
    <row r="472" ht="48" customHeight="1" spans="1:16">
      <c r="A472" s="27">
        <v>46368</v>
      </c>
      <c r="B472" s="28" t="s">
        <v>27</v>
      </c>
      <c r="C472" s="55" t="s">
        <v>16</v>
      </c>
      <c r="D472" s="30">
        <f>'[4]15нед'!C52</f>
        <v>0</v>
      </c>
      <c r="E472" s="31">
        <f>'[4]15нед'!D52</f>
        <v>0</v>
      </c>
      <c r="F472" s="32">
        <f>'[4]15нед'!G52</f>
        <v>0</v>
      </c>
      <c r="G472" s="33" t="str">
        <f>'[4]15нед'!H52</f>
        <v/>
      </c>
      <c r="H472" s="34"/>
      <c r="I472" s="27">
        <v>46375</v>
      </c>
      <c r="J472" s="35" t="s">
        <v>27</v>
      </c>
      <c r="K472" s="55" t="s">
        <v>16</v>
      </c>
      <c r="L472" s="30">
        <f>'[4]16нед'!C52</f>
        <v>0</v>
      </c>
      <c r="M472" s="31">
        <f>'[4]16нед'!D52</f>
        <v>0</v>
      </c>
      <c r="N472" s="32">
        <f>'[4]16нед'!G52</f>
        <v>0</v>
      </c>
      <c r="O472" s="33" t="str">
        <f>'[4]16нед'!H52</f>
        <v/>
      </c>
      <c r="P472" s="34"/>
    </row>
    <row r="473" ht="31.5" spans="1:16">
      <c r="A473" s="36"/>
      <c r="B473" s="37"/>
      <c r="C473" s="29" t="s">
        <v>17</v>
      </c>
      <c r="D473" s="38">
        <f>'[4]15нед'!C53</f>
        <v>0</v>
      </c>
      <c r="E473" s="39">
        <f>'[4]15нед'!D53</f>
        <v>0</v>
      </c>
      <c r="F473" s="40">
        <f>'[4]15нед'!G53</f>
        <v>0</v>
      </c>
      <c r="G473" s="41" t="str">
        <f>'[4]15нед'!H53</f>
        <v/>
      </c>
      <c r="H473" s="42"/>
      <c r="I473" s="43"/>
      <c r="J473" s="44"/>
      <c r="K473" s="29" t="s">
        <v>17</v>
      </c>
      <c r="L473" s="38">
        <f>'[4]16нед'!C53</f>
        <v>0</v>
      </c>
      <c r="M473" s="39">
        <f>'[4]16нед'!D53</f>
        <v>0</v>
      </c>
      <c r="N473" s="40">
        <f>'[4]16нед'!G53</f>
        <v>0</v>
      </c>
      <c r="O473" s="41" t="str">
        <f>'[4]16нед'!H53</f>
        <v/>
      </c>
      <c r="P473" s="42"/>
    </row>
    <row r="474" ht="31.5" spans="1:16">
      <c r="A474" s="36"/>
      <c r="B474" s="37"/>
      <c r="C474" s="29" t="s">
        <v>18</v>
      </c>
      <c r="D474" s="38">
        <f>'[4]15нед'!C54</f>
        <v>0</v>
      </c>
      <c r="E474" s="39">
        <f>'[4]15нед'!D54</f>
        <v>0</v>
      </c>
      <c r="F474" s="40">
        <f>'[4]15нед'!G54</f>
        <v>0</v>
      </c>
      <c r="G474" s="41" t="str">
        <f>'[4]15нед'!H54</f>
        <v/>
      </c>
      <c r="H474" s="42"/>
      <c r="I474" s="43"/>
      <c r="J474" s="44"/>
      <c r="K474" s="29" t="s">
        <v>18</v>
      </c>
      <c r="L474" s="38">
        <f>'[4]16нед'!C54</f>
        <v>0</v>
      </c>
      <c r="M474" s="39">
        <f>'[4]16нед'!D54</f>
        <v>0</v>
      </c>
      <c r="N474" s="40">
        <f>'[4]16нед'!G54</f>
        <v>0</v>
      </c>
      <c r="O474" s="41" t="str">
        <f>'[4]16нед'!H54</f>
        <v/>
      </c>
      <c r="P474" s="42"/>
    </row>
    <row r="475" ht="31.5" spans="1:16">
      <c r="A475" s="36"/>
      <c r="B475" s="37"/>
      <c r="C475" s="29" t="s">
        <v>19</v>
      </c>
      <c r="D475" s="38">
        <f>'[4]15нед'!C55</f>
        <v>0</v>
      </c>
      <c r="E475" s="39">
        <f>'[4]15нед'!D55</f>
        <v>0</v>
      </c>
      <c r="F475" s="40">
        <f>'[4]15нед'!G55</f>
        <v>0</v>
      </c>
      <c r="G475" s="41" t="str">
        <f>'[4]15нед'!H55</f>
        <v/>
      </c>
      <c r="H475" s="42"/>
      <c r="I475" s="43"/>
      <c r="J475" s="44"/>
      <c r="K475" s="29" t="s">
        <v>19</v>
      </c>
      <c r="L475" s="38">
        <f>'[4]16нед'!C55</f>
        <v>0</v>
      </c>
      <c r="M475" s="39">
        <f>'[4]16нед'!D55</f>
        <v>0</v>
      </c>
      <c r="N475" s="40">
        <f>'[4]16нед'!G55</f>
        <v>0</v>
      </c>
      <c r="O475" s="41" t="str">
        <f>'[4]16нед'!H55</f>
        <v/>
      </c>
      <c r="P475" s="42"/>
    </row>
    <row r="476" ht="31.5" spans="1:16">
      <c r="A476" s="36"/>
      <c r="B476" s="37"/>
      <c r="C476" s="29" t="s">
        <v>20</v>
      </c>
      <c r="D476" s="38">
        <f>'[4]15нед'!C56</f>
        <v>0</v>
      </c>
      <c r="E476" s="39">
        <f>'[4]15нед'!D56</f>
        <v>0</v>
      </c>
      <c r="F476" s="40">
        <f>'[4]15нед'!G56</f>
        <v>0</v>
      </c>
      <c r="G476" s="41" t="str">
        <f>'[4]15нед'!H56</f>
        <v/>
      </c>
      <c r="H476" s="42"/>
      <c r="I476" s="43"/>
      <c r="J476" s="44"/>
      <c r="K476" s="29" t="s">
        <v>20</v>
      </c>
      <c r="L476" s="38">
        <f>'[4]16нед'!C56</f>
        <v>0</v>
      </c>
      <c r="M476" s="39">
        <f>'[4]16нед'!D56</f>
        <v>0</v>
      </c>
      <c r="N476" s="40">
        <f>'[4]16нед'!G56</f>
        <v>0</v>
      </c>
      <c r="O476" s="41" t="str">
        <f>'[4]16нед'!H56</f>
        <v/>
      </c>
      <c r="P476" s="42"/>
    </row>
    <row r="477" ht="31.5" spans="1:16">
      <c r="A477" s="36"/>
      <c r="B477" s="37"/>
      <c r="C477" s="29" t="s">
        <v>21</v>
      </c>
      <c r="D477" s="38">
        <f>'[4]15нед'!C57</f>
        <v>0</v>
      </c>
      <c r="E477" s="39">
        <f>'[4]15нед'!D57</f>
        <v>0</v>
      </c>
      <c r="F477" s="40">
        <f>'[4]15нед'!G57</f>
        <v>0</v>
      </c>
      <c r="G477" s="41" t="str">
        <f>'[4]15нед'!H57</f>
        <v/>
      </c>
      <c r="H477" s="42"/>
      <c r="I477" s="43"/>
      <c r="J477" s="44"/>
      <c r="K477" s="29" t="s">
        <v>21</v>
      </c>
      <c r="L477" s="38">
        <f>'[4]16нед'!C57</f>
        <v>0</v>
      </c>
      <c r="M477" s="39">
        <f>'[4]16нед'!D57</f>
        <v>0</v>
      </c>
      <c r="N477" s="40">
        <f>'[4]16нед'!G57</f>
        <v>0</v>
      </c>
      <c r="O477" s="41" t="str">
        <f>'[4]16нед'!H57</f>
        <v/>
      </c>
      <c r="P477" s="42"/>
    </row>
    <row r="478" ht="32.25" spans="1:16">
      <c r="A478" s="36"/>
      <c r="B478" s="37"/>
      <c r="C478" s="29" t="s">
        <v>22</v>
      </c>
      <c r="D478" s="38">
        <f>'[4]15нед'!C58</f>
        <v>0</v>
      </c>
      <c r="E478" s="39">
        <f>'[4]15нед'!D58</f>
        <v>0</v>
      </c>
      <c r="F478" s="40">
        <f>'[4]15нед'!G58</f>
        <v>0</v>
      </c>
      <c r="G478" s="41" t="str">
        <f>'[4]15нед'!H58</f>
        <v/>
      </c>
      <c r="H478" s="42"/>
      <c r="I478" s="43"/>
      <c r="J478" s="44"/>
      <c r="K478" s="29" t="s">
        <v>22</v>
      </c>
      <c r="L478" s="38">
        <f>'[4]16нед'!C58</f>
        <v>0</v>
      </c>
      <c r="M478" s="39">
        <f>'[4]16нед'!D58</f>
        <v>0</v>
      </c>
      <c r="N478" s="40">
        <f>'[4]16нед'!G58</f>
        <v>0</v>
      </c>
      <c r="O478" s="41" t="str">
        <f>'[4]16нед'!H58</f>
        <v/>
      </c>
      <c r="P478" s="42"/>
    </row>
    <row r="479" ht="18.4" hidden="1" customHeight="1" spans="1:16">
      <c r="A479" s="45"/>
      <c r="B479" s="46"/>
      <c r="C479" s="47"/>
      <c r="D479" s="48">
        <f>'[4]15нед'!C59</f>
        <v>0</v>
      </c>
      <c r="E479" s="49">
        <f>'[4]15нед'!D59</f>
        <v>0</v>
      </c>
      <c r="F479" s="50">
        <f>'[4]15нед'!G59</f>
        <v>0</v>
      </c>
      <c r="G479" s="51" t="str">
        <f>'[4]15нед'!H59</f>
        <v/>
      </c>
      <c r="H479" s="52"/>
      <c r="I479" s="53"/>
      <c r="J479" s="54"/>
      <c r="K479" s="47"/>
      <c r="L479" s="48">
        <f>'[4]16нед'!C59</f>
        <v>0</v>
      </c>
      <c r="M479" s="49">
        <f>'[4]16нед'!D59</f>
        <v>0</v>
      </c>
      <c r="N479" s="50">
        <f>'[4]16нед'!G59</f>
        <v>0</v>
      </c>
      <c r="O479" s="51" t="str">
        <f>'[4]16нед'!H59</f>
        <v/>
      </c>
      <c r="P479" s="52"/>
    </row>
    <row r="480" ht="39" customHeight="1" spans="1:16">
      <c r="A480" s="64"/>
      <c r="B480" s="65"/>
      <c r="C480" s="66"/>
      <c r="D480" s="67"/>
      <c r="E480" s="67" t="s">
        <v>28</v>
      </c>
      <c r="F480" s="67"/>
      <c r="G480" s="68" t="s">
        <v>29</v>
      </c>
      <c r="H480" s="69"/>
      <c r="I480" s="64"/>
      <c r="J480" s="65"/>
      <c r="K480" s="66"/>
      <c r="L480" s="67"/>
      <c r="M480" s="67" t="s">
        <v>28</v>
      </c>
      <c r="N480" s="67"/>
      <c r="O480" s="68" t="s">
        <v>29</v>
      </c>
      <c r="P480" s="69"/>
    </row>
    <row r="481" ht="15.75" spans="1:16">
      <c r="A481" s="2"/>
      <c r="B481" s="3"/>
      <c r="C481" s="4"/>
      <c r="D481" s="5"/>
      <c r="E481" s="5"/>
      <c r="F481" s="5"/>
      <c r="G481" s="5"/>
      <c r="H481" s="6" t="s">
        <v>0</v>
      </c>
      <c r="I481" s="2"/>
      <c r="J481" s="3"/>
      <c r="K481" s="4"/>
      <c r="L481" s="5"/>
      <c r="M481" s="5"/>
      <c r="N481" s="5"/>
      <c r="O481" s="5"/>
      <c r="P481" s="6" t="s">
        <v>0</v>
      </c>
    </row>
    <row r="482" ht="15.75" spans="1:16">
      <c r="A482" s="2"/>
      <c r="B482" s="3"/>
      <c r="C482" s="4"/>
      <c r="D482" s="5"/>
      <c r="E482" s="5"/>
      <c r="F482" s="5"/>
      <c r="G482" s="5"/>
      <c r="H482" s="6" t="s">
        <v>1</v>
      </c>
      <c r="I482" s="2"/>
      <c r="J482" s="3"/>
      <c r="K482" s="4"/>
      <c r="L482" s="5"/>
      <c r="M482" s="5"/>
      <c r="N482" s="5"/>
      <c r="O482" s="5"/>
      <c r="P482" s="6" t="s">
        <v>1</v>
      </c>
    </row>
    <row r="483" ht="15.75" spans="1:16">
      <c r="A483" s="2"/>
      <c r="B483" s="3"/>
      <c r="C483" s="4"/>
      <c r="D483" s="5"/>
      <c r="E483" s="5"/>
      <c r="F483" s="5"/>
      <c r="G483" s="5"/>
      <c r="H483" s="6" t="s">
        <v>2</v>
      </c>
      <c r="I483" s="2"/>
      <c r="J483" s="3"/>
      <c r="K483" s="4"/>
      <c r="L483" s="5"/>
      <c r="M483" s="5"/>
      <c r="N483" s="5"/>
      <c r="O483" s="5"/>
      <c r="P483" s="6" t="s">
        <v>2</v>
      </c>
    </row>
    <row r="484" ht="15.75" spans="1:16">
      <c r="A484" s="2"/>
      <c r="B484" s="3"/>
      <c r="C484" s="4"/>
      <c r="D484" s="5"/>
      <c r="E484" s="5"/>
      <c r="F484" s="5"/>
      <c r="G484" s="5"/>
      <c r="H484" s="6" t="s">
        <v>3</v>
      </c>
      <c r="I484" s="2"/>
      <c r="J484" s="3"/>
      <c r="K484" s="4"/>
      <c r="L484" s="5"/>
      <c r="M484" s="5"/>
      <c r="N484" s="5"/>
      <c r="O484" s="5"/>
      <c r="P484" s="6" t="s">
        <v>3</v>
      </c>
    </row>
    <row r="485" ht="15.75" spans="1:16">
      <c r="A485" s="2"/>
      <c r="B485" s="7"/>
      <c r="C485" s="4"/>
      <c r="D485" s="5"/>
      <c r="E485" s="5"/>
      <c r="F485" s="5"/>
      <c r="G485" s="5"/>
      <c r="H485" s="5"/>
      <c r="I485" s="2"/>
      <c r="J485" s="7"/>
      <c r="K485" s="4"/>
      <c r="L485" s="5"/>
      <c r="M485" s="5"/>
      <c r="N485" s="5"/>
      <c r="O485" s="5"/>
      <c r="P485" s="5"/>
    </row>
    <row r="486" ht="15.75" spans="1:16">
      <c r="A486" s="2"/>
      <c r="B486" s="8" t="s">
        <v>4</v>
      </c>
      <c r="C486" s="8"/>
      <c r="D486" s="8"/>
      <c r="E486" s="8"/>
      <c r="F486" s="8"/>
      <c r="G486" s="8"/>
      <c r="H486" s="8"/>
      <c r="I486" s="2"/>
      <c r="J486" s="8" t="s">
        <v>4</v>
      </c>
      <c r="K486" s="8"/>
      <c r="L486" s="8"/>
      <c r="M486" s="8"/>
      <c r="N486" s="8"/>
      <c r="O486" s="8"/>
      <c r="P486" s="8"/>
    </row>
    <row r="487" ht="15.75" spans="1:16">
      <c r="A487" s="9"/>
      <c r="B487" s="10" t="str">
        <f>'[1]1нед'!$A$6</f>
        <v>Направление подготовки:</v>
      </c>
      <c r="C487" s="11"/>
      <c r="D487" s="12"/>
      <c r="E487" s="13" t="str">
        <f>E67</f>
        <v>00</v>
      </c>
      <c r="F487" s="12"/>
      <c r="G487" s="12">
        <f>G7</f>
        <v>0</v>
      </c>
      <c r="H487" s="14"/>
      <c r="I487" s="9"/>
      <c r="J487" s="10" t="str">
        <f>'[1]1нед'!$A$6</f>
        <v>Направление подготовки:</v>
      </c>
      <c r="K487" s="11"/>
      <c r="L487" s="12"/>
      <c r="M487" s="13" t="str">
        <f>E67</f>
        <v>00</v>
      </c>
      <c r="N487" s="12"/>
      <c r="O487" s="12">
        <f>G7</f>
        <v>0</v>
      </c>
      <c r="P487" s="14"/>
    </row>
    <row r="488" ht="15.75" spans="1:16">
      <c r="A488" s="2"/>
      <c r="B488" s="10" t="s">
        <v>5</v>
      </c>
      <c r="C488" s="10"/>
      <c r="D488" s="10"/>
      <c r="E488" s="10" t="str">
        <f t="shared" ref="E488:E489" si="8">E8</f>
        <v>очная</v>
      </c>
      <c r="F488" s="10"/>
      <c r="G488" s="10"/>
      <c r="H488" s="10"/>
      <c r="I488" s="2"/>
      <c r="J488" s="10" t="s">
        <v>5</v>
      </c>
      <c r="K488" s="10"/>
      <c r="L488" s="10"/>
      <c r="M488" s="10" t="str">
        <f t="shared" ref="M488:M489" si="9">E8</f>
        <v>очная</v>
      </c>
      <c r="N488" s="10"/>
      <c r="O488" s="10"/>
      <c r="P488" s="10"/>
    </row>
    <row r="489" ht="15.75" spans="1:16">
      <c r="A489" s="2"/>
      <c r="B489" s="10" t="s">
        <v>7</v>
      </c>
      <c r="C489" s="10"/>
      <c r="D489" s="10"/>
      <c r="E489" s="10">
        <f t="shared" si="8"/>
        <v>1</v>
      </c>
      <c r="F489" s="10"/>
      <c r="G489" s="10"/>
      <c r="H489" s="15"/>
      <c r="I489" s="2"/>
      <c r="J489" s="10" t="s">
        <v>7</v>
      </c>
      <c r="K489" s="10"/>
      <c r="L489" s="10"/>
      <c r="M489" s="10">
        <f t="shared" si="9"/>
        <v>1</v>
      </c>
      <c r="N489" s="10"/>
      <c r="O489" s="10"/>
      <c r="P489" s="15"/>
    </row>
    <row r="490" ht="16.5" spans="1:16">
      <c r="A490" s="2"/>
      <c r="B490" s="16" t="s">
        <v>8</v>
      </c>
      <c r="C490" s="16"/>
      <c r="D490" s="16"/>
      <c r="E490" s="16">
        <f>M430+1</f>
        <v>17</v>
      </c>
      <c r="F490" s="16"/>
      <c r="G490" s="16"/>
      <c r="H490" s="17"/>
      <c r="I490" s="2"/>
      <c r="J490" s="16" t="s">
        <v>8</v>
      </c>
      <c r="K490" s="16"/>
      <c r="L490" s="16"/>
      <c r="M490" s="16">
        <f>E490+1</f>
        <v>18</v>
      </c>
      <c r="N490" s="16"/>
      <c r="O490" s="16"/>
      <c r="P490" s="17"/>
    </row>
    <row r="491" ht="60.75" customHeight="1" spans="1:16">
      <c r="A491" s="19" t="s">
        <v>9</v>
      </c>
      <c r="B491" s="20"/>
      <c r="C491" s="21" t="s">
        <v>10</v>
      </c>
      <c r="D491" s="22" t="s">
        <v>11</v>
      </c>
      <c r="E491" s="23" t="s">
        <v>12</v>
      </c>
      <c r="F491" s="24" t="s">
        <v>13</v>
      </c>
      <c r="G491" s="25"/>
      <c r="H491" s="26" t="s">
        <v>14</v>
      </c>
      <c r="I491" s="19" t="s">
        <v>9</v>
      </c>
      <c r="J491" s="20"/>
      <c r="K491" s="21" t="s">
        <v>10</v>
      </c>
      <c r="L491" s="22" t="s">
        <v>11</v>
      </c>
      <c r="M491" s="23" t="s">
        <v>12</v>
      </c>
      <c r="N491" s="24" t="s">
        <v>13</v>
      </c>
      <c r="O491" s="25"/>
      <c r="P491" s="26" t="s">
        <v>14</v>
      </c>
    </row>
    <row r="492" ht="32.25" customHeight="1" spans="1:16">
      <c r="A492" s="27">
        <v>46377</v>
      </c>
      <c r="B492" s="28" t="s">
        <v>15</v>
      </c>
      <c r="C492" s="29" t="s">
        <v>16</v>
      </c>
      <c r="D492" s="30">
        <f>'[4]17нед'!C12</f>
        <v>0</v>
      </c>
      <c r="E492" s="31">
        <f>'[4]17нед'!D12</f>
        <v>0</v>
      </c>
      <c r="F492" s="32">
        <f>'[4]17нед'!G12</f>
        <v>0</v>
      </c>
      <c r="G492" s="33" t="str">
        <f>'[4]17нед'!H12</f>
        <v/>
      </c>
      <c r="H492" s="34"/>
      <c r="I492" s="27">
        <v>46384</v>
      </c>
      <c r="J492" s="35" t="s">
        <v>15</v>
      </c>
      <c r="K492" s="29" t="s">
        <v>16</v>
      </c>
      <c r="L492" s="30">
        <f>'[4]18нед'!C12</f>
        <v>0</v>
      </c>
      <c r="M492" s="31">
        <f>'[4]18нед'!D12</f>
        <v>0</v>
      </c>
      <c r="N492" s="32">
        <f>'[4]18нед'!G12</f>
        <v>0</v>
      </c>
      <c r="O492" s="33" t="str">
        <f>'[4]18нед'!H12</f>
        <v/>
      </c>
      <c r="P492" s="34"/>
    </row>
    <row r="493" ht="31.5" spans="1:16">
      <c r="A493" s="36"/>
      <c r="B493" s="37"/>
      <c r="C493" s="29" t="s">
        <v>17</v>
      </c>
      <c r="D493" s="38">
        <f>'[4]17нед'!C13</f>
        <v>0</v>
      </c>
      <c r="E493" s="39">
        <f>'[4]17нед'!D13</f>
        <v>0</v>
      </c>
      <c r="F493" s="40">
        <f>'[4]17нед'!G13</f>
        <v>0</v>
      </c>
      <c r="G493" s="41" t="str">
        <f>'[4]17нед'!H13</f>
        <v/>
      </c>
      <c r="H493" s="42"/>
      <c r="I493" s="43"/>
      <c r="J493" s="44"/>
      <c r="K493" s="29" t="s">
        <v>17</v>
      </c>
      <c r="L493" s="38">
        <f>'[4]18нед'!C13</f>
        <v>0</v>
      </c>
      <c r="M493" s="39">
        <f>'[4]18нед'!D13</f>
        <v>0</v>
      </c>
      <c r="N493" s="40">
        <f>'[4]18нед'!G13</f>
        <v>0</v>
      </c>
      <c r="O493" s="41" t="str">
        <f>'[4]18нед'!H13</f>
        <v/>
      </c>
      <c r="P493" s="42"/>
    </row>
    <row r="494" ht="31.5" spans="1:16">
      <c r="A494" s="36"/>
      <c r="B494" s="37"/>
      <c r="C494" s="29" t="s">
        <v>18</v>
      </c>
      <c r="D494" s="38">
        <f>'[4]17нед'!C14</f>
        <v>0</v>
      </c>
      <c r="E494" s="39">
        <f>'[4]17нед'!D14</f>
        <v>0</v>
      </c>
      <c r="F494" s="40">
        <f>'[4]17нед'!G14</f>
        <v>0</v>
      </c>
      <c r="G494" s="41" t="str">
        <f>'[4]17нед'!H14</f>
        <v/>
      </c>
      <c r="H494" s="42"/>
      <c r="I494" s="43"/>
      <c r="J494" s="44"/>
      <c r="K494" s="29" t="s">
        <v>18</v>
      </c>
      <c r="L494" s="38">
        <f>'[4]18нед'!C14</f>
        <v>0</v>
      </c>
      <c r="M494" s="39">
        <f>'[4]18нед'!D14</f>
        <v>0</v>
      </c>
      <c r="N494" s="40">
        <f>'[4]18нед'!G14</f>
        <v>0</v>
      </c>
      <c r="O494" s="41" t="str">
        <f>'[4]18нед'!H14</f>
        <v/>
      </c>
      <c r="P494" s="42"/>
    </row>
    <row r="495" ht="31.5" spans="1:16">
      <c r="A495" s="36"/>
      <c r="B495" s="37"/>
      <c r="C495" s="29" t="s">
        <v>19</v>
      </c>
      <c r="D495" s="38">
        <f>'[4]17нед'!C15</f>
        <v>0</v>
      </c>
      <c r="E495" s="39">
        <f>'[4]17нед'!D15</f>
        <v>0</v>
      </c>
      <c r="F495" s="40">
        <f>'[4]17нед'!G15</f>
        <v>0</v>
      </c>
      <c r="G495" s="41" t="str">
        <f>'[4]17нед'!H15</f>
        <v/>
      </c>
      <c r="H495" s="42"/>
      <c r="I495" s="43"/>
      <c r="J495" s="44"/>
      <c r="K495" s="29" t="s">
        <v>19</v>
      </c>
      <c r="L495" s="38">
        <f>'[4]18нед'!C15</f>
        <v>0</v>
      </c>
      <c r="M495" s="39">
        <f>'[4]18нед'!D15</f>
        <v>0</v>
      </c>
      <c r="N495" s="40">
        <f>'[4]18нед'!G15</f>
        <v>0</v>
      </c>
      <c r="O495" s="41" t="str">
        <f>'[4]18нед'!H15</f>
        <v/>
      </c>
      <c r="P495" s="42"/>
    </row>
    <row r="496" ht="31.5" spans="1:16">
      <c r="A496" s="36"/>
      <c r="B496" s="37"/>
      <c r="C496" s="29" t="s">
        <v>20</v>
      </c>
      <c r="D496" s="38">
        <f>'[4]17нед'!C16</f>
        <v>0</v>
      </c>
      <c r="E496" s="39">
        <f>'[4]17нед'!D16</f>
        <v>0</v>
      </c>
      <c r="F496" s="40">
        <f>'[4]17нед'!G16</f>
        <v>0</v>
      </c>
      <c r="G496" s="41" t="str">
        <f>'[4]17нед'!H16</f>
        <v/>
      </c>
      <c r="H496" s="42"/>
      <c r="I496" s="43"/>
      <c r="J496" s="44"/>
      <c r="K496" s="29" t="s">
        <v>20</v>
      </c>
      <c r="L496" s="38">
        <f>'[4]18нед'!C16</f>
        <v>0</v>
      </c>
      <c r="M496" s="39">
        <f>'[4]18нед'!D16</f>
        <v>0</v>
      </c>
      <c r="N496" s="40">
        <f>'[4]18нед'!G16</f>
        <v>0</v>
      </c>
      <c r="O496" s="41" t="str">
        <f>'[4]18нед'!H16</f>
        <v/>
      </c>
      <c r="P496" s="42"/>
    </row>
    <row r="497" ht="31.5" spans="1:16">
      <c r="A497" s="36"/>
      <c r="B497" s="37"/>
      <c r="C497" s="29" t="s">
        <v>21</v>
      </c>
      <c r="D497" s="38">
        <f>'[4]17нед'!C17</f>
        <v>0</v>
      </c>
      <c r="E497" s="39">
        <f>'[4]17нед'!D17</f>
        <v>0</v>
      </c>
      <c r="F497" s="40">
        <f>'[4]17нед'!G17</f>
        <v>0</v>
      </c>
      <c r="G497" s="41" t="str">
        <f>'[4]17нед'!H17</f>
        <v/>
      </c>
      <c r="H497" s="56"/>
      <c r="I497" s="43"/>
      <c r="J497" s="44"/>
      <c r="K497" s="29" t="s">
        <v>21</v>
      </c>
      <c r="L497" s="38">
        <f>'[4]18нед'!C17</f>
        <v>0</v>
      </c>
      <c r="M497" s="39">
        <f>'[4]18нед'!D17</f>
        <v>0</v>
      </c>
      <c r="N497" s="40">
        <f>'[4]18нед'!G17</f>
        <v>0</v>
      </c>
      <c r="O497" s="41" t="str">
        <f>'[4]18нед'!H17</f>
        <v/>
      </c>
      <c r="P497" s="56"/>
    </row>
    <row r="498" ht="32.25" spans="1:16">
      <c r="A498" s="36"/>
      <c r="B498" s="37"/>
      <c r="C498" s="29" t="s">
        <v>22</v>
      </c>
      <c r="D498" s="38">
        <f>'[4]17нед'!C18</f>
        <v>0</v>
      </c>
      <c r="E498" s="39">
        <f>'[4]17нед'!D18</f>
        <v>0</v>
      </c>
      <c r="F498" s="40">
        <f>'[4]17нед'!G18</f>
        <v>0</v>
      </c>
      <c r="G498" s="41" t="str">
        <f>'[4]17нед'!H18</f>
        <v/>
      </c>
      <c r="H498" s="56"/>
      <c r="I498" s="43"/>
      <c r="J498" s="44"/>
      <c r="K498" s="29" t="s">
        <v>22</v>
      </c>
      <c r="L498" s="38">
        <f>'[4]18нед'!C18</f>
        <v>0</v>
      </c>
      <c r="M498" s="39">
        <f>'[4]18нед'!D18</f>
        <v>0</v>
      </c>
      <c r="N498" s="40">
        <f>'[4]18нед'!G18</f>
        <v>0</v>
      </c>
      <c r="O498" s="41" t="str">
        <f>'[4]18нед'!H18</f>
        <v/>
      </c>
      <c r="P498" s="56"/>
    </row>
    <row r="499" ht="18.4" hidden="1" customHeight="1" spans="1:16">
      <c r="A499" s="45"/>
      <c r="B499" s="46"/>
      <c r="C499" s="47"/>
      <c r="D499" s="48">
        <f>'[4]17нед'!C19</f>
        <v>0</v>
      </c>
      <c r="E499" s="49">
        <f>'[4]17нед'!D19</f>
        <v>0</v>
      </c>
      <c r="F499" s="50">
        <f>'[4]17нед'!G19</f>
        <v>0</v>
      </c>
      <c r="G499" s="51" t="str">
        <f>'[4]17нед'!H19</f>
        <v/>
      </c>
      <c r="H499" s="52"/>
      <c r="I499" s="53"/>
      <c r="J499" s="54"/>
      <c r="K499" s="47"/>
      <c r="L499" s="48">
        <f>'[4]18нед'!C19</f>
        <v>0</v>
      </c>
      <c r="M499" s="49">
        <f>'[4]18нед'!D19</f>
        <v>0</v>
      </c>
      <c r="N499" s="50">
        <f>'[4]18нед'!G19</f>
        <v>0</v>
      </c>
      <c r="O499" s="51" t="str">
        <f>'[4]18нед'!H19</f>
        <v/>
      </c>
      <c r="P499" s="52"/>
    </row>
    <row r="500" ht="32.25" customHeight="1" spans="1:16">
      <c r="A500" s="27">
        <v>46378</v>
      </c>
      <c r="B500" s="28" t="s">
        <v>23</v>
      </c>
      <c r="C500" s="55" t="s">
        <v>16</v>
      </c>
      <c r="D500" s="30">
        <f>'[4]17нед'!C20</f>
        <v>0</v>
      </c>
      <c r="E500" s="31">
        <f>'[4]17нед'!D20</f>
        <v>0</v>
      </c>
      <c r="F500" s="32">
        <f>'[4]17нед'!G20</f>
        <v>0</v>
      </c>
      <c r="G500" s="33" t="str">
        <f>'[4]17нед'!H20</f>
        <v/>
      </c>
      <c r="H500" s="34"/>
      <c r="I500" s="27">
        <v>46385</v>
      </c>
      <c r="J500" s="35" t="s">
        <v>23</v>
      </c>
      <c r="K500" s="55" t="s">
        <v>16</v>
      </c>
      <c r="L500" s="30">
        <f>'[4]18нед'!C20</f>
        <v>0</v>
      </c>
      <c r="M500" s="31">
        <f>'[4]18нед'!D20</f>
        <v>0</v>
      </c>
      <c r="N500" s="32">
        <f>'[4]18нед'!G20</f>
        <v>0</v>
      </c>
      <c r="O500" s="33" t="str">
        <f>'[4]18нед'!H20</f>
        <v/>
      </c>
      <c r="P500" s="34"/>
    </row>
    <row r="501" ht="31.5" spans="1:16">
      <c r="A501" s="36"/>
      <c r="B501" s="37"/>
      <c r="C501" s="29" t="s">
        <v>17</v>
      </c>
      <c r="D501" s="38">
        <f>'[4]17нед'!C21</f>
        <v>0</v>
      </c>
      <c r="E501" s="39">
        <f>'[4]17нед'!D21</f>
        <v>0</v>
      </c>
      <c r="F501" s="40">
        <f>'[4]17нед'!G21</f>
        <v>0</v>
      </c>
      <c r="G501" s="41" t="str">
        <f>'[4]17нед'!H21</f>
        <v/>
      </c>
      <c r="H501" s="42"/>
      <c r="I501" s="43"/>
      <c r="J501" s="44"/>
      <c r="K501" s="29" t="s">
        <v>17</v>
      </c>
      <c r="L501" s="38">
        <f>'[4]18нед'!C21</f>
        <v>0</v>
      </c>
      <c r="M501" s="39">
        <f>'[4]18нед'!D21</f>
        <v>0</v>
      </c>
      <c r="N501" s="40">
        <f>'[4]18нед'!G21</f>
        <v>0</v>
      </c>
      <c r="O501" s="41" t="str">
        <f>'[4]18нед'!H21</f>
        <v/>
      </c>
      <c r="P501" s="42"/>
    </row>
    <row r="502" ht="31.5" spans="1:16">
      <c r="A502" s="36"/>
      <c r="B502" s="37"/>
      <c r="C502" s="29" t="s">
        <v>18</v>
      </c>
      <c r="D502" s="38">
        <f>'[4]17нед'!C22</f>
        <v>0</v>
      </c>
      <c r="E502" s="39">
        <f>'[4]17нед'!D22</f>
        <v>0</v>
      </c>
      <c r="F502" s="40">
        <f>'[4]17нед'!G22</f>
        <v>0</v>
      </c>
      <c r="G502" s="41" t="str">
        <f>'[4]17нед'!H22</f>
        <v/>
      </c>
      <c r="H502" s="42"/>
      <c r="I502" s="43"/>
      <c r="J502" s="44"/>
      <c r="K502" s="29" t="s">
        <v>18</v>
      </c>
      <c r="L502" s="38">
        <f>'[4]18нед'!C22</f>
        <v>0</v>
      </c>
      <c r="M502" s="39">
        <f>'[4]18нед'!D22</f>
        <v>0</v>
      </c>
      <c r="N502" s="40">
        <f>'[4]18нед'!G22</f>
        <v>0</v>
      </c>
      <c r="O502" s="41" t="str">
        <f>'[4]18нед'!H22</f>
        <v/>
      </c>
      <c r="P502" s="42"/>
    </row>
    <row r="503" ht="31.5" spans="1:16">
      <c r="A503" s="36"/>
      <c r="B503" s="37"/>
      <c r="C503" s="29" t="s">
        <v>19</v>
      </c>
      <c r="D503" s="38">
        <f>'[4]17нед'!C23</f>
        <v>0</v>
      </c>
      <c r="E503" s="39">
        <f>'[4]17нед'!D23</f>
        <v>0</v>
      </c>
      <c r="F503" s="40">
        <f>'[4]17нед'!G23</f>
        <v>0</v>
      </c>
      <c r="G503" s="41" t="str">
        <f>'[4]17нед'!H23</f>
        <v/>
      </c>
      <c r="H503" s="42"/>
      <c r="I503" s="43"/>
      <c r="J503" s="44"/>
      <c r="K503" s="29" t="s">
        <v>19</v>
      </c>
      <c r="L503" s="38">
        <f>'[4]18нед'!C23</f>
        <v>0</v>
      </c>
      <c r="M503" s="39">
        <f>'[4]18нед'!D23</f>
        <v>0</v>
      </c>
      <c r="N503" s="40">
        <f>'[4]18нед'!G23</f>
        <v>0</v>
      </c>
      <c r="O503" s="41" t="str">
        <f>'[4]18нед'!H23</f>
        <v/>
      </c>
      <c r="P503" s="42"/>
    </row>
    <row r="504" ht="31.5" spans="1:16">
      <c r="A504" s="36"/>
      <c r="B504" s="37"/>
      <c r="C504" s="29" t="s">
        <v>20</v>
      </c>
      <c r="D504" s="38">
        <f>'[4]17нед'!C24</f>
        <v>0</v>
      </c>
      <c r="E504" s="39">
        <f>'[4]17нед'!D24</f>
        <v>0</v>
      </c>
      <c r="F504" s="40">
        <f>'[4]17нед'!G24</f>
        <v>0</v>
      </c>
      <c r="G504" s="41" t="str">
        <f>'[4]17нед'!H24</f>
        <v/>
      </c>
      <c r="H504" s="42"/>
      <c r="I504" s="43"/>
      <c r="J504" s="44"/>
      <c r="K504" s="29" t="s">
        <v>20</v>
      </c>
      <c r="L504" s="38">
        <f>'[4]18нед'!C24</f>
        <v>0</v>
      </c>
      <c r="M504" s="39">
        <f>'[4]18нед'!D24</f>
        <v>0</v>
      </c>
      <c r="N504" s="40">
        <f>'[4]18нед'!G24</f>
        <v>0</v>
      </c>
      <c r="O504" s="41" t="str">
        <f>'[4]18нед'!H24</f>
        <v/>
      </c>
      <c r="P504" s="42"/>
    </row>
    <row r="505" ht="31.5" spans="1:16">
      <c r="A505" s="36"/>
      <c r="B505" s="37"/>
      <c r="C505" s="29" t="s">
        <v>21</v>
      </c>
      <c r="D505" s="38">
        <f>'[4]17нед'!C25</f>
        <v>0</v>
      </c>
      <c r="E505" s="39">
        <f>'[4]17нед'!D25</f>
        <v>0</v>
      </c>
      <c r="F505" s="40">
        <f>'[4]17нед'!G25</f>
        <v>0</v>
      </c>
      <c r="G505" s="41" t="str">
        <f>'[4]17нед'!H25</f>
        <v/>
      </c>
      <c r="H505" s="42"/>
      <c r="I505" s="43"/>
      <c r="J505" s="44"/>
      <c r="K505" s="29" t="s">
        <v>21</v>
      </c>
      <c r="L505" s="38">
        <f>'[4]18нед'!C25</f>
        <v>0</v>
      </c>
      <c r="M505" s="39">
        <f>'[4]18нед'!D25</f>
        <v>0</v>
      </c>
      <c r="N505" s="40">
        <f>'[4]18нед'!G25</f>
        <v>0</v>
      </c>
      <c r="O505" s="41" t="str">
        <f>'[4]18нед'!H25</f>
        <v/>
      </c>
      <c r="P505" s="42"/>
    </row>
    <row r="506" ht="32.25" spans="1:16">
      <c r="A506" s="36"/>
      <c r="B506" s="37"/>
      <c r="C506" s="29" t="s">
        <v>22</v>
      </c>
      <c r="D506" s="38">
        <f>'[4]17нед'!C26</f>
        <v>0</v>
      </c>
      <c r="E506" s="39">
        <f>'[4]17нед'!D26</f>
        <v>0</v>
      </c>
      <c r="F506" s="40">
        <f>'[4]17нед'!G26</f>
        <v>0</v>
      </c>
      <c r="G506" s="41" t="str">
        <f>'[4]17нед'!H26</f>
        <v/>
      </c>
      <c r="H506" s="42"/>
      <c r="I506" s="43"/>
      <c r="J506" s="44"/>
      <c r="K506" s="29" t="s">
        <v>22</v>
      </c>
      <c r="L506" s="38">
        <f>'[4]18нед'!C26</f>
        <v>0</v>
      </c>
      <c r="M506" s="39">
        <f>'[4]18нед'!D26</f>
        <v>0</v>
      </c>
      <c r="N506" s="40">
        <f>'[4]18нед'!G26</f>
        <v>0</v>
      </c>
      <c r="O506" s="41" t="str">
        <f>'[4]18нед'!H26</f>
        <v/>
      </c>
      <c r="P506" s="42"/>
    </row>
    <row r="507" ht="18.4" hidden="1" customHeight="1" spans="1:16">
      <c r="A507" s="45"/>
      <c r="B507" s="46"/>
      <c r="C507" s="47"/>
      <c r="D507" s="48">
        <f>'[4]17нед'!C27</f>
        <v>0</v>
      </c>
      <c r="E507" s="49">
        <f>'[4]17нед'!D27</f>
        <v>0</v>
      </c>
      <c r="F507" s="50">
        <f>'[4]17нед'!G27</f>
        <v>0</v>
      </c>
      <c r="G507" s="51" t="str">
        <f>'[4]17нед'!H27</f>
        <v/>
      </c>
      <c r="H507" s="52"/>
      <c r="I507" s="53"/>
      <c r="J507" s="54"/>
      <c r="K507" s="47"/>
      <c r="L507" s="48">
        <f>'[4]18нед'!C27</f>
        <v>0</v>
      </c>
      <c r="M507" s="49">
        <f>'[4]18нед'!D27</f>
        <v>0</v>
      </c>
      <c r="N507" s="50">
        <f>'[4]18нед'!G27</f>
        <v>0</v>
      </c>
      <c r="O507" s="51" t="str">
        <f>'[4]18нед'!H27</f>
        <v/>
      </c>
      <c r="P507" s="52"/>
    </row>
    <row r="508" ht="48" customHeight="1" spans="1:16">
      <c r="A508" s="27">
        <v>46379</v>
      </c>
      <c r="B508" s="57" t="s">
        <v>24</v>
      </c>
      <c r="C508" s="55" t="s">
        <v>16</v>
      </c>
      <c r="D508" s="30">
        <f>'[4]17нед'!C28</f>
        <v>0</v>
      </c>
      <c r="E508" s="31">
        <f>'[4]17нед'!D28</f>
        <v>0</v>
      </c>
      <c r="F508" s="32">
        <f>'[4]17нед'!G28</f>
        <v>0</v>
      </c>
      <c r="G508" s="33" t="str">
        <f>'[4]17нед'!H28</f>
        <v/>
      </c>
      <c r="H508" s="34"/>
      <c r="I508" s="27">
        <v>46386</v>
      </c>
      <c r="J508" s="58" t="s">
        <v>24</v>
      </c>
      <c r="K508" s="55" t="s">
        <v>16</v>
      </c>
      <c r="L508" s="30">
        <f>'[4]18нед'!C28</f>
        <v>0</v>
      </c>
      <c r="M508" s="31">
        <f>'[4]18нед'!D28</f>
        <v>0</v>
      </c>
      <c r="N508" s="32">
        <f>'[4]18нед'!G28</f>
        <v>0</v>
      </c>
      <c r="O508" s="33" t="str">
        <f>'[4]18нед'!H28</f>
        <v/>
      </c>
      <c r="P508" s="34"/>
    </row>
    <row r="509" ht="31.5" spans="1:16">
      <c r="A509" s="36"/>
      <c r="B509" s="59"/>
      <c r="C509" s="29" t="s">
        <v>17</v>
      </c>
      <c r="D509" s="38">
        <f>'[4]17нед'!C29</f>
        <v>0</v>
      </c>
      <c r="E509" s="39">
        <f>'[4]17нед'!D29</f>
        <v>0</v>
      </c>
      <c r="F509" s="40">
        <f>'[4]17нед'!G29</f>
        <v>0</v>
      </c>
      <c r="G509" s="41" t="str">
        <f>'[4]17нед'!H29</f>
        <v/>
      </c>
      <c r="H509" s="42"/>
      <c r="I509" s="43"/>
      <c r="J509" s="60"/>
      <c r="K509" s="29" t="s">
        <v>17</v>
      </c>
      <c r="L509" s="38">
        <f>'[4]18нед'!C29</f>
        <v>0</v>
      </c>
      <c r="M509" s="39">
        <f>'[4]18нед'!D29</f>
        <v>0</v>
      </c>
      <c r="N509" s="40">
        <f>'[4]18нед'!G29</f>
        <v>0</v>
      </c>
      <c r="O509" s="41" t="str">
        <f>'[4]18нед'!H29</f>
        <v/>
      </c>
      <c r="P509" s="42"/>
    </row>
    <row r="510" ht="31.5" spans="1:16">
      <c r="A510" s="36"/>
      <c r="B510" s="59"/>
      <c r="C510" s="29" t="s">
        <v>18</v>
      </c>
      <c r="D510" s="38">
        <f>'[4]17нед'!C30</f>
        <v>0</v>
      </c>
      <c r="E510" s="39">
        <f>'[4]17нед'!D30</f>
        <v>0</v>
      </c>
      <c r="F510" s="40">
        <f>'[4]17нед'!G30</f>
        <v>0</v>
      </c>
      <c r="G510" s="41" t="str">
        <f>'[4]17нед'!H30</f>
        <v/>
      </c>
      <c r="H510" s="42"/>
      <c r="I510" s="43"/>
      <c r="J510" s="60"/>
      <c r="K510" s="29" t="s">
        <v>18</v>
      </c>
      <c r="L510" s="38">
        <f>'[4]18нед'!C30</f>
        <v>0</v>
      </c>
      <c r="M510" s="39">
        <f>'[4]18нед'!D30</f>
        <v>0</v>
      </c>
      <c r="N510" s="40">
        <f>'[4]18нед'!G30</f>
        <v>0</v>
      </c>
      <c r="O510" s="41" t="str">
        <f>'[4]18нед'!H30</f>
        <v/>
      </c>
      <c r="P510" s="42"/>
    </row>
    <row r="511" ht="31.5" spans="1:16">
      <c r="A511" s="36"/>
      <c r="B511" s="59"/>
      <c r="C511" s="29" t="s">
        <v>19</v>
      </c>
      <c r="D511" s="38">
        <f>'[4]17нед'!C31</f>
        <v>0</v>
      </c>
      <c r="E511" s="39">
        <f>'[4]17нед'!D31</f>
        <v>0</v>
      </c>
      <c r="F511" s="40">
        <f>'[4]17нед'!G31</f>
        <v>0</v>
      </c>
      <c r="G511" s="41" t="str">
        <f>'[4]17нед'!H31</f>
        <v/>
      </c>
      <c r="H511" s="42"/>
      <c r="I511" s="43"/>
      <c r="J511" s="60"/>
      <c r="K511" s="29" t="s">
        <v>19</v>
      </c>
      <c r="L511" s="38">
        <f>'[4]18нед'!C31</f>
        <v>0</v>
      </c>
      <c r="M511" s="39">
        <f>'[4]18нед'!D31</f>
        <v>0</v>
      </c>
      <c r="N511" s="40">
        <f>'[4]18нед'!G31</f>
        <v>0</v>
      </c>
      <c r="O511" s="41" t="str">
        <f>'[4]18нед'!H31</f>
        <v/>
      </c>
      <c r="P511" s="42"/>
    </row>
    <row r="512" ht="31.5" spans="1:16">
      <c r="A512" s="36"/>
      <c r="B512" s="59"/>
      <c r="C512" s="29" t="s">
        <v>20</v>
      </c>
      <c r="D512" s="38">
        <f>'[4]17нед'!C32</f>
        <v>0</v>
      </c>
      <c r="E512" s="39">
        <f>'[4]17нед'!D32</f>
        <v>0</v>
      </c>
      <c r="F512" s="40">
        <f>'[4]17нед'!G32</f>
        <v>0</v>
      </c>
      <c r="G512" s="41" t="str">
        <f>'[4]17нед'!H32</f>
        <v/>
      </c>
      <c r="H512" s="42"/>
      <c r="I512" s="43"/>
      <c r="J512" s="60"/>
      <c r="K512" s="29" t="s">
        <v>20</v>
      </c>
      <c r="L512" s="38">
        <f>'[4]18нед'!C32</f>
        <v>0</v>
      </c>
      <c r="M512" s="39">
        <f>'[4]18нед'!D32</f>
        <v>0</v>
      </c>
      <c r="N512" s="40">
        <f>'[4]18нед'!G32</f>
        <v>0</v>
      </c>
      <c r="O512" s="41" t="str">
        <f>'[4]18нед'!H32</f>
        <v/>
      </c>
      <c r="P512" s="42"/>
    </row>
    <row r="513" ht="31.5" spans="1:16">
      <c r="A513" s="36"/>
      <c r="B513" s="59"/>
      <c r="C513" s="29" t="s">
        <v>21</v>
      </c>
      <c r="D513" s="38">
        <f>'[4]17нед'!C33</f>
        <v>0</v>
      </c>
      <c r="E513" s="39">
        <f>'[4]17нед'!D33</f>
        <v>0</v>
      </c>
      <c r="F513" s="40">
        <f>'[4]17нед'!G33</f>
        <v>0</v>
      </c>
      <c r="G513" s="41" t="str">
        <f>'[4]17нед'!H33</f>
        <v/>
      </c>
      <c r="H513" s="56"/>
      <c r="I513" s="43"/>
      <c r="J513" s="60"/>
      <c r="K513" s="29" t="s">
        <v>21</v>
      </c>
      <c r="L513" s="38">
        <f>'[4]18нед'!C33</f>
        <v>0</v>
      </c>
      <c r="M513" s="39">
        <f>'[4]18нед'!D33</f>
        <v>0</v>
      </c>
      <c r="N513" s="40">
        <f>'[4]18нед'!G33</f>
        <v>0</v>
      </c>
      <c r="O513" s="41" t="str">
        <f>'[4]18нед'!H33</f>
        <v/>
      </c>
      <c r="P513" s="56"/>
    </row>
    <row r="514" ht="32.25" spans="1:16">
      <c r="A514" s="36"/>
      <c r="B514" s="59"/>
      <c r="C514" s="29" t="s">
        <v>22</v>
      </c>
      <c r="D514" s="38">
        <f>'[4]17нед'!C34</f>
        <v>0</v>
      </c>
      <c r="E514" s="39">
        <f>'[4]17нед'!D34</f>
        <v>0</v>
      </c>
      <c r="F514" s="40">
        <f>'[4]17нед'!G34</f>
        <v>0</v>
      </c>
      <c r="G514" s="41" t="str">
        <f>'[4]17нед'!H34</f>
        <v/>
      </c>
      <c r="H514" s="56"/>
      <c r="I514" s="43"/>
      <c r="J514" s="60"/>
      <c r="K514" s="29" t="s">
        <v>22</v>
      </c>
      <c r="L514" s="38">
        <f>'[4]18нед'!C34</f>
        <v>0</v>
      </c>
      <c r="M514" s="39">
        <f>'[4]18нед'!D34</f>
        <v>0</v>
      </c>
      <c r="N514" s="40">
        <f>'[4]18нед'!G34</f>
        <v>0</v>
      </c>
      <c r="O514" s="41" t="str">
        <f>'[4]18нед'!H34</f>
        <v/>
      </c>
      <c r="P514" s="56"/>
    </row>
    <row r="515" ht="18.4" hidden="1" customHeight="1" spans="1:16">
      <c r="A515" s="45"/>
      <c r="B515" s="61"/>
      <c r="C515" s="47"/>
      <c r="D515" s="48">
        <f>'[4]17нед'!C35</f>
        <v>0</v>
      </c>
      <c r="E515" s="49">
        <f>'[4]17нед'!D35</f>
        <v>0</v>
      </c>
      <c r="F515" s="50">
        <f>'[4]17нед'!G35</f>
        <v>0</v>
      </c>
      <c r="G515" s="51" t="str">
        <f>'[4]17нед'!H35</f>
        <v/>
      </c>
      <c r="H515" s="52"/>
      <c r="I515" s="53"/>
      <c r="J515" s="62"/>
      <c r="K515" s="47"/>
      <c r="L515" s="48">
        <f>'[4]18нед'!C35</f>
        <v>0</v>
      </c>
      <c r="M515" s="49">
        <f>'[4]18нед'!D35</f>
        <v>0</v>
      </c>
      <c r="N515" s="50">
        <f>'[4]18нед'!G35</f>
        <v>0</v>
      </c>
      <c r="O515" s="51" t="str">
        <f>'[4]18нед'!H35</f>
        <v/>
      </c>
      <c r="P515" s="52"/>
    </row>
    <row r="516" ht="48" customHeight="1" spans="1:16">
      <c r="A516" s="27">
        <v>46380</v>
      </c>
      <c r="B516" s="28" t="s">
        <v>25</v>
      </c>
      <c r="C516" s="55" t="s">
        <v>16</v>
      </c>
      <c r="D516" s="30">
        <f>'[4]17нед'!C36</f>
        <v>0</v>
      </c>
      <c r="E516" s="31">
        <f>'[4]17нед'!D36</f>
        <v>0</v>
      </c>
      <c r="F516" s="32">
        <f>'[4]17нед'!G36</f>
        <v>0</v>
      </c>
      <c r="G516" s="33" t="str">
        <f>'[4]17нед'!H36</f>
        <v/>
      </c>
      <c r="H516" s="34"/>
      <c r="I516" s="27">
        <v>46387</v>
      </c>
      <c r="J516" s="35" t="s">
        <v>25</v>
      </c>
      <c r="K516" s="55" t="s">
        <v>16</v>
      </c>
      <c r="L516" s="30">
        <f>'[4]18нед'!C36</f>
        <v>0</v>
      </c>
      <c r="M516" s="31">
        <f>'[4]18нед'!D36</f>
        <v>0</v>
      </c>
      <c r="N516" s="32">
        <f>'[4]18нед'!G36</f>
        <v>0</v>
      </c>
      <c r="O516" s="33" t="str">
        <f>'[4]18нед'!H36</f>
        <v/>
      </c>
      <c r="P516" s="34"/>
    </row>
    <row r="517" ht="31.5" spans="1:16">
      <c r="A517" s="36"/>
      <c r="B517" s="37"/>
      <c r="C517" s="29" t="s">
        <v>17</v>
      </c>
      <c r="D517" s="38">
        <f>'[4]17нед'!C37</f>
        <v>0</v>
      </c>
      <c r="E517" s="39">
        <f>'[4]17нед'!D37</f>
        <v>0</v>
      </c>
      <c r="F517" s="40">
        <f>'[4]17нед'!G37</f>
        <v>0</v>
      </c>
      <c r="G517" s="41" t="str">
        <f>'[4]17нед'!H37</f>
        <v/>
      </c>
      <c r="H517" s="42"/>
      <c r="I517" s="43"/>
      <c r="J517" s="44"/>
      <c r="K517" s="29" t="s">
        <v>17</v>
      </c>
      <c r="L517" s="38">
        <f>'[4]18нед'!C37</f>
        <v>0</v>
      </c>
      <c r="M517" s="39">
        <f>'[4]18нед'!D37</f>
        <v>0</v>
      </c>
      <c r="N517" s="40">
        <f>'[4]18нед'!G37</f>
        <v>0</v>
      </c>
      <c r="O517" s="41" t="str">
        <f>'[4]18нед'!H37</f>
        <v/>
      </c>
      <c r="P517" s="42"/>
    </row>
    <row r="518" ht="31.5" spans="1:16">
      <c r="A518" s="36"/>
      <c r="B518" s="37"/>
      <c r="C518" s="29" t="s">
        <v>18</v>
      </c>
      <c r="D518" s="38">
        <f>'[4]17нед'!C38</f>
        <v>0</v>
      </c>
      <c r="E518" s="39">
        <f>'[4]17нед'!D38</f>
        <v>0</v>
      </c>
      <c r="F518" s="40">
        <f>'[4]17нед'!G38</f>
        <v>0</v>
      </c>
      <c r="G518" s="41" t="str">
        <f>'[4]17нед'!H38</f>
        <v/>
      </c>
      <c r="H518" s="42"/>
      <c r="I518" s="43"/>
      <c r="J518" s="44"/>
      <c r="K518" s="29" t="s">
        <v>18</v>
      </c>
      <c r="L518" s="38">
        <f>'[4]18нед'!C38</f>
        <v>0</v>
      </c>
      <c r="M518" s="39">
        <f>'[4]18нед'!D38</f>
        <v>0</v>
      </c>
      <c r="N518" s="40">
        <f>'[4]18нед'!G38</f>
        <v>0</v>
      </c>
      <c r="O518" s="41" t="str">
        <f>'[4]18нед'!H38</f>
        <v/>
      </c>
      <c r="P518" s="42"/>
    </row>
    <row r="519" ht="31.5" spans="1:16">
      <c r="A519" s="36"/>
      <c r="B519" s="37"/>
      <c r="C519" s="29" t="s">
        <v>19</v>
      </c>
      <c r="D519" s="38">
        <f>'[4]17нед'!C39</f>
        <v>0</v>
      </c>
      <c r="E519" s="39">
        <f>'[4]17нед'!D39</f>
        <v>0</v>
      </c>
      <c r="F519" s="40">
        <f>'[4]17нед'!G39</f>
        <v>0</v>
      </c>
      <c r="G519" s="41" t="str">
        <f>'[4]17нед'!H39</f>
        <v/>
      </c>
      <c r="H519" s="42"/>
      <c r="I519" s="43"/>
      <c r="J519" s="44"/>
      <c r="K519" s="29" t="s">
        <v>19</v>
      </c>
      <c r="L519" s="38">
        <f>'[4]18нед'!C39</f>
        <v>0</v>
      </c>
      <c r="M519" s="39">
        <f>'[4]18нед'!D39</f>
        <v>0</v>
      </c>
      <c r="N519" s="40">
        <f>'[4]18нед'!G39</f>
        <v>0</v>
      </c>
      <c r="O519" s="41" t="str">
        <f>'[4]18нед'!H39</f>
        <v/>
      </c>
      <c r="P519" s="42"/>
    </row>
    <row r="520" ht="31.5" spans="1:16">
      <c r="A520" s="36"/>
      <c r="B520" s="37"/>
      <c r="C520" s="29" t="s">
        <v>20</v>
      </c>
      <c r="D520" s="38">
        <f>'[4]17нед'!C40</f>
        <v>0</v>
      </c>
      <c r="E520" s="39">
        <f>'[4]17нед'!D40</f>
        <v>0</v>
      </c>
      <c r="F520" s="40">
        <f>'[4]17нед'!G40</f>
        <v>0</v>
      </c>
      <c r="G520" s="41" t="str">
        <f>'[4]17нед'!H40</f>
        <v/>
      </c>
      <c r="H520" s="42"/>
      <c r="I520" s="43"/>
      <c r="J520" s="44"/>
      <c r="K520" s="29" t="s">
        <v>20</v>
      </c>
      <c r="L520" s="38">
        <f>'[4]18нед'!C40</f>
        <v>0</v>
      </c>
      <c r="M520" s="39">
        <f>'[4]18нед'!D40</f>
        <v>0</v>
      </c>
      <c r="N520" s="40">
        <f>'[4]18нед'!G40</f>
        <v>0</v>
      </c>
      <c r="O520" s="41" t="str">
        <f>'[4]18нед'!H40</f>
        <v/>
      </c>
      <c r="P520" s="42"/>
    </row>
    <row r="521" ht="31.5" spans="1:16">
      <c r="A521" s="36"/>
      <c r="B521" s="37"/>
      <c r="C521" s="29" t="s">
        <v>21</v>
      </c>
      <c r="D521" s="38">
        <f>'[4]17нед'!C41</f>
        <v>0</v>
      </c>
      <c r="E521" s="39">
        <f>'[4]17нед'!D41</f>
        <v>0</v>
      </c>
      <c r="F521" s="40">
        <f>'[4]17нед'!G41</f>
        <v>0</v>
      </c>
      <c r="G521" s="41" t="str">
        <f>'[4]17нед'!H41</f>
        <v/>
      </c>
      <c r="H521" s="56"/>
      <c r="I521" s="43"/>
      <c r="J521" s="44"/>
      <c r="K521" s="29" t="s">
        <v>21</v>
      </c>
      <c r="L521" s="38">
        <f>'[4]18нед'!C41</f>
        <v>0</v>
      </c>
      <c r="M521" s="39">
        <f>'[4]18нед'!D41</f>
        <v>0</v>
      </c>
      <c r="N521" s="40">
        <f>'[4]18нед'!G41</f>
        <v>0</v>
      </c>
      <c r="O521" s="41" t="str">
        <f>'[4]18нед'!H41</f>
        <v/>
      </c>
      <c r="P521" s="56"/>
    </row>
    <row r="522" ht="32.25" spans="1:16">
      <c r="A522" s="36"/>
      <c r="B522" s="37"/>
      <c r="C522" s="29" t="s">
        <v>22</v>
      </c>
      <c r="D522" s="38">
        <f>'[4]17нед'!C42</f>
        <v>0</v>
      </c>
      <c r="E522" s="39">
        <f>'[4]17нед'!D42</f>
        <v>0</v>
      </c>
      <c r="F522" s="40">
        <f>'[4]17нед'!G42</f>
        <v>0</v>
      </c>
      <c r="G522" s="41" t="str">
        <f>'[4]17нед'!H42</f>
        <v/>
      </c>
      <c r="H522" s="56"/>
      <c r="I522" s="43"/>
      <c r="J522" s="44"/>
      <c r="K522" s="29" t="s">
        <v>22</v>
      </c>
      <c r="L522" s="38">
        <f>'[4]18нед'!C42</f>
        <v>0</v>
      </c>
      <c r="M522" s="39">
        <f>'[4]18нед'!D42</f>
        <v>0</v>
      </c>
      <c r="N522" s="40">
        <f>'[4]18нед'!G42</f>
        <v>0</v>
      </c>
      <c r="O522" s="41" t="str">
        <f>'[4]18нед'!H42</f>
        <v/>
      </c>
      <c r="P522" s="56"/>
    </row>
    <row r="523" ht="18.4" hidden="1" customHeight="1" spans="1:16">
      <c r="A523" s="45"/>
      <c r="B523" s="46"/>
      <c r="C523" s="47"/>
      <c r="D523" s="48">
        <f>'[4]17нед'!C43</f>
        <v>0</v>
      </c>
      <c r="E523" s="49">
        <f>'[4]17нед'!D43</f>
        <v>0</v>
      </c>
      <c r="F523" s="50">
        <f>'[4]17нед'!G43</f>
        <v>0</v>
      </c>
      <c r="G523" s="51" t="str">
        <f>'[4]17нед'!H43</f>
        <v/>
      </c>
      <c r="H523" s="52"/>
      <c r="I523" s="53"/>
      <c r="J523" s="54"/>
      <c r="K523" s="47"/>
      <c r="L523" s="48">
        <f>'[4]18нед'!C43</f>
        <v>0</v>
      </c>
      <c r="M523" s="49">
        <f>'[4]18нед'!D43</f>
        <v>0</v>
      </c>
      <c r="N523" s="50">
        <f>'[4]18нед'!G43</f>
        <v>0</v>
      </c>
      <c r="O523" s="51" t="str">
        <f>'[4]18нед'!H43</f>
        <v/>
      </c>
      <c r="P523" s="52"/>
    </row>
    <row r="524" ht="48" customHeight="1" spans="1:16">
      <c r="A524" s="27">
        <v>46381</v>
      </c>
      <c r="B524" s="28" t="s">
        <v>26</v>
      </c>
      <c r="C524" s="55" t="s">
        <v>16</v>
      </c>
      <c r="D524" s="30">
        <f>'[4]17нед'!C44</f>
        <v>0</v>
      </c>
      <c r="E524" s="31">
        <f>'[4]17нед'!D44</f>
        <v>0</v>
      </c>
      <c r="F524" s="32">
        <f>'[4]17нед'!G44</f>
        <v>0</v>
      </c>
      <c r="G524" s="33" t="str">
        <f>'[4]17нед'!H44</f>
        <v/>
      </c>
      <c r="H524" s="34"/>
      <c r="I524" s="27">
        <v>46388</v>
      </c>
      <c r="J524" s="35" t="s">
        <v>26</v>
      </c>
      <c r="K524" s="55" t="s">
        <v>16</v>
      </c>
      <c r="L524" s="30">
        <f>'[4]18нед'!C44</f>
        <v>0</v>
      </c>
      <c r="M524" s="31">
        <f>'[4]18нед'!D44</f>
        <v>0</v>
      </c>
      <c r="N524" s="32">
        <f>'[4]18нед'!G44</f>
        <v>0</v>
      </c>
      <c r="O524" s="33" t="str">
        <f>'[4]18нед'!H44</f>
        <v/>
      </c>
      <c r="P524" s="34"/>
    </row>
    <row r="525" ht="31.5" spans="1:16">
      <c r="A525" s="36"/>
      <c r="B525" s="37"/>
      <c r="C525" s="29" t="s">
        <v>17</v>
      </c>
      <c r="D525" s="38">
        <f>'[4]17нед'!C45</f>
        <v>0</v>
      </c>
      <c r="E525" s="39">
        <f>'[4]17нед'!D45</f>
        <v>0</v>
      </c>
      <c r="F525" s="40">
        <f>'[4]17нед'!G45</f>
        <v>0</v>
      </c>
      <c r="G525" s="41" t="str">
        <f>'[4]17нед'!H45</f>
        <v/>
      </c>
      <c r="H525" s="42"/>
      <c r="I525" s="43"/>
      <c r="J525" s="44"/>
      <c r="K525" s="29" t="s">
        <v>17</v>
      </c>
      <c r="L525" s="38">
        <f>'[4]18нед'!C45</f>
        <v>0</v>
      </c>
      <c r="M525" s="39">
        <f>'[4]18нед'!D45</f>
        <v>0</v>
      </c>
      <c r="N525" s="40">
        <f>'[4]18нед'!G45</f>
        <v>0</v>
      </c>
      <c r="O525" s="41" t="str">
        <f>'[4]18нед'!H45</f>
        <v/>
      </c>
      <c r="P525" s="42"/>
    </row>
    <row r="526" ht="31.5" spans="1:16">
      <c r="A526" s="36"/>
      <c r="B526" s="37"/>
      <c r="C526" s="29" t="s">
        <v>18</v>
      </c>
      <c r="D526" s="38">
        <f>'[4]17нед'!C46</f>
        <v>0</v>
      </c>
      <c r="E526" s="39">
        <f>'[4]17нед'!D46</f>
        <v>0</v>
      </c>
      <c r="F526" s="40">
        <f>'[4]17нед'!G46</f>
        <v>0</v>
      </c>
      <c r="G526" s="41" t="str">
        <f>'[4]17нед'!H46</f>
        <v/>
      </c>
      <c r="H526" s="42"/>
      <c r="I526" s="43"/>
      <c r="J526" s="44"/>
      <c r="K526" s="29" t="s">
        <v>18</v>
      </c>
      <c r="L526" s="38">
        <f>'[4]18нед'!C46</f>
        <v>0</v>
      </c>
      <c r="M526" s="39">
        <f>'[4]18нед'!D46</f>
        <v>0</v>
      </c>
      <c r="N526" s="40">
        <f>'[4]18нед'!G46</f>
        <v>0</v>
      </c>
      <c r="O526" s="41" t="str">
        <f>'[4]18нед'!H46</f>
        <v/>
      </c>
      <c r="P526" s="42"/>
    </row>
    <row r="527" ht="31.5" spans="1:16">
      <c r="A527" s="36"/>
      <c r="B527" s="37"/>
      <c r="C527" s="29" t="s">
        <v>19</v>
      </c>
      <c r="D527" s="38">
        <f>'[4]17нед'!C47</f>
        <v>0</v>
      </c>
      <c r="E527" s="39">
        <f>'[4]17нед'!D47</f>
        <v>0</v>
      </c>
      <c r="F527" s="40">
        <f>'[4]17нед'!G47</f>
        <v>0</v>
      </c>
      <c r="G527" s="41" t="str">
        <f>'[4]17нед'!H47</f>
        <v/>
      </c>
      <c r="H527" s="42"/>
      <c r="I527" s="43"/>
      <c r="J527" s="44"/>
      <c r="K527" s="29" t="s">
        <v>19</v>
      </c>
      <c r="L527" s="38">
        <f>'[4]18нед'!C47</f>
        <v>0</v>
      </c>
      <c r="M527" s="39">
        <f>'[4]18нед'!D47</f>
        <v>0</v>
      </c>
      <c r="N527" s="40">
        <f>'[4]18нед'!G47</f>
        <v>0</v>
      </c>
      <c r="O527" s="41" t="str">
        <f>'[4]18нед'!H47</f>
        <v/>
      </c>
      <c r="P527" s="42"/>
    </row>
    <row r="528" ht="31.5" spans="1:16">
      <c r="A528" s="36"/>
      <c r="B528" s="37"/>
      <c r="C528" s="29" t="s">
        <v>20</v>
      </c>
      <c r="D528" s="38">
        <f>'[4]17нед'!C48</f>
        <v>0</v>
      </c>
      <c r="E528" s="39">
        <f>'[4]17нед'!D48</f>
        <v>0</v>
      </c>
      <c r="F528" s="40">
        <f>'[4]17нед'!G48</f>
        <v>0</v>
      </c>
      <c r="G528" s="41" t="str">
        <f>'[4]17нед'!H48</f>
        <v/>
      </c>
      <c r="H528" s="42"/>
      <c r="I528" s="43"/>
      <c r="J528" s="44"/>
      <c r="K528" s="29" t="s">
        <v>20</v>
      </c>
      <c r="L528" s="38">
        <f>'[4]18нед'!C48</f>
        <v>0</v>
      </c>
      <c r="M528" s="39">
        <f>'[4]18нед'!D48</f>
        <v>0</v>
      </c>
      <c r="N528" s="40">
        <f>'[4]18нед'!G48</f>
        <v>0</v>
      </c>
      <c r="O528" s="41" t="str">
        <f>'[4]18нед'!H48</f>
        <v/>
      </c>
      <c r="P528" s="42"/>
    </row>
    <row r="529" ht="31.5" spans="1:16">
      <c r="A529" s="36"/>
      <c r="B529" s="37"/>
      <c r="C529" s="29" t="s">
        <v>21</v>
      </c>
      <c r="D529" s="38">
        <f>'[4]17нед'!C49</f>
        <v>0</v>
      </c>
      <c r="E529" s="39">
        <f>'[4]17нед'!D49</f>
        <v>0</v>
      </c>
      <c r="F529" s="40">
        <f>'[4]17нед'!G49</f>
        <v>0</v>
      </c>
      <c r="G529" s="41" t="str">
        <f>'[4]17нед'!H49</f>
        <v/>
      </c>
      <c r="H529" s="42"/>
      <c r="I529" s="43"/>
      <c r="J529" s="44"/>
      <c r="K529" s="29" t="s">
        <v>21</v>
      </c>
      <c r="L529" s="38">
        <f>'[4]18нед'!C49</f>
        <v>0</v>
      </c>
      <c r="M529" s="39">
        <f>'[4]18нед'!D49</f>
        <v>0</v>
      </c>
      <c r="N529" s="40">
        <f>'[4]18нед'!G49</f>
        <v>0</v>
      </c>
      <c r="O529" s="41" t="str">
        <f>'[4]18нед'!H49</f>
        <v/>
      </c>
      <c r="P529" s="42"/>
    </row>
    <row r="530" ht="32.25" spans="1:16">
      <c r="A530" s="36"/>
      <c r="B530" s="37"/>
      <c r="C530" s="29" t="s">
        <v>22</v>
      </c>
      <c r="D530" s="38">
        <f>'[4]17нед'!C50</f>
        <v>0</v>
      </c>
      <c r="E530" s="39">
        <f>'[4]17нед'!D50</f>
        <v>0</v>
      </c>
      <c r="F530" s="40">
        <f>'[4]17нед'!G50</f>
        <v>0</v>
      </c>
      <c r="G530" s="41" t="str">
        <f>'[4]17нед'!H50</f>
        <v/>
      </c>
      <c r="H530" s="42"/>
      <c r="I530" s="43"/>
      <c r="J530" s="44"/>
      <c r="K530" s="29" t="s">
        <v>22</v>
      </c>
      <c r="L530" s="38">
        <f>'[4]18нед'!C50</f>
        <v>0</v>
      </c>
      <c r="M530" s="39">
        <f>'[4]18нед'!D50</f>
        <v>0</v>
      </c>
      <c r="N530" s="40">
        <f>'[4]18нед'!G50</f>
        <v>0</v>
      </c>
      <c r="O530" s="41" t="str">
        <f>'[4]18нед'!H50</f>
        <v/>
      </c>
      <c r="P530" s="42"/>
    </row>
    <row r="531" ht="18.4" hidden="1" customHeight="1" spans="1:16">
      <c r="A531" s="45"/>
      <c r="B531" s="46"/>
      <c r="C531" s="47"/>
      <c r="D531" s="48">
        <f>'[4]17нед'!C51</f>
        <v>0</v>
      </c>
      <c r="E531" s="49">
        <f>'[4]17нед'!D51</f>
        <v>0</v>
      </c>
      <c r="F531" s="50">
        <f>'[4]17нед'!G51</f>
        <v>0</v>
      </c>
      <c r="G531" s="51" t="str">
        <f>'[4]17нед'!H51</f>
        <v/>
      </c>
      <c r="H531" s="52"/>
      <c r="I531" s="53"/>
      <c r="J531" s="54"/>
      <c r="K531" s="47"/>
      <c r="L531" s="48">
        <f>'[4]18нед'!C51</f>
        <v>0</v>
      </c>
      <c r="M531" s="49">
        <f>'[4]18нед'!D51</f>
        <v>0</v>
      </c>
      <c r="N531" s="50">
        <f>'[4]18нед'!G51</f>
        <v>0</v>
      </c>
      <c r="O531" s="51" t="str">
        <f>'[4]18нед'!H51</f>
        <v/>
      </c>
      <c r="P531" s="52"/>
    </row>
    <row r="532" ht="48" customHeight="1" spans="1:16">
      <c r="A532" s="27">
        <v>46382</v>
      </c>
      <c r="B532" s="28" t="s">
        <v>27</v>
      </c>
      <c r="C532" s="55" t="s">
        <v>16</v>
      </c>
      <c r="D532" s="30">
        <f>'[4]17нед'!C52</f>
        <v>0</v>
      </c>
      <c r="E532" s="31">
        <f>'[4]17нед'!D52</f>
        <v>0</v>
      </c>
      <c r="F532" s="32">
        <f>'[4]17нед'!G52</f>
        <v>0</v>
      </c>
      <c r="G532" s="33" t="str">
        <f>'[4]17нед'!H52</f>
        <v/>
      </c>
      <c r="H532" s="34"/>
      <c r="I532" s="27">
        <v>46389</v>
      </c>
      <c r="J532" s="35" t="s">
        <v>27</v>
      </c>
      <c r="K532" s="55" t="s">
        <v>16</v>
      </c>
      <c r="L532" s="30">
        <f>'[4]18нед'!C52</f>
        <v>0</v>
      </c>
      <c r="M532" s="31">
        <f>'[4]18нед'!D52</f>
        <v>0</v>
      </c>
      <c r="N532" s="32">
        <f>'[4]18нед'!G52</f>
        <v>0</v>
      </c>
      <c r="O532" s="33" t="str">
        <f>'[4]18нед'!H52</f>
        <v/>
      </c>
      <c r="P532" s="34"/>
    </row>
    <row r="533" ht="31.5" spans="1:16">
      <c r="A533" s="36"/>
      <c r="B533" s="37"/>
      <c r="C533" s="29" t="s">
        <v>17</v>
      </c>
      <c r="D533" s="38">
        <f>'[4]17нед'!C53</f>
        <v>0</v>
      </c>
      <c r="E533" s="39">
        <f>'[4]17нед'!D53</f>
        <v>0</v>
      </c>
      <c r="F533" s="40">
        <f>'[4]17нед'!G53</f>
        <v>0</v>
      </c>
      <c r="G533" s="41" t="str">
        <f>'[4]17нед'!H53</f>
        <v/>
      </c>
      <c r="H533" s="42"/>
      <c r="I533" s="43"/>
      <c r="J533" s="44"/>
      <c r="K533" s="29" t="s">
        <v>17</v>
      </c>
      <c r="L533" s="38">
        <f>'[4]18нед'!C53</f>
        <v>0</v>
      </c>
      <c r="M533" s="39">
        <f>'[4]18нед'!D53</f>
        <v>0</v>
      </c>
      <c r="N533" s="40">
        <f>'[4]18нед'!G53</f>
        <v>0</v>
      </c>
      <c r="O533" s="41" t="str">
        <f>'[4]18нед'!H53</f>
        <v/>
      </c>
      <c r="P533" s="42"/>
    </row>
    <row r="534" ht="31.5" spans="1:16">
      <c r="A534" s="36"/>
      <c r="B534" s="37"/>
      <c r="C534" s="29" t="s">
        <v>18</v>
      </c>
      <c r="D534" s="38">
        <f>'[4]17нед'!C54</f>
        <v>0</v>
      </c>
      <c r="E534" s="39">
        <f>'[4]17нед'!D54</f>
        <v>0</v>
      </c>
      <c r="F534" s="40">
        <f>'[4]17нед'!G54</f>
        <v>0</v>
      </c>
      <c r="G534" s="41" t="str">
        <f>'[4]17нед'!H54</f>
        <v/>
      </c>
      <c r="H534" s="42"/>
      <c r="I534" s="43"/>
      <c r="J534" s="44"/>
      <c r="K534" s="29" t="s">
        <v>18</v>
      </c>
      <c r="L534" s="38">
        <f>'[4]18нед'!C54</f>
        <v>0</v>
      </c>
      <c r="M534" s="39">
        <f>'[4]18нед'!D54</f>
        <v>0</v>
      </c>
      <c r="N534" s="40">
        <f>'[4]18нед'!G54</f>
        <v>0</v>
      </c>
      <c r="O534" s="41" t="str">
        <f>'[4]18нед'!H54</f>
        <v/>
      </c>
      <c r="P534" s="42"/>
    </row>
    <row r="535" ht="31.5" spans="1:16">
      <c r="A535" s="36"/>
      <c r="B535" s="37"/>
      <c r="C535" s="29" t="s">
        <v>19</v>
      </c>
      <c r="D535" s="38">
        <f>'[4]17нед'!C55</f>
        <v>0</v>
      </c>
      <c r="E535" s="39">
        <f>'[4]17нед'!D55</f>
        <v>0</v>
      </c>
      <c r="F535" s="40">
        <f>'[4]17нед'!G55</f>
        <v>0</v>
      </c>
      <c r="G535" s="41" t="str">
        <f>'[4]17нед'!H55</f>
        <v/>
      </c>
      <c r="H535" s="42"/>
      <c r="I535" s="43"/>
      <c r="J535" s="44"/>
      <c r="K535" s="29" t="s">
        <v>19</v>
      </c>
      <c r="L535" s="38">
        <f>'[4]18нед'!C55</f>
        <v>0</v>
      </c>
      <c r="M535" s="39">
        <f>'[4]18нед'!D55</f>
        <v>0</v>
      </c>
      <c r="N535" s="40">
        <f>'[4]18нед'!G55</f>
        <v>0</v>
      </c>
      <c r="O535" s="41" t="str">
        <f>'[4]18нед'!H55</f>
        <v/>
      </c>
      <c r="P535" s="42"/>
    </row>
    <row r="536" ht="31.5" spans="1:16">
      <c r="A536" s="36"/>
      <c r="B536" s="37"/>
      <c r="C536" s="29" t="s">
        <v>20</v>
      </c>
      <c r="D536" s="38">
        <f>'[4]17нед'!C56</f>
        <v>0</v>
      </c>
      <c r="E536" s="39">
        <f>'[4]17нед'!D56</f>
        <v>0</v>
      </c>
      <c r="F536" s="40">
        <f>'[4]17нед'!G56</f>
        <v>0</v>
      </c>
      <c r="G536" s="41" t="str">
        <f>'[4]17нед'!H56</f>
        <v/>
      </c>
      <c r="H536" s="42"/>
      <c r="I536" s="43"/>
      <c r="J536" s="44"/>
      <c r="K536" s="29" t="s">
        <v>20</v>
      </c>
      <c r="L536" s="38">
        <f>'[4]18нед'!C56</f>
        <v>0</v>
      </c>
      <c r="M536" s="39">
        <f>'[4]18нед'!D56</f>
        <v>0</v>
      </c>
      <c r="N536" s="40">
        <f>'[4]18нед'!G56</f>
        <v>0</v>
      </c>
      <c r="O536" s="41" t="str">
        <f>'[4]18нед'!H56</f>
        <v/>
      </c>
      <c r="P536" s="42"/>
    </row>
    <row r="537" ht="31.5" spans="1:16">
      <c r="A537" s="36"/>
      <c r="B537" s="37"/>
      <c r="C537" s="29" t="s">
        <v>21</v>
      </c>
      <c r="D537" s="38">
        <f>'[4]17нед'!C57</f>
        <v>0</v>
      </c>
      <c r="E537" s="39">
        <f>'[4]17нед'!D57</f>
        <v>0</v>
      </c>
      <c r="F537" s="40">
        <f>'[4]17нед'!G57</f>
        <v>0</v>
      </c>
      <c r="G537" s="41" t="str">
        <f>'[4]17нед'!H57</f>
        <v/>
      </c>
      <c r="H537" s="42"/>
      <c r="I537" s="43"/>
      <c r="J537" s="44"/>
      <c r="K537" s="29" t="s">
        <v>21</v>
      </c>
      <c r="L537" s="38">
        <f>'[4]18нед'!C57</f>
        <v>0</v>
      </c>
      <c r="M537" s="39">
        <f>'[4]18нед'!D57</f>
        <v>0</v>
      </c>
      <c r="N537" s="40">
        <f>'[4]18нед'!G57</f>
        <v>0</v>
      </c>
      <c r="O537" s="41" t="str">
        <f>'[4]18нед'!H57</f>
        <v/>
      </c>
      <c r="P537" s="42"/>
    </row>
    <row r="538" ht="32.25" spans="1:16">
      <c r="A538" s="36"/>
      <c r="B538" s="37"/>
      <c r="C538" s="29" t="s">
        <v>22</v>
      </c>
      <c r="D538" s="38">
        <f>'[4]17нед'!C58</f>
        <v>0</v>
      </c>
      <c r="E538" s="39">
        <f>'[4]17нед'!D58</f>
        <v>0</v>
      </c>
      <c r="F538" s="40">
        <f>'[4]17нед'!G58</f>
        <v>0</v>
      </c>
      <c r="G538" s="41" t="str">
        <f>'[4]17нед'!H58</f>
        <v/>
      </c>
      <c r="H538" s="42"/>
      <c r="I538" s="43"/>
      <c r="J538" s="44"/>
      <c r="K538" s="29" t="s">
        <v>22</v>
      </c>
      <c r="L538" s="38">
        <f>'[4]18нед'!C58</f>
        <v>0</v>
      </c>
      <c r="M538" s="39">
        <f>'[4]18нед'!D58</f>
        <v>0</v>
      </c>
      <c r="N538" s="40">
        <f>'[4]18нед'!G58</f>
        <v>0</v>
      </c>
      <c r="O538" s="41" t="str">
        <f>'[4]18нед'!H58</f>
        <v/>
      </c>
      <c r="P538" s="42"/>
    </row>
    <row r="539" ht="19.15" hidden="1" customHeight="1" spans="1:16">
      <c r="A539" s="45"/>
      <c r="B539" s="46"/>
      <c r="C539" s="47"/>
      <c r="D539" s="30">
        <f>'[4]17нед'!C59</f>
        <v>0</v>
      </c>
      <c r="E539" s="31">
        <f>'[4]17нед'!D59</f>
        <v>0</v>
      </c>
      <c r="F539" s="32">
        <f>'[4]17нед'!G59</f>
        <v>0</v>
      </c>
      <c r="G539" s="33" t="str">
        <f>'[4]17нед'!H59</f>
        <v/>
      </c>
      <c r="H539" s="34"/>
      <c r="I539" s="53"/>
      <c r="J539" s="54"/>
      <c r="K539" s="47"/>
      <c r="L539" s="48">
        <f>'[4]18нед'!C59</f>
        <v>0</v>
      </c>
      <c r="M539" s="49">
        <f>'[4]18нед'!D59</f>
        <v>0</v>
      </c>
      <c r="N539" s="50">
        <f>'[4]18нед'!G59</f>
        <v>0</v>
      </c>
      <c r="O539" s="51" t="str">
        <f>'[4]18нед'!H59</f>
        <v/>
      </c>
      <c r="P539" s="52"/>
    </row>
    <row r="540" ht="39" customHeight="1" spans="1:16">
      <c r="A540" s="64"/>
      <c r="B540" s="65"/>
      <c r="C540" s="66"/>
      <c r="D540" s="67"/>
      <c r="E540" s="67" t="s">
        <v>28</v>
      </c>
      <c r="F540" s="67"/>
      <c r="G540" s="68" t="s">
        <v>29</v>
      </c>
      <c r="H540" s="69"/>
      <c r="I540" s="64"/>
      <c r="J540" s="65"/>
      <c r="K540" s="66"/>
      <c r="L540" s="67"/>
      <c r="M540" s="67" t="s">
        <v>28</v>
      </c>
      <c r="N540" s="67"/>
      <c r="O540" s="68" t="s">
        <v>29</v>
      </c>
      <c r="P540" s="69"/>
    </row>
  </sheetData>
  <mergeCells count="343">
    <mergeCell ref="B6:H6"/>
    <mergeCell ref="J6:P6"/>
    <mergeCell ref="B8:D8"/>
    <mergeCell ref="E8:H8"/>
    <mergeCell ref="J8:L8"/>
    <mergeCell ref="M8:P8"/>
    <mergeCell ref="B9:D9"/>
    <mergeCell ref="J9:L9"/>
    <mergeCell ref="B10:D10"/>
    <mergeCell ref="J10:L10"/>
    <mergeCell ref="A11:B11"/>
    <mergeCell ref="F11:G11"/>
    <mergeCell ref="I11:J11"/>
    <mergeCell ref="N11:O11"/>
    <mergeCell ref="B66:H66"/>
    <mergeCell ref="J66:P66"/>
    <mergeCell ref="B68:D68"/>
    <mergeCell ref="E68:H68"/>
    <mergeCell ref="J68:L68"/>
    <mergeCell ref="M68:P68"/>
    <mergeCell ref="B69:D69"/>
    <mergeCell ref="J69:L69"/>
    <mergeCell ref="B70:D70"/>
    <mergeCell ref="J70:L70"/>
    <mergeCell ref="A71:B71"/>
    <mergeCell ref="F71:G71"/>
    <mergeCell ref="I71:J71"/>
    <mergeCell ref="N71:O71"/>
    <mergeCell ref="B126:H126"/>
    <mergeCell ref="J126:P126"/>
    <mergeCell ref="B128:D128"/>
    <mergeCell ref="E128:H128"/>
    <mergeCell ref="J128:L128"/>
    <mergeCell ref="M128:P128"/>
    <mergeCell ref="B129:D129"/>
    <mergeCell ref="J129:L129"/>
    <mergeCell ref="B130:D130"/>
    <mergeCell ref="J130:L130"/>
    <mergeCell ref="A131:B131"/>
    <mergeCell ref="F131:G131"/>
    <mergeCell ref="I131:J131"/>
    <mergeCell ref="N131:O131"/>
    <mergeCell ref="B186:H186"/>
    <mergeCell ref="J186:P186"/>
    <mergeCell ref="B188:D188"/>
    <mergeCell ref="E188:H188"/>
    <mergeCell ref="J188:L188"/>
    <mergeCell ref="M188:P188"/>
    <mergeCell ref="B189:D189"/>
    <mergeCell ref="J189:L189"/>
    <mergeCell ref="B190:D190"/>
    <mergeCell ref="J190:L190"/>
    <mergeCell ref="A191:B191"/>
    <mergeCell ref="F191:G191"/>
    <mergeCell ref="I191:J191"/>
    <mergeCell ref="N191:O191"/>
    <mergeCell ref="B246:H246"/>
    <mergeCell ref="J246:P246"/>
    <mergeCell ref="B248:D248"/>
    <mergeCell ref="E248:H248"/>
    <mergeCell ref="J248:L248"/>
    <mergeCell ref="M248:P248"/>
    <mergeCell ref="B249:D249"/>
    <mergeCell ref="J249:L249"/>
    <mergeCell ref="B250:D250"/>
    <mergeCell ref="J250:L250"/>
    <mergeCell ref="A251:B251"/>
    <mergeCell ref="F251:G251"/>
    <mergeCell ref="I251:J251"/>
    <mergeCell ref="N251:O251"/>
    <mergeCell ref="B306:H306"/>
    <mergeCell ref="J306:P306"/>
    <mergeCell ref="B308:D308"/>
    <mergeCell ref="E308:H308"/>
    <mergeCell ref="J308:L308"/>
    <mergeCell ref="M308:P308"/>
    <mergeCell ref="B309:D309"/>
    <mergeCell ref="J309:L309"/>
    <mergeCell ref="B310:D310"/>
    <mergeCell ref="J310:L310"/>
    <mergeCell ref="A311:B311"/>
    <mergeCell ref="F311:G311"/>
    <mergeCell ref="I311:J311"/>
    <mergeCell ref="N311:O311"/>
    <mergeCell ref="B366:H366"/>
    <mergeCell ref="J366:P366"/>
    <mergeCell ref="B368:D368"/>
    <mergeCell ref="E368:H368"/>
    <mergeCell ref="J368:L368"/>
    <mergeCell ref="M368:P368"/>
    <mergeCell ref="B369:D369"/>
    <mergeCell ref="J369:L369"/>
    <mergeCell ref="B370:D370"/>
    <mergeCell ref="J370:L370"/>
    <mergeCell ref="A371:B371"/>
    <mergeCell ref="F371:G371"/>
    <mergeCell ref="I371:J371"/>
    <mergeCell ref="N371:O371"/>
    <mergeCell ref="B426:H426"/>
    <mergeCell ref="J426:P426"/>
    <mergeCell ref="B428:D428"/>
    <mergeCell ref="E428:H428"/>
    <mergeCell ref="J428:L428"/>
    <mergeCell ref="M428:P428"/>
    <mergeCell ref="B429:D429"/>
    <mergeCell ref="J429:L429"/>
    <mergeCell ref="B430:D430"/>
    <mergeCell ref="J430:L430"/>
    <mergeCell ref="A431:B431"/>
    <mergeCell ref="F431:G431"/>
    <mergeCell ref="I431:J431"/>
    <mergeCell ref="N431:O431"/>
    <mergeCell ref="B486:H486"/>
    <mergeCell ref="J486:P486"/>
    <mergeCell ref="B488:D488"/>
    <mergeCell ref="E488:H488"/>
    <mergeCell ref="J488:L488"/>
    <mergeCell ref="M488:P488"/>
    <mergeCell ref="B489:D489"/>
    <mergeCell ref="J489:L489"/>
    <mergeCell ref="B490:D490"/>
    <mergeCell ref="J490:L490"/>
    <mergeCell ref="A491:B491"/>
    <mergeCell ref="F491:G491"/>
    <mergeCell ref="I491:J491"/>
    <mergeCell ref="N491:O491"/>
    <mergeCell ref="A12:A19"/>
    <mergeCell ref="A20:A27"/>
    <mergeCell ref="A28:A35"/>
    <mergeCell ref="A36:A43"/>
    <mergeCell ref="A44:A51"/>
    <mergeCell ref="A52:A59"/>
    <mergeCell ref="A72:A79"/>
    <mergeCell ref="A80:A87"/>
    <mergeCell ref="A88:A95"/>
    <mergeCell ref="A96:A103"/>
    <mergeCell ref="A104:A111"/>
    <mergeCell ref="A112:A119"/>
    <mergeCell ref="A132:A139"/>
    <mergeCell ref="A140:A147"/>
    <mergeCell ref="A148:A155"/>
    <mergeCell ref="A156:A163"/>
    <mergeCell ref="A164:A171"/>
    <mergeCell ref="A172:A179"/>
    <mergeCell ref="A192:A199"/>
    <mergeCell ref="A200:A207"/>
    <mergeCell ref="A208:A215"/>
    <mergeCell ref="A216:A223"/>
    <mergeCell ref="A224:A231"/>
    <mergeCell ref="A232:A239"/>
    <mergeCell ref="A252:A259"/>
    <mergeCell ref="A260:A267"/>
    <mergeCell ref="A268:A275"/>
    <mergeCell ref="A276:A283"/>
    <mergeCell ref="A284:A291"/>
    <mergeCell ref="A292:A299"/>
    <mergeCell ref="A312:A319"/>
    <mergeCell ref="A320:A327"/>
    <mergeCell ref="A328:A335"/>
    <mergeCell ref="A336:A343"/>
    <mergeCell ref="A344:A351"/>
    <mergeCell ref="A352:A359"/>
    <mergeCell ref="A372:A379"/>
    <mergeCell ref="A380:A387"/>
    <mergeCell ref="A388:A395"/>
    <mergeCell ref="A396:A403"/>
    <mergeCell ref="A404:A411"/>
    <mergeCell ref="A412:A419"/>
    <mergeCell ref="A432:A439"/>
    <mergeCell ref="A440:A447"/>
    <mergeCell ref="A448:A455"/>
    <mergeCell ref="A456:A463"/>
    <mergeCell ref="A464:A471"/>
    <mergeCell ref="A472:A479"/>
    <mergeCell ref="A492:A499"/>
    <mergeCell ref="A500:A507"/>
    <mergeCell ref="A508:A515"/>
    <mergeCell ref="A516:A523"/>
    <mergeCell ref="A524:A531"/>
    <mergeCell ref="A532:A539"/>
    <mergeCell ref="B12:B19"/>
    <mergeCell ref="B20:B27"/>
    <mergeCell ref="B28:B35"/>
    <mergeCell ref="B36:B43"/>
    <mergeCell ref="B44:B51"/>
    <mergeCell ref="B52:B59"/>
    <mergeCell ref="B72:B79"/>
    <mergeCell ref="B80:B87"/>
    <mergeCell ref="B88:B95"/>
    <mergeCell ref="B96:B103"/>
    <mergeCell ref="B104:B111"/>
    <mergeCell ref="B112:B119"/>
    <mergeCell ref="B132:B139"/>
    <mergeCell ref="B140:B147"/>
    <mergeCell ref="B148:B155"/>
    <mergeCell ref="B156:B163"/>
    <mergeCell ref="B164:B171"/>
    <mergeCell ref="B172:B179"/>
    <mergeCell ref="B192:B199"/>
    <mergeCell ref="B200:B207"/>
    <mergeCell ref="B208:B215"/>
    <mergeCell ref="B216:B223"/>
    <mergeCell ref="B224:B231"/>
    <mergeCell ref="B232:B239"/>
    <mergeCell ref="B252:B259"/>
    <mergeCell ref="B260:B267"/>
    <mergeCell ref="B268:B275"/>
    <mergeCell ref="B276:B283"/>
    <mergeCell ref="B284:B291"/>
    <mergeCell ref="B292:B299"/>
    <mergeCell ref="B312:B319"/>
    <mergeCell ref="B320:B327"/>
    <mergeCell ref="B328:B335"/>
    <mergeCell ref="B336:B343"/>
    <mergeCell ref="B344:B351"/>
    <mergeCell ref="B352:B359"/>
    <mergeCell ref="B372:B379"/>
    <mergeCell ref="B380:B387"/>
    <mergeCell ref="B388:B395"/>
    <mergeCell ref="B396:B403"/>
    <mergeCell ref="B404:B411"/>
    <mergeCell ref="B412:B419"/>
    <mergeCell ref="B432:B439"/>
    <mergeCell ref="B440:B447"/>
    <mergeCell ref="B448:B455"/>
    <mergeCell ref="B456:B463"/>
    <mergeCell ref="B464:B471"/>
    <mergeCell ref="B472:B479"/>
    <mergeCell ref="B492:B499"/>
    <mergeCell ref="B500:B507"/>
    <mergeCell ref="B508:B515"/>
    <mergeCell ref="B516:B523"/>
    <mergeCell ref="B524:B531"/>
    <mergeCell ref="B532:B539"/>
    <mergeCell ref="E148:E154"/>
    <mergeCell ref="I12:I19"/>
    <mergeCell ref="I20:I27"/>
    <mergeCell ref="I28:I35"/>
    <mergeCell ref="I36:I43"/>
    <mergeCell ref="I44:I51"/>
    <mergeCell ref="I52:I59"/>
    <mergeCell ref="I72:I79"/>
    <mergeCell ref="I80:I87"/>
    <mergeCell ref="I88:I95"/>
    <mergeCell ref="I96:I103"/>
    <mergeCell ref="I104:I111"/>
    <mergeCell ref="I112:I119"/>
    <mergeCell ref="I132:I139"/>
    <mergeCell ref="I140:I147"/>
    <mergeCell ref="I148:I155"/>
    <mergeCell ref="I156:I163"/>
    <mergeCell ref="I164:I171"/>
    <mergeCell ref="I172:I179"/>
    <mergeCell ref="I192:I199"/>
    <mergeCell ref="I200:I207"/>
    <mergeCell ref="I208:I215"/>
    <mergeCell ref="I216:I223"/>
    <mergeCell ref="I224:I231"/>
    <mergeCell ref="I232:I239"/>
    <mergeCell ref="I252:I259"/>
    <mergeCell ref="I260:I267"/>
    <mergeCell ref="I268:I275"/>
    <mergeCell ref="I276:I283"/>
    <mergeCell ref="I284:I291"/>
    <mergeCell ref="I292:I299"/>
    <mergeCell ref="I312:I319"/>
    <mergeCell ref="I320:I327"/>
    <mergeCell ref="I328:I335"/>
    <mergeCell ref="I336:I343"/>
    <mergeCell ref="I344:I351"/>
    <mergeCell ref="I352:I359"/>
    <mergeCell ref="I372:I379"/>
    <mergeCell ref="I380:I387"/>
    <mergeCell ref="I388:I395"/>
    <mergeCell ref="I396:I403"/>
    <mergeCell ref="I404:I411"/>
    <mergeCell ref="I412:I419"/>
    <mergeCell ref="I432:I439"/>
    <mergeCell ref="I440:I447"/>
    <mergeCell ref="I448:I455"/>
    <mergeCell ref="I456:I463"/>
    <mergeCell ref="I464:I471"/>
    <mergeCell ref="I472:I479"/>
    <mergeCell ref="I492:I499"/>
    <mergeCell ref="I500:I507"/>
    <mergeCell ref="I508:I515"/>
    <mergeCell ref="I516:I523"/>
    <mergeCell ref="I524:I531"/>
    <mergeCell ref="I532:I539"/>
    <mergeCell ref="J12:J19"/>
    <mergeCell ref="J20:J27"/>
    <mergeCell ref="J28:J35"/>
    <mergeCell ref="J36:J43"/>
    <mergeCell ref="J44:J51"/>
    <mergeCell ref="J52:J59"/>
    <mergeCell ref="J72:J79"/>
    <mergeCell ref="J80:J87"/>
    <mergeCell ref="J88:J95"/>
    <mergeCell ref="J96:J103"/>
    <mergeCell ref="J104:J111"/>
    <mergeCell ref="J112:J119"/>
    <mergeCell ref="J132:J139"/>
    <mergeCell ref="J140:J147"/>
    <mergeCell ref="J148:J155"/>
    <mergeCell ref="J156:J163"/>
    <mergeCell ref="J164:J171"/>
    <mergeCell ref="J172:J179"/>
    <mergeCell ref="J192:J199"/>
    <mergeCell ref="J200:J207"/>
    <mergeCell ref="J208:J215"/>
    <mergeCell ref="J216:J223"/>
    <mergeCell ref="J224:J231"/>
    <mergeCell ref="J232:J239"/>
    <mergeCell ref="J252:J259"/>
    <mergeCell ref="J260:J267"/>
    <mergeCell ref="J268:J275"/>
    <mergeCell ref="J276:J283"/>
    <mergeCell ref="J284:J291"/>
    <mergeCell ref="J292:J299"/>
    <mergeCell ref="J312:J319"/>
    <mergeCell ref="J320:J327"/>
    <mergeCell ref="J328:J335"/>
    <mergeCell ref="J336:J343"/>
    <mergeCell ref="J344:J351"/>
    <mergeCell ref="J352:J359"/>
    <mergeCell ref="J372:J379"/>
    <mergeCell ref="J380:J387"/>
    <mergeCell ref="J388:J395"/>
    <mergeCell ref="J396:J403"/>
    <mergeCell ref="J404:J411"/>
    <mergeCell ref="J412:J419"/>
    <mergeCell ref="J432:J439"/>
    <mergeCell ref="J440:J447"/>
    <mergeCell ref="J448:J455"/>
    <mergeCell ref="J456:J463"/>
    <mergeCell ref="J464:J471"/>
    <mergeCell ref="J472:J479"/>
    <mergeCell ref="J492:J499"/>
    <mergeCell ref="J500:J507"/>
    <mergeCell ref="J508:J515"/>
    <mergeCell ref="J516:J523"/>
    <mergeCell ref="J524:J531"/>
    <mergeCell ref="J532:J539"/>
  </mergeCells>
  <conditionalFormatting sqref="G539:H539">
    <cfRule type="cellIs" dxfId="0" priority="3399" operator="equal">
      <formula>"0. ,0, "</formula>
    </cfRule>
    <cfRule type="cellIs" dxfId="0" priority="3398" operator="equal">
      <formula>"0. 0,0, ауд. 0, 0"</formula>
    </cfRule>
    <cfRule type="cellIs" dxfId="0" priority="3397" operator="equal">
      <formula>"0. 0 0, ауд. 0, 0"</formula>
    </cfRule>
    <cfRule type="cellIs" dxfId="0" priority="3396" operator="equal">
      <formula>"0. ,0, "</formula>
    </cfRule>
    <cfRule type="cellIs" dxfId="0" priority="3395" operator="equal">
      <formula>"0. 0,0, ауд. 0, 0"</formula>
    </cfRule>
    <cfRule type="cellIs" dxfId="0" priority="3394" operator="equal">
      <formula>"0. 0 0, ауд. 0, 0"</formula>
    </cfRule>
    <cfRule type="cellIs" dxfId="0" priority="3393" operator="equal">
      <formula>"0. ,0, "</formula>
    </cfRule>
    <cfRule type="cellIs" dxfId="0" priority="3392" operator="equal">
      <formula>"0. 0,0, ауд. 0, 0"</formula>
    </cfRule>
    <cfRule type="cellIs" dxfId="0" priority="3391" operator="equal">
      <formula>"0. 0 0, ауд. 0, 0"</formula>
    </cfRule>
    <cfRule type="cellIs" dxfId="0" priority="3389" operator="equal">
      <formula>"0. 0 0, ауд. 0,"</formula>
    </cfRule>
    <cfRule type="colorScale" priority="3390">
      <colorScale>
        <cfvo type="min"/>
        <cfvo type="max"/>
        <color rgb="FFFF7128"/>
        <color rgb="FFFFEF9C"/>
      </colorScale>
    </cfRule>
  </conditionalFormatting>
  <pageMargins left="0.708661417322835" right="0.708661417322835" top="0.748031496062992" bottom="0.748031496062992" header="0.31496062992126" footer="0.31496062992126"/>
  <pageSetup paperSize="9" scale="34" orientation="portrait"/>
  <headerFooter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60"/>
  <sheetViews>
    <sheetView tabSelected="1" view="pageBreakPreview" zoomScale="50" zoomScaleNormal="55" workbookViewId="0">
      <selection activeCell="E23" sqref="E23"/>
    </sheetView>
  </sheetViews>
  <sheetFormatPr defaultColWidth="9" defaultRowHeight="12.75" outlineLevelCol="7"/>
  <cols>
    <col min="1" max="1" width="5.85714285714286" customWidth="1"/>
    <col min="2" max="2" width="4.14285714285714" customWidth="1"/>
    <col min="3" max="3" width="13.5714285714286" customWidth="1"/>
    <col min="4" max="4" width="11.8571428571429" customWidth="1"/>
    <col min="5" max="5" width="51.5714285714286" customWidth="1"/>
    <col min="6" max="6" width="28" customWidth="1"/>
    <col min="7" max="7" width="30" customWidth="1"/>
    <col min="8" max="8" width="72.2857142857143" customWidth="1"/>
  </cols>
  <sheetData>
    <row r="1" ht="15.75" spans="1:8">
      <c r="A1" s="2"/>
      <c r="B1" s="3"/>
      <c r="C1" s="4"/>
      <c r="D1" s="5"/>
      <c r="E1" s="5"/>
      <c r="F1" s="5"/>
      <c r="G1" s="5"/>
      <c r="H1" s="6" t="s">
        <v>0</v>
      </c>
    </row>
    <row r="2" ht="15.75" spans="1:8">
      <c r="A2" s="2"/>
      <c r="B2" s="3"/>
      <c r="C2" s="4"/>
      <c r="D2" s="5"/>
      <c r="E2" s="5"/>
      <c r="F2" s="5"/>
      <c r="G2" s="5"/>
      <c r="H2" s="6" t="s">
        <v>1</v>
      </c>
    </row>
    <row r="3" ht="15.75" spans="1:8">
      <c r="A3" s="2"/>
      <c r="B3" s="3"/>
      <c r="C3" s="4"/>
      <c r="D3" s="5"/>
      <c r="E3" s="5"/>
      <c r="F3" s="5"/>
      <c r="G3" s="5"/>
      <c r="H3" s="6" t="s">
        <v>2</v>
      </c>
    </row>
    <row r="4" ht="15.75" spans="1:8">
      <c r="A4" s="2"/>
      <c r="B4" s="3"/>
      <c r="C4" s="4"/>
      <c r="D4" s="5"/>
      <c r="E4" s="5"/>
      <c r="F4" s="5"/>
      <c r="G4" s="5"/>
      <c r="H4" s="6" t="s">
        <v>3</v>
      </c>
    </row>
    <row r="5" ht="15.75" spans="1:8">
      <c r="A5" s="2"/>
      <c r="B5" s="7"/>
      <c r="C5" s="4"/>
      <c r="D5" s="5"/>
      <c r="E5" s="5"/>
      <c r="F5" s="5"/>
      <c r="G5" s="5"/>
      <c r="H5" s="5"/>
    </row>
    <row r="6" ht="15.75" spans="1:8">
      <c r="A6" s="2"/>
      <c r="B6" s="8" t="s">
        <v>4</v>
      </c>
      <c r="C6" s="8"/>
      <c r="D6" s="8"/>
      <c r="E6" s="8"/>
      <c r="F6" s="8"/>
      <c r="G6" s="8"/>
      <c r="H6" s="8"/>
    </row>
    <row r="7" ht="15.75" spans="1:8">
      <c r="A7" s="9"/>
      <c r="B7" s="10" t="str">
        <f>'[1]1нед'!$A$6</f>
        <v>Направление подготовки:</v>
      </c>
      <c r="C7" s="11"/>
      <c r="D7" s="12"/>
      <c r="E7" s="13" t="str">
        <f>'[1]1нед'!$L$6</f>
        <v>09.03.04Программная инженерия (Программно-информационные системы)</v>
      </c>
      <c r="F7" s="12"/>
      <c r="G7" s="12" t="str">
        <f>'[1]1нед'!$L$10</f>
        <v>12-26ПИ</v>
      </c>
      <c r="H7" s="13"/>
    </row>
    <row r="8" ht="15.75" spans="1:8">
      <c r="A8" s="2"/>
      <c r="B8" s="10" t="s">
        <v>5</v>
      </c>
      <c r="C8" s="10"/>
      <c r="D8" s="10"/>
      <c r="E8" s="10" t="s">
        <v>6</v>
      </c>
      <c r="F8" s="10"/>
      <c r="G8" s="10"/>
      <c r="H8" s="10"/>
    </row>
    <row r="9" ht="15.75" spans="1:8">
      <c r="A9" s="2"/>
      <c r="B9" s="10" t="s">
        <v>7</v>
      </c>
      <c r="C9" s="10"/>
      <c r="D9" s="10"/>
      <c r="E9" s="10">
        <v>1</v>
      </c>
      <c r="F9" s="10"/>
      <c r="G9" s="10"/>
      <c r="H9" s="5"/>
    </row>
    <row r="10" ht="16.5" spans="1:8">
      <c r="A10" s="2"/>
      <c r="B10" s="16" t="s">
        <v>8</v>
      </c>
      <c r="C10" s="16"/>
      <c r="D10" s="16"/>
      <c r="E10" s="16">
        <v>1</v>
      </c>
      <c r="F10" s="16"/>
      <c r="G10" s="16"/>
      <c r="H10" s="76"/>
    </row>
    <row r="11" ht="46.5" customHeight="1" spans="1:8">
      <c r="A11" s="19" t="s">
        <v>9</v>
      </c>
      <c r="B11" s="20"/>
      <c r="C11" s="21" t="s">
        <v>10</v>
      </c>
      <c r="D11" s="22" t="s">
        <v>11</v>
      </c>
      <c r="E11" s="23" t="s">
        <v>12</v>
      </c>
      <c r="F11" s="24" t="s">
        <v>13</v>
      </c>
      <c r="G11" s="25"/>
      <c r="H11" s="26" t="s">
        <v>14</v>
      </c>
    </row>
    <row r="12" ht="32.25" customHeight="1" spans="1:8">
      <c r="A12" s="27">
        <v>46265</v>
      </c>
      <c r="B12" s="28" t="s">
        <v>15</v>
      </c>
      <c r="C12" s="29" t="s">
        <v>16</v>
      </c>
      <c r="D12" s="30">
        <f>'[1]1нед'!K12</f>
        <v>0</v>
      </c>
      <c r="E12" s="31">
        <f>'[1]1нед'!L12</f>
        <v>0</v>
      </c>
      <c r="F12" s="32">
        <f>'[1]1нед'!O12</f>
        <v>0</v>
      </c>
      <c r="G12" s="33" t="str">
        <f>'[1]1нед'!P12</f>
        <v/>
      </c>
      <c r="H12" s="34"/>
    </row>
    <row r="13" ht="31.5" spans="1:8">
      <c r="A13" s="36"/>
      <c r="B13" s="37"/>
      <c r="C13" s="29" t="s">
        <v>17</v>
      </c>
      <c r="D13" s="38">
        <f>'[1]1нед'!K13</f>
        <v>0</v>
      </c>
      <c r="E13" s="39">
        <f>'[1]1нед'!L13</f>
        <v>0</v>
      </c>
      <c r="F13" s="40">
        <f>'[1]1нед'!O13</f>
        <v>0</v>
      </c>
      <c r="G13" s="41" t="str">
        <f>'[1]1нед'!P13</f>
        <v/>
      </c>
      <c r="H13" s="42"/>
    </row>
    <row r="14" ht="31.5" spans="1:8">
      <c r="A14" s="36"/>
      <c r="B14" s="37"/>
      <c r="C14" s="29" t="s">
        <v>18</v>
      </c>
      <c r="D14" s="38">
        <f>'[1]1нед'!K14</f>
        <v>0</v>
      </c>
      <c r="E14" s="39">
        <f>'[1]1нед'!L14</f>
        <v>0</v>
      </c>
      <c r="F14" s="40">
        <f>'[1]1нед'!O14</f>
        <v>0</v>
      </c>
      <c r="G14" s="41" t="str">
        <f>'[1]1нед'!P14</f>
        <v/>
      </c>
      <c r="H14" s="42"/>
    </row>
    <row r="15" ht="31.5" spans="1:8">
      <c r="A15" s="36"/>
      <c r="B15" s="37"/>
      <c r="C15" s="29" t="s">
        <v>19</v>
      </c>
      <c r="D15" s="38">
        <f>'[1]1нед'!K15</f>
        <v>0</v>
      </c>
      <c r="E15" s="39">
        <f>'[1]1нед'!L15</f>
        <v>0</v>
      </c>
      <c r="F15" s="40">
        <f>'[1]1нед'!O15</f>
        <v>0</v>
      </c>
      <c r="G15" s="41" t="str">
        <f>'[1]1нед'!P15</f>
        <v/>
      </c>
      <c r="H15" s="42"/>
    </row>
    <row r="16" ht="31.5" spans="1:8">
      <c r="A16" s="36"/>
      <c r="B16" s="37"/>
      <c r="C16" s="29" t="s">
        <v>20</v>
      </c>
      <c r="D16" s="38">
        <f>'[1]1нед'!K16</f>
        <v>0</v>
      </c>
      <c r="E16" s="39">
        <f>'[1]1нед'!L16</f>
        <v>0</v>
      </c>
      <c r="F16" s="40">
        <f>'[1]1нед'!O16</f>
        <v>0</v>
      </c>
      <c r="G16" s="41" t="str">
        <f>'[1]1нед'!P16</f>
        <v/>
      </c>
      <c r="H16" s="42"/>
    </row>
    <row r="17" ht="31.5" spans="1:8">
      <c r="A17" s="36"/>
      <c r="B17" s="37"/>
      <c r="C17" s="29" t="s">
        <v>21</v>
      </c>
      <c r="D17" s="38">
        <f>'[1]1нед'!K17</f>
        <v>0</v>
      </c>
      <c r="E17" s="39">
        <f>'[1]1нед'!L17</f>
        <v>0</v>
      </c>
      <c r="F17" s="40">
        <f>'[1]1нед'!O17</f>
        <v>0</v>
      </c>
      <c r="G17" s="41" t="str">
        <f>'[1]1нед'!P17</f>
        <v/>
      </c>
      <c r="H17" s="56"/>
    </row>
    <row r="18" ht="32.25" spans="1:8">
      <c r="A18" s="36"/>
      <c r="B18" s="37"/>
      <c r="C18" s="29" t="s">
        <v>22</v>
      </c>
      <c r="D18" s="38">
        <f>'[1]1нед'!K18</f>
        <v>0</v>
      </c>
      <c r="E18" s="39">
        <f>'[1]1нед'!L18</f>
        <v>0</v>
      </c>
      <c r="F18" s="40">
        <f>'[1]1нед'!O18</f>
        <v>0</v>
      </c>
      <c r="G18" s="41" t="str">
        <f>'[1]1нед'!P18</f>
        <v/>
      </c>
      <c r="H18" s="56"/>
    </row>
    <row r="19" ht="17.85" hidden="1" customHeight="1" spans="1:8">
      <c r="A19" s="45"/>
      <c r="B19" s="46"/>
      <c r="C19" s="47"/>
      <c r="D19" s="48">
        <f>'[1]1нед'!K19</f>
        <v>0</v>
      </c>
      <c r="E19" s="49">
        <f>'[1]1нед'!L19</f>
        <v>0</v>
      </c>
      <c r="F19" s="50">
        <f>'[1]1нед'!O19</f>
        <v>0</v>
      </c>
      <c r="G19" s="51" t="str">
        <f>'[1]1нед'!P19</f>
        <v/>
      </c>
      <c r="H19" s="52"/>
    </row>
    <row r="20" ht="32.25" customHeight="1" spans="1:8">
      <c r="A20" s="27">
        <v>46266</v>
      </c>
      <c r="B20" s="28" t="s">
        <v>23</v>
      </c>
      <c r="C20" s="55" t="s">
        <v>16</v>
      </c>
      <c r="D20" s="30">
        <f>'[1]1нед'!K20</f>
        <v>0</v>
      </c>
      <c r="E20" s="31">
        <f>'[1]1нед'!L20</f>
        <v>0</v>
      </c>
      <c r="F20" s="32">
        <f>'[1]1нед'!O20</f>
        <v>0</v>
      </c>
      <c r="G20" s="33" t="str">
        <f>'[1]1нед'!P20</f>
        <v/>
      </c>
      <c r="H20" s="34"/>
    </row>
    <row r="21" ht="31.5" spans="1:8">
      <c r="A21" s="36"/>
      <c r="B21" s="37"/>
      <c r="C21" s="29" t="s">
        <v>17</v>
      </c>
      <c r="D21" s="38">
        <f>'[1]1нед'!K21</f>
        <v>0</v>
      </c>
      <c r="E21" s="39">
        <f>'[1]1нед'!L21</f>
        <v>0</v>
      </c>
      <c r="F21" s="40">
        <f>'[1]1нед'!O21</f>
        <v>0</v>
      </c>
      <c r="G21" s="41" t="str">
        <f>'[1]1нед'!P21</f>
        <v/>
      </c>
      <c r="H21" s="42"/>
    </row>
    <row r="22" ht="31.5" spans="1:8">
      <c r="A22" s="36"/>
      <c r="B22" s="37"/>
      <c r="C22" s="29" t="s">
        <v>18</v>
      </c>
      <c r="D22" s="38">
        <f>'[1]1нед'!K22</f>
        <v>0</v>
      </c>
      <c r="E22" s="39">
        <f>'[1]1нед'!L22</f>
        <v>0</v>
      </c>
      <c r="F22" s="40">
        <f>'[1]1нед'!O22</f>
        <v>0</v>
      </c>
      <c r="G22" s="41" t="str">
        <f>'[1]1нед'!P22</f>
        <v/>
      </c>
      <c r="H22" s="42"/>
    </row>
    <row r="23" ht="31.5" spans="1:8">
      <c r="A23" s="36"/>
      <c r="B23" s="37"/>
      <c r="C23" s="29" t="s">
        <v>19</v>
      </c>
      <c r="D23" s="38">
        <f>'[1]1нед'!K23</f>
        <v>0</v>
      </c>
      <c r="E23" s="39">
        <f>'[1]1нед'!L23</f>
        <v>0</v>
      </c>
      <c r="F23" s="40">
        <f>'[1]1нед'!O23</f>
        <v>0</v>
      </c>
      <c r="G23" s="41" t="str">
        <f>'[1]1нед'!P23</f>
        <v/>
      </c>
      <c r="H23" s="42"/>
    </row>
    <row r="24" ht="31.5" spans="1:8">
      <c r="A24" s="36"/>
      <c r="B24" s="37"/>
      <c r="C24" s="29" t="s">
        <v>20</v>
      </c>
      <c r="D24" s="38">
        <f>'[1]1нед'!K24</f>
        <v>0</v>
      </c>
      <c r="E24" s="39">
        <f>'[1]1нед'!L24</f>
        <v>0</v>
      </c>
      <c r="F24" s="40">
        <f>'[1]1нед'!O24</f>
        <v>0</v>
      </c>
      <c r="G24" s="41" t="str">
        <f>'[1]1нед'!P24</f>
        <v/>
      </c>
      <c r="H24" s="42"/>
    </row>
    <row r="25" ht="31.5" spans="1:8">
      <c r="A25" s="36"/>
      <c r="B25" s="37"/>
      <c r="C25" s="29" t="s">
        <v>21</v>
      </c>
      <c r="D25" s="38">
        <f>'[1]1нед'!K25</f>
        <v>0</v>
      </c>
      <c r="E25" s="39">
        <f>'[1]1нед'!L25</f>
        <v>0</v>
      </c>
      <c r="F25" s="40">
        <f>'[1]1нед'!O25</f>
        <v>0</v>
      </c>
      <c r="G25" s="41" t="str">
        <f>'[1]1нед'!P25</f>
        <v/>
      </c>
      <c r="H25" s="42"/>
    </row>
    <row r="26" ht="32.25" spans="1:8">
      <c r="A26" s="36"/>
      <c r="B26" s="37"/>
      <c r="C26" s="29" t="s">
        <v>22</v>
      </c>
      <c r="D26" s="38">
        <f>'[1]1нед'!K26</f>
        <v>0</v>
      </c>
      <c r="E26" s="39">
        <f>'[1]1нед'!L26</f>
        <v>0</v>
      </c>
      <c r="F26" s="40">
        <f>'[1]1нед'!O26</f>
        <v>0</v>
      </c>
      <c r="G26" s="41" t="str">
        <f>'[1]1нед'!P26</f>
        <v/>
      </c>
      <c r="H26" s="42"/>
    </row>
    <row r="27" ht="18.4" hidden="1" customHeight="1" spans="1:8">
      <c r="A27" s="45"/>
      <c r="B27" s="46"/>
      <c r="C27" s="47"/>
      <c r="D27" s="48">
        <f>'[1]1нед'!K27</f>
        <v>0</v>
      </c>
      <c r="E27" s="49">
        <f>'[1]1нед'!L27</f>
        <v>0</v>
      </c>
      <c r="F27" s="50">
        <f>'[1]1нед'!O27</f>
        <v>0</v>
      </c>
      <c r="G27" s="51" t="str">
        <f>'[1]1нед'!P27</f>
        <v/>
      </c>
      <c r="H27" s="52"/>
    </row>
    <row r="28" ht="48" customHeight="1" spans="1:8">
      <c r="A28" s="27">
        <v>46267</v>
      </c>
      <c r="B28" s="57" t="s">
        <v>24</v>
      </c>
      <c r="C28" s="55" t="s">
        <v>16</v>
      </c>
      <c r="D28" s="30" t="str">
        <f>'[1]1нед'!K28</f>
        <v>л</v>
      </c>
      <c r="E28" s="31" t="str">
        <f>'[1]1нед'!L28</f>
        <v>Основы российской государственности</v>
      </c>
      <c r="F28" s="32" t="str">
        <f>'[1]1нед'!O28</f>
        <v>Вишневский С.А.</v>
      </c>
      <c r="G28" s="33" t="str">
        <f>'[1]1нед'!P28</f>
        <v>доцент, канд. наук</v>
      </c>
      <c r="H28" s="75" t="s">
        <v>31</v>
      </c>
    </row>
    <row r="29" ht="31.5" spans="1:8">
      <c r="A29" s="36"/>
      <c r="B29" s="59"/>
      <c r="C29" s="29" t="s">
        <v>17</v>
      </c>
      <c r="D29" s="38" t="str">
        <f>'[1]1нед'!K29</f>
        <v>л</v>
      </c>
      <c r="E29" s="39" t="str">
        <f>'[1]1нед'!L29</f>
        <v>Основы и методология программирования</v>
      </c>
      <c r="F29" s="40" t="str">
        <f>'[1]1нед'!O29</f>
        <v>Криницкий Ю.В.</v>
      </c>
      <c r="G29" s="41" t="str">
        <f>'[1]1нед'!P29</f>
        <v>преподаватель</v>
      </c>
      <c r="H29" s="74" t="s">
        <v>32</v>
      </c>
    </row>
    <row r="30" ht="31.5" spans="1:8">
      <c r="A30" s="36"/>
      <c r="B30" s="59"/>
      <c r="C30" s="29" t="s">
        <v>18</v>
      </c>
      <c r="D30" s="38">
        <f>'[1]1нед'!K30</f>
        <v>0</v>
      </c>
      <c r="E30" s="39">
        <f>'[1]1нед'!L30</f>
        <v>0</v>
      </c>
      <c r="F30" s="40">
        <f>'[1]1нед'!O30</f>
        <v>0</v>
      </c>
      <c r="G30" s="41" t="str">
        <f>'[1]1нед'!P30</f>
        <v/>
      </c>
      <c r="H30" s="42"/>
    </row>
    <row r="31" ht="31.5" spans="1:8">
      <c r="A31" s="36"/>
      <c r="B31" s="59"/>
      <c r="C31" s="29" t="s">
        <v>19</v>
      </c>
      <c r="D31" s="38">
        <f>'[1]1нед'!K31</f>
        <v>0</v>
      </c>
      <c r="E31" s="39">
        <f>'[1]1нед'!L31</f>
        <v>0</v>
      </c>
      <c r="F31" s="40">
        <f>'[1]1нед'!O31</f>
        <v>0</v>
      </c>
      <c r="G31" s="41" t="str">
        <f>'[1]1нед'!P31</f>
        <v/>
      </c>
      <c r="H31" s="42"/>
    </row>
    <row r="32" ht="31.5" spans="1:8">
      <c r="A32" s="36"/>
      <c r="B32" s="59"/>
      <c r="C32" s="29" t="s">
        <v>20</v>
      </c>
      <c r="D32" s="38">
        <f>'[1]1нед'!K32</f>
        <v>0</v>
      </c>
      <c r="E32" s="39">
        <f>'[1]1нед'!L32</f>
        <v>0</v>
      </c>
      <c r="F32" s="40">
        <f>'[1]1нед'!O32</f>
        <v>0</v>
      </c>
      <c r="G32" s="41" t="str">
        <f>'[1]1нед'!P32</f>
        <v/>
      </c>
      <c r="H32" s="42"/>
    </row>
    <row r="33" ht="31.5" spans="1:8">
      <c r="A33" s="36"/>
      <c r="B33" s="59"/>
      <c r="C33" s="29" t="s">
        <v>21</v>
      </c>
      <c r="D33" s="38">
        <f>'[1]1нед'!K33</f>
        <v>0</v>
      </c>
      <c r="E33" s="39">
        <f>'[1]1нед'!L33</f>
        <v>0</v>
      </c>
      <c r="F33" s="40">
        <f>'[1]1нед'!O33</f>
        <v>0</v>
      </c>
      <c r="G33" s="41" t="str">
        <f>'[1]1нед'!P33</f>
        <v/>
      </c>
      <c r="H33" s="56"/>
    </row>
    <row r="34" ht="32.25" spans="1:8">
      <c r="A34" s="36"/>
      <c r="B34" s="59"/>
      <c r="C34" s="29" t="s">
        <v>22</v>
      </c>
      <c r="D34" s="38">
        <f>'[1]1нед'!K34</f>
        <v>0</v>
      </c>
      <c r="E34" s="39">
        <f>'[1]1нед'!L34</f>
        <v>0</v>
      </c>
      <c r="F34" s="40">
        <f>'[1]1нед'!O34</f>
        <v>0</v>
      </c>
      <c r="G34" s="41" t="str">
        <f>'[1]1нед'!P34</f>
        <v/>
      </c>
      <c r="H34" s="56"/>
    </row>
    <row r="35" ht="18.4" hidden="1" customHeight="1" spans="1:8">
      <c r="A35" s="45"/>
      <c r="B35" s="61"/>
      <c r="C35" s="47"/>
      <c r="D35" s="48">
        <f>'[1]1нед'!K35</f>
        <v>0</v>
      </c>
      <c r="E35" s="49">
        <f>'[1]1нед'!L35</f>
        <v>0</v>
      </c>
      <c r="F35" s="50">
        <f>'[1]1нед'!O35</f>
        <v>0</v>
      </c>
      <c r="G35" s="51" t="str">
        <f>'[1]1нед'!P35</f>
        <v/>
      </c>
      <c r="H35" s="52"/>
    </row>
    <row r="36" ht="48" customHeight="1" spans="1:8">
      <c r="A36" s="27">
        <v>46268</v>
      </c>
      <c r="B36" s="28" t="s">
        <v>25</v>
      </c>
      <c r="C36" s="55" t="s">
        <v>16</v>
      </c>
      <c r="D36" s="30">
        <f>'[1]1нед'!K36</f>
        <v>0</v>
      </c>
      <c r="E36" s="31">
        <f>'[1]1нед'!L36</f>
        <v>0</v>
      </c>
      <c r="F36" s="32">
        <f>'[1]1нед'!O36</f>
        <v>0</v>
      </c>
      <c r="G36" s="33" t="str">
        <f>'[1]1нед'!P36</f>
        <v/>
      </c>
      <c r="H36" s="34"/>
    </row>
    <row r="37" ht="31.5" spans="1:8">
      <c r="A37" s="36"/>
      <c r="B37" s="37"/>
      <c r="C37" s="29" t="s">
        <v>17</v>
      </c>
      <c r="D37" s="38" t="str">
        <f>'[1]1нед'!K37</f>
        <v>пр</v>
      </c>
      <c r="E37" s="39" t="str">
        <f>'[1]1нед'!L37</f>
        <v> Основы российской государственности</v>
      </c>
      <c r="F37" s="40" t="str">
        <f>'[1]1нед'!O37</f>
        <v>Лысенко Е.Г.</v>
      </c>
      <c r="G37" s="41" t="str">
        <f>'[1]1нед'!P37</f>
        <v>доцент, канд. наук</v>
      </c>
      <c r="H37" s="72" t="s">
        <v>32</v>
      </c>
    </row>
    <row r="38" ht="31.5" spans="1:8">
      <c r="A38" s="36"/>
      <c r="B38" s="37"/>
      <c r="C38" s="29" t="s">
        <v>18</v>
      </c>
      <c r="D38" s="38" t="str">
        <f>'[1]1нед'!K38</f>
        <v>л</v>
      </c>
      <c r="E38" s="39" t="str">
        <f>'[1]1нед'!L38</f>
        <v>Алгебра и Геометрия</v>
      </c>
      <c r="F38" s="40" t="str">
        <f>'[1]1нед'!O38</f>
        <v>Овчинникова М.В.</v>
      </c>
      <c r="G38" s="41" t="str">
        <f>'[1]1нед'!P38</f>
        <v>доцент, канд. наук</v>
      </c>
      <c r="H38" s="74" t="s">
        <v>32</v>
      </c>
    </row>
    <row r="39" ht="31.5" spans="1:8">
      <c r="A39" s="36"/>
      <c r="B39" s="37"/>
      <c r="C39" s="29" t="s">
        <v>19</v>
      </c>
      <c r="D39" s="38" t="str">
        <f>'[1]1нед'!K39</f>
        <v>л</v>
      </c>
      <c r="E39" s="39" t="str">
        <f>'[1]1нед'!L39</f>
        <v>Математический анализ</v>
      </c>
      <c r="F39" s="40" t="str">
        <f>'[1]1нед'!O39</f>
        <v>Линник Е.П.</v>
      </c>
      <c r="G39" s="41" t="str">
        <f>'[1]1нед'!P39</f>
        <v>доцент, канд. наук</v>
      </c>
      <c r="H39" s="74" t="s">
        <v>32</v>
      </c>
    </row>
    <row r="40" ht="31.5" spans="1:8">
      <c r="A40" s="36"/>
      <c r="B40" s="37"/>
      <c r="C40" s="29" t="s">
        <v>20</v>
      </c>
      <c r="D40" s="38">
        <f>'[1]1нед'!K40</f>
        <v>0</v>
      </c>
      <c r="E40" s="39">
        <f>'[1]1нед'!L40</f>
        <v>0</v>
      </c>
      <c r="F40" s="40">
        <f>'[1]1нед'!O40</f>
        <v>0</v>
      </c>
      <c r="G40" s="41" t="str">
        <f>'[1]1нед'!P40</f>
        <v/>
      </c>
      <c r="H40" s="42"/>
    </row>
    <row r="41" ht="31.5" spans="1:8">
      <c r="A41" s="36"/>
      <c r="B41" s="37"/>
      <c r="C41" s="29" t="s">
        <v>21</v>
      </c>
      <c r="D41" s="38">
        <f>'[1]1нед'!K41</f>
        <v>0</v>
      </c>
      <c r="E41" s="39">
        <f>'[1]1нед'!L41</f>
        <v>0</v>
      </c>
      <c r="F41" s="40">
        <f>'[1]1нед'!O41</f>
        <v>0</v>
      </c>
      <c r="G41" s="41" t="str">
        <f>'[1]1нед'!P41</f>
        <v/>
      </c>
      <c r="H41" s="56"/>
    </row>
    <row r="42" ht="32.25" spans="1:8">
      <c r="A42" s="36"/>
      <c r="B42" s="37"/>
      <c r="C42" s="29" t="s">
        <v>22</v>
      </c>
      <c r="D42" s="38">
        <f>'[1]1нед'!K42</f>
        <v>0</v>
      </c>
      <c r="E42" s="39">
        <f>'[1]1нед'!L42</f>
        <v>0</v>
      </c>
      <c r="F42" s="40">
        <f>'[1]1нед'!O42</f>
        <v>0</v>
      </c>
      <c r="G42" s="41" t="str">
        <f>'[1]1нед'!P42</f>
        <v/>
      </c>
      <c r="H42" s="56"/>
    </row>
    <row r="43" ht="18.4" hidden="1" customHeight="1" spans="1:8">
      <c r="A43" s="45"/>
      <c r="B43" s="46"/>
      <c r="C43" s="47"/>
      <c r="D43" s="48">
        <f>'[1]1нед'!K43</f>
        <v>0</v>
      </c>
      <c r="E43" s="49">
        <f>'[1]1нед'!L43</f>
        <v>0</v>
      </c>
      <c r="F43" s="50">
        <f>'[1]1нед'!O43</f>
        <v>0</v>
      </c>
      <c r="G43" s="51" t="str">
        <f>'[1]1нед'!P43</f>
        <v/>
      </c>
      <c r="H43" s="52"/>
    </row>
    <row r="44" ht="48" customHeight="1" spans="1:8">
      <c r="A44" s="27">
        <v>46269</v>
      </c>
      <c r="B44" s="28" t="s">
        <v>26</v>
      </c>
      <c r="C44" s="55" t="s">
        <v>16</v>
      </c>
      <c r="D44" s="30">
        <f>'[1]1нед'!K44</f>
        <v>0</v>
      </c>
      <c r="E44" s="31">
        <f>'[1]1нед'!L44</f>
        <v>0</v>
      </c>
      <c r="F44" s="32">
        <f>'[1]1нед'!O44</f>
        <v>0</v>
      </c>
      <c r="G44" s="33" t="str">
        <f>'[1]1нед'!P44</f>
        <v/>
      </c>
      <c r="H44" s="34"/>
    </row>
    <row r="45" ht="31.5" spans="1:8">
      <c r="A45" s="36"/>
      <c r="B45" s="37"/>
      <c r="C45" s="29" t="s">
        <v>17</v>
      </c>
      <c r="D45" s="38">
        <f>'[1]1нед'!K45</f>
        <v>0</v>
      </c>
      <c r="E45" s="39">
        <f>'[1]1нед'!L45</f>
        <v>0</v>
      </c>
      <c r="F45" s="40">
        <f>'[1]1нед'!O45</f>
        <v>0</v>
      </c>
      <c r="G45" s="41" t="str">
        <f>'[1]1нед'!P45</f>
        <v/>
      </c>
      <c r="H45" s="42"/>
    </row>
    <row r="46" ht="31.5" spans="1:8">
      <c r="A46" s="36"/>
      <c r="B46" s="37"/>
      <c r="C46" s="29" t="s">
        <v>18</v>
      </c>
      <c r="D46" s="38" t="str">
        <f>'[1]1нед'!K46</f>
        <v>пр</v>
      </c>
      <c r="E46" s="39" t="str">
        <f>'[1]1нед'!L46</f>
        <v>Алгебра и Геометрия</v>
      </c>
      <c r="F46" s="40" t="str">
        <f>'[1]1нед'!O46</f>
        <v>Овчинникова М.В.</v>
      </c>
      <c r="G46" s="41" t="str">
        <f>'[1]1нед'!P46</f>
        <v>доцент, канд. наук</v>
      </c>
      <c r="H46" s="72" t="s">
        <v>32</v>
      </c>
    </row>
    <row r="47" ht="31.5" spans="1:8">
      <c r="A47" s="36"/>
      <c r="B47" s="37"/>
      <c r="C47" s="29" t="s">
        <v>19</v>
      </c>
      <c r="D47" s="38">
        <f>'[1]1нед'!K47</f>
        <v>0</v>
      </c>
      <c r="E47" s="39">
        <f>'[1]1нед'!L47</f>
        <v>0</v>
      </c>
      <c r="F47" s="40">
        <f>'[1]1нед'!O47</f>
        <v>0</v>
      </c>
      <c r="G47" s="41" t="str">
        <f>'[1]1нед'!P47</f>
        <v/>
      </c>
      <c r="H47" s="42"/>
    </row>
    <row r="48" ht="31.5" spans="1:8">
      <c r="A48" s="36"/>
      <c r="B48" s="37"/>
      <c r="C48" s="29" t="s">
        <v>20</v>
      </c>
      <c r="D48" s="38">
        <f>'[1]1нед'!K48</f>
        <v>0</v>
      </c>
      <c r="E48" s="39">
        <f>'[1]1нед'!L48</f>
        <v>0</v>
      </c>
      <c r="F48" s="40">
        <f>'[1]1нед'!O48</f>
        <v>0</v>
      </c>
      <c r="G48" s="41" t="str">
        <f>'[1]1нед'!P48</f>
        <v/>
      </c>
      <c r="H48" s="42"/>
    </row>
    <row r="49" ht="31.5" spans="1:8">
      <c r="A49" s="36"/>
      <c r="B49" s="37"/>
      <c r="C49" s="29" t="s">
        <v>21</v>
      </c>
      <c r="D49" s="38">
        <f>'[1]1нед'!K49</f>
        <v>0</v>
      </c>
      <c r="E49" s="39">
        <f>'[1]1нед'!L49</f>
        <v>0</v>
      </c>
      <c r="F49" s="40">
        <f>'[1]1нед'!O49</f>
        <v>0</v>
      </c>
      <c r="G49" s="41" t="str">
        <f>'[1]1нед'!P49</f>
        <v/>
      </c>
      <c r="H49" s="42"/>
    </row>
    <row r="50" ht="32.25" spans="1:8">
      <c r="A50" s="36"/>
      <c r="B50" s="37"/>
      <c r="C50" s="29" t="s">
        <v>22</v>
      </c>
      <c r="D50" s="38">
        <f>'[1]1нед'!K50</f>
        <v>0</v>
      </c>
      <c r="E50" s="39">
        <f>'[1]1нед'!L50</f>
        <v>0</v>
      </c>
      <c r="F50" s="40">
        <f>'[1]1нед'!O50</f>
        <v>0</v>
      </c>
      <c r="G50" s="41" t="str">
        <f>'[1]1нед'!P50</f>
        <v/>
      </c>
      <c r="H50" s="42"/>
    </row>
    <row r="51" ht="18.4" hidden="1" customHeight="1" spans="1:8">
      <c r="A51" s="45"/>
      <c r="B51" s="46"/>
      <c r="C51" s="47"/>
      <c r="D51" s="48">
        <f>'[1]1нед'!K51</f>
        <v>0</v>
      </c>
      <c r="E51" s="49">
        <f>'[1]1нед'!L51</f>
        <v>0</v>
      </c>
      <c r="F51" s="50">
        <f>'[1]1нед'!O51</f>
        <v>0</v>
      </c>
      <c r="G51" s="51" t="str">
        <f>'[1]1нед'!P51</f>
        <v/>
      </c>
      <c r="H51" s="52"/>
    </row>
    <row r="52" ht="48" customHeight="1" spans="1:8">
      <c r="A52" s="27">
        <v>46270</v>
      </c>
      <c r="B52" s="28" t="s">
        <v>27</v>
      </c>
      <c r="C52" s="55" t="s">
        <v>16</v>
      </c>
      <c r="D52" s="30">
        <f>'[1]1нед'!K52</f>
        <v>0</v>
      </c>
      <c r="E52" s="31">
        <f>'[1]1нед'!L52</f>
        <v>0</v>
      </c>
      <c r="F52" s="32">
        <f>'[1]1нед'!O52</f>
        <v>0</v>
      </c>
      <c r="G52" s="33" t="str">
        <f>'[1]1нед'!P52</f>
        <v/>
      </c>
      <c r="H52" s="34"/>
    </row>
    <row r="53" ht="31.5" spans="1:8">
      <c r="A53" s="36"/>
      <c r="B53" s="37"/>
      <c r="C53" s="29" t="s">
        <v>17</v>
      </c>
      <c r="D53" s="38">
        <f>'[1]1нед'!K53</f>
        <v>0</v>
      </c>
      <c r="E53" s="39">
        <f>'[1]1нед'!L53</f>
        <v>0</v>
      </c>
      <c r="F53" s="40">
        <f>'[1]1нед'!O53</f>
        <v>0</v>
      </c>
      <c r="G53" s="41" t="str">
        <f>'[1]1нед'!P53</f>
        <v/>
      </c>
      <c r="H53" s="42"/>
    </row>
    <row r="54" ht="31.5" spans="1:8">
      <c r="A54" s="36"/>
      <c r="B54" s="37"/>
      <c r="C54" s="29" t="s">
        <v>18</v>
      </c>
      <c r="D54" s="38">
        <f>'[1]1нед'!K54</f>
        <v>0</v>
      </c>
      <c r="E54" s="39">
        <f>'[1]1нед'!L54</f>
        <v>0</v>
      </c>
      <c r="F54" s="40">
        <f>'[1]1нед'!O54</f>
        <v>0</v>
      </c>
      <c r="G54" s="41" t="str">
        <f>'[1]1нед'!P54</f>
        <v/>
      </c>
      <c r="H54" s="42"/>
    </row>
    <row r="55" ht="31.5" spans="1:8">
      <c r="A55" s="36"/>
      <c r="B55" s="37"/>
      <c r="C55" s="29" t="s">
        <v>19</v>
      </c>
      <c r="D55" s="38">
        <f>'[1]1нед'!K55</f>
        <v>0</v>
      </c>
      <c r="E55" s="39">
        <f>'[1]1нед'!L55</f>
        <v>0</v>
      </c>
      <c r="F55" s="40">
        <f>'[1]1нед'!O55</f>
        <v>0</v>
      </c>
      <c r="G55" s="41" t="str">
        <f>'[1]1нед'!P55</f>
        <v/>
      </c>
      <c r="H55" s="42"/>
    </row>
    <row r="56" ht="31.5" spans="1:8">
      <c r="A56" s="36"/>
      <c r="B56" s="37"/>
      <c r="C56" s="29" t="s">
        <v>20</v>
      </c>
      <c r="D56" s="38">
        <f>'[1]1нед'!K56</f>
        <v>0</v>
      </c>
      <c r="E56" s="39">
        <f>'[1]1нед'!L56</f>
        <v>0</v>
      </c>
      <c r="F56" s="40">
        <f>'[1]1нед'!O56</f>
        <v>0</v>
      </c>
      <c r="G56" s="41" t="str">
        <f>'[1]1нед'!P56</f>
        <v/>
      </c>
      <c r="H56" s="42"/>
    </row>
    <row r="57" ht="31.5" spans="1:8">
      <c r="A57" s="36"/>
      <c r="B57" s="37"/>
      <c r="C57" s="29" t="s">
        <v>21</v>
      </c>
      <c r="D57" s="38">
        <f>'[1]1нед'!K57</f>
        <v>0</v>
      </c>
      <c r="E57" s="39">
        <f>'[1]1нед'!L57</f>
        <v>0</v>
      </c>
      <c r="F57" s="40">
        <f>'[1]1нед'!O57</f>
        <v>0</v>
      </c>
      <c r="G57" s="41" t="str">
        <f>'[1]1нед'!P57</f>
        <v/>
      </c>
      <c r="H57" s="42"/>
    </row>
    <row r="58" ht="32.25" spans="1:8">
      <c r="A58" s="36"/>
      <c r="B58" s="37"/>
      <c r="C58" s="29" t="s">
        <v>22</v>
      </c>
      <c r="D58" s="38">
        <f>'[1]1нед'!K58</f>
        <v>0</v>
      </c>
      <c r="E58" s="39">
        <f>'[1]1нед'!L58</f>
        <v>0</v>
      </c>
      <c r="F58" s="40">
        <f>'[1]1нед'!O58</f>
        <v>0</v>
      </c>
      <c r="G58" s="41" t="str">
        <f>'[1]1нед'!P58</f>
        <v/>
      </c>
      <c r="H58" s="42"/>
    </row>
    <row r="59" ht="18.4" hidden="1" customHeight="1" spans="1:8">
      <c r="A59" s="45"/>
      <c r="B59" s="46"/>
      <c r="C59" s="47"/>
      <c r="D59" s="48">
        <f>'[1]1нед'!K59</f>
        <v>0</v>
      </c>
      <c r="E59" s="49">
        <f>'[1]1нед'!L59</f>
        <v>0</v>
      </c>
      <c r="F59" s="50">
        <f>'[1]1нед'!O59</f>
        <v>0</v>
      </c>
      <c r="G59" s="51" t="str">
        <f>'[1]1нед'!P59</f>
        <v/>
      </c>
      <c r="H59" s="77"/>
    </row>
    <row r="60" ht="39" customHeight="1" spans="1:8">
      <c r="A60" s="64"/>
      <c r="B60" s="65"/>
      <c r="C60" s="66"/>
      <c r="D60" s="67"/>
      <c r="E60" s="67" t="s">
        <v>28</v>
      </c>
      <c r="F60" s="67"/>
      <c r="G60" s="68" t="s">
        <v>29</v>
      </c>
      <c r="H60" s="67"/>
    </row>
  </sheetData>
  <mergeCells count="19">
    <mergeCell ref="B6:H6"/>
    <mergeCell ref="B8:D8"/>
    <mergeCell ref="E8:H8"/>
    <mergeCell ref="B9:D9"/>
    <mergeCell ref="B10:D10"/>
    <mergeCell ref="A11:B11"/>
    <mergeCell ref="F11:G11"/>
    <mergeCell ref="A12:A19"/>
    <mergeCell ref="A20:A27"/>
    <mergeCell ref="A28:A35"/>
    <mergeCell ref="A36:A43"/>
    <mergeCell ref="A44:A51"/>
    <mergeCell ref="A52:A59"/>
    <mergeCell ref="B12:B19"/>
    <mergeCell ref="B20:B27"/>
    <mergeCell ref="B28:B35"/>
    <mergeCell ref="B36:B43"/>
    <mergeCell ref="B44:B51"/>
    <mergeCell ref="B52:B59"/>
  </mergeCells>
  <pageMargins left="0.708661417322835" right="0.708661417322835" top="0.748031496062992" bottom="0.748031496062992" header="0.31496062992126" footer="0.31496062992126"/>
  <pageSetup paperSize="9" scale="34" orientation="portrait"/>
  <headerFooter/>
  <rowBreaks count="8" manualBreakCount="8">
    <brk id="60" max="16383" man="1"/>
  </rowBreaks>
  <colBreaks count="1" manualBreakCount="1">
    <brk id="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60"/>
  <sheetViews>
    <sheetView view="pageBreakPreview" zoomScale="50" zoomScaleNormal="55" topLeftCell="A18" workbookViewId="0">
      <selection activeCell="E72" sqref="E72"/>
    </sheetView>
  </sheetViews>
  <sheetFormatPr defaultColWidth="9" defaultRowHeight="12.75" outlineLevelCol="7"/>
  <cols>
    <col min="1" max="1" width="5.85714285714286" customWidth="1"/>
    <col min="2" max="2" width="4.14285714285714" customWidth="1"/>
    <col min="3" max="3" width="13.5714285714286" customWidth="1"/>
    <col min="4" max="4" width="11.8571428571429" customWidth="1"/>
    <col min="5" max="5" width="51.5714285714286" customWidth="1"/>
    <col min="6" max="6" width="28" customWidth="1"/>
    <col min="7" max="7" width="30" customWidth="1"/>
    <col min="8" max="8" width="72.2857142857143" style="1" customWidth="1"/>
  </cols>
  <sheetData>
    <row r="1" ht="15.75" spans="1:8">
      <c r="A1" s="2"/>
      <c r="B1" s="3"/>
      <c r="C1" s="4"/>
      <c r="D1" s="5"/>
      <c r="E1" s="5"/>
      <c r="F1" s="5"/>
      <c r="G1" s="5"/>
      <c r="H1" s="6" t="s">
        <v>0</v>
      </c>
    </row>
    <row r="2" ht="15.75" spans="1:8">
      <c r="A2" s="2"/>
      <c r="B2" s="3"/>
      <c r="C2" s="4"/>
      <c r="D2" s="5"/>
      <c r="E2" s="5"/>
      <c r="F2" s="5"/>
      <c r="G2" s="5"/>
      <c r="H2" s="6" t="s">
        <v>1</v>
      </c>
    </row>
    <row r="3" ht="15.75" spans="1:8">
      <c r="A3" s="2"/>
      <c r="B3" s="3"/>
      <c r="C3" s="4"/>
      <c r="D3" s="5"/>
      <c r="E3" s="5"/>
      <c r="F3" s="5"/>
      <c r="G3" s="5"/>
      <c r="H3" s="6" t="s">
        <v>2</v>
      </c>
    </row>
    <row r="4" ht="15.75" spans="1:8">
      <c r="A4" s="2"/>
      <c r="B4" s="3"/>
      <c r="C4" s="4"/>
      <c r="D4" s="5"/>
      <c r="E4" s="5"/>
      <c r="F4" s="5"/>
      <c r="G4" s="5"/>
      <c r="H4" s="6" t="s">
        <v>3</v>
      </c>
    </row>
    <row r="5" ht="15.75" spans="1:8">
      <c r="A5" s="2"/>
      <c r="B5" s="7"/>
      <c r="C5" s="4"/>
      <c r="D5" s="5"/>
      <c r="E5" s="5"/>
      <c r="F5" s="5"/>
      <c r="G5" s="5"/>
      <c r="H5" s="5"/>
    </row>
    <row r="6" ht="15.75" spans="1:8">
      <c r="A6" s="2"/>
      <c r="B6" s="8" t="s">
        <v>4</v>
      </c>
      <c r="C6" s="8"/>
      <c r="D6" s="8"/>
      <c r="E6" s="8"/>
      <c r="F6" s="8"/>
      <c r="G6" s="8"/>
      <c r="H6" s="8"/>
    </row>
    <row r="7" ht="15.75" spans="1:8">
      <c r="A7" s="9"/>
      <c r="B7" s="10" t="str">
        <f>'[1]1нед'!$A$6</f>
        <v>Направление подготовки:</v>
      </c>
      <c r="C7" s="11"/>
      <c r="D7" s="12"/>
      <c r="E7" s="13" t="str">
        <f>'[1]1нед'!$T$6</f>
        <v>44.03.05Педагогическое образование (с двумя профилями подготовки) (Математика и Информатика)</v>
      </c>
      <c r="F7" s="12"/>
      <c r="G7" s="12" t="str">
        <f>'[1]1нед'!$T$10</f>
        <v>12-26МИ</v>
      </c>
      <c r="H7" s="14"/>
    </row>
    <row r="8" ht="15.75" spans="1:8">
      <c r="A8" s="2"/>
      <c r="B8" s="10" t="s">
        <v>5</v>
      </c>
      <c r="C8" s="10"/>
      <c r="D8" s="10"/>
      <c r="E8" s="10" t="s">
        <v>6</v>
      </c>
      <c r="F8" s="10"/>
      <c r="G8" s="10"/>
      <c r="H8" s="10"/>
    </row>
    <row r="9" ht="15.75" spans="1:8">
      <c r="A9" s="2"/>
      <c r="B9" s="10" t="s">
        <v>7</v>
      </c>
      <c r="C9" s="10"/>
      <c r="D9" s="10"/>
      <c r="E9" s="10">
        <v>1</v>
      </c>
      <c r="F9" s="10"/>
      <c r="G9" s="10"/>
      <c r="H9" s="15"/>
    </row>
    <row r="10" ht="16.5" spans="1:8">
      <c r="A10" s="2"/>
      <c r="B10" s="16" t="s">
        <v>8</v>
      </c>
      <c r="C10" s="16"/>
      <c r="D10" s="16"/>
      <c r="E10" s="16">
        <v>1</v>
      </c>
      <c r="F10" s="16"/>
      <c r="G10" s="16"/>
      <c r="H10" s="17"/>
    </row>
    <row r="11" ht="46.5" customHeight="1" spans="1:8">
      <c r="A11" s="19" t="s">
        <v>9</v>
      </c>
      <c r="B11" s="20"/>
      <c r="C11" s="21" t="s">
        <v>10</v>
      </c>
      <c r="D11" s="22" t="s">
        <v>11</v>
      </c>
      <c r="E11" s="23" t="s">
        <v>12</v>
      </c>
      <c r="F11" s="24" t="s">
        <v>13</v>
      </c>
      <c r="G11" s="25"/>
      <c r="H11" s="26" t="s">
        <v>14</v>
      </c>
    </row>
    <row r="12" ht="32.25" customHeight="1" spans="1:8">
      <c r="A12" s="27">
        <v>46265</v>
      </c>
      <c r="B12" s="28" t="s">
        <v>15</v>
      </c>
      <c r="C12" s="29" t="s">
        <v>16</v>
      </c>
      <c r="D12" s="30">
        <f>'[1]1нед'!S12</f>
        <v>0</v>
      </c>
      <c r="E12" s="31">
        <f>'[1]1нед'!T12</f>
        <v>0</v>
      </c>
      <c r="F12" s="32">
        <f>'[1]1нед'!W12</f>
        <v>0</v>
      </c>
      <c r="G12" s="33" t="str">
        <f>'[1]1нед'!X12</f>
        <v/>
      </c>
      <c r="H12" s="34"/>
    </row>
    <row r="13" ht="31.5" spans="1:8">
      <c r="A13" s="36"/>
      <c r="B13" s="37"/>
      <c r="C13" s="29" t="s">
        <v>17</v>
      </c>
      <c r="D13" s="38">
        <f>'[1]1нед'!S13</f>
        <v>0</v>
      </c>
      <c r="E13" s="39">
        <f>'[1]1нед'!T13</f>
        <v>0</v>
      </c>
      <c r="F13" s="40">
        <f>'[1]1нед'!W13</f>
        <v>0</v>
      </c>
      <c r="G13" s="41" t="str">
        <f>'[1]1нед'!X13</f>
        <v/>
      </c>
      <c r="H13" s="42"/>
    </row>
    <row r="14" ht="31.5" spans="1:8">
      <c r="A14" s="36"/>
      <c r="B14" s="37"/>
      <c r="C14" s="29" t="s">
        <v>18</v>
      </c>
      <c r="D14" s="38">
        <f>'[1]1нед'!S14</f>
        <v>0</v>
      </c>
      <c r="E14" s="39">
        <f>'[1]1нед'!T14</f>
        <v>0</v>
      </c>
      <c r="F14" s="40">
        <f>'[1]1нед'!W14</f>
        <v>0</v>
      </c>
      <c r="G14" s="41" t="str">
        <f>'[1]1нед'!X14</f>
        <v/>
      </c>
      <c r="H14" s="42"/>
    </row>
    <row r="15" ht="31.5" spans="1:8">
      <c r="A15" s="36"/>
      <c r="B15" s="37"/>
      <c r="C15" s="29" t="s">
        <v>19</v>
      </c>
      <c r="D15" s="38">
        <f>'[1]1нед'!S15</f>
        <v>0</v>
      </c>
      <c r="E15" s="39">
        <f>'[1]1нед'!T15</f>
        <v>0</v>
      </c>
      <c r="F15" s="40">
        <f>'[1]1нед'!W15</f>
        <v>0</v>
      </c>
      <c r="G15" s="41" t="str">
        <f>'[1]1нед'!X15</f>
        <v/>
      </c>
      <c r="H15" s="42"/>
    </row>
    <row r="16" ht="31.5" spans="1:8">
      <c r="A16" s="36"/>
      <c r="B16" s="37"/>
      <c r="C16" s="29" t="s">
        <v>20</v>
      </c>
      <c r="D16" s="38">
        <f>'[1]1нед'!S16</f>
        <v>0</v>
      </c>
      <c r="E16" s="39">
        <f>'[1]1нед'!T16</f>
        <v>0</v>
      </c>
      <c r="F16" s="40">
        <f>'[1]1нед'!W16</f>
        <v>0</v>
      </c>
      <c r="G16" s="41" t="str">
        <f>'[1]1нед'!X16</f>
        <v/>
      </c>
      <c r="H16" s="42"/>
    </row>
    <row r="17" ht="31.5" spans="1:8">
      <c r="A17" s="36"/>
      <c r="B17" s="37"/>
      <c r="C17" s="29" t="s">
        <v>21</v>
      </c>
      <c r="D17" s="38">
        <f>'[1]1нед'!S17</f>
        <v>0</v>
      </c>
      <c r="E17" s="39">
        <f>'[1]1нед'!T17</f>
        <v>0</v>
      </c>
      <c r="F17" s="40">
        <f>'[1]1нед'!W17</f>
        <v>0</v>
      </c>
      <c r="G17" s="41" t="str">
        <f>'[1]1нед'!X17</f>
        <v/>
      </c>
      <c r="H17" s="56"/>
    </row>
    <row r="18" ht="32.25" spans="1:8">
      <c r="A18" s="36"/>
      <c r="B18" s="37"/>
      <c r="C18" s="29" t="s">
        <v>22</v>
      </c>
      <c r="D18" s="38">
        <f>'[1]1нед'!S18</f>
        <v>0</v>
      </c>
      <c r="E18" s="39">
        <f>'[1]1нед'!T18</f>
        <v>0</v>
      </c>
      <c r="F18" s="40">
        <f>'[1]1нед'!W18</f>
        <v>0</v>
      </c>
      <c r="G18" s="41" t="str">
        <f>'[1]1нед'!X18</f>
        <v/>
      </c>
      <c r="H18" s="56"/>
    </row>
    <row r="19" ht="18.4" hidden="1" customHeight="1" spans="1:8">
      <c r="A19" s="45"/>
      <c r="B19" s="46"/>
      <c r="C19" s="47"/>
      <c r="D19" s="48">
        <f>'[1]1нед'!S19</f>
        <v>0</v>
      </c>
      <c r="E19" s="49">
        <f>'[1]1нед'!T19</f>
        <v>0</v>
      </c>
      <c r="F19" s="50">
        <f>'[1]1нед'!W19</f>
        <v>0</v>
      </c>
      <c r="G19" s="51" t="str">
        <f>'[1]1нед'!X19</f>
        <v/>
      </c>
      <c r="H19" s="52"/>
    </row>
    <row r="20" ht="32.25" customHeight="1" spans="1:8">
      <c r="A20" s="27">
        <v>46266</v>
      </c>
      <c r="B20" s="28" t="s">
        <v>23</v>
      </c>
      <c r="C20" s="55" t="s">
        <v>16</v>
      </c>
      <c r="D20" s="30">
        <f>'[1]1нед'!S20</f>
        <v>0</v>
      </c>
      <c r="E20" s="31">
        <f>'[1]1нед'!T20</f>
        <v>0</v>
      </c>
      <c r="F20" s="32">
        <f>'[1]1нед'!W20</f>
        <v>0</v>
      </c>
      <c r="G20" s="33" t="str">
        <f>'[1]1нед'!X20</f>
        <v/>
      </c>
      <c r="H20" s="34"/>
    </row>
    <row r="21" ht="31.5" spans="1:8">
      <c r="A21" s="36"/>
      <c r="B21" s="37"/>
      <c r="C21" s="29" t="s">
        <v>17</v>
      </c>
      <c r="D21" s="38">
        <f>'[1]1нед'!S21</f>
        <v>0</v>
      </c>
      <c r="E21" s="39">
        <f>'[1]1нед'!T21</f>
        <v>0</v>
      </c>
      <c r="F21" s="40">
        <f>'[1]1нед'!W21</f>
        <v>0</v>
      </c>
      <c r="G21" s="41" t="str">
        <f>'[1]1нед'!X21</f>
        <v/>
      </c>
      <c r="H21" s="42"/>
    </row>
    <row r="22" ht="31.5" spans="1:8">
      <c r="A22" s="36"/>
      <c r="B22" s="37"/>
      <c r="C22" s="29" t="s">
        <v>18</v>
      </c>
      <c r="D22" s="38">
        <f>'[1]1нед'!S22</f>
        <v>0</v>
      </c>
      <c r="E22" s="39">
        <f>'[1]1нед'!T22</f>
        <v>0</v>
      </c>
      <c r="F22" s="40">
        <f>'[1]1нед'!W22</f>
        <v>0</v>
      </c>
      <c r="G22" s="41" t="str">
        <f>'[1]1нед'!X22</f>
        <v/>
      </c>
      <c r="H22" s="42"/>
    </row>
    <row r="23" ht="31.5" spans="1:8">
      <c r="A23" s="36"/>
      <c r="B23" s="37"/>
      <c r="C23" s="29" t="s">
        <v>19</v>
      </c>
      <c r="D23" s="38">
        <f>'[1]1нед'!S23</f>
        <v>0</v>
      </c>
      <c r="E23" s="39">
        <f>'[1]1нед'!T23</f>
        <v>0</v>
      </c>
      <c r="F23" s="40">
        <f>'[1]1нед'!W23</f>
        <v>0</v>
      </c>
      <c r="G23" s="41" t="str">
        <f>'[1]1нед'!X23</f>
        <v/>
      </c>
      <c r="H23" s="42"/>
    </row>
    <row r="24" ht="31.5" spans="1:8">
      <c r="A24" s="36"/>
      <c r="B24" s="37"/>
      <c r="C24" s="29" t="s">
        <v>20</v>
      </c>
      <c r="D24" s="38">
        <f>'[1]1нед'!S24</f>
        <v>0</v>
      </c>
      <c r="E24" s="39">
        <f>'[1]1нед'!T24</f>
        <v>0</v>
      </c>
      <c r="F24" s="40">
        <f>'[1]1нед'!W24</f>
        <v>0</v>
      </c>
      <c r="G24" s="41" t="str">
        <f>'[1]1нед'!X24</f>
        <v/>
      </c>
      <c r="H24" s="42"/>
    </row>
    <row r="25" ht="31.5" spans="1:8">
      <c r="A25" s="36"/>
      <c r="B25" s="37"/>
      <c r="C25" s="29" t="s">
        <v>21</v>
      </c>
      <c r="D25" s="38">
        <f>'[1]1нед'!S25</f>
        <v>0</v>
      </c>
      <c r="E25" s="39">
        <f>'[1]1нед'!T25</f>
        <v>0</v>
      </c>
      <c r="F25" s="40">
        <f>'[1]1нед'!W25</f>
        <v>0</v>
      </c>
      <c r="G25" s="41" t="str">
        <f>'[1]1нед'!X25</f>
        <v/>
      </c>
      <c r="H25" s="42"/>
    </row>
    <row r="26" ht="32.25" spans="1:8">
      <c r="A26" s="36"/>
      <c r="B26" s="37"/>
      <c r="C26" s="29" t="s">
        <v>22</v>
      </c>
      <c r="D26" s="38">
        <f>'[1]1нед'!S26</f>
        <v>0</v>
      </c>
      <c r="E26" s="39">
        <f>'[1]1нед'!T26</f>
        <v>0</v>
      </c>
      <c r="F26" s="40">
        <f>'[1]1нед'!W26</f>
        <v>0</v>
      </c>
      <c r="G26" s="41" t="str">
        <f>'[1]1нед'!X26</f>
        <v/>
      </c>
      <c r="H26" s="42"/>
    </row>
    <row r="27" ht="18.4" hidden="1" customHeight="1" spans="1:8">
      <c r="A27" s="45"/>
      <c r="B27" s="46"/>
      <c r="C27" s="47"/>
      <c r="D27" s="48">
        <f>'[1]1нед'!S27</f>
        <v>0</v>
      </c>
      <c r="E27" s="49">
        <f>'[1]1нед'!T27</f>
        <v>0</v>
      </c>
      <c r="F27" s="50">
        <f>'[1]1нед'!W27</f>
        <v>0</v>
      </c>
      <c r="G27" s="51" t="str">
        <f>'[1]1нед'!X27</f>
        <v/>
      </c>
      <c r="H27" s="52"/>
    </row>
    <row r="28" ht="48" customHeight="1" spans="1:8">
      <c r="A28" s="27">
        <v>46267</v>
      </c>
      <c r="B28" s="57" t="s">
        <v>24</v>
      </c>
      <c r="C28" s="55" t="s">
        <v>16</v>
      </c>
      <c r="D28" s="30" t="str">
        <f>'[1]1нед'!S28</f>
        <v>л</v>
      </c>
      <c r="E28" s="31" t="str">
        <f>'[1]1нед'!T28</f>
        <v>Основы российской государственности</v>
      </c>
      <c r="F28" s="32" t="str">
        <f>'[1]1нед'!W28</f>
        <v>Вишневский С.А.</v>
      </c>
      <c r="G28" s="33" t="str">
        <f>'[1]1нед'!X28</f>
        <v>доцент, канд. наук</v>
      </c>
      <c r="H28" s="75" t="s">
        <v>31</v>
      </c>
    </row>
    <row r="29" ht="31.5" spans="1:8">
      <c r="A29" s="36"/>
      <c r="B29" s="59"/>
      <c r="C29" s="29" t="s">
        <v>17</v>
      </c>
      <c r="D29" s="38">
        <f>'[1]1нед'!S29</f>
        <v>0</v>
      </c>
      <c r="E29" s="39">
        <f>'[1]1нед'!T29</f>
        <v>0</v>
      </c>
      <c r="F29" s="40">
        <f>'[1]1нед'!W29</f>
        <v>0</v>
      </c>
      <c r="G29" s="41" t="str">
        <f>'[1]1нед'!X29</f>
        <v/>
      </c>
      <c r="H29" s="42"/>
    </row>
    <row r="30" ht="31.5" spans="1:8">
      <c r="A30" s="36"/>
      <c r="B30" s="59"/>
      <c r="C30" s="29" t="s">
        <v>18</v>
      </c>
      <c r="D30" s="38">
        <f>'[1]1нед'!S30</f>
        <v>0</v>
      </c>
      <c r="E30" s="39">
        <f>'[1]1нед'!T30</f>
        <v>0</v>
      </c>
      <c r="F30" s="40">
        <f>'[1]1нед'!W30</f>
        <v>0</v>
      </c>
      <c r="G30" s="41" t="str">
        <f>'[1]1нед'!X30</f>
        <v/>
      </c>
      <c r="H30" s="42"/>
    </row>
    <row r="31" ht="31.5" spans="1:8">
      <c r="A31" s="36"/>
      <c r="B31" s="59"/>
      <c r="C31" s="29" t="s">
        <v>19</v>
      </c>
      <c r="D31" s="38">
        <f>'[1]1нед'!S31</f>
        <v>0</v>
      </c>
      <c r="E31" s="39">
        <f>'[1]1нед'!T31</f>
        <v>0</v>
      </c>
      <c r="F31" s="40">
        <f>'[1]1нед'!W31</f>
        <v>0</v>
      </c>
      <c r="G31" s="41" t="str">
        <f>'[1]1нед'!X31</f>
        <v/>
      </c>
      <c r="H31" s="42"/>
    </row>
    <row r="32" ht="31.5" spans="1:8">
      <c r="A32" s="36"/>
      <c r="B32" s="59"/>
      <c r="C32" s="29" t="s">
        <v>20</v>
      </c>
      <c r="D32" s="38">
        <f>'[1]1нед'!S32</f>
        <v>0</v>
      </c>
      <c r="E32" s="39">
        <f>'[1]1нед'!T32</f>
        <v>0</v>
      </c>
      <c r="F32" s="40">
        <f>'[1]1нед'!W32</f>
        <v>0</v>
      </c>
      <c r="G32" s="41" t="str">
        <f>'[1]1нед'!X32</f>
        <v/>
      </c>
      <c r="H32" s="42"/>
    </row>
    <row r="33" ht="31.5" spans="1:8">
      <c r="A33" s="36"/>
      <c r="B33" s="59"/>
      <c r="C33" s="29" t="s">
        <v>21</v>
      </c>
      <c r="D33" s="38">
        <f>'[1]1нед'!S33</f>
        <v>0</v>
      </c>
      <c r="E33" s="39">
        <f>'[1]1нед'!T33</f>
        <v>0</v>
      </c>
      <c r="F33" s="40">
        <f>'[1]1нед'!W33</f>
        <v>0</v>
      </c>
      <c r="G33" s="41" t="str">
        <f>'[1]1нед'!X33</f>
        <v/>
      </c>
      <c r="H33" s="56"/>
    </row>
    <row r="34" ht="32.25" spans="1:8">
      <c r="A34" s="36"/>
      <c r="B34" s="59"/>
      <c r="C34" s="29" t="s">
        <v>22</v>
      </c>
      <c r="D34" s="38">
        <f>'[1]1нед'!S34</f>
        <v>0</v>
      </c>
      <c r="E34" s="39">
        <f>'[1]1нед'!T34</f>
        <v>0</v>
      </c>
      <c r="F34" s="40">
        <f>'[1]1нед'!W34</f>
        <v>0</v>
      </c>
      <c r="G34" s="41" t="str">
        <f>'[1]1нед'!X34</f>
        <v/>
      </c>
      <c r="H34" s="56"/>
    </row>
    <row r="35" ht="18.4" hidden="1" customHeight="1" spans="1:8">
      <c r="A35" s="45"/>
      <c r="B35" s="61"/>
      <c r="C35" s="47"/>
      <c r="D35" s="48">
        <f>'[1]1нед'!S35</f>
        <v>0</v>
      </c>
      <c r="E35" s="49">
        <f>'[1]1нед'!T35</f>
        <v>0</v>
      </c>
      <c r="F35" s="50">
        <f>'[1]1нед'!W35</f>
        <v>0</v>
      </c>
      <c r="G35" s="51" t="str">
        <f>'[1]1нед'!X35</f>
        <v/>
      </c>
      <c r="H35" s="52"/>
    </row>
    <row r="36" ht="48" customHeight="1" spans="1:8">
      <c r="A36" s="27">
        <v>46268</v>
      </c>
      <c r="B36" s="28" t="s">
        <v>25</v>
      </c>
      <c r="C36" s="55" t="s">
        <v>16</v>
      </c>
      <c r="D36" s="30" t="str">
        <f>'[1]1нед'!S36</f>
        <v>пр</v>
      </c>
      <c r="E36" s="31" t="str">
        <f>'[1]1нед'!T36</f>
        <v> Основы российской государственности</v>
      </c>
      <c r="F36" s="32" t="str">
        <f>'[1]1нед'!W36</f>
        <v>Лысенко Е.Г.</v>
      </c>
      <c r="G36" s="33" t="str">
        <f>'[1]1нед'!X36</f>
        <v>доцент, канд. наук</v>
      </c>
      <c r="H36" s="75" t="s">
        <v>33</v>
      </c>
    </row>
    <row r="37" ht="31.5" spans="1:8">
      <c r="A37" s="36"/>
      <c r="B37" s="37"/>
      <c r="C37" s="29" t="s">
        <v>17</v>
      </c>
      <c r="D37" s="38" t="str">
        <f>'[1]1нед'!S37</f>
        <v>л</v>
      </c>
      <c r="E37" s="39" t="str">
        <f>'[1]1нед'!T37</f>
        <v>Геометрия</v>
      </c>
      <c r="F37" s="40" t="str">
        <f>'[1]1нед'!W37</f>
        <v>Казанцев Ю.А.</v>
      </c>
      <c r="G37" s="41" t="str">
        <f>'[1]1нед'!X37</f>
        <v>ст. преподаватель</v>
      </c>
      <c r="H37" s="74" t="s">
        <v>34</v>
      </c>
    </row>
    <row r="38" ht="31.5" spans="1:8">
      <c r="A38" s="36"/>
      <c r="B38" s="37"/>
      <c r="C38" s="29" t="s">
        <v>18</v>
      </c>
      <c r="D38" s="38">
        <f>'[1]1нед'!S38</f>
        <v>0</v>
      </c>
      <c r="E38" s="39">
        <f>'[1]1нед'!T38</f>
        <v>0</v>
      </c>
      <c r="F38" s="40">
        <f>'[1]1нед'!W38</f>
        <v>0</v>
      </c>
      <c r="G38" s="41" t="str">
        <f>'[1]1нед'!X38</f>
        <v/>
      </c>
      <c r="H38" s="42"/>
    </row>
    <row r="39" ht="31.5" spans="1:8">
      <c r="A39" s="36"/>
      <c r="B39" s="37"/>
      <c r="C39" s="29" t="s">
        <v>19</v>
      </c>
      <c r="D39" s="38">
        <f>'[1]1нед'!S39</f>
        <v>0</v>
      </c>
      <c r="E39" s="39">
        <f>'[1]1нед'!T39</f>
        <v>0</v>
      </c>
      <c r="F39" s="40">
        <f>'[1]1нед'!W39</f>
        <v>0</v>
      </c>
      <c r="G39" s="41" t="str">
        <f>'[1]1нед'!X39</f>
        <v/>
      </c>
      <c r="H39" s="42"/>
    </row>
    <row r="40" ht="31.5" spans="1:8">
      <c r="A40" s="36"/>
      <c r="B40" s="37"/>
      <c r="C40" s="29" t="s">
        <v>20</v>
      </c>
      <c r="D40" s="38">
        <f>'[1]1нед'!S40</f>
        <v>0</v>
      </c>
      <c r="E40" s="39">
        <f>'[1]1нед'!T40</f>
        <v>0</v>
      </c>
      <c r="F40" s="40">
        <f>'[1]1нед'!W40</f>
        <v>0</v>
      </c>
      <c r="G40" s="41" t="str">
        <f>'[1]1нед'!X40</f>
        <v/>
      </c>
      <c r="H40" s="42"/>
    </row>
    <row r="41" ht="31.5" spans="1:8">
      <c r="A41" s="36"/>
      <c r="B41" s="37"/>
      <c r="C41" s="29" t="s">
        <v>21</v>
      </c>
      <c r="D41" s="38">
        <f>'[1]1нед'!S41</f>
        <v>0</v>
      </c>
      <c r="E41" s="39">
        <f>'[1]1нед'!T41</f>
        <v>0</v>
      </c>
      <c r="F41" s="40">
        <f>'[1]1нед'!W41</f>
        <v>0</v>
      </c>
      <c r="G41" s="41" t="str">
        <f>'[1]1нед'!X41</f>
        <v/>
      </c>
      <c r="H41" s="56"/>
    </row>
    <row r="42" ht="32.25" spans="1:8">
      <c r="A42" s="36"/>
      <c r="B42" s="37"/>
      <c r="C42" s="29" t="s">
        <v>22</v>
      </c>
      <c r="D42" s="38">
        <f>'[1]1нед'!S42</f>
        <v>0</v>
      </c>
      <c r="E42" s="39">
        <f>'[1]1нед'!T42</f>
        <v>0</v>
      </c>
      <c r="F42" s="40">
        <f>'[1]1нед'!W42</f>
        <v>0</v>
      </c>
      <c r="G42" s="41" t="str">
        <f>'[1]1нед'!X42</f>
        <v/>
      </c>
      <c r="H42" s="56"/>
    </row>
    <row r="43" ht="18.4" hidden="1" customHeight="1" spans="1:8">
      <c r="A43" s="45"/>
      <c r="B43" s="46"/>
      <c r="C43" s="47"/>
      <c r="D43" s="48">
        <f>'[1]1нед'!S43</f>
        <v>0</v>
      </c>
      <c r="E43" s="49">
        <f>'[1]1нед'!T43</f>
        <v>0</v>
      </c>
      <c r="F43" s="50">
        <f>'[1]1нед'!W43</f>
        <v>0</v>
      </c>
      <c r="G43" s="51" t="str">
        <f>'[1]1нед'!X43</f>
        <v/>
      </c>
      <c r="H43" s="52"/>
    </row>
    <row r="44" ht="48" customHeight="1" spans="1:8">
      <c r="A44" s="27">
        <v>46269</v>
      </c>
      <c r="B44" s="28" t="s">
        <v>26</v>
      </c>
      <c r="C44" s="55" t="s">
        <v>16</v>
      </c>
      <c r="D44" s="30" t="str">
        <f>'[1]1нед'!S44</f>
        <v>пр</v>
      </c>
      <c r="E44" s="31" t="str">
        <f>'[1]1нед'!T44</f>
        <v> Основы российской государственности</v>
      </c>
      <c r="F44" s="32" t="str">
        <f>'[1]1нед'!W44</f>
        <v>Лысенко Е.Г.</v>
      </c>
      <c r="G44" s="33" t="str">
        <f>'[1]1нед'!X44</f>
        <v>доцент, канд. наук</v>
      </c>
      <c r="H44" s="75" t="s">
        <v>33</v>
      </c>
    </row>
    <row r="45" ht="31.5" spans="1:8">
      <c r="A45" s="36"/>
      <c r="B45" s="37"/>
      <c r="C45" s="29" t="s">
        <v>17</v>
      </c>
      <c r="D45" s="38" t="str">
        <f>'[1]1нед'!S45</f>
        <v>л</v>
      </c>
      <c r="E45" s="39" t="str">
        <f>'[1]1нед'!T45</f>
        <v>Программное обеспечение систем и сетей</v>
      </c>
      <c r="F45" s="40" t="str">
        <f>'[1]1нед'!W45</f>
        <v>Алешов В.В.</v>
      </c>
      <c r="G45" s="41" t="str">
        <f>'[1]1нед'!X45</f>
        <v>ст. преподаватель</v>
      </c>
      <c r="H45" s="74" t="s">
        <v>34</v>
      </c>
    </row>
    <row r="46" ht="31.5" spans="1:8">
      <c r="A46" s="36"/>
      <c r="B46" s="37"/>
      <c r="C46" s="29" t="s">
        <v>18</v>
      </c>
      <c r="D46" s="38" t="str">
        <f>'[1]1нед'!S46</f>
        <v>пр</v>
      </c>
      <c r="E46" s="39" t="str">
        <f>'[1]1нед'!T46</f>
        <v>Программное обеспечение систем и сетей</v>
      </c>
      <c r="F46" s="40" t="str">
        <f>'[1]1нед'!W46</f>
        <v>Алешов В.В.</v>
      </c>
      <c r="G46" s="41" t="str">
        <f>'[1]1нед'!X46</f>
        <v>ст. преподаватель</v>
      </c>
      <c r="H46" s="74" t="s">
        <v>34</v>
      </c>
    </row>
    <row r="47" ht="31.5" spans="1:8">
      <c r="A47" s="36"/>
      <c r="B47" s="37"/>
      <c r="C47" s="29" t="s">
        <v>19</v>
      </c>
      <c r="D47" s="38">
        <f>'[1]1нед'!S47</f>
        <v>0</v>
      </c>
      <c r="E47" s="39">
        <f>'[1]1нед'!T47</f>
        <v>0</v>
      </c>
      <c r="F47" s="40">
        <f>'[1]1нед'!W47</f>
        <v>0</v>
      </c>
      <c r="G47" s="41" t="str">
        <f>'[1]1нед'!X47</f>
        <v/>
      </c>
      <c r="H47" s="42"/>
    </row>
    <row r="48" ht="31.5" spans="1:8">
      <c r="A48" s="36"/>
      <c r="B48" s="37"/>
      <c r="C48" s="29" t="s">
        <v>20</v>
      </c>
      <c r="D48" s="38">
        <f>'[1]1нед'!S48</f>
        <v>0</v>
      </c>
      <c r="E48" s="39">
        <f>'[1]1нед'!T48</f>
        <v>0</v>
      </c>
      <c r="F48" s="40">
        <f>'[1]1нед'!W48</f>
        <v>0</v>
      </c>
      <c r="G48" s="41" t="str">
        <f>'[1]1нед'!X48</f>
        <v/>
      </c>
      <c r="H48" s="42"/>
    </row>
    <row r="49" ht="31.5" spans="1:8">
      <c r="A49" s="36"/>
      <c r="B49" s="37"/>
      <c r="C49" s="29" t="s">
        <v>21</v>
      </c>
      <c r="D49" s="38">
        <f>'[1]1нед'!S49</f>
        <v>0</v>
      </c>
      <c r="E49" s="39">
        <f>'[1]1нед'!T49</f>
        <v>0</v>
      </c>
      <c r="F49" s="40">
        <f>'[1]1нед'!W49</f>
        <v>0</v>
      </c>
      <c r="G49" s="41" t="str">
        <f>'[1]1нед'!X49</f>
        <v/>
      </c>
      <c r="H49" s="42"/>
    </row>
    <row r="50" ht="32.25" spans="1:8">
      <c r="A50" s="36"/>
      <c r="B50" s="37"/>
      <c r="C50" s="29" t="s">
        <v>22</v>
      </c>
      <c r="D50" s="38">
        <f>'[1]1нед'!S50</f>
        <v>0</v>
      </c>
      <c r="E50" s="39">
        <f>'[1]1нед'!T50</f>
        <v>0</v>
      </c>
      <c r="F50" s="40">
        <f>'[1]1нед'!W50</f>
        <v>0</v>
      </c>
      <c r="G50" s="41" t="str">
        <f>'[1]1нед'!X50</f>
        <v/>
      </c>
      <c r="H50" s="42"/>
    </row>
    <row r="51" ht="18.4" hidden="1" customHeight="1" spans="1:8">
      <c r="A51" s="45"/>
      <c r="B51" s="46"/>
      <c r="C51" s="47"/>
      <c r="D51" s="48">
        <f>'[1]1нед'!S51</f>
        <v>0</v>
      </c>
      <c r="E51" s="49">
        <f>'[1]1нед'!T51</f>
        <v>0</v>
      </c>
      <c r="F51" s="50">
        <f>'[1]1нед'!W51</f>
        <v>0</v>
      </c>
      <c r="G51" s="51" t="str">
        <f>'[1]1нед'!X51</f>
        <v/>
      </c>
      <c r="H51" s="52"/>
    </row>
    <row r="52" ht="48" customHeight="1" spans="1:8">
      <c r="A52" s="27">
        <v>46270</v>
      </c>
      <c r="B52" s="28" t="s">
        <v>27</v>
      </c>
      <c r="C52" s="55" t="s">
        <v>16</v>
      </c>
      <c r="D52" s="30">
        <f>'[1]1нед'!S52</f>
        <v>0</v>
      </c>
      <c r="E52" s="31">
        <f>'[1]1нед'!T52</f>
        <v>0</v>
      </c>
      <c r="F52" s="32">
        <f>'[1]1нед'!W52</f>
        <v>0</v>
      </c>
      <c r="G52" s="33" t="str">
        <f>'[1]1нед'!X52</f>
        <v/>
      </c>
      <c r="H52" s="34"/>
    </row>
    <row r="53" ht="31.5" spans="1:8">
      <c r="A53" s="36"/>
      <c r="B53" s="37"/>
      <c r="C53" s="29" t="s">
        <v>17</v>
      </c>
      <c r="D53" s="38">
        <f>'[1]1нед'!S53</f>
        <v>0</v>
      </c>
      <c r="E53" s="39">
        <f>'[1]1нед'!T53</f>
        <v>0</v>
      </c>
      <c r="F53" s="40">
        <f>'[1]1нед'!W53</f>
        <v>0</v>
      </c>
      <c r="G53" s="41" t="str">
        <f>'[1]1нед'!X53</f>
        <v/>
      </c>
      <c r="H53" s="42"/>
    </row>
    <row r="54" ht="31.5" spans="1:8">
      <c r="A54" s="36"/>
      <c r="B54" s="37"/>
      <c r="C54" s="29" t="s">
        <v>18</v>
      </c>
      <c r="D54" s="38">
        <f>'[1]1нед'!S54</f>
        <v>0</v>
      </c>
      <c r="E54" s="39">
        <f>'[1]1нед'!T54</f>
        <v>0</v>
      </c>
      <c r="F54" s="40">
        <f>'[1]1нед'!W54</f>
        <v>0</v>
      </c>
      <c r="G54" s="41" t="str">
        <f>'[1]1нед'!X54</f>
        <v/>
      </c>
      <c r="H54" s="42"/>
    </row>
    <row r="55" ht="31.5" spans="1:8">
      <c r="A55" s="36"/>
      <c r="B55" s="37"/>
      <c r="C55" s="29" t="s">
        <v>19</v>
      </c>
      <c r="D55" s="38">
        <f>'[1]1нед'!S55</f>
        <v>0</v>
      </c>
      <c r="E55" s="39">
        <f>'[1]1нед'!T55</f>
        <v>0</v>
      </c>
      <c r="F55" s="40">
        <f>'[1]1нед'!W55</f>
        <v>0</v>
      </c>
      <c r="G55" s="41" t="str">
        <f>'[1]1нед'!X55</f>
        <v/>
      </c>
      <c r="H55" s="42"/>
    </row>
    <row r="56" ht="31.5" spans="1:8">
      <c r="A56" s="36"/>
      <c r="B56" s="37"/>
      <c r="C56" s="29" t="s">
        <v>20</v>
      </c>
      <c r="D56" s="38">
        <f>'[1]1нед'!S56</f>
        <v>0</v>
      </c>
      <c r="E56" s="39">
        <f>'[1]1нед'!T56</f>
        <v>0</v>
      </c>
      <c r="F56" s="40">
        <f>'[1]1нед'!W56</f>
        <v>0</v>
      </c>
      <c r="G56" s="41" t="str">
        <f>'[1]1нед'!X56</f>
        <v/>
      </c>
      <c r="H56" s="42"/>
    </row>
    <row r="57" ht="31.5" spans="1:8">
      <c r="A57" s="36"/>
      <c r="B57" s="37"/>
      <c r="C57" s="29" t="s">
        <v>21</v>
      </c>
      <c r="D57" s="38">
        <f>'[1]1нед'!S57</f>
        <v>0</v>
      </c>
      <c r="E57" s="39">
        <f>'[1]1нед'!T57</f>
        <v>0</v>
      </c>
      <c r="F57" s="40">
        <f>'[1]1нед'!W57</f>
        <v>0</v>
      </c>
      <c r="G57" s="41" t="str">
        <f>'[1]1нед'!X57</f>
        <v/>
      </c>
      <c r="H57" s="42"/>
    </row>
    <row r="58" ht="32.25" spans="1:8">
      <c r="A58" s="36"/>
      <c r="B58" s="37"/>
      <c r="C58" s="29" t="s">
        <v>22</v>
      </c>
      <c r="D58" s="38">
        <f>'[1]1нед'!S58</f>
        <v>0</v>
      </c>
      <c r="E58" s="39">
        <f>'[1]1нед'!T58</f>
        <v>0</v>
      </c>
      <c r="F58" s="40">
        <f>'[1]1нед'!W58</f>
        <v>0</v>
      </c>
      <c r="G58" s="41" t="str">
        <f>'[1]1нед'!X58</f>
        <v/>
      </c>
      <c r="H58" s="42"/>
    </row>
    <row r="59" ht="18.4" hidden="1" customHeight="1" spans="1:8">
      <c r="A59" s="45"/>
      <c r="B59" s="46"/>
      <c r="C59" s="47"/>
      <c r="D59" s="48">
        <f>'[1]1нед'!S59</f>
        <v>0</v>
      </c>
      <c r="E59" s="49">
        <f>'[1]1нед'!T59</f>
        <v>0</v>
      </c>
      <c r="F59" s="50">
        <f>'[1]1нед'!W59</f>
        <v>0</v>
      </c>
      <c r="G59" s="51" t="str">
        <f>'[1]1нед'!X59</f>
        <v/>
      </c>
      <c r="H59" s="52"/>
    </row>
    <row r="60" ht="39" customHeight="1" spans="1:8">
      <c r="A60" s="64"/>
      <c r="B60" s="65"/>
      <c r="C60" s="66"/>
      <c r="D60" s="67"/>
      <c r="E60" s="67" t="s">
        <v>28</v>
      </c>
      <c r="F60" s="67"/>
      <c r="G60" s="68" t="s">
        <v>29</v>
      </c>
      <c r="H60" s="69"/>
    </row>
  </sheetData>
  <mergeCells count="19">
    <mergeCell ref="B6:H6"/>
    <mergeCell ref="B8:D8"/>
    <mergeCell ref="E8:H8"/>
    <mergeCell ref="B9:D9"/>
    <mergeCell ref="B10:D10"/>
    <mergeCell ref="A11:B11"/>
    <mergeCell ref="F11:G11"/>
    <mergeCell ref="A12:A19"/>
    <mergeCell ref="A20:A27"/>
    <mergeCell ref="A28:A35"/>
    <mergeCell ref="A36:A43"/>
    <mergeCell ref="A44:A51"/>
    <mergeCell ref="A52:A59"/>
    <mergeCell ref="B12:B19"/>
    <mergeCell ref="B20:B27"/>
    <mergeCell ref="B28:B35"/>
    <mergeCell ref="B36:B43"/>
    <mergeCell ref="B44:B51"/>
    <mergeCell ref="B52:B59"/>
  </mergeCells>
  <pageMargins left="0.708661417322835" right="0.708661417322835" top="0.748031496062992" bottom="0.748031496062992" header="0.31496062992126" footer="0.31496062992126"/>
  <pageSetup paperSize="9" scale="34" orientation="portrait"/>
  <headerFooter/>
  <rowBreaks count="8" manualBreakCount="8">
    <brk id="60" max="16383" man="1"/>
  </rowBreaks>
  <colBreaks count="1" manualBreakCount="1">
    <brk id="8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60"/>
  <sheetViews>
    <sheetView view="pageBreakPreview" zoomScale="60" zoomScaleNormal="55" topLeftCell="A7" workbookViewId="0">
      <selection activeCell="A61" sqref="$A61:$XFD542"/>
    </sheetView>
  </sheetViews>
  <sheetFormatPr defaultColWidth="9" defaultRowHeight="12.75" outlineLevelCol="7"/>
  <cols>
    <col min="1" max="1" width="5.85714285714286" customWidth="1"/>
    <col min="2" max="2" width="4.14285714285714" customWidth="1"/>
    <col min="3" max="3" width="13.5714285714286" customWidth="1"/>
    <col min="4" max="4" width="11.8571428571429" customWidth="1"/>
    <col min="5" max="5" width="51.5714285714286" customWidth="1"/>
    <col min="6" max="6" width="28" customWidth="1"/>
    <col min="7" max="7" width="30" customWidth="1"/>
    <col min="8" max="8" width="72.2857142857143" style="1" customWidth="1"/>
  </cols>
  <sheetData>
    <row r="1" ht="15.75" spans="1:8">
      <c r="A1" s="2"/>
      <c r="B1" s="3"/>
      <c r="C1" s="4"/>
      <c r="D1" s="5"/>
      <c r="E1" s="5"/>
      <c r="F1" s="5"/>
      <c r="G1" s="5"/>
      <c r="H1" s="6" t="s">
        <v>0</v>
      </c>
    </row>
    <row r="2" ht="15.75" spans="1:8">
      <c r="A2" s="2"/>
      <c r="B2" s="3"/>
      <c r="C2" s="4"/>
      <c r="D2" s="5"/>
      <c r="E2" s="5"/>
      <c r="F2" s="5"/>
      <c r="G2" s="5"/>
      <c r="H2" s="6" t="s">
        <v>1</v>
      </c>
    </row>
    <row r="3" ht="15.75" spans="1:8">
      <c r="A3" s="2"/>
      <c r="B3" s="3"/>
      <c r="C3" s="4"/>
      <c r="D3" s="5"/>
      <c r="E3" s="5"/>
      <c r="F3" s="5"/>
      <c r="G3" s="5"/>
      <c r="H3" s="6" t="s">
        <v>2</v>
      </c>
    </row>
    <row r="4" ht="15.75" spans="1:8">
      <c r="A4" s="2"/>
      <c r="B4" s="3"/>
      <c r="C4" s="4"/>
      <c r="D4" s="5"/>
      <c r="E4" s="5"/>
      <c r="F4" s="5"/>
      <c r="G4" s="5"/>
      <c r="H4" s="6" t="s">
        <v>3</v>
      </c>
    </row>
    <row r="5" ht="15.75" spans="1:8">
      <c r="A5" s="2"/>
      <c r="B5" s="7"/>
      <c r="C5" s="4"/>
      <c r="D5" s="5"/>
      <c r="E5" s="5"/>
      <c r="F5" s="5"/>
      <c r="G5" s="5"/>
      <c r="H5" s="5"/>
    </row>
    <row r="6" ht="15.75" spans="1:8">
      <c r="A6" s="2"/>
      <c r="B6" s="8" t="s">
        <v>4</v>
      </c>
      <c r="C6" s="8"/>
      <c r="D6" s="8"/>
      <c r="E6" s="8"/>
      <c r="F6" s="8"/>
      <c r="G6" s="8"/>
      <c r="H6" s="8"/>
    </row>
    <row r="7" ht="15.75" spans="1:8">
      <c r="A7" s="9"/>
      <c r="B7" s="10" t="str">
        <f>'[1]1нед'!$A$6</f>
        <v>Направление подготовки:</v>
      </c>
      <c r="C7" s="11"/>
      <c r="D7" s="12"/>
      <c r="E7" s="13" t="str">
        <f>'[1]1нед'!$D$68</f>
        <v>44.03.05..Педагогическое образование (с двумя профилями подготовки) (Физика и Информатика)</v>
      </c>
      <c r="F7" s="12"/>
      <c r="G7" s="12" t="str">
        <f>'[1]1нед'!$D$72</f>
        <v>12-26ФИ</v>
      </c>
      <c r="H7" s="14"/>
    </row>
    <row r="8" ht="15.75" spans="1:8">
      <c r="A8" s="2"/>
      <c r="B8" s="10" t="s">
        <v>5</v>
      </c>
      <c r="C8" s="10"/>
      <c r="D8" s="10"/>
      <c r="E8" s="10" t="s">
        <v>6</v>
      </c>
      <c r="F8" s="10"/>
      <c r="G8" s="10"/>
      <c r="H8" s="10"/>
    </row>
    <row r="9" ht="15.75" spans="1:8">
      <c r="A9" s="2"/>
      <c r="B9" s="10" t="s">
        <v>7</v>
      </c>
      <c r="C9" s="10"/>
      <c r="D9" s="10"/>
      <c r="E9" s="10">
        <v>1</v>
      </c>
      <c r="F9" s="10"/>
      <c r="G9" s="10"/>
      <c r="H9" s="15"/>
    </row>
    <row r="10" ht="16.5" spans="1:8">
      <c r="A10" s="2"/>
      <c r="B10" s="16" t="s">
        <v>8</v>
      </c>
      <c r="C10" s="16"/>
      <c r="D10" s="16"/>
      <c r="E10" s="16">
        <v>1</v>
      </c>
      <c r="F10" s="16"/>
      <c r="G10" s="16"/>
      <c r="H10" s="17"/>
    </row>
    <row r="11" ht="46.5" customHeight="1" spans="1:8">
      <c r="A11" s="19" t="s">
        <v>9</v>
      </c>
      <c r="B11" s="20"/>
      <c r="C11" s="21" t="s">
        <v>10</v>
      </c>
      <c r="D11" s="22" t="s">
        <v>11</v>
      </c>
      <c r="E11" s="23" t="s">
        <v>12</v>
      </c>
      <c r="F11" s="24" t="s">
        <v>13</v>
      </c>
      <c r="G11" s="25"/>
      <c r="H11" s="26" t="s">
        <v>14</v>
      </c>
    </row>
    <row r="12" ht="32.25" customHeight="1" spans="1:8">
      <c r="A12" s="27">
        <v>46265</v>
      </c>
      <c r="B12" s="28" t="s">
        <v>15</v>
      </c>
      <c r="C12" s="29" t="s">
        <v>16</v>
      </c>
      <c r="D12" s="30">
        <f>'[1]1нед'!C74</f>
        <v>0</v>
      </c>
      <c r="E12" s="31">
        <f>'[1]1нед'!D74</f>
        <v>0</v>
      </c>
      <c r="F12" s="32">
        <f>'[1]1нед'!G74</f>
        <v>0</v>
      </c>
      <c r="G12" s="33" t="str">
        <f>'[1]1нед'!H74</f>
        <v/>
      </c>
      <c r="H12" s="34"/>
    </row>
    <row r="13" ht="31.5" spans="1:8">
      <c r="A13" s="36"/>
      <c r="B13" s="37"/>
      <c r="C13" s="29" t="s">
        <v>17</v>
      </c>
      <c r="D13" s="38">
        <f>'[1]1нед'!C75</f>
        <v>0</v>
      </c>
      <c r="E13" s="39">
        <f>'[1]1нед'!D75</f>
        <v>0</v>
      </c>
      <c r="F13" s="40">
        <f>'[1]1нед'!G75</f>
        <v>0</v>
      </c>
      <c r="G13" s="41" t="str">
        <f>'[1]1нед'!H75</f>
        <v/>
      </c>
      <c r="H13" s="42"/>
    </row>
    <row r="14" ht="31.5" spans="1:8">
      <c r="A14" s="36"/>
      <c r="B14" s="37"/>
      <c r="C14" s="29" t="s">
        <v>18</v>
      </c>
      <c r="D14" s="38">
        <f>'[1]1нед'!C76</f>
        <v>0</v>
      </c>
      <c r="E14" s="39">
        <f>'[1]1нед'!D76</f>
        <v>0</v>
      </c>
      <c r="F14" s="40">
        <f>'[1]1нед'!G76</f>
        <v>0</v>
      </c>
      <c r="G14" s="41" t="str">
        <f>'[1]1нед'!H76</f>
        <v/>
      </c>
      <c r="H14" s="42"/>
    </row>
    <row r="15" ht="31.5" spans="1:8">
      <c r="A15" s="36"/>
      <c r="B15" s="37"/>
      <c r="C15" s="29" t="s">
        <v>19</v>
      </c>
      <c r="D15" s="38">
        <f>'[1]1нед'!C77</f>
        <v>0</v>
      </c>
      <c r="E15" s="39">
        <f>'[1]1нед'!D77</f>
        <v>0</v>
      </c>
      <c r="F15" s="40">
        <f>'[1]1нед'!G77</f>
        <v>0</v>
      </c>
      <c r="G15" s="41" t="str">
        <f>'[1]1нед'!H77</f>
        <v/>
      </c>
      <c r="H15" s="42"/>
    </row>
    <row r="16" ht="31.5" spans="1:8">
      <c r="A16" s="36"/>
      <c r="B16" s="37"/>
      <c r="C16" s="29" t="s">
        <v>20</v>
      </c>
      <c r="D16" s="38">
        <f>'[1]1нед'!C78</f>
        <v>0</v>
      </c>
      <c r="E16" s="39">
        <f>'[1]1нед'!D78</f>
        <v>0</v>
      </c>
      <c r="F16" s="40">
        <f>'[1]1нед'!G78</f>
        <v>0</v>
      </c>
      <c r="G16" s="41" t="str">
        <f>'[1]1нед'!H78</f>
        <v/>
      </c>
      <c r="H16" s="42"/>
    </row>
    <row r="17" ht="31.5" spans="1:8">
      <c r="A17" s="36"/>
      <c r="B17" s="37"/>
      <c r="C17" s="29" t="s">
        <v>21</v>
      </c>
      <c r="D17" s="38">
        <f>'[1]1нед'!C79</f>
        <v>0</v>
      </c>
      <c r="E17" s="39">
        <f>'[1]1нед'!D79</f>
        <v>0</v>
      </c>
      <c r="F17" s="40">
        <f>'[1]1нед'!G79</f>
        <v>0</v>
      </c>
      <c r="G17" s="41" t="str">
        <f>'[1]1нед'!H79</f>
        <v/>
      </c>
      <c r="H17" s="42"/>
    </row>
    <row r="18" ht="32.25" spans="1:8">
      <c r="A18" s="36"/>
      <c r="B18" s="37"/>
      <c r="C18" s="29" t="s">
        <v>22</v>
      </c>
      <c r="D18" s="38">
        <f>'[1]1нед'!C80</f>
        <v>0</v>
      </c>
      <c r="E18" s="39">
        <f>'[1]1нед'!D80</f>
        <v>0</v>
      </c>
      <c r="F18" s="40">
        <f>'[1]1нед'!G80</f>
        <v>0</v>
      </c>
      <c r="G18" s="41" t="str">
        <f>'[1]1нед'!H80</f>
        <v/>
      </c>
      <c r="H18" s="42"/>
    </row>
    <row r="19" ht="18.4" hidden="1" customHeight="1" spans="1:8">
      <c r="A19" s="45"/>
      <c r="B19" s="46"/>
      <c r="C19" s="47"/>
      <c r="D19" s="48">
        <f>'[1]1нед'!C81</f>
        <v>0</v>
      </c>
      <c r="E19" s="49">
        <f>'[1]1нед'!D81</f>
        <v>0</v>
      </c>
      <c r="F19" s="50">
        <f>'[1]1нед'!G81</f>
        <v>0</v>
      </c>
      <c r="G19" s="51" t="str">
        <f>'[1]1нед'!H81</f>
        <v/>
      </c>
      <c r="H19" s="52"/>
    </row>
    <row r="20" ht="32.25" customHeight="1" spans="1:8">
      <c r="A20" s="27">
        <v>46266</v>
      </c>
      <c r="B20" s="28" t="s">
        <v>23</v>
      </c>
      <c r="C20" s="55" t="s">
        <v>16</v>
      </c>
      <c r="D20" s="30">
        <f>'[1]1нед'!C82</f>
        <v>0</v>
      </c>
      <c r="E20" s="31">
        <f>'[1]1нед'!D82</f>
        <v>0</v>
      </c>
      <c r="F20" s="32">
        <f>'[1]1нед'!G82</f>
        <v>0</v>
      </c>
      <c r="G20" s="33" t="str">
        <f>'[1]1нед'!H82</f>
        <v/>
      </c>
      <c r="H20" s="34"/>
    </row>
    <row r="21" ht="31.5" spans="1:8">
      <c r="A21" s="36"/>
      <c r="B21" s="37"/>
      <c r="C21" s="29" t="s">
        <v>17</v>
      </c>
      <c r="D21" s="38">
        <f>'[1]1нед'!C83</f>
        <v>0</v>
      </c>
      <c r="E21" s="39">
        <f>'[1]1нед'!D83</f>
        <v>0</v>
      </c>
      <c r="F21" s="40">
        <f>'[1]1нед'!G83</f>
        <v>0</v>
      </c>
      <c r="G21" s="41" t="str">
        <f>'[1]1нед'!H83</f>
        <v/>
      </c>
      <c r="H21" s="42"/>
    </row>
    <row r="22" ht="31.5" spans="1:8">
      <c r="A22" s="36"/>
      <c r="B22" s="37"/>
      <c r="C22" s="29" t="s">
        <v>18</v>
      </c>
      <c r="D22" s="38">
        <f>'[1]1нед'!C84</f>
        <v>0</v>
      </c>
      <c r="E22" s="39">
        <f>'[1]1нед'!D84</f>
        <v>0</v>
      </c>
      <c r="F22" s="40">
        <f>'[1]1нед'!G84</f>
        <v>0</v>
      </c>
      <c r="G22" s="41" t="str">
        <f>'[1]1нед'!H84</f>
        <v/>
      </c>
      <c r="H22" s="42"/>
    </row>
    <row r="23" ht="31.5" spans="1:8">
      <c r="A23" s="36"/>
      <c r="B23" s="37"/>
      <c r="C23" s="29" t="s">
        <v>19</v>
      </c>
      <c r="D23" s="38">
        <f>'[1]1нед'!C85</f>
        <v>0</v>
      </c>
      <c r="E23" s="39">
        <f>'[1]1нед'!D85</f>
        <v>0</v>
      </c>
      <c r="F23" s="40">
        <f>'[1]1нед'!G85</f>
        <v>0</v>
      </c>
      <c r="G23" s="41" t="str">
        <f>'[1]1нед'!H85</f>
        <v/>
      </c>
      <c r="H23" s="42"/>
    </row>
    <row r="24" ht="31.5" spans="1:8">
      <c r="A24" s="36"/>
      <c r="B24" s="37"/>
      <c r="C24" s="29" t="s">
        <v>20</v>
      </c>
      <c r="D24" s="38">
        <f>'[1]1нед'!C86</f>
        <v>0</v>
      </c>
      <c r="E24" s="39">
        <f>'[1]1нед'!D86</f>
        <v>0</v>
      </c>
      <c r="F24" s="40">
        <f>'[1]1нед'!G86</f>
        <v>0</v>
      </c>
      <c r="G24" s="41" t="str">
        <f>'[1]1нед'!H86</f>
        <v/>
      </c>
      <c r="H24" s="42"/>
    </row>
    <row r="25" ht="31.5" spans="1:8">
      <c r="A25" s="36"/>
      <c r="B25" s="37"/>
      <c r="C25" s="29" t="s">
        <v>21</v>
      </c>
      <c r="D25" s="38">
        <f>'[1]1нед'!C87</f>
        <v>0</v>
      </c>
      <c r="E25" s="39">
        <f>'[1]1нед'!D87</f>
        <v>0</v>
      </c>
      <c r="F25" s="40">
        <f>'[1]1нед'!G87</f>
        <v>0</v>
      </c>
      <c r="G25" s="41" t="str">
        <f>'[1]1нед'!H87</f>
        <v/>
      </c>
      <c r="H25" s="42"/>
    </row>
    <row r="26" ht="32.25" spans="1:8">
      <c r="A26" s="36"/>
      <c r="B26" s="37"/>
      <c r="C26" s="29" t="s">
        <v>22</v>
      </c>
      <c r="D26" s="38">
        <f>'[1]1нед'!C88</f>
        <v>0</v>
      </c>
      <c r="E26" s="39">
        <f>'[1]1нед'!D88</f>
        <v>0</v>
      </c>
      <c r="F26" s="40">
        <f>'[1]1нед'!G88</f>
        <v>0</v>
      </c>
      <c r="G26" s="41" t="str">
        <f>'[1]1нед'!H88</f>
        <v/>
      </c>
      <c r="H26" s="42"/>
    </row>
    <row r="27" ht="18.4" hidden="1" customHeight="1" spans="1:8">
      <c r="A27" s="45"/>
      <c r="B27" s="46"/>
      <c r="C27" s="47"/>
      <c r="D27" s="48">
        <f>'[1]1нед'!C89</f>
        <v>0</v>
      </c>
      <c r="E27" s="49">
        <f>'[1]1нед'!D89</f>
        <v>0</v>
      </c>
      <c r="F27" s="50">
        <f>'[1]1нед'!G89</f>
        <v>0</v>
      </c>
      <c r="G27" s="51" t="str">
        <f>'[1]1нед'!H89</f>
        <v/>
      </c>
      <c r="H27" s="52"/>
    </row>
    <row r="28" ht="48" customHeight="1" spans="1:8">
      <c r="A28" s="27">
        <v>46267</v>
      </c>
      <c r="B28" s="57" t="s">
        <v>24</v>
      </c>
      <c r="C28" s="55" t="s">
        <v>16</v>
      </c>
      <c r="D28" s="30" t="str">
        <f>'[1]1нед'!C90</f>
        <v>л</v>
      </c>
      <c r="E28" s="31" t="str">
        <f>'[1]1нед'!D90</f>
        <v>Основы российской государственности</v>
      </c>
      <c r="F28" s="32" t="str">
        <f>'[1]1нед'!G90</f>
        <v>Вишневский С.А.</v>
      </c>
      <c r="G28" s="33" t="str">
        <f>'[1]1нед'!H90</f>
        <v>доцент, канд. наук</v>
      </c>
      <c r="H28" s="75" t="s">
        <v>31</v>
      </c>
    </row>
    <row r="29" ht="31.5" spans="1:8">
      <c r="A29" s="36"/>
      <c r="B29" s="59"/>
      <c r="C29" s="29" t="s">
        <v>17</v>
      </c>
      <c r="D29" s="38" t="str">
        <f>'[1]1нед'!C91</f>
        <v>л</v>
      </c>
      <c r="E29" s="39" t="str">
        <f>'[1]1нед'!D91</f>
        <v>Элементарная  физика</v>
      </c>
      <c r="F29" s="40" t="str">
        <f>'[1]1нед'!G91</f>
        <v>Коробова И.В.</v>
      </c>
      <c r="G29" s="41" t="str">
        <f>'[1]1нед'!H91</f>
        <v>профессор, д-р наук</v>
      </c>
      <c r="H29" s="74" t="s">
        <v>35</v>
      </c>
    </row>
    <row r="30" ht="31.5" spans="1:8">
      <c r="A30" s="36"/>
      <c r="B30" s="59"/>
      <c r="C30" s="29" t="s">
        <v>18</v>
      </c>
      <c r="D30" s="38">
        <f>'[1]1нед'!C92</f>
        <v>0</v>
      </c>
      <c r="E30" s="39">
        <f>'[1]1нед'!D92</f>
        <v>0</v>
      </c>
      <c r="F30" s="40">
        <f>'[1]1нед'!G92</f>
        <v>0</v>
      </c>
      <c r="G30" s="41" t="str">
        <f>'[1]1нед'!H92</f>
        <v/>
      </c>
      <c r="H30" s="42"/>
    </row>
    <row r="31" ht="31.5" spans="1:8">
      <c r="A31" s="36"/>
      <c r="B31" s="59"/>
      <c r="C31" s="29" t="s">
        <v>19</v>
      </c>
      <c r="D31" s="38">
        <f>'[1]1нед'!C93</f>
        <v>0</v>
      </c>
      <c r="E31" s="39">
        <f>'[1]1нед'!D93</f>
        <v>0</v>
      </c>
      <c r="F31" s="40">
        <f>'[1]1нед'!G93</f>
        <v>0</v>
      </c>
      <c r="G31" s="41" t="str">
        <f>'[1]1нед'!H93</f>
        <v/>
      </c>
      <c r="H31" s="42"/>
    </row>
    <row r="32" ht="32.25" spans="1:8">
      <c r="A32" s="36"/>
      <c r="B32" s="59"/>
      <c r="C32" s="29" t="s">
        <v>20</v>
      </c>
      <c r="D32" s="38">
        <f>'[1]1нед'!C94</f>
        <v>0</v>
      </c>
      <c r="E32" s="39">
        <f>'[1]1нед'!D94</f>
        <v>0</v>
      </c>
      <c r="F32" s="40">
        <f>'[1]1нед'!G94</f>
        <v>0</v>
      </c>
      <c r="G32" s="41" t="str">
        <f>'[1]1нед'!H94</f>
        <v/>
      </c>
      <c r="H32" s="42"/>
    </row>
    <row r="33" ht="32.25" spans="1:8">
      <c r="A33" s="36"/>
      <c r="B33" s="59"/>
      <c r="C33" s="29" t="s">
        <v>21</v>
      </c>
      <c r="D33" s="38">
        <f>'[1]1нед'!C95</f>
        <v>0</v>
      </c>
      <c r="E33" s="39">
        <f>'[1]1нед'!D95</f>
        <v>0</v>
      </c>
      <c r="F33" s="75"/>
      <c r="G33" s="41" t="str">
        <f>'[1]1нед'!H95</f>
        <v/>
      </c>
      <c r="H33" s="42"/>
    </row>
    <row r="34" ht="32.25" spans="1:8">
      <c r="A34" s="36"/>
      <c r="B34" s="59"/>
      <c r="C34" s="29" t="s">
        <v>22</v>
      </c>
      <c r="D34" s="38">
        <f>'[1]1нед'!C96</f>
        <v>0</v>
      </c>
      <c r="E34" s="39">
        <f>'[1]1нед'!D96</f>
        <v>0</v>
      </c>
      <c r="F34" s="74"/>
      <c r="G34" s="41" t="str">
        <f>'[1]1нед'!H96</f>
        <v/>
      </c>
      <c r="H34" s="42"/>
    </row>
    <row r="35" ht="18.4" hidden="1" customHeight="1" spans="1:8">
      <c r="A35" s="45"/>
      <c r="B35" s="61"/>
      <c r="C35" s="47"/>
      <c r="D35" s="48">
        <f>'[1]1нед'!C97</f>
        <v>0</v>
      </c>
      <c r="E35" s="49">
        <f>'[1]1нед'!D97</f>
        <v>0</v>
      </c>
      <c r="F35" s="50">
        <f>'[1]1нед'!G97</f>
        <v>0</v>
      </c>
      <c r="G35" s="51" t="str">
        <f>'[1]1нед'!H97</f>
        <v/>
      </c>
      <c r="H35" s="52"/>
    </row>
    <row r="36" ht="48" customHeight="1" spans="1:8">
      <c r="A36" s="27">
        <v>46268</v>
      </c>
      <c r="B36" s="28" t="s">
        <v>25</v>
      </c>
      <c r="C36" s="55" t="s">
        <v>16</v>
      </c>
      <c r="D36" s="30" t="str">
        <f>'[1]1нед'!C98</f>
        <v>пр</v>
      </c>
      <c r="E36" s="31" t="str">
        <f>'[1]1нед'!D98</f>
        <v> Основы российской государственности</v>
      </c>
      <c r="F36" s="32" t="str">
        <f>'[1]1нед'!G98</f>
        <v>Лысенко Е.Г.</v>
      </c>
      <c r="G36" s="33" t="str">
        <f>'[1]1нед'!H98</f>
        <v>доцент, канд. наук</v>
      </c>
      <c r="H36" s="75" t="s">
        <v>33</v>
      </c>
    </row>
    <row r="37" ht="31.5" spans="1:8">
      <c r="A37" s="36"/>
      <c r="B37" s="37"/>
      <c r="C37" s="29" t="s">
        <v>17</v>
      </c>
      <c r="D37" s="38" t="str">
        <f>'[1]1нед'!C99</f>
        <v>л</v>
      </c>
      <c r="E37" s="39" t="str">
        <f>'[1]1нед'!D99</f>
        <v>Высшая математика</v>
      </c>
      <c r="F37" s="40" t="str">
        <f>'[1]1нед'!G99</f>
        <v>Зиненко И.Н.</v>
      </c>
      <c r="G37" s="41" t="str">
        <f>'[1]1нед'!H99</f>
        <v>доцент, канд. наук</v>
      </c>
      <c r="H37" s="74" t="s">
        <v>35</v>
      </c>
    </row>
    <row r="38" ht="31.5" spans="1:8">
      <c r="A38" s="36"/>
      <c r="B38" s="37"/>
      <c r="C38" s="29" t="s">
        <v>18</v>
      </c>
      <c r="D38" s="38" t="str">
        <f>'[1]1нед'!C100</f>
        <v>л</v>
      </c>
      <c r="E38" s="39" t="str">
        <f>'[1]1нед'!D100</f>
        <v>Программное обеспечение систем и сетей</v>
      </c>
      <c r="F38" s="40" t="str">
        <f>'[1]1нед'!G100</f>
        <v>Алешов В.В.</v>
      </c>
      <c r="G38" s="41" t="str">
        <f>'[1]1нед'!H100</f>
        <v>ст. преподаватель</v>
      </c>
      <c r="H38" s="74" t="s">
        <v>35</v>
      </c>
    </row>
    <row r="39" ht="31.5" spans="1:8">
      <c r="A39" s="36"/>
      <c r="B39" s="37"/>
      <c r="C39" s="29" t="s">
        <v>19</v>
      </c>
      <c r="D39" s="38">
        <f>'[1]1нед'!C101</f>
        <v>0</v>
      </c>
      <c r="E39" s="39">
        <f>'[1]1нед'!D101</f>
        <v>0</v>
      </c>
      <c r="F39" s="40">
        <f>'[1]1нед'!G101</f>
        <v>0</v>
      </c>
      <c r="G39" s="41" t="str">
        <f>'[1]1нед'!H101</f>
        <v/>
      </c>
      <c r="H39" s="42"/>
    </row>
    <row r="40" ht="31.5" spans="1:8">
      <c r="A40" s="36"/>
      <c r="B40" s="37"/>
      <c r="C40" s="29" t="s">
        <v>20</v>
      </c>
      <c r="D40" s="38">
        <f>'[1]1нед'!C102</f>
        <v>0</v>
      </c>
      <c r="E40" s="39">
        <f>'[1]1нед'!D102</f>
        <v>0</v>
      </c>
      <c r="F40" s="40">
        <f>'[1]1нед'!G102</f>
        <v>0</v>
      </c>
      <c r="G40" s="41" t="str">
        <f>'[1]1нед'!H102</f>
        <v/>
      </c>
      <c r="H40" s="42"/>
    </row>
    <row r="41" ht="31.5" spans="1:8">
      <c r="A41" s="36"/>
      <c r="B41" s="37"/>
      <c r="C41" s="29" t="s">
        <v>21</v>
      </c>
      <c r="D41" s="38">
        <f>'[1]1нед'!C103</f>
        <v>0</v>
      </c>
      <c r="E41" s="39">
        <f>'[1]1нед'!D103</f>
        <v>0</v>
      </c>
      <c r="F41" s="40">
        <f>'[1]1нед'!G103</f>
        <v>0</v>
      </c>
      <c r="G41" s="41" t="str">
        <f>'[1]1нед'!H103</f>
        <v/>
      </c>
      <c r="H41" s="42"/>
    </row>
    <row r="42" ht="32.25" spans="1:8">
      <c r="A42" s="36"/>
      <c r="B42" s="37"/>
      <c r="C42" s="29" t="s">
        <v>22</v>
      </c>
      <c r="D42" s="38">
        <f>'[1]1нед'!C104</f>
        <v>0</v>
      </c>
      <c r="E42" s="39">
        <f>'[1]1нед'!D104</f>
        <v>0</v>
      </c>
      <c r="F42" s="40">
        <f>'[1]1нед'!G104</f>
        <v>0</v>
      </c>
      <c r="G42" s="41" t="str">
        <f>'[1]1нед'!H104</f>
        <v/>
      </c>
      <c r="H42" s="42"/>
    </row>
    <row r="43" ht="18.4" hidden="1" customHeight="1" spans="1:8">
      <c r="A43" s="45"/>
      <c r="B43" s="46"/>
      <c r="C43" s="47"/>
      <c r="D43" s="48">
        <f>'[1]1нед'!C105</f>
        <v>0</v>
      </c>
      <c r="E43" s="49">
        <f>'[1]1нед'!D105</f>
        <v>0</v>
      </c>
      <c r="F43" s="50">
        <f>'[1]1нед'!G105</f>
        <v>0</v>
      </c>
      <c r="G43" s="51" t="str">
        <f>'[1]1нед'!H105</f>
        <v/>
      </c>
      <c r="H43" s="52"/>
    </row>
    <row r="44" ht="48" customHeight="1" spans="1:8">
      <c r="A44" s="27">
        <v>46269</v>
      </c>
      <c r="B44" s="28" t="s">
        <v>26</v>
      </c>
      <c r="C44" s="55" t="s">
        <v>16</v>
      </c>
      <c r="D44" s="30" t="str">
        <f>'[1]1нед'!C106</f>
        <v>пр</v>
      </c>
      <c r="E44" s="31" t="str">
        <f>'[1]1нед'!D106</f>
        <v> Основы российской государственности</v>
      </c>
      <c r="F44" s="32" t="str">
        <f>'[1]1нед'!G106</f>
        <v>Лысенко Е.Г.</v>
      </c>
      <c r="G44" s="33" t="str">
        <f>'[1]1нед'!H106</f>
        <v>доцент, канд. наук</v>
      </c>
      <c r="H44" s="75" t="s">
        <v>33</v>
      </c>
    </row>
    <row r="45" ht="31.5" spans="1:8">
      <c r="A45" s="36"/>
      <c r="B45" s="37"/>
      <c r="C45" s="29" t="s">
        <v>17</v>
      </c>
      <c r="D45" s="38" t="str">
        <f>'[1]1нед'!C107</f>
        <v>л</v>
      </c>
      <c r="E45" s="39" t="str">
        <f>'[1]1нед'!D107</f>
        <v>Математические основы информатики</v>
      </c>
      <c r="F45" s="40" t="str">
        <f>'[1]1нед'!G107</f>
        <v>Казанцев Ю.А.</v>
      </c>
      <c r="G45" s="41" t="str">
        <f>'[1]1нед'!H107</f>
        <v>ст. преподаватель</v>
      </c>
      <c r="H45" s="74" t="s">
        <v>35</v>
      </c>
    </row>
    <row r="46" ht="31.5" spans="1:8">
      <c r="A46" s="36"/>
      <c r="B46" s="37"/>
      <c r="C46" s="29" t="s">
        <v>18</v>
      </c>
      <c r="D46" s="38">
        <f>'[1]1нед'!C108</f>
        <v>0</v>
      </c>
      <c r="E46" s="39">
        <f>'[1]1нед'!D108</f>
        <v>0</v>
      </c>
      <c r="F46" s="40">
        <f>'[1]1нед'!G108</f>
        <v>0</v>
      </c>
      <c r="G46" s="41" t="str">
        <f>'[1]1нед'!H108</f>
        <v/>
      </c>
      <c r="H46" s="42"/>
    </row>
    <row r="47" ht="31.5" spans="1:8">
      <c r="A47" s="36"/>
      <c r="B47" s="37"/>
      <c r="C47" s="29" t="s">
        <v>19</v>
      </c>
      <c r="D47" s="38">
        <f>'[1]1нед'!C109</f>
        <v>0</v>
      </c>
      <c r="E47" s="39">
        <f>'[1]1нед'!D109</f>
        <v>0</v>
      </c>
      <c r="F47" s="40">
        <f>'[1]1нед'!G109</f>
        <v>0</v>
      </c>
      <c r="G47" s="41" t="str">
        <f>'[1]1нед'!H109</f>
        <v/>
      </c>
      <c r="H47" s="42"/>
    </row>
    <row r="48" ht="31.5" spans="1:8">
      <c r="A48" s="36"/>
      <c r="B48" s="37"/>
      <c r="C48" s="29" t="s">
        <v>20</v>
      </c>
      <c r="D48" s="38">
        <f>'[1]1нед'!C110</f>
        <v>0</v>
      </c>
      <c r="E48" s="39">
        <f>'[1]1нед'!D110</f>
        <v>0</v>
      </c>
      <c r="F48" s="40">
        <f>'[1]1нед'!G110</f>
        <v>0</v>
      </c>
      <c r="G48" s="41" t="str">
        <f>'[1]1нед'!H110</f>
        <v/>
      </c>
      <c r="H48" s="42"/>
    </row>
    <row r="49" ht="31.5" spans="1:8">
      <c r="A49" s="36"/>
      <c r="B49" s="37"/>
      <c r="C49" s="29" t="s">
        <v>21</v>
      </c>
      <c r="D49" s="38">
        <f>'[1]1нед'!C111</f>
        <v>0</v>
      </c>
      <c r="E49" s="39">
        <f>'[1]1нед'!D111</f>
        <v>0</v>
      </c>
      <c r="F49" s="40">
        <f>'[1]1нед'!G111</f>
        <v>0</v>
      </c>
      <c r="G49" s="41" t="str">
        <f>'[1]1нед'!H111</f>
        <v/>
      </c>
      <c r="H49" s="42"/>
    </row>
    <row r="50" ht="32.25" spans="1:8">
      <c r="A50" s="36"/>
      <c r="B50" s="37"/>
      <c r="C50" s="29" t="s">
        <v>22</v>
      </c>
      <c r="D50" s="38">
        <f>'[1]1нед'!C112</f>
        <v>0</v>
      </c>
      <c r="E50" s="39">
        <f>'[1]1нед'!D112</f>
        <v>0</v>
      </c>
      <c r="F50" s="40">
        <f>'[1]1нед'!G112</f>
        <v>0</v>
      </c>
      <c r="G50" s="41" t="str">
        <f>'[1]1нед'!H112</f>
        <v/>
      </c>
      <c r="H50" s="42"/>
    </row>
    <row r="51" ht="18.4" hidden="1" customHeight="1" spans="1:8">
      <c r="A51" s="45"/>
      <c r="B51" s="46"/>
      <c r="C51" s="47"/>
      <c r="D51" s="48">
        <f>'[1]1нед'!C113</f>
        <v>0</v>
      </c>
      <c r="E51" s="49">
        <f>'[1]1нед'!D113</f>
        <v>0</v>
      </c>
      <c r="F51" s="50">
        <f>'[1]1нед'!G113</f>
        <v>0</v>
      </c>
      <c r="G51" s="51" t="str">
        <f>'[1]1нед'!H113</f>
        <v/>
      </c>
      <c r="H51" s="52"/>
    </row>
    <row r="52" ht="48" customHeight="1" spans="1:8">
      <c r="A52" s="27">
        <v>46270</v>
      </c>
      <c r="B52" s="28" t="s">
        <v>27</v>
      </c>
      <c r="C52" s="55" t="s">
        <v>16</v>
      </c>
      <c r="D52" s="30">
        <f>'[1]1нед'!C114</f>
        <v>0</v>
      </c>
      <c r="E52" s="31">
        <f>'[1]1нед'!D114</f>
        <v>0</v>
      </c>
      <c r="F52" s="32">
        <f>'[1]1нед'!G114</f>
        <v>0</v>
      </c>
      <c r="G52" s="33" t="str">
        <f>'[1]1нед'!H114</f>
        <v/>
      </c>
      <c r="H52" s="34"/>
    </row>
    <row r="53" ht="31.5" spans="1:8">
      <c r="A53" s="36"/>
      <c r="B53" s="37"/>
      <c r="C53" s="29" t="s">
        <v>17</v>
      </c>
      <c r="D53" s="38">
        <f>'[1]1нед'!C115</f>
        <v>0</v>
      </c>
      <c r="E53" s="39">
        <f>'[1]1нед'!D115</f>
        <v>0</v>
      </c>
      <c r="F53" s="40">
        <f>'[1]1нед'!G115</f>
        <v>0</v>
      </c>
      <c r="G53" s="41" t="str">
        <f>'[1]1нед'!H115</f>
        <v/>
      </c>
      <c r="H53" s="42"/>
    </row>
    <row r="54" ht="31.5" spans="1:8">
      <c r="A54" s="36"/>
      <c r="B54" s="37"/>
      <c r="C54" s="29" t="s">
        <v>18</v>
      </c>
      <c r="D54" s="38">
        <f>'[1]1нед'!C116</f>
        <v>0</v>
      </c>
      <c r="E54" s="39">
        <f>'[1]1нед'!D116</f>
        <v>0</v>
      </c>
      <c r="F54" s="40">
        <f>'[1]1нед'!G116</f>
        <v>0</v>
      </c>
      <c r="G54" s="41" t="str">
        <f>'[1]1нед'!H116</f>
        <v/>
      </c>
      <c r="H54" s="42"/>
    </row>
    <row r="55" ht="31.5" spans="1:8">
      <c r="A55" s="36"/>
      <c r="B55" s="37"/>
      <c r="C55" s="29" t="s">
        <v>19</v>
      </c>
      <c r="D55" s="38">
        <f>'[1]1нед'!C117</f>
        <v>0</v>
      </c>
      <c r="E55" s="39">
        <f>'[1]1нед'!D117</f>
        <v>0</v>
      </c>
      <c r="F55" s="40">
        <f>'[1]1нед'!G117</f>
        <v>0</v>
      </c>
      <c r="G55" s="41" t="str">
        <f>'[1]1нед'!H117</f>
        <v/>
      </c>
      <c r="H55" s="42"/>
    </row>
    <row r="56" ht="31.5" spans="1:8">
      <c r="A56" s="36"/>
      <c r="B56" s="37"/>
      <c r="C56" s="29" t="s">
        <v>20</v>
      </c>
      <c r="D56" s="38">
        <f>'[1]1нед'!C118</f>
        <v>0</v>
      </c>
      <c r="E56" s="39">
        <f>'[1]1нед'!D118</f>
        <v>0</v>
      </c>
      <c r="F56" s="40">
        <f>'[1]1нед'!G118</f>
        <v>0</v>
      </c>
      <c r="G56" s="41" t="str">
        <f>'[1]1нед'!H118</f>
        <v/>
      </c>
      <c r="H56" s="42"/>
    </row>
    <row r="57" ht="31.5" spans="1:8">
      <c r="A57" s="36"/>
      <c r="B57" s="37"/>
      <c r="C57" s="29" t="s">
        <v>21</v>
      </c>
      <c r="D57" s="38">
        <f>'[1]1нед'!C119</f>
        <v>0</v>
      </c>
      <c r="E57" s="39">
        <f>'[1]1нед'!D119</f>
        <v>0</v>
      </c>
      <c r="F57" s="40">
        <f>'[1]1нед'!G119</f>
        <v>0</v>
      </c>
      <c r="G57" s="41" t="str">
        <f>'[1]1нед'!H119</f>
        <v/>
      </c>
      <c r="H57" s="42"/>
    </row>
    <row r="58" ht="32.25" spans="1:8">
      <c r="A58" s="36"/>
      <c r="B58" s="37"/>
      <c r="C58" s="29" t="s">
        <v>22</v>
      </c>
      <c r="D58" s="38">
        <f>'[1]1нед'!C120</f>
        <v>0</v>
      </c>
      <c r="E58" s="39">
        <f>'[1]1нед'!D120</f>
        <v>0</v>
      </c>
      <c r="F58" s="40">
        <f>'[1]1нед'!G120</f>
        <v>0</v>
      </c>
      <c r="G58" s="41" t="str">
        <f>'[1]1нед'!H120</f>
        <v/>
      </c>
      <c r="H58" s="42"/>
    </row>
    <row r="59" ht="18.4" hidden="1" customHeight="1" spans="1:8">
      <c r="A59" s="45"/>
      <c r="B59" s="46"/>
      <c r="C59" s="47"/>
      <c r="D59" s="48">
        <f>'[1]1нед'!C59</f>
        <v>0</v>
      </c>
      <c r="E59" s="49">
        <f>'[1]1нед'!D59</f>
        <v>0</v>
      </c>
      <c r="F59" s="50">
        <f>'[1]1нед'!G59</f>
        <v>0</v>
      </c>
      <c r="G59" s="51" t="str">
        <f>'[1]1нед'!H59</f>
        <v/>
      </c>
      <c r="H59" s="52"/>
    </row>
    <row r="60" ht="39" customHeight="1" spans="1:8">
      <c r="A60" s="64"/>
      <c r="B60" s="65"/>
      <c r="C60" s="66"/>
      <c r="D60" s="67"/>
      <c r="E60" s="67" t="s">
        <v>28</v>
      </c>
      <c r="F60" s="67"/>
      <c r="G60" s="68" t="s">
        <v>29</v>
      </c>
      <c r="H60" s="69"/>
    </row>
  </sheetData>
  <mergeCells count="19">
    <mergeCell ref="B6:H6"/>
    <mergeCell ref="B8:D8"/>
    <mergeCell ref="E8:H8"/>
    <mergeCell ref="B9:D9"/>
    <mergeCell ref="B10:D10"/>
    <mergeCell ref="A11:B11"/>
    <mergeCell ref="F11:G11"/>
    <mergeCell ref="A12:A19"/>
    <mergeCell ref="A20:A27"/>
    <mergeCell ref="A28:A35"/>
    <mergeCell ref="A36:A43"/>
    <mergeCell ref="A44:A51"/>
    <mergeCell ref="A52:A59"/>
    <mergeCell ref="B12:B19"/>
    <mergeCell ref="B20:B27"/>
    <mergeCell ref="B28:B35"/>
    <mergeCell ref="B36:B43"/>
    <mergeCell ref="B44:B51"/>
    <mergeCell ref="B52:B59"/>
  </mergeCells>
  <pageMargins left="0.708661417322835" right="0.708661417322835" top="0.748031496062992" bottom="0.748031496062992" header="0.31496062992126" footer="0.31496062992126"/>
  <pageSetup paperSize="9" scale="41" orientation="portrait"/>
  <headerFooter/>
  <rowBreaks count="8" manualBreakCount="8">
    <brk id="60" max="16383" man="1"/>
  </rowBreaks>
  <colBreaks count="1" manualBreakCount="1">
    <brk id="8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60"/>
  <sheetViews>
    <sheetView view="pageBreakPreview" zoomScale="60" zoomScaleNormal="55" topLeftCell="A52" workbookViewId="0">
      <selection activeCell="A61" sqref="$A61:$XFD544"/>
    </sheetView>
  </sheetViews>
  <sheetFormatPr defaultColWidth="9" defaultRowHeight="12.75" outlineLevelCol="7"/>
  <cols>
    <col min="1" max="1" width="5.85714285714286" customWidth="1"/>
    <col min="2" max="2" width="4.14285714285714" customWidth="1"/>
    <col min="3" max="3" width="13.5714285714286" customWidth="1"/>
    <col min="4" max="4" width="11.8571428571429" customWidth="1"/>
    <col min="5" max="5" width="51.5714285714286" customWidth="1"/>
    <col min="6" max="6" width="28" customWidth="1"/>
    <col min="7" max="7" width="30" customWidth="1"/>
    <col min="8" max="8" width="72.2857142857143" style="1" customWidth="1"/>
  </cols>
  <sheetData>
    <row r="1" ht="15.75" spans="1:8">
      <c r="A1" s="2"/>
      <c r="B1" s="3"/>
      <c r="C1" s="4"/>
      <c r="D1" s="5"/>
      <c r="E1" s="5"/>
      <c r="F1" s="5"/>
      <c r="G1" s="5"/>
      <c r="H1" s="6" t="s">
        <v>0</v>
      </c>
    </row>
    <row r="2" ht="15.75" spans="1:8">
      <c r="A2" s="2"/>
      <c r="B2" s="3"/>
      <c r="C2" s="4"/>
      <c r="D2" s="5"/>
      <c r="E2" s="5"/>
      <c r="F2" s="5"/>
      <c r="G2" s="5"/>
      <c r="H2" s="6" t="s">
        <v>1</v>
      </c>
    </row>
    <row r="3" ht="15.75" spans="1:8">
      <c r="A3" s="2"/>
      <c r="B3" s="3"/>
      <c r="C3" s="4"/>
      <c r="D3" s="5"/>
      <c r="E3" s="5"/>
      <c r="F3" s="5"/>
      <c r="G3" s="5"/>
      <c r="H3" s="6" t="s">
        <v>2</v>
      </c>
    </row>
    <row r="4" ht="15.75" spans="1:8">
      <c r="A4" s="2"/>
      <c r="B4" s="3"/>
      <c r="C4" s="4"/>
      <c r="D4" s="5"/>
      <c r="E4" s="5"/>
      <c r="F4" s="5"/>
      <c r="G4" s="5"/>
      <c r="H4" s="6" t="s">
        <v>3</v>
      </c>
    </row>
    <row r="5" ht="15.75" spans="1:8">
      <c r="A5" s="2"/>
      <c r="B5" s="7"/>
      <c r="C5" s="4"/>
      <c r="D5" s="5"/>
      <c r="E5" s="5"/>
      <c r="F5" s="5"/>
      <c r="G5" s="5"/>
      <c r="H5" s="5"/>
    </row>
    <row r="6" ht="15.75" spans="1:8">
      <c r="A6" s="2"/>
      <c r="B6" s="8" t="s">
        <v>4</v>
      </c>
      <c r="C6" s="8"/>
      <c r="D6" s="8"/>
      <c r="E6" s="8"/>
      <c r="F6" s="8"/>
      <c r="G6" s="8"/>
      <c r="H6" s="8"/>
    </row>
    <row r="7" ht="15.75" spans="1:8">
      <c r="A7" s="9"/>
      <c r="B7" s="10" t="str">
        <f>'[1]1нед'!$A$6</f>
        <v>Направление подготовки:</v>
      </c>
      <c r="C7" s="11"/>
      <c r="D7" s="12"/>
      <c r="E7" s="13" t="str">
        <f>'[1]1нед'!$L$68</f>
        <v>09.03.04Программная инженерия (Программно-информационные системы)</v>
      </c>
      <c r="F7" s="12"/>
      <c r="G7" s="12" t="str">
        <f>'[1]1нед'!$L$72</f>
        <v>12-25ПИ</v>
      </c>
      <c r="H7" s="14"/>
    </row>
    <row r="8" ht="15.75" spans="1:8">
      <c r="A8" s="2"/>
      <c r="B8" s="10" t="s">
        <v>5</v>
      </c>
      <c r="C8" s="10"/>
      <c r="D8" s="10"/>
      <c r="E8" s="10" t="s">
        <v>6</v>
      </c>
      <c r="F8" s="10"/>
      <c r="G8" s="10"/>
      <c r="H8" s="10"/>
    </row>
    <row r="9" ht="15.75" spans="1:8">
      <c r="A9" s="2"/>
      <c r="B9" s="10" t="s">
        <v>7</v>
      </c>
      <c r="C9" s="10"/>
      <c r="D9" s="10"/>
      <c r="E9" s="10">
        <v>2</v>
      </c>
      <c r="F9" s="10"/>
      <c r="G9" s="10"/>
      <c r="H9" s="15"/>
    </row>
    <row r="10" ht="16.5" spans="1:8">
      <c r="A10" s="2"/>
      <c r="B10" s="16" t="s">
        <v>8</v>
      </c>
      <c r="C10" s="16"/>
      <c r="D10" s="16"/>
      <c r="E10" s="16">
        <v>1</v>
      </c>
      <c r="F10" s="16"/>
      <c r="G10" s="16"/>
      <c r="H10" s="17"/>
    </row>
    <row r="11" ht="46.5" customHeight="1" spans="1:8">
      <c r="A11" s="19" t="s">
        <v>9</v>
      </c>
      <c r="B11" s="20"/>
      <c r="C11" s="21" t="s">
        <v>10</v>
      </c>
      <c r="D11" s="22" t="s">
        <v>11</v>
      </c>
      <c r="E11" s="23" t="s">
        <v>12</v>
      </c>
      <c r="F11" s="24" t="s">
        <v>13</v>
      </c>
      <c r="G11" s="25"/>
      <c r="H11" s="26" t="s">
        <v>14</v>
      </c>
    </row>
    <row r="12" ht="32.25" customHeight="1" spans="1:8">
      <c r="A12" s="27">
        <v>46265</v>
      </c>
      <c r="B12" s="28" t="s">
        <v>15</v>
      </c>
      <c r="C12" s="29" t="s">
        <v>16</v>
      </c>
      <c r="D12" s="30">
        <f>'[1]1нед'!K74</f>
        <v>0</v>
      </c>
      <c r="E12" s="31">
        <f>'[1]1нед'!L74</f>
        <v>0</v>
      </c>
      <c r="F12" s="32">
        <f>'[1]1нед'!O74</f>
        <v>0</v>
      </c>
      <c r="G12" s="33" t="str">
        <f>'[1]1нед'!P74</f>
        <v/>
      </c>
      <c r="H12" s="34"/>
    </row>
    <row r="13" ht="31.5" spans="1:8">
      <c r="A13" s="36"/>
      <c r="B13" s="37"/>
      <c r="C13" s="29" t="s">
        <v>17</v>
      </c>
      <c r="D13" s="38">
        <f>'[1]1нед'!K75</f>
        <v>0</v>
      </c>
      <c r="E13" s="39">
        <f>'[1]1нед'!L75</f>
        <v>0</v>
      </c>
      <c r="F13" s="40">
        <f>'[1]1нед'!O75</f>
        <v>0</v>
      </c>
      <c r="G13" s="41" t="str">
        <f>'[1]1нед'!P75</f>
        <v/>
      </c>
      <c r="H13" s="42"/>
    </row>
    <row r="14" ht="31.5" spans="1:8">
      <c r="A14" s="36"/>
      <c r="B14" s="37"/>
      <c r="C14" s="29" t="s">
        <v>18</v>
      </c>
      <c r="D14" s="38">
        <f>'[1]1нед'!K76</f>
        <v>0</v>
      </c>
      <c r="E14" s="39">
        <f>'[1]1нед'!L76</f>
        <v>0</v>
      </c>
      <c r="F14" s="40">
        <f>'[1]1нед'!O76</f>
        <v>0</v>
      </c>
      <c r="G14" s="41" t="str">
        <f>'[1]1нед'!P76</f>
        <v/>
      </c>
      <c r="H14" s="42"/>
    </row>
    <row r="15" ht="31.5" spans="1:8">
      <c r="A15" s="36"/>
      <c r="B15" s="37"/>
      <c r="C15" s="29" t="s">
        <v>19</v>
      </c>
      <c r="D15" s="38">
        <f>'[1]1нед'!K77</f>
        <v>0</v>
      </c>
      <c r="E15" s="39">
        <f>'[1]1нед'!L77</f>
        <v>0</v>
      </c>
      <c r="F15" s="40">
        <f>'[1]1нед'!O77</f>
        <v>0</v>
      </c>
      <c r="G15" s="41" t="str">
        <f>'[1]1нед'!P77</f>
        <v/>
      </c>
      <c r="H15" s="42"/>
    </row>
    <row r="16" ht="31.5" spans="1:8">
      <c r="A16" s="36"/>
      <c r="B16" s="37"/>
      <c r="C16" s="29" t="s">
        <v>20</v>
      </c>
      <c r="D16" s="38">
        <f>'[1]1нед'!K78</f>
        <v>0</v>
      </c>
      <c r="E16" s="39">
        <f>'[1]1нед'!L78</f>
        <v>0</v>
      </c>
      <c r="F16" s="40">
        <f>'[1]1нед'!O78</f>
        <v>0</v>
      </c>
      <c r="G16" s="41" t="str">
        <f>'[1]1нед'!P78</f>
        <v/>
      </c>
      <c r="H16" s="42"/>
    </row>
    <row r="17" ht="31.5" spans="1:8">
      <c r="A17" s="36"/>
      <c r="B17" s="37"/>
      <c r="C17" s="29" t="s">
        <v>21</v>
      </c>
      <c r="D17" s="38">
        <f>'[1]1нед'!K79</f>
        <v>0</v>
      </c>
      <c r="E17" s="39">
        <f>'[1]1нед'!L79</f>
        <v>0</v>
      </c>
      <c r="F17" s="40">
        <f>'[1]1нед'!O79</f>
        <v>0</v>
      </c>
      <c r="G17" s="41" t="str">
        <f>'[1]1нед'!P79</f>
        <v/>
      </c>
      <c r="H17" s="56"/>
    </row>
    <row r="18" ht="32.25" spans="1:8">
      <c r="A18" s="36"/>
      <c r="B18" s="37"/>
      <c r="C18" s="29" t="s">
        <v>22</v>
      </c>
      <c r="D18" s="38">
        <f>'[1]1нед'!K80</f>
        <v>0</v>
      </c>
      <c r="E18" s="39">
        <f>'[1]1нед'!L80</f>
        <v>0</v>
      </c>
      <c r="F18" s="40">
        <f>'[1]1нед'!O80</f>
        <v>0</v>
      </c>
      <c r="G18" s="41" t="str">
        <f>'[1]1нед'!P80</f>
        <v/>
      </c>
      <c r="H18" s="56"/>
    </row>
    <row r="19" ht="18.4" hidden="1" customHeight="1" spans="1:8">
      <c r="A19" s="45"/>
      <c r="B19" s="46"/>
      <c r="C19" s="47"/>
      <c r="D19" s="48">
        <f>'[1]1нед'!K81</f>
        <v>0</v>
      </c>
      <c r="E19" s="49">
        <f>'[1]1нед'!L81</f>
        <v>0</v>
      </c>
      <c r="F19" s="50">
        <f>'[1]1нед'!O81</f>
        <v>0</v>
      </c>
      <c r="G19" s="51" t="str">
        <f>'[1]1нед'!P81</f>
        <v/>
      </c>
      <c r="H19" s="52"/>
    </row>
    <row r="20" ht="32.25" customHeight="1" spans="1:8">
      <c r="A20" s="27">
        <v>46266</v>
      </c>
      <c r="B20" s="28" t="s">
        <v>23</v>
      </c>
      <c r="C20" s="55" t="s">
        <v>16</v>
      </c>
      <c r="D20" s="30">
        <f>'[1]1нед'!K82</f>
        <v>0</v>
      </c>
      <c r="E20" s="31">
        <f>'[1]1нед'!L82</f>
        <v>0</v>
      </c>
      <c r="F20" s="32">
        <f>'[1]1нед'!O82</f>
        <v>0</v>
      </c>
      <c r="G20" s="33" t="str">
        <f>'[1]1нед'!P82</f>
        <v/>
      </c>
      <c r="H20" s="34"/>
    </row>
    <row r="21" ht="31.5" spans="1:8">
      <c r="A21" s="36"/>
      <c r="B21" s="37"/>
      <c r="C21" s="29" t="s">
        <v>17</v>
      </c>
      <c r="D21" s="38">
        <f>'[1]1нед'!K83</f>
        <v>0</v>
      </c>
      <c r="E21" s="39">
        <f>'[1]1нед'!L83</f>
        <v>0</v>
      </c>
      <c r="F21" s="40">
        <f>'[1]1нед'!O83</f>
        <v>0</v>
      </c>
      <c r="G21" s="41" t="str">
        <f>'[1]1нед'!P83</f>
        <v/>
      </c>
      <c r="H21" s="42"/>
    </row>
    <row r="22" ht="31.5" spans="1:8">
      <c r="A22" s="36"/>
      <c r="B22" s="37"/>
      <c r="C22" s="29" t="s">
        <v>18</v>
      </c>
      <c r="D22" s="38">
        <f>'[1]1нед'!K84</f>
        <v>0</v>
      </c>
      <c r="E22" s="39">
        <f>'[1]1нед'!L84</f>
        <v>0</v>
      </c>
      <c r="F22" s="40">
        <f>'[1]1нед'!O84</f>
        <v>0</v>
      </c>
      <c r="G22" s="41" t="str">
        <f>'[1]1нед'!P84</f>
        <v/>
      </c>
      <c r="H22" s="42"/>
    </row>
    <row r="23" ht="31.5" spans="1:8">
      <c r="A23" s="36"/>
      <c r="B23" s="37"/>
      <c r="C23" s="29" t="s">
        <v>19</v>
      </c>
      <c r="D23" s="38">
        <f>'[1]1нед'!K85</f>
        <v>0</v>
      </c>
      <c r="E23" s="39">
        <f>'[1]1нед'!L85</f>
        <v>0</v>
      </c>
      <c r="F23" s="40">
        <f>'[1]1нед'!O85</f>
        <v>0</v>
      </c>
      <c r="G23" s="41" t="str">
        <f>'[1]1нед'!P85</f>
        <v/>
      </c>
      <c r="H23" s="42"/>
    </row>
    <row r="24" ht="31.5" spans="1:8">
      <c r="A24" s="36"/>
      <c r="B24" s="37"/>
      <c r="C24" s="29" t="s">
        <v>20</v>
      </c>
      <c r="D24" s="38">
        <f>'[1]1нед'!K86</f>
        <v>0</v>
      </c>
      <c r="E24" s="39">
        <f>'[1]1нед'!L86</f>
        <v>0</v>
      </c>
      <c r="F24" s="40">
        <f>'[1]1нед'!O86</f>
        <v>0</v>
      </c>
      <c r="G24" s="41" t="str">
        <f>'[1]1нед'!P86</f>
        <v/>
      </c>
      <c r="H24" s="42"/>
    </row>
    <row r="25" ht="31.5" spans="1:8">
      <c r="A25" s="36"/>
      <c r="B25" s="37"/>
      <c r="C25" s="29" t="s">
        <v>21</v>
      </c>
      <c r="D25" s="38">
        <f>'[1]1нед'!K87</f>
        <v>0</v>
      </c>
      <c r="E25" s="39">
        <f>'[1]1нед'!L87</f>
        <v>0</v>
      </c>
      <c r="F25" s="40">
        <f>'[1]1нед'!O87</f>
        <v>0</v>
      </c>
      <c r="G25" s="41" t="str">
        <f>'[1]1нед'!P87</f>
        <v/>
      </c>
      <c r="H25" s="56"/>
    </row>
    <row r="26" ht="32.25" spans="1:8">
      <c r="A26" s="36"/>
      <c r="B26" s="37"/>
      <c r="C26" s="29" t="s">
        <v>22</v>
      </c>
      <c r="D26" s="38">
        <f>'[1]1нед'!K88</f>
        <v>0</v>
      </c>
      <c r="E26" s="39">
        <f>'[1]1нед'!L88</f>
        <v>0</v>
      </c>
      <c r="F26" s="40">
        <f>'[1]1нед'!O88</f>
        <v>0</v>
      </c>
      <c r="G26" s="41" t="str">
        <f>'[1]1нед'!P88</f>
        <v/>
      </c>
      <c r="H26" s="56"/>
    </row>
    <row r="27" ht="18.4" hidden="1" customHeight="1" spans="1:8">
      <c r="A27" s="45"/>
      <c r="B27" s="46"/>
      <c r="C27" s="47"/>
      <c r="D27" s="48">
        <f>'[1]1нед'!K89</f>
        <v>0</v>
      </c>
      <c r="E27" s="49">
        <f>'[1]1нед'!L89</f>
        <v>0</v>
      </c>
      <c r="F27" s="50">
        <f>'[1]1нед'!O89</f>
        <v>0</v>
      </c>
      <c r="G27" s="51" t="str">
        <f>'[1]1нед'!P89</f>
        <v/>
      </c>
      <c r="H27" s="52"/>
    </row>
    <row r="28" ht="48" customHeight="1" spans="1:8">
      <c r="A28" s="27">
        <v>46267</v>
      </c>
      <c r="B28" s="57" t="s">
        <v>24</v>
      </c>
      <c r="C28" s="55" t="s">
        <v>16</v>
      </c>
      <c r="D28" s="30" t="str">
        <f>'[1]1нед'!K90</f>
        <v>л</v>
      </c>
      <c r="E28" s="31" t="str">
        <f>'[1]1нед'!L90</f>
        <v>Финансово-экономический практикум</v>
      </c>
      <c r="F28" s="32" t="str">
        <f>'[1]1нед'!O90</f>
        <v>Марусик Е.А.</v>
      </c>
      <c r="G28" s="33" t="str">
        <f>'[1]1нед'!P90</f>
        <v>доцент, канд. наук</v>
      </c>
      <c r="H28" s="75" t="s">
        <v>36</v>
      </c>
    </row>
    <row r="29" ht="37.5" spans="1:8">
      <c r="A29" s="36"/>
      <c r="B29" s="59"/>
      <c r="C29" s="29" t="s">
        <v>17</v>
      </c>
      <c r="D29" s="38" t="str">
        <f>'[1]1нед'!K91</f>
        <v>л</v>
      </c>
      <c r="E29" s="39" t="str">
        <f>'[1]1нед'!L91</f>
        <v>Нормативно-правовые основы профессиональной деятельности</v>
      </c>
      <c r="F29" s="40" t="str">
        <f>'[1]1нед'!O91</f>
        <v>Милкина Е.В.</v>
      </c>
      <c r="G29" s="41" t="str">
        <f>'[1]1нед'!P91</f>
        <v>доцент</v>
      </c>
      <c r="H29" s="74" t="s">
        <v>37</v>
      </c>
    </row>
    <row r="30" ht="31.5" spans="1:8">
      <c r="A30" s="36"/>
      <c r="B30" s="59"/>
      <c r="C30" s="29" t="s">
        <v>18</v>
      </c>
      <c r="D30" s="38" t="str">
        <f>'[1]1нед'!K92</f>
        <v>л</v>
      </c>
      <c r="E30" s="39" t="str">
        <f>'[1]1нед'!L92</f>
        <v>Основы компьютерных наук</v>
      </c>
      <c r="F30" s="40" t="str">
        <f>'[1]1нед'!O92</f>
        <v>Криницкий Ю.В.</v>
      </c>
      <c r="G30" s="41" t="str">
        <f>'[1]1нед'!P92</f>
        <v>преподаватель</v>
      </c>
      <c r="H30" s="74" t="s">
        <v>38</v>
      </c>
    </row>
    <row r="31" ht="31.5" spans="1:8">
      <c r="A31" s="36"/>
      <c r="B31" s="59"/>
      <c r="C31" s="29" t="s">
        <v>19</v>
      </c>
      <c r="D31" s="38">
        <f>'[1]1нед'!K93</f>
        <v>0</v>
      </c>
      <c r="E31" s="39">
        <f>'[1]1нед'!L93</f>
        <v>0</v>
      </c>
      <c r="F31" s="40">
        <f>'[1]1нед'!O93</f>
        <v>0</v>
      </c>
      <c r="G31" s="41" t="str">
        <f>'[1]1нед'!P93</f>
        <v/>
      </c>
      <c r="H31" s="42"/>
    </row>
    <row r="32" ht="31.5" spans="1:8">
      <c r="A32" s="36"/>
      <c r="B32" s="59"/>
      <c r="C32" s="29" t="s">
        <v>20</v>
      </c>
      <c r="D32" s="38">
        <f>'[1]1нед'!K94</f>
        <v>0</v>
      </c>
      <c r="E32" s="39">
        <f>'[1]1нед'!L94</f>
        <v>0</v>
      </c>
      <c r="F32" s="40">
        <f>'[1]1нед'!O94</f>
        <v>0</v>
      </c>
      <c r="G32" s="41" t="str">
        <f>'[1]1нед'!P94</f>
        <v/>
      </c>
      <c r="H32" s="42"/>
    </row>
    <row r="33" ht="31.5" spans="1:8">
      <c r="A33" s="36"/>
      <c r="B33" s="59"/>
      <c r="C33" s="29" t="s">
        <v>21</v>
      </c>
      <c r="D33" s="38">
        <f>'[1]1нед'!K95</f>
        <v>0</v>
      </c>
      <c r="E33" s="39">
        <f>'[1]1нед'!L95</f>
        <v>0</v>
      </c>
      <c r="F33" s="40">
        <f>'[1]1нед'!O95</f>
        <v>0</v>
      </c>
      <c r="G33" s="41" t="str">
        <f>'[1]1нед'!P95</f>
        <v/>
      </c>
      <c r="H33" s="63"/>
    </row>
    <row r="34" ht="32.25" spans="1:8">
      <c r="A34" s="36"/>
      <c r="B34" s="59"/>
      <c r="C34" s="29" t="s">
        <v>22</v>
      </c>
      <c r="D34" s="38">
        <f>'[1]1нед'!K96</f>
        <v>0</v>
      </c>
      <c r="E34" s="39">
        <f>'[1]1нед'!L96</f>
        <v>0</v>
      </c>
      <c r="F34" s="40">
        <f>'[1]1нед'!O96</f>
        <v>0</v>
      </c>
      <c r="G34" s="41" t="str">
        <f>'[1]1нед'!P96</f>
        <v/>
      </c>
      <c r="H34" s="56"/>
    </row>
    <row r="35" ht="18.4" hidden="1" customHeight="1" spans="1:8">
      <c r="A35" s="45"/>
      <c r="B35" s="61"/>
      <c r="C35" s="47"/>
      <c r="D35" s="48">
        <f>'[1]1нед'!K97</f>
        <v>0</v>
      </c>
      <c r="E35" s="49">
        <f>'[1]1нед'!L97</f>
        <v>0</v>
      </c>
      <c r="F35" s="50">
        <f>'[1]1нед'!O97</f>
        <v>0</v>
      </c>
      <c r="G35" s="51" t="str">
        <f>'[1]1нед'!P97</f>
        <v/>
      </c>
      <c r="H35" s="52"/>
    </row>
    <row r="36" ht="48" customHeight="1" spans="1:8">
      <c r="A36" s="27">
        <v>46268</v>
      </c>
      <c r="B36" s="28" t="s">
        <v>25</v>
      </c>
      <c r="C36" s="55" t="s">
        <v>16</v>
      </c>
      <c r="D36" s="30" t="str">
        <f>'[1]1нед'!K98</f>
        <v>пр</v>
      </c>
      <c r="E36" s="31" t="str">
        <f>'[1]1нед'!L98</f>
        <v>Дискретная математика</v>
      </c>
      <c r="F36" s="32" t="str">
        <f>'[1]1нед'!O98</f>
        <v>Казанцев Ю.А.</v>
      </c>
      <c r="G36" s="33" t="str">
        <f>'[1]1нед'!P98</f>
        <v>ст. преподаватель</v>
      </c>
      <c r="H36" s="72" t="s">
        <v>38</v>
      </c>
    </row>
    <row r="37" ht="31.5" spans="1:8">
      <c r="A37" s="36"/>
      <c r="B37" s="37"/>
      <c r="C37" s="29" t="s">
        <v>17</v>
      </c>
      <c r="D37" s="38" t="str">
        <f>'[1]1нед'!K99</f>
        <v>л</v>
      </c>
      <c r="E37" s="39" t="str">
        <f>'[1]1нед'!L99</f>
        <v>Математика для программирования</v>
      </c>
      <c r="F37" s="40" t="str">
        <f>'[1]1нед'!O99</f>
        <v>Линник Е.П.</v>
      </c>
      <c r="G37" s="41" t="str">
        <f>'[1]1нед'!P99</f>
        <v>доцент, канд. наук</v>
      </c>
      <c r="H37" s="74" t="s">
        <v>38</v>
      </c>
    </row>
    <row r="38" ht="31.5" spans="1:8">
      <c r="A38" s="36"/>
      <c r="B38" s="37"/>
      <c r="C38" s="29" t="s">
        <v>18</v>
      </c>
      <c r="D38" s="38" t="str">
        <f>'[1]1нед'!K100</f>
        <v>л</v>
      </c>
      <c r="E38" s="39" t="str">
        <f>'[1]1нед'!L100</f>
        <v>Математика для программирования</v>
      </c>
      <c r="F38" s="40" t="str">
        <f>'[1]1нед'!O100</f>
        <v>Линник Е.П.</v>
      </c>
      <c r="G38" s="41" t="str">
        <f>'[1]1нед'!P100</f>
        <v>доцент, канд. наук</v>
      </c>
      <c r="H38" s="74" t="s">
        <v>38</v>
      </c>
    </row>
    <row r="39" ht="31.5" spans="1:8">
      <c r="A39" s="36"/>
      <c r="B39" s="37"/>
      <c r="C39" s="29" t="s">
        <v>19</v>
      </c>
      <c r="D39" s="38">
        <f>'[1]1нед'!K101</f>
        <v>0</v>
      </c>
      <c r="E39" s="39">
        <f>'[1]1нед'!L101</f>
        <v>0</v>
      </c>
      <c r="F39" s="40">
        <f>'[1]1нед'!O101</f>
        <v>0</v>
      </c>
      <c r="G39" s="41" t="str">
        <f>'[1]1нед'!P101</f>
        <v/>
      </c>
      <c r="H39" s="42"/>
    </row>
    <row r="40" ht="31.5" spans="1:8">
      <c r="A40" s="36"/>
      <c r="B40" s="37"/>
      <c r="C40" s="29" t="s">
        <v>20</v>
      </c>
      <c r="D40" s="38">
        <f>'[1]1нед'!K102</f>
        <v>0</v>
      </c>
      <c r="E40" s="39">
        <f>'[1]1нед'!L102</f>
        <v>0</v>
      </c>
      <c r="F40" s="40">
        <f>'[1]1нед'!O102</f>
        <v>0</v>
      </c>
      <c r="G40" s="41" t="str">
        <f>'[1]1нед'!P102</f>
        <v/>
      </c>
      <c r="H40" s="42"/>
    </row>
    <row r="41" ht="31.5" spans="1:8">
      <c r="A41" s="36"/>
      <c r="B41" s="37"/>
      <c r="C41" s="29" t="s">
        <v>21</v>
      </c>
      <c r="D41" s="38">
        <f>'[1]1нед'!K103</f>
        <v>0</v>
      </c>
      <c r="E41" s="39">
        <f>'[1]1нед'!L103</f>
        <v>0</v>
      </c>
      <c r="F41" s="40">
        <f>'[1]1нед'!O103</f>
        <v>0</v>
      </c>
      <c r="G41" s="41" t="str">
        <f>'[1]1нед'!P103</f>
        <v/>
      </c>
      <c r="H41" s="63"/>
    </row>
    <row r="42" ht="32.25" spans="1:8">
      <c r="A42" s="36"/>
      <c r="B42" s="37"/>
      <c r="C42" s="29" t="s">
        <v>22</v>
      </c>
      <c r="D42" s="38">
        <f>'[1]1нед'!K104</f>
        <v>0</v>
      </c>
      <c r="E42" s="39">
        <f>'[1]1нед'!L104</f>
        <v>0</v>
      </c>
      <c r="F42" s="40">
        <f>'[1]1нед'!O104</f>
        <v>0</v>
      </c>
      <c r="G42" s="41" t="str">
        <f>'[1]1нед'!P104</f>
        <v/>
      </c>
      <c r="H42" s="56"/>
    </row>
    <row r="43" ht="18.4" hidden="1" customHeight="1" spans="1:8">
      <c r="A43" s="45"/>
      <c r="B43" s="46"/>
      <c r="C43" s="47"/>
      <c r="D43" s="48">
        <f>'[1]1нед'!K105</f>
        <v>0</v>
      </c>
      <c r="E43" s="49">
        <f>'[1]1нед'!L105</f>
        <v>0</v>
      </c>
      <c r="F43" s="50">
        <f>'[1]1нед'!O105</f>
        <v>0</v>
      </c>
      <c r="G43" s="51" t="str">
        <f>'[1]1нед'!P105</f>
        <v/>
      </c>
      <c r="H43" s="52"/>
    </row>
    <row r="44" ht="48" customHeight="1" spans="1:8">
      <c r="A44" s="27">
        <v>46269</v>
      </c>
      <c r="B44" s="28" t="s">
        <v>26</v>
      </c>
      <c r="C44" s="55" t="s">
        <v>16</v>
      </c>
      <c r="D44" s="30">
        <f>'[1]1нед'!K106</f>
        <v>0</v>
      </c>
      <c r="E44" s="31">
        <f>'[1]1нед'!L106</f>
        <v>0</v>
      </c>
      <c r="F44" s="32">
        <f>'[1]1нед'!O106</f>
        <v>0</v>
      </c>
      <c r="G44" s="33" t="str">
        <f>'[1]1нед'!P106</f>
        <v/>
      </c>
      <c r="H44" s="34"/>
    </row>
    <row r="45" ht="31.5" spans="1:8">
      <c r="A45" s="36"/>
      <c r="B45" s="37"/>
      <c r="C45" s="29" t="s">
        <v>17</v>
      </c>
      <c r="D45" s="38" t="str">
        <f>'[1]1нед'!K107</f>
        <v>л</v>
      </c>
      <c r="E45" s="39" t="str">
        <f>'[1]1нед'!L107</f>
        <v>Архитектура компьютера и Интернет</v>
      </c>
      <c r="F45" s="40" t="str">
        <f>'[1]1нед'!O107</f>
        <v>Криницкий Ю.В.</v>
      </c>
      <c r="G45" s="41" t="str">
        <f>'[1]1нед'!P107</f>
        <v>преподаватель</v>
      </c>
      <c r="H45" s="72" t="s">
        <v>38</v>
      </c>
    </row>
    <row r="46" ht="31.5" spans="1:8">
      <c r="A46" s="36"/>
      <c r="B46" s="37"/>
      <c r="C46" s="29" t="s">
        <v>18</v>
      </c>
      <c r="D46" s="38" t="str">
        <f>'[1]1нед'!K108</f>
        <v>пр</v>
      </c>
      <c r="E46" s="39" t="str">
        <f>'[1]1нед'!L108</f>
        <v>Архитектура компьютера и Интернет</v>
      </c>
      <c r="F46" s="40" t="str">
        <f>'[1]1нед'!O108</f>
        <v>Криницкий Ю.В.</v>
      </c>
      <c r="G46" s="41" t="str">
        <f>'[1]1нед'!P108</f>
        <v>преподаватель</v>
      </c>
      <c r="H46" s="74" t="s">
        <v>38</v>
      </c>
    </row>
    <row r="47" ht="31.5" spans="1:8">
      <c r="A47" s="36"/>
      <c r="B47" s="37"/>
      <c r="C47" s="29" t="s">
        <v>19</v>
      </c>
      <c r="D47" s="38" t="str">
        <f>'[1]1нед'!K109</f>
        <v>пр</v>
      </c>
      <c r="E47" s="39" t="str">
        <f>'[1]1нед'!L109</f>
        <v>Физическая культура и спорт</v>
      </c>
      <c r="F47" s="40" t="str">
        <f>'[1]1нед'!O109</f>
        <v>Заболотний С.И.</v>
      </c>
      <c r="G47" s="41" t="str">
        <f>'[1]1нед'!P109</f>
        <v>преподаватель</v>
      </c>
      <c r="H47" s="74" t="s">
        <v>38</v>
      </c>
    </row>
    <row r="48" ht="31.5" spans="1:8">
      <c r="A48" s="36"/>
      <c r="B48" s="37"/>
      <c r="C48" s="29" t="s">
        <v>20</v>
      </c>
      <c r="D48" s="38">
        <f>'[1]1нед'!K110</f>
        <v>0</v>
      </c>
      <c r="E48" s="39">
        <f>'[1]1нед'!L110</f>
        <v>0</v>
      </c>
      <c r="F48" s="40">
        <f>'[1]1нед'!O110</f>
        <v>0</v>
      </c>
      <c r="G48" s="41" t="str">
        <f>'[1]1нед'!P110</f>
        <v/>
      </c>
      <c r="H48" s="42"/>
    </row>
    <row r="49" ht="31.5" spans="1:8">
      <c r="A49" s="36"/>
      <c r="B49" s="37"/>
      <c r="C49" s="29" t="s">
        <v>21</v>
      </c>
      <c r="D49" s="38">
        <f>'[1]1нед'!K111</f>
        <v>0</v>
      </c>
      <c r="E49" s="39">
        <f>'[1]1нед'!L111</f>
        <v>0</v>
      </c>
      <c r="F49" s="40">
        <f>'[1]1нед'!O111</f>
        <v>0</v>
      </c>
      <c r="G49" s="41" t="str">
        <f>'[1]1нед'!P111</f>
        <v/>
      </c>
      <c r="H49" s="42"/>
    </row>
    <row r="50" ht="32.25" spans="1:8">
      <c r="A50" s="36"/>
      <c r="B50" s="37"/>
      <c r="C50" s="29" t="s">
        <v>22</v>
      </c>
      <c r="D50" s="38">
        <f>'[1]1нед'!K112</f>
        <v>0</v>
      </c>
      <c r="E50" s="39">
        <f>'[1]1нед'!L112</f>
        <v>0</v>
      </c>
      <c r="F50" s="40">
        <f>'[1]1нед'!O112</f>
        <v>0</v>
      </c>
      <c r="G50" s="41" t="str">
        <f>'[1]1нед'!P112</f>
        <v/>
      </c>
      <c r="H50" s="42"/>
    </row>
    <row r="51" ht="18.4" hidden="1" customHeight="1" spans="1:8">
      <c r="A51" s="45"/>
      <c r="B51" s="46"/>
      <c r="C51" s="47"/>
      <c r="D51" s="48">
        <f>'[1]1нед'!K113</f>
        <v>0</v>
      </c>
      <c r="E51" s="49">
        <f>'[1]1нед'!L113</f>
        <v>0</v>
      </c>
      <c r="F51" s="50">
        <f>'[1]1нед'!O113</f>
        <v>0</v>
      </c>
      <c r="G51" s="51" t="str">
        <f>'[1]1нед'!P113</f>
        <v/>
      </c>
      <c r="H51" s="52"/>
    </row>
    <row r="52" ht="48" customHeight="1" spans="1:8">
      <c r="A52" s="27">
        <v>46270</v>
      </c>
      <c r="B52" s="28" t="s">
        <v>27</v>
      </c>
      <c r="C52" s="55" t="s">
        <v>16</v>
      </c>
      <c r="D52" s="30">
        <f>'[1]1нед'!K114</f>
        <v>0</v>
      </c>
      <c r="E52" s="31">
        <f>'[1]1нед'!L114</f>
        <v>0</v>
      </c>
      <c r="F52" s="32">
        <f>'[1]1нед'!O114</f>
        <v>0</v>
      </c>
      <c r="G52" s="33" t="str">
        <f>'[1]1нед'!P114</f>
        <v/>
      </c>
      <c r="H52" s="34"/>
    </row>
    <row r="53" ht="31.5" spans="1:8">
      <c r="A53" s="36"/>
      <c r="B53" s="37"/>
      <c r="C53" s="29" t="s">
        <v>17</v>
      </c>
      <c r="D53" s="38">
        <f>'[1]1нед'!K115</f>
        <v>0</v>
      </c>
      <c r="E53" s="39">
        <f>'[1]1нед'!L115</f>
        <v>0</v>
      </c>
      <c r="F53" s="40">
        <f>'[1]1нед'!O115</f>
        <v>0</v>
      </c>
      <c r="G53" s="41" t="str">
        <f>'[1]1нед'!P115</f>
        <v/>
      </c>
      <c r="H53" s="42"/>
    </row>
    <row r="54" ht="31.5" spans="1:8">
      <c r="A54" s="36"/>
      <c r="B54" s="37"/>
      <c r="C54" s="29" t="s">
        <v>18</v>
      </c>
      <c r="D54" s="38">
        <f>'[1]1нед'!K116</f>
        <v>0</v>
      </c>
      <c r="E54" s="39">
        <f>'[1]1нед'!L116</f>
        <v>0</v>
      </c>
      <c r="F54" s="40">
        <f>'[1]1нед'!O116</f>
        <v>0</v>
      </c>
      <c r="G54" s="41" t="str">
        <f>'[1]1нед'!P116</f>
        <v/>
      </c>
      <c r="H54" s="42"/>
    </row>
    <row r="55" ht="31.5" spans="1:8">
      <c r="A55" s="36"/>
      <c r="B55" s="37"/>
      <c r="C55" s="29" t="s">
        <v>19</v>
      </c>
      <c r="D55" s="38">
        <f>'[1]1нед'!K117</f>
        <v>0</v>
      </c>
      <c r="E55" s="39">
        <f>'[1]1нед'!L117</f>
        <v>0</v>
      </c>
      <c r="F55" s="40">
        <f>'[1]1нед'!O117</f>
        <v>0</v>
      </c>
      <c r="G55" s="41" t="str">
        <f>'[1]1нед'!P117</f>
        <v/>
      </c>
      <c r="H55" s="42"/>
    </row>
    <row r="56" ht="31.5" spans="1:8">
      <c r="A56" s="36"/>
      <c r="B56" s="37"/>
      <c r="C56" s="29" t="s">
        <v>20</v>
      </c>
      <c r="D56" s="38">
        <f>'[1]1нед'!K118</f>
        <v>0</v>
      </c>
      <c r="E56" s="39">
        <f>'[1]1нед'!L118</f>
        <v>0</v>
      </c>
      <c r="F56" s="40">
        <f>'[1]1нед'!O118</f>
        <v>0</v>
      </c>
      <c r="G56" s="41" t="str">
        <f>'[1]1нед'!P118</f>
        <v/>
      </c>
      <c r="H56" s="42"/>
    </row>
    <row r="57" ht="31.5" spans="1:8">
      <c r="A57" s="36"/>
      <c r="B57" s="37"/>
      <c r="C57" s="29" t="s">
        <v>21</v>
      </c>
      <c r="D57" s="38">
        <f>'[1]1нед'!K119</f>
        <v>0</v>
      </c>
      <c r="E57" s="39">
        <f>'[1]1нед'!L119</f>
        <v>0</v>
      </c>
      <c r="F57" s="40">
        <f>'[1]1нед'!O119</f>
        <v>0</v>
      </c>
      <c r="G57" s="41" t="str">
        <f>'[1]1нед'!P119</f>
        <v/>
      </c>
      <c r="H57" s="42"/>
    </row>
    <row r="58" ht="32.25" spans="1:8">
      <c r="A58" s="36"/>
      <c r="B58" s="37"/>
      <c r="C58" s="29" t="s">
        <v>22</v>
      </c>
      <c r="D58" s="38">
        <f>'[1]1нед'!K120</f>
        <v>0</v>
      </c>
      <c r="E58" s="39">
        <f>'[1]1нед'!L120</f>
        <v>0</v>
      </c>
      <c r="F58" s="40">
        <f>'[1]1нед'!O120</f>
        <v>0</v>
      </c>
      <c r="G58" s="41" t="str">
        <f>'[1]1нед'!P120</f>
        <v/>
      </c>
      <c r="H58" s="42"/>
    </row>
    <row r="59" ht="18.4" hidden="1" customHeight="1" spans="1:8">
      <c r="A59" s="45"/>
      <c r="B59" s="46"/>
      <c r="C59" s="47"/>
      <c r="D59" s="48">
        <f>'[1]1нед'!K59</f>
        <v>0</v>
      </c>
      <c r="E59" s="49">
        <f>'[1]1нед'!L59</f>
        <v>0</v>
      </c>
      <c r="F59" s="50">
        <f>'[1]1нед'!O59</f>
        <v>0</v>
      </c>
      <c r="G59" s="51" t="str">
        <f>'[1]1нед'!P59</f>
        <v/>
      </c>
      <c r="H59" s="52"/>
    </row>
    <row r="60" ht="39" customHeight="1" spans="1:8">
      <c r="A60" s="64"/>
      <c r="B60" s="65"/>
      <c r="C60" s="66"/>
      <c r="D60" s="67"/>
      <c r="E60" s="67" t="s">
        <v>28</v>
      </c>
      <c r="F60" s="67"/>
      <c r="G60" s="68" t="s">
        <v>29</v>
      </c>
      <c r="H60" s="69"/>
    </row>
  </sheetData>
  <mergeCells count="19">
    <mergeCell ref="B6:H6"/>
    <mergeCell ref="B8:D8"/>
    <mergeCell ref="E8:H8"/>
    <mergeCell ref="B9:D9"/>
    <mergeCell ref="B10:D10"/>
    <mergeCell ref="A11:B11"/>
    <mergeCell ref="F11:G11"/>
    <mergeCell ref="A12:A19"/>
    <mergeCell ref="A20:A27"/>
    <mergeCell ref="A28:A35"/>
    <mergeCell ref="A36:A43"/>
    <mergeCell ref="A44:A51"/>
    <mergeCell ref="A52:A59"/>
    <mergeCell ref="B12:B19"/>
    <mergeCell ref="B20:B27"/>
    <mergeCell ref="B28:B35"/>
    <mergeCell ref="B36:B43"/>
    <mergeCell ref="B44:B51"/>
    <mergeCell ref="B52:B59"/>
  </mergeCells>
  <pageMargins left="0.708661417322835" right="0.708661417322835" top="0.748031496062992" bottom="0.748031496062992" header="0.31496062992126" footer="0.31496062992126"/>
  <pageSetup paperSize="9" scale="41" orientation="portrait"/>
  <headerFooter/>
  <rowBreaks count="8" manualBreakCount="8">
    <brk id="60" max="16383" man="1"/>
  </rowBreaks>
  <colBreaks count="1" manualBreakCount="1">
    <brk id="8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60"/>
  <sheetViews>
    <sheetView view="pageBreakPreview" zoomScale="60" zoomScaleNormal="55" topLeftCell="A52" workbookViewId="0">
      <selection activeCell="A61" sqref="$A61:$XFD542"/>
    </sheetView>
  </sheetViews>
  <sheetFormatPr defaultColWidth="9" defaultRowHeight="12.75" outlineLevelCol="7"/>
  <cols>
    <col min="1" max="1" width="5.85714285714286" customWidth="1"/>
    <col min="2" max="2" width="4.14285714285714" customWidth="1"/>
    <col min="3" max="3" width="13.5714285714286" customWidth="1"/>
    <col min="4" max="4" width="11.8571428571429" customWidth="1"/>
    <col min="5" max="5" width="51.5714285714286" customWidth="1"/>
    <col min="6" max="6" width="28" customWidth="1"/>
    <col min="7" max="7" width="30" customWidth="1"/>
    <col min="8" max="8" width="72.2857142857143" style="1" customWidth="1"/>
  </cols>
  <sheetData>
    <row r="1" ht="15.75" spans="1:8">
      <c r="A1" s="2"/>
      <c r="B1" s="3"/>
      <c r="C1" s="4"/>
      <c r="D1" s="5"/>
      <c r="E1" s="5"/>
      <c r="F1" s="5"/>
      <c r="G1" s="5"/>
      <c r="H1" s="6" t="s">
        <v>0</v>
      </c>
    </row>
    <row r="2" ht="15.75" spans="1:8">
      <c r="A2" s="2"/>
      <c r="B2" s="3"/>
      <c r="C2" s="4"/>
      <c r="D2" s="5"/>
      <c r="E2" s="5"/>
      <c r="F2" s="5"/>
      <c r="G2" s="5"/>
      <c r="H2" s="6" t="s">
        <v>1</v>
      </c>
    </row>
    <row r="3" ht="15.75" spans="1:8">
      <c r="A3" s="2"/>
      <c r="B3" s="3"/>
      <c r="C3" s="4"/>
      <c r="D3" s="5"/>
      <c r="E3" s="5"/>
      <c r="F3" s="5"/>
      <c r="G3" s="5"/>
      <c r="H3" s="6" t="s">
        <v>2</v>
      </c>
    </row>
    <row r="4" ht="15.75" spans="1:8">
      <c r="A4" s="2"/>
      <c r="B4" s="3"/>
      <c r="C4" s="4"/>
      <c r="D4" s="5"/>
      <c r="E4" s="5"/>
      <c r="F4" s="5"/>
      <c r="G4" s="5"/>
      <c r="H4" s="6" t="s">
        <v>3</v>
      </c>
    </row>
    <row r="5" ht="15.75" spans="1:8">
      <c r="A5" s="2"/>
      <c r="B5" s="7"/>
      <c r="C5" s="4"/>
      <c r="D5" s="5"/>
      <c r="E5" s="5"/>
      <c r="F5" s="5"/>
      <c r="G5" s="5"/>
      <c r="H5" s="5"/>
    </row>
    <row r="6" ht="15.75" spans="1:8">
      <c r="A6" s="2"/>
      <c r="B6" s="8" t="s">
        <v>4</v>
      </c>
      <c r="C6" s="8"/>
      <c r="D6" s="8"/>
      <c r="E6" s="8"/>
      <c r="F6" s="8"/>
      <c r="G6" s="8"/>
      <c r="H6" s="8"/>
    </row>
    <row r="7" ht="15.75" spans="1:8">
      <c r="A7" s="9"/>
      <c r="B7" s="10" t="str">
        <f>'[1]1нед'!$A$6</f>
        <v>Направление подготовки:</v>
      </c>
      <c r="C7" s="11"/>
      <c r="D7" s="12"/>
      <c r="E7" s="13" t="str">
        <f>'[1]1нед'!$T$68</f>
        <v>09.03.04Программная инженерия (Программно-информационные системы)</v>
      </c>
      <c r="F7" s="12"/>
      <c r="G7" s="12" t="str">
        <f>'[1]1нед'!$T$72</f>
        <v>12-24ПИ</v>
      </c>
      <c r="H7" s="14"/>
    </row>
    <row r="8" ht="15.75" spans="1:8">
      <c r="A8" s="2"/>
      <c r="B8" s="10" t="s">
        <v>5</v>
      </c>
      <c r="C8" s="10"/>
      <c r="D8" s="10"/>
      <c r="E8" s="10" t="s">
        <v>6</v>
      </c>
      <c r="F8" s="10"/>
      <c r="G8" s="10"/>
      <c r="H8" s="10"/>
    </row>
    <row r="9" ht="15.75" spans="1:8">
      <c r="A9" s="2"/>
      <c r="B9" s="10" t="s">
        <v>7</v>
      </c>
      <c r="C9" s="10"/>
      <c r="D9" s="10"/>
      <c r="E9" s="10">
        <v>3</v>
      </c>
      <c r="F9" s="10"/>
      <c r="G9" s="10"/>
      <c r="H9" s="15"/>
    </row>
    <row r="10" ht="16.5" spans="1:8">
      <c r="A10" s="2"/>
      <c r="B10" s="16" t="s">
        <v>8</v>
      </c>
      <c r="C10" s="16"/>
      <c r="D10" s="16"/>
      <c r="E10" s="16">
        <v>1</v>
      </c>
      <c r="F10" s="16"/>
      <c r="G10" s="16"/>
      <c r="H10" s="17"/>
    </row>
    <row r="11" ht="46.5" customHeight="1" spans="1:8">
      <c r="A11" s="19" t="s">
        <v>9</v>
      </c>
      <c r="B11" s="20"/>
      <c r="C11" s="21" t="s">
        <v>10</v>
      </c>
      <c r="D11" s="22" t="s">
        <v>11</v>
      </c>
      <c r="E11" s="23" t="s">
        <v>12</v>
      </c>
      <c r="F11" s="24" t="s">
        <v>13</v>
      </c>
      <c r="G11" s="25"/>
      <c r="H11" s="26" t="s">
        <v>14</v>
      </c>
    </row>
    <row r="12" ht="32.25" customHeight="1" spans="1:8">
      <c r="A12" s="27">
        <v>46265</v>
      </c>
      <c r="B12" s="28" t="s">
        <v>15</v>
      </c>
      <c r="C12" s="29" t="s">
        <v>16</v>
      </c>
      <c r="D12" s="30">
        <f>'[1]1нед'!S74</f>
        <v>0</v>
      </c>
      <c r="E12" s="31">
        <f>'[1]1нед'!T74</f>
        <v>0</v>
      </c>
      <c r="F12" s="32">
        <f>'[1]1нед'!W74</f>
        <v>0</v>
      </c>
      <c r="G12" s="33" t="str">
        <f>'[1]1нед'!X74</f>
        <v/>
      </c>
      <c r="H12" s="34"/>
    </row>
    <row r="13" ht="31.5" spans="1:8">
      <c r="A13" s="36"/>
      <c r="B13" s="37"/>
      <c r="C13" s="29" t="s">
        <v>17</v>
      </c>
      <c r="D13" s="38">
        <f>'[1]1нед'!S75</f>
        <v>0</v>
      </c>
      <c r="E13" s="39">
        <f>'[1]1нед'!T75</f>
        <v>0</v>
      </c>
      <c r="F13" s="40">
        <f>'[1]1нед'!W75</f>
        <v>0</v>
      </c>
      <c r="G13" s="41" t="str">
        <f>'[1]1нед'!X75</f>
        <v/>
      </c>
      <c r="H13" s="42"/>
    </row>
    <row r="14" ht="31.5" spans="1:8">
      <c r="A14" s="36"/>
      <c r="B14" s="37"/>
      <c r="C14" s="29" t="s">
        <v>18</v>
      </c>
      <c r="D14" s="38">
        <f>'[1]1нед'!S76</f>
        <v>0</v>
      </c>
      <c r="E14" s="39">
        <f>'[1]1нед'!T76</f>
        <v>0</v>
      </c>
      <c r="F14" s="40">
        <f>'[1]1нед'!W76</f>
        <v>0</v>
      </c>
      <c r="G14" s="41" t="str">
        <f>'[1]1нед'!X76</f>
        <v/>
      </c>
      <c r="H14" s="42"/>
    </row>
    <row r="15" ht="31.5" spans="1:8">
      <c r="A15" s="36"/>
      <c r="B15" s="37"/>
      <c r="C15" s="29" t="s">
        <v>19</v>
      </c>
      <c r="D15" s="38">
        <f>'[1]1нед'!S77</f>
        <v>0</v>
      </c>
      <c r="E15" s="39">
        <f>'[1]1нед'!T77</f>
        <v>0</v>
      </c>
      <c r="F15" s="40">
        <f>'[1]1нед'!W77</f>
        <v>0</v>
      </c>
      <c r="G15" s="41" t="str">
        <f>'[1]1нед'!X77</f>
        <v/>
      </c>
      <c r="H15" s="42"/>
    </row>
    <row r="16" ht="31.5" spans="1:8">
      <c r="A16" s="36"/>
      <c r="B16" s="37"/>
      <c r="C16" s="29" t="s">
        <v>20</v>
      </c>
      <c r="D16" s="38">
        <f>'[1]1нед'!S78</f>
        <v>0</v>
      </c>
      <c r="E16" s="39">
        <f>'[1]1нед'!T78</f>
        <v>0</v>
      </c>
      <c r="F16" s="40">
        <f>'[1]1нед'!W78</f>
        <v>0</v>
      </c>
      <c r="G16" s="41" t="str">
        <f>'[1]1нед'!X78</f>
        <v/>
      </c>
      <c r="H16" s="42"/>
    </row>
    <row r="17" ht="31.5" spans="1:8">
      <c r="A17" s="36"/>
      <c r="B17" s="37"/>
      <c r="C17" s="29" t="s">
        <v>21</v>
      </c>
      <c r="D17" s="38">
        <f>'[1]1нед'!S79</f>
        <v>0</v>
      </c>
      <c r="E17" s="39">
        <f>'[1]1нед'!T79</f>
        <v>0</v>
      </c>
      <c r="F17" s="40">
        <f>'[1]1нед'!W79</f>
        <v>0</v>
      </c>
      <c r="G17" s="41" t="str">
        <f>'[1]1нед'!X79</f>
        <v/>
      </c>
      <c r="H17" s="56"/>
    </row>
    <row r="18" ht="32.25" spans="1:8">
      <c r="A18" s="36"/>
      <c r="B18" s="37"/>
      <c r="C18" s="29" t="s">
        <v>22</v>
      </c>
      <c r="D18" s="38">
        <f>'[1]1нед'!S80</f>
        <v>0</v>
      </c>
      <c r="E18" s="39">
        <f>'[1]1нед'!T80</f>
        <v>0</v>
      </c>
      <c r="F18" s="40">
        <f>'[1]1нед'!W80</f>
        <v>0</v>
      </c>
      <c r="G18" s="41" t="str">
        <f>'[1]1нед'!X80</f>
        <v/>
      </c>
      <c r="H18" s="56"/>
    </row>
    <row r="19" ht="18.4" hidden="1" customHeight="1" spans="1:8">
      <c r="A19" s="45"/>
      <c r="B19" s="46"/>
      <c r="C19" s="47"/>
      <c r="D19" s="48">
        <f>'[1]1нед'!S81</f>
        <v>0</v>
      </c>
      <c r="E19" s="49">
        <f>'[1]1нед'!T81</f>
        <v>0</v>
      </c>
      <c r="F19" s="50">
        <f>'[1]1нед'!W81</f>
        <v>0</v>
      </c>
      <c r="G19" s="51" t="str">
        <f>'[1]1нед'!X81</f>
        <v/>
      </c>
      <c r="H19" s="52"/>
    </row>
    <row r="20" ht="32.25" customHeight="1" spans="1:8">
      <c r="A20" s="27">
        <v>46266</v>
      </c>
      <c r="B20" s="28" t="s">
        <v>23</v>
      </c>
      <c r="C20" s="55" t="s">
        <v>16</v>
      </c>
      <c r="D20" s="30">
        <f>'[1]1нед'!S82</f>
        <v>0</v>
      </c>
      <c r="E20" s="31">
        <f>'[1]1нед'!T82</f>
        <v>0</v>
      </c>
      <c r="F20" s="32">
        <f>'[1]1нед'!W82</f>
        <v>0</v>
      </c>
      <c r="G20" s="33" t="str">
        <f>'[1]1нед'!X82</f>
        <v/>
      </c>
      <c r="H20" s="34"/>
    </row>
    <row r="21" ht="31.5" spans="1:8">
      <c r="A21" s="36"/>
      <c r="B21" s="37"/>
      <c r="C21" s="29" t="s">
        <v>17</v>
      </c>
      <c r="D21" s="38">
        <f>'[1]1нед'!S83</f>
        <v>0</v>
      </c>
      <c r="E21" s="39">
        <f>'[1]1нед'!T83</f>
        <v>0</v>
      </c>
      <c r="F21" s="40">
        <f>'[1]1нед'!W83</f>
        <v>0</v>
      </c>
      <c r="G21" s="41" t="str">
        <f>'[1]1нед'!X83</f>
        <v/>
      </c>
      <c r="H21" s="42"/>
    </row>
    <row r="22" ht="31.5" spans="1:8">
      <c r="A22" s="36"/>
      <c r="B22" s="37"/>
      <c r="C22" s="29" t="s">
        <v>18</v>
      </c>
      <c r="D22" s="38">
        <f>'[1]1нед'!S84</f>
        <v>0</v>
      </c>
      <c r="E22" s="39">
        <f>'[1]1нед'!T84</f>
        <v>0</v>
      </c>
      <c r="F22" s="40">
        <f>'[1]1нед'!W84</f>
        <v>0</v>
      </c>
      <c r="G22" s="41" t="str">
        <f>'[1]1нед'!X84</f>
        <v/>
      </c>
      <c r="H22" s="42"/>
    </row>
    <row r="23" ht="31.5" spans="1:8">
      <c r="A23" s="36"/>
      <c r="B23" s="37"/>
      <c r="C23" s="29" t="s">
        <v>19</v>
      </c>
      <c r="D23" s="38">
        <f>'[1]1нед'!S85</f>
        <v>0</v>
      </c>
      <c r="E23" s="39">
        <f>'[1]1нед'!T85</f>
        <v>0</v>
      </c>
      <c r="F23" s="40">
        <f>'[1]1нед'!W85</f>
        <v>0</v>
      </c>
      <c r="G23" s="41" t="str">
        <f>'[1]1нед'!X85</f>
        <v/>
      </c>
      <c r="H23" s="42"/>
    </row>
    <row r="24" ht="31.5" spans="1:8">
      <c r="A24" s="36"/>
      <c r="B24" s="37"/>
      <c r="C24" s="29" t="s">
        <v>20</v>
      </c>
      <c r="D24" s="38">
        <f>'[1]1нед'!S86</f>
        <v>0</v>
      </c>
      <c r="E24" s="39">
        <f>'[1]1нед'!T86</f>
        <v>0</v>
      </c>
      <c r="F24" s="40">
        <f>'[1]1нед'!W86</f>
        <v>0</v>
      </c>
      <c r="G24" s="41" t="str">
        <f>'[1]1нед'!X86</f>
        <v/>
      </c>
      <c r="H24" s="42"/>
    </row>
    <row r="25" ht="31.5" spans="1:8">
      <c r="A25" s="36"/>
      <c r="B25" s="37"/>
      <c r="C25" s="29" t="s">
        <v>21</v>
      </c>
      <c r="D25" s="38">
        <f>'[1]1нед'!S87</f>
        <v>0</v>
      </c>
      <c r="E25" s="39">
        <f>'[1]1нед'!T87</f>
        <v>0</v>
      </c>
      <c r="F25" s="40">
        <f>'[1]1нед'!W87</f>
        <v>0</v>
      </c>
      <c r="G25" s="41" t="str">
        <f>'[1]1нед'!X87</f>
        <v/>
      </c>
      <c r="H25" s="56"/>
    </row>
    <row r="26" ht="32.25" spans="1:8">
      <c r="A26" s="36"/>
      <c r="B26" s="37"/>
      <c r="C26" s="29" t="s">
        <v>22</v>
      </c>
      <c r="D26" s="38">
        <f>'[1]1нед'!S88</f>
        <v>0</v>
      </c>
      <c r="E26" s="39">
        <f>'[1]1нед'!T88</f>
        <v>0</v>
      </c>
      <c r="F26" s="40">
        <f>'[1]1нед'!W88</f>
        <v>0</v>
      </c>
      <c r="G26" s="41" t="str">
        <f>'[1]1нед'!X88</f>
        <v/>
      </c>
      <c r="H26" s="56"/>
    </row>
    <row r="27" ht="18.4" hidden="1" customHeight="1" spans="1:8">
      <c r="A27" s="45"/>
      <c r="B27" s="46"/>
      <c r="C27" s="47"/>
      <c r="D27" s="48">
        <f>'[1]1нед'!S89</f>
        <v>0</v>
      </c>
      <c r="E27" s="49">
        <f>'[1]1нед'!T89</f>
        <v>0</v>
      </c>
      <c r="F27" s="50">
        <f>'[1]1нед'!W89</f>
        <v>0</v>
      </c>
      <c r="G27" s="51" t="str">
        <f>'[1]1нед'!X89</f>
        <v/>
      </c>
      <c r="H27" s="52"/>
    </row>
    <row r="28" ht="48" customHeight="1" spans="1:8">
      <c r="A28" s="27">
        <v>46267</v>
      </c>
      <c r="B28" s="57" t="s">
        <v>24</v>
      </c>
      <c r="C28" s="55" t="s">
        <v>16</v>
      </c>
      <c r="D28" s="30" t="str">
        <f>'[1]1нед'!S90</f>
        <v>л</v>
      </c>
      <c r="E28" s="31" t="str">
        <f>'[1]1нед'!T90</f>
        <v>Графика и анимация в 3D</v>
      </c>
      <c r="F28" s="32" t="str">
        <f>'[1]1нед'!W90</f>
        <v>Алешов В.В.</v>
      </c>
      <c r="G28" s="33" t="str">
        <f>'[1]1нед'!X90</f>
        <v>ст. преподаватель</v>
      </c>
      <c r="H28" s="75" t="s">
        <v>39</v>
      </c>
    </row>
    <row r="29" ht="33" spans="1:8">
      <c r="A29" s="36"/>
      <c r="B29" s="59"/>
      <c r="C29" s="29" t="s">
        <v>17</v>
      </c>
      <c r="D29" s="38" t="str">
        <f>'[1]1нед'!S91</f>
        <v>л</v>
      </c>
      <c r="E29" s="39" t="str">
        <f>'[1]1нед'!T91</f>
        <v>Графика и анимация в 3D</v>
      </c>
      <c r="F29" s="40" t="str">
        <f>'[1]1нед'!W91</f>
        <v>Алешов В.В.</v>
      </c>
      <c r="G29" s="41" t="str">
        <f>'[1]1нед'!X91</f>
        <v>ст. преподаватель</v>
      </c>
      <c r="H29" s="75" t="s">
        <v>39</v>
      </c>
    </row>
    <row r="30" ht="32.25" spans="1:8">
      <c r="A30" s="36"/>
      <c r="B30" s="59"/>
      <c r="C30" s="29" t="s">
        <v>18</v>
      </c>
      <c r="D30" s="38" t="str">
        <f>'[1]1нед'!S92</f>
        <v>пр</v>
      </c>
      <c r="E30" s="39" t="str">
        <f>'[1]1нед'!T92</f>
        <v>Физическая культура и спорт</v>
      </c>
      <c r="F30" s="40" t="str">
        <f>'[1]1нед'!W92</f>
        <v>Продан С.В.</v>
      </c>
      <c r="G30" s="41" t="str">
        <f>'[1]1нед'!X92</f>
        <v>преподаватель</v>
      </c>
      <c r="H30" s="75" t="s">
        <v>39</v>
      </c>
    </row>
    <row r="31" ht="31.5" spans="1:8">
      <c r="A31" s="36"/>
      <c r="B31" s="59"/>
      <c r="C31" s="29" t="s">
        <v>19</v>
      </c>
      <c r="D31" s="38">
        <f>'[1]1нед'!S93</f>
        <v>0</v>
      </c>
      <c r="E31" s="39">
        <f>'[1]1нед'!T93</f>
        <v>0</v>
      </c>
      <c r="F31" s="40">
        <f>'[1]1нед'!W93</f>
        <v>0</v>
      </c>
      <c r="G31" s="41" t="str">
        <f>'[1]1нед'!X93</f>
        <v/>
      </c>
      <c r="H31" s="42"/>
    </row>
    <row r="32" ht="31.5" spans="1:8">
      <c r="A32" s="36"/>
      <c r="B32" s="59"/>
      <c r="C32" s="29" t="s">
        <v>20</v>
      </c>
      <c r="D32" s="38">
        <f>'[1]1нед'!S94</f>
        <v>0</v>
      </c>
      <c r="E32" s="39">
        <f>'[1]1нед'!T94</f>
        <v>0</v>
      </c>
      <c r="F32" s="40">
        <f>'[1]1нед'!W94</f>
        <v>0</v>
      </c>
      <c r="G32" s="41" t="str">
        <f>'[1]1нед'!X94</f>
        <v/>
      </c>
      <c r="H32" s="42"/>
    </row>
    <row r="33" ht="31.5" spans="1:8">
      <c r="A33" s="36"/>
      <c r="B33" s="59"/>
      <c r="C33" s="29" t="s">
        <v>21</v>
      </c>
      <c r="D33" s="38">
        <f>'[1]1нед'!S95</f>
        <v>0</v>
      </c>
      <c r="E33" s="39">
        <f>'[1]1нед'!T95</f>
        <v>0</v>
      </c>
      <c r="F33" s="40">
        <f>'[1]1нед'!W95</f>
        <v>0</v>
      </c>
      <c r="G33" s="41" t="str">
        <f>'[1]1нед'!X95</f>
        <v/>
      </c>
      <c r="H33" s="42"/>
    </row>
    <row r="34" ht="32.25" spans="1:8">
      <c r="A34" s="36"/>
      <c r="B34" s="59"/>
      <c r="C34" s="29" t="s">
        <v>22</v>
      </c>
      <c r="D34" s="38">
        <f>'[1]1нед'!S96</f>
        <v>0</v>
      </c>
      <c r="E34" s="39">
        <f>'[1]1нед'!T96</f>
        <v>0</v>
      </c>
      <c r="F34" s="40">
        <f>'[1]1нед'!W96</f>
        <v>0</v>
      </c>
      <c r="G34" s="41" t="str">
        <f>'[1]1нед'!X96</f>
        <v/>
      </c>
      <c r="H34" s="42"/>
    </row>
    <row r="35" ht="18.4" hidden="1" customHeight="1" spans="1:8">
      <c r="A35" s="45"/>
      <c r="B35" s="61"/>
      <c r="C35" s="47"/>
      <c r="D35" s="48">
        <f>'[1]1нед'!S97</f>
        <v>0</v>
      </c>
      <c r="E35" s="49">
        <f>'[1]1нед'!T97</f>
        <v>0</v>
      </c>
      <c r="F35" s="50">
        <f>'[1]1нед'!W97</f>
        <v>0</v>
      </c>
      <c r="G35" s="51" t="str">
        <f>'[1]1нед'!X97</f>
        <v/>
      </c>
      <c r="H35" s="52"/>
    </row>
    <row r="36" ht="48" customHeight="1" spans="1:8">
      <c r="A36" s="27">
        <v>46268</v>
      </c>
      <c r="B36" s="28" t="s">
        <v>25</v>
      </c>
      <c r="C36" s="55" t="s">
        <v>16</v>
      </c>
      <c r="D36" s="30" t="str">
        <f>'[1]1нед'!S98</f>
        <v>л</v>
      </c>
      <c r="E36" s="31" t="str">
        <f>'[1]1нед'!T98</f>
        <v>Управление ИТ-проектами и гибкая методология</v>
      </c>
      <c r="F36" s="32" t="str">
        <f>'[1]1нед'!W98</f>
        <v>Гришин И.Ю.</v>
      </c>
      <c r="G36" s="33" t="str">
        <f>'[1]1нед'!X98</f>
        <v>профессор, д-р наук</v>
      </c>
      <c r="H36" s="75" t="s">
        <v>39</v>
      </c>
    </row>
    <row r="37" ht="38.25" spans="1:8">
      <c r="A37" s="36"/>
      <c r="B37" s="37"/>
      <c r="C37" s="29" t="s">
        <v>17</v>
      </c>
      <c r="D37" s="38" t="str">
        <f>'[1]1нед'!S99</f>
        <v>л</v>
      </c>
      <c r="E37" s="39" t="str">
        <f>'[1]1нед'!T99</f>
        <v>Управление ИТ-проектами и гибкая методология</v>
      </c>
      <c r="F37" s="40" t="str">
        <f>'[1]1нед'!W99</f>
        <v>Гришин И.Ю.</v>
      </c>
      <c r="G37" s="41" t="str">
        <f>'[1]1нед'!X99</f>
        <v>профессор, д-р наук</v>
      </c>
      <c r="H37" s="75" t="s">
        <v>39</v>
      </c>
    </row>
    <row r="38" ht="31.5" spans="1:8">
      <c r="A38" s="36"/>
      <c r="B38" s="37"/>
      <c r="C38" s="29" t="s">
        <v>18</v>
      </c>
      <c r="D38" s="38" t="str">
        <f>'[1]1нед'!S100</f>
        <v>л</v>
      </c>
      <c r="E38" s="39" t="str">
        <f>'[1]1нед'!T100</f>
        <v>Основы военной подготовки</v>
      </c>
      <c r="F38" s="40" t="str">
        <f>'[1]1нед'!W100</f>
        <v>Кулак А.Ф.</v>
      </c>
      <c r="G38" s="41" t="str">
        <f>'[1]1нед'!X100</f>
        <v>преподаватель</v>
      </c>
      <c r="H38" s="74" t="s">
        <v>40</v>
      </c>
    </row>
    <row r="39" ht="31.5" spans="1:8">
      <c r="A39" s="36"/>
      <c r="B39" s="37"/>
      <c r="C39" s="29" t="s">
        <v>19</v>
      </c>
      <c r="D39" s="38" t="str">
        <f>'[1]1нед'!S101</f>
        <v>л</v>
      </c>
      <c r="E39" s="39" t="str">
        <f>'[1]1нед'!T101</f>
        <v>Основы военной подготовки</v>
      </c>
      <c r="F39" s="40" t="str">
        <f>'[1]1нед'!W101</f>
        <v>Кулак А.Ф.</v>
      </c>
      <c r="G39" s="41" t="str">
        <f>'[1]1нед'!X101</f>
        <v>преподаватель</v>
      </c>
      <c r="H39" s="74" t="s">
        <v>40</v>
      </c>
    </row>
    <row r="40" ht="31.5" spans="1:8">
      <c r="A40" s="36"/>
      <c r="B40" s="37"/>
      <c r="C40" s="29" t="s">
        <v>20</v>
      </c>
      <c r="D40" s="38">
        <f>'[1]1нед'!S102</f>
        <v>0</v>
      </c>
      <c r="E40" s="39">
        <f>'[1]1нед'!T102</f>
        <v>0</v>
      </c>
      <c r="F40" s="40">
        <f>'[1]1нед'!W102</f>
        <v>0</v>
      </c>
      <c r="G40" s="41" t="str">
        <f>'[1]1нед'!X102</f>
        <v/>
      </c>
      <c r="H40" s="42"/>
    </row>
    <row r="41" ht="31.5" spans="1:8">
      <c r="A41" s="36"/>
      <c r="B41" s="37"/>
      <c r="C41" s="29" t="s">
        <v>21</v>
      </c>
      <c r="D41" s="38">
        <f>'[1]1нед'!S103</f>
        <v>0</v>
      </c>
      <c r="E41" s="39">
        <f>'[1]1нед'!T103</f>
        <v>0</v>
      </c>
      <c r="F41" s="40">
        <f>'[1]1нед'!W103</f>
        <v>0</v>
      </c>
      <c r="G41" s="41" t="str">
        <f>'[1]1нед'!X103</f>
        <v/>
      </c>
      <c r="H41" s="56"/>
    </row>
    <row r="42" ht="32.25" spans="1:8">
      <c r="A42" s="36"/>
      <c r="B42" s="37"/>
      <c r="C42" s="29" t="s">
        <v>22</v>
      </c>
      <c r="D42" s="38">
        <f>'[1]1нед'!S104</f>
        <v>0</v>
      </c>
      <c r="E42" s="39">
        <f>'[1]1нед'!T104</f>
        <v>0</v>
      </c>
      <c r="F42" s="40">
        <f>'[1]1нед'!W104</f>
        <v>0</v>
      </c>
      <c r="G42" s="41" t="str">
        <f>'[1]1нед'!X104</f>
        <v/>
      </c>
      <c r="H42" s="56"/>
    </row>
    <row r="43" ht="18.4" hidden="1" customHeight="1" spans="1:8">
      <c r="A43" s="45"/>
      <c r="B43" s="46"/>
      <c r="C43" s="47"/>
      <c r="D43" s="48">
        <f>'[1]1нед'!S105</f>
        <v>0</v>
      </c>
      <c r="E43" s="49">
        <f>'[1]1нед'!T105</f>
        <v>0</v>
      </c>
      <c r="F43" s="50">
        <f>'[1]1нед'!W105</f>
        <v>0</v>
      </c>
      <c r="G43" s="51" t="str">
        <f>'[1]1нед'!X105</f>
        <v/>
      </c>
      <c r="H43" s="52"/>
    </row>
    <row r="44" ht="48" customHeight="1" spans="1:8">
      <c r="A44" s="27">
        <v>46269</v>
      </c>
      <c r="B44" s="28" t="s">
        <v>26</v>
      </c>
      <c r="C44" s="55" t="s">
        <v>16</v>
      </c>
      <c r="D44" s="30" t="str">
        <f>'[1]1нед'!S106</f>
        <v>л</v>
      </c>
      <c r="E44" s="31" t="str">
        <f>'[1]1нед'!T106</f>
        <v>Управление ИТ-проектами и гибкая методология</v>
      </c>
      <c r="F44" s="32" t="str">
        <f>'[1]1нед'!W106</f>
        <v>Гришин И.Ю.</v>
      </c>
      <c r="G44" s="33" t="str">
        <f>'[1]1нед'!X106</f>
        <v>профессор, д-р наук</v>
      </c>
      <c r="H44" s="75" t="s">
        <v>39</v>
      </c>
    </row>
    <row r="45" ht="33" spans="1:8">
      <c r="A45" s="36"/>
      <c r="B45" s="37"/>
      <c r="C45" s="29" t="s">
        <v>17</v>
      </c>
      <c r="D45" s="38" t="str">
        <f>'[1]1нед'!S107</f>
        <v>л</v>
      </c>
      <c r="E45" s="39" t="str">
        <f>'[1]1нед'!T107</f>
        <v>Компьютерная безопасность</v>
      </c>
      <c r="F45" s="40" t="str">
        <f>'[1]1нед'!W107</f>
        <v>Алешов Е.В.</v>
      </c>
      <c r="G45" s="41" t="str">
        <f>'[1]1нед'!X107</f>
        <v>преподаватель</v>
      </c>
      <c r="H45" s="75" t="s">
        <v>39</v>
      </c>
    </row>
    <row r="46" ht="32.25" spans="1:8">
      <c r="A46" s="36"/>
      <c r="B46" s="37"/>
      <c r="C46" s="29" t="s">
        <v>18</v>
      </c>
      <c r="D46" s="38" t="str">
        <f>'[1]1нед'!S108</f>
        <v>пр</v>
      </c>
      <c r="E46" s="39" t="str">
        <f>'[1]1нед'!T108</f>
        <v>Компьютерная безопасность</v>
      </c>
      <c r="F46" s="40" t="str">
        <f>'[1]1нед'!W108</f>
        <v>Алешов Е.В.</v>
      </c>
      <c r="G46" s="41" t="str">
        <f>'[1]1нед'!X108</f>
        <v>преподаватель</v>
      </c>
      <c r="H46" s="75" t="s">
        <v>39</v>
      </c>
    </row>
    <row r="47" ht="31.5" spans="1:8">
      <c r="A47" s="36"/>
      <c r="B47" s="37"/>
      <c r="C47" s="29" t="s">
        <v>19</v>
      </c>
      <c r="D47" s="38">
        <f>'[1]1нед'!S109</f>
        <v>0</v>
      </c>
      <c r="E47" s="39">
        <f>'[1]1нед'!T109</f>
        <v>0</v>
      </c>
      <c r="F47" s="40">
        <f>'[1]1нед'!W109</f>
        <v>0</v>
      </c>
      <c r="G47" s="41" t="str">
        <f>'[1]1нед'!X109</f>
        <v/>
      </c>
      <c r="H47" s="42"/>
    </row>
    <row r="48" ht="31.5" spans="1:8">
      <c r="A48" s="36"/>
      <c r="B48" s="37"/>
      <c r="C48" s="29" t="s">
        <v>20</v>
      </c>
      <c r="D48" s="38">
        <f>'[1]1нед'!S110</f>
        <v>0</v>
      </c>
      <c r="E48" s="39">
        <f>'[1]1нед'!T110</f>
        <v>0</v>
      </c>
      <c r="F48" s="40">
        <f>'[1]1нед'!W110</f>
        <v>0</v>
      </c>
      <c r="G48" s="41" t="str">
        <f>'[1]1нед'!X110</f>
        <v/>
      </c>
      <c r="H48" s="42"/>
    </row>
    <row r="49" ht="31.5" spans="1:8">
      <c r="A49" s="36"/>
      <c r="B49" s="37"/>
      <c r="C49" s="29" t="s">
        <v>21</v>
      </c>
      <c r="D49" s="38">
        <f>'[1]1нед'!S111</f>
        <v>0</v>
      </c>
      <c r="E49" s="39">
        <f>'[1]1нед'!T111</f>
        <v>0</v>
      </c>
      <c r="F49" s="40">
        <f>'[1]1нед'!W111</f>
        <v>0</v>
      </c>
      <c r="G49" s="41" t="str">
        <f>'[1]1нед'!X111</f>
        <v/>
      </c>
      <c r="H49" s="42"/>
    </row>
    <row r="50" ht="32.25" spans="1:8">
      <c r="A50" s="36"/>
      <c r="B50" s="37"/>
      <c r="C50" s="29" t="s">
        <v>22</v>
      </c>
      <c r="D50" s="38">
        <f>'[1]1нед'!S112</f>
        <v>0</v>
      </c>
      <c r="E50" s="39">
        <f>'[1]1нед'!T112</f>
        <v>0</v>
      </c>
      <c r="F50" s="40">
        <f>'[1]1нед'!W112</f>
        <v>0</v>
      </c>
      <c r="G50" s="41" t="str">
        <f>'[1]1нед'!X112</f>
        <v/>
      </c>
      <c r="H50" s="42"/>
    </row>
    <row r="51" ht="18.4" hidden="1" customHeight="1" spans="1:8">
      <c r="A51" s="45"/>
      <c r="B51" s="46"/>
      <c r="C51" s="47"/>
      <c r="D51" s="48">
        <f>'[1]1нед'!S113</f>
        <v>0</v>
      </c>
      <c r="E51" s="49">
        <f>'[1]1нед'!T113</f>
        <v>0</v>
      </c>
      <c r="F51" s="50">
        <f>'[1]1нед'!W113</f>
        <v>0</v>
      </c>
      <c r="G51" s="51" t="str">
        <f>'[1]1нед'!X113</f>
        <v/>
      </c>
      <c r="H51" s="52"/>
    </row>
    <row r="52" ht="48" customHeight="1" spans="1:8">
      <c r="A52" s="27">
        <v>46270</v>
      </c>
      <c r="B52" s="28" t="s">
        <v>27</v>
      </c>
      <c r="C52" s="55" t="s">
        <v>16</v>
      </c>
      <c r="D52" s="30">
        <f>'[1]1нед'!S114</f>
        <v>0</v>
      </c>
      <c r="E52" s="31">
        <f>'[1]1нед'!T114</f>
        <v>0</v>
      </c>
      <c r="F52" s="32">
        <f>'[1]1нед'!W114</f>
        <v>0</v>
      </c>
      <c r="G52" s="33" t="str">
        <f>'[1]1нед'!X114</f>
        <v/>
      </c>
      <c r="H52" s="34"/>
    </row>
    <row r="53" ht="31.5" spans="1:8">
      <c r="A53" s="36"/>
      <c r="B53" s="37"/>
      <c r="C53" s="29" t="s">
        <v>17</v>
      </c>
      <c r="D53" s="38">
        <f>'[1]1нед'!S115</f>
        <v>0</v>
      </c>
      <c r="E53" s="39">
        <f>'[1]1нед'!T115</f>
        <v>0</v>
      </c>
      <c r="F53" s="40">
        <f>'[1]1нед'!W115</f>
        <v>0</v>
      </c>
      <c r="G53" s="41" t="str">
        <f>'[1]1нед'!X115</f>
        <v/>
      </c>
      <c r="H53" s="42"/>
    </row>
    <row r="54" ht="31.5" spans="1:8">
      <c r="A54" s="36"/>
      <c r="B54" s="37"/>
      <c r="C54" s="29" t="s">
        <v>18</v>
      </c>
      <c r="D54" s="38">
        <f>'[1]1нед'!S116</f>
        <v>0</v>
      </c>
      <c r="E54" s="39">
        <f>'[1]1нед'!T116</f>
        <v>0</v>
      </c>
      <c r="F54" s="40">
        <f>'[1]1нед'!W116</f>
        <v>0</v>
      </c>
      <c r="G54" s="41" t="str">
        <f>'[1]1нед'!X116</f>
        <v/>
      </c>
      <c r="H54" s="42"/>
    </row>
    <row r="55" ht="31.5" spans="1:8">
      <c r="A55" s="36"/>
      <c r="B55" s="37"/>
      <c r="C55" s="29" t="s">
        <v>19</v>
      </c>
      <c r="D55" s="38">
        <f>'[1]1нед'!S117</f>
        <v>0</v>
      </c>
      <c r="E55" s="39">
        <f>'[1]1нед'!T117</f>
        <v>0</v>
      </c>
      <c r="F55" s="40">
        <f>'[1]1нед'!W117</f>
        <v>0</v>
      </c>
      <c r="G55" s="41" t="str">
        <f>'[1]1нед'!X117</f>
        <v/>
      </c>
      <c r="H55" s="42"/>
    </row>
    <row r="56" ht="31.5" spans="1:8">
      <c r="A56" s="36"/>
      <c r="B56" s="37"/>
      <c r="C56" s="29" t="s">
        <v>20</v>
      </c>
      <c r="D56" s="38">
        <f>'[1]1нед'!S118</f>
        <v>0</v>
      </c>
      <c r="E56" s="39">
        <f>'[1]1нед'!T118</f>
        <v>0</v>
      </c>
      <c r="F56" s="40">
        <f>'[1]1нед'!W118</f>
        <v>0</v>
      </c>
      <c r="G56" s="41" t="str">
        <f>'[1]1нед'!X118</f>
        <v/>
      </c>
      <c r="H56" s="42"/>
    </row>
    <row r="57" ht="31.5" spans="1:8">
      <c r="A57" s="36"/>
      <c r="B57" s="37"/>
      <c r="C57" s="29" t="s">
        <v>21</v>
      </c>
      <c r="D57" s="38">
        <f>'[1]1нед'!S119</f>
        <v>0</v>
      </c>
      <c r="E57" s="39">
        <f>'[1]1нед'!T119</f>
        <v>0</v>
      </c>
      <c r="F57" s="40">
        <f>'[1]1нед'!W119</f>
        <v>0</v>
      </c>
      <c r="G57" s="41" t="str">
        <f>'[1]1нед'!X119</f>
        <v/>
      </c>
      <c r="H57" s="42"/>
    </row>
    <row r="58" ht="32.25" spans="1:8">
      <c r="A58" s="36"/>
      <c r="B58" s="37"/>
      <c r="C58" s="29" t="s">
        <v>22</v>
      </c>
      <c r="D58" s="38">
        <f>'[1]1нед'!S120</f>
        <v>0</v>
      </c>
      <c r="E58" s="39">
        <f>'[1]1нед'!T120</f>
        <v>0</v>
      </c>
      <c r="F58" s="40">
        <f>'[1]1нед'!W120</f>
        <v>0</v>
      </c>
      <c r="G58" s="41" t="str">
        <f>'[1]1нед'!X120</f>
        <v/>
      </c>
      <c r="H58" s="42"/>
    </row>
    <row r="59" ht="18.4" hidden="1" customHeight="1" spans="1:8">
      <c r="A59" s="45"/>
      <c r="B59" s="46"/>
      <c r="C59" s="47"/>
      <c r="D59" s="48">
        <f>'[1]1нед'!S59</f>
        <v>0</v>
      </c>
      <c r="E59" s="49">
        <f>'[1]1нед'!T59</f>
        <v>0</v>
      </c>
      <c r="F59" s="50">
        <f>'[1]1нед'!W59</f>
        <v>0</v>
      </c>
      <c r="G59" s="51" t="str">
        <f>'[1]1нед'!X59</f>
        <v/>
      </c>
      <c r="H59" s="52"/>
    </row>
    <row r="60" ht="39" customHeight="1" spans="1:8">
      <c r="A60" s="64"/>
      <c r="B60" s="65"/>
      <c r="C60" s="66"/>
      <c r="D60" s="67"/>
      <c r="E60" s="67" t="s">
        <v>28</v>
      </c>
      <c r="F60" s="67"/>
      <c r="G60" s="68" t="s">
        <v>29</v>
      </c>
      <c r="H60" s="69"/>
    </row>
  </sheetData>
  <mergeCells count="19">
    <mergeCell ref="B6:H6"/>
    <mergeCell ref="B8:D8"/>
    <mergeCell ref="E8:H8"/>
    <mergeCell ref="B9:D9"/>
    <mergeCell ref="B10:D10"/>
    <mergeCell ref="A11:B11"/>
    <mergeCell ref="F11:G11"/>
    <mergeCell ref="A12:A19"/>
    <mergeCell ref="A20:A27"/>
    <mergeCell ref="A28:A35"/>
    <mergeCell ref="A36:A43"/>
    <mergeCell ref="A44:A51"/>
    <mergeCell ref="A52:A59"/>
    <mergeCell ref="B12:B19"/>
    <mergeCell ref="B20:B27"/>
    <mergeCell ref="B28:B35"/>
    <mergeCell ref="B36:B43"/>
    <mergeCell ref="B44:B51"/>
    <mergeCell ref="B52:B59"/>
  </mergeCells>
  <pageMargins left="0.708661417322835" right="0.708661417322835" top="0.748031496062992" bottom="0.748031496062992" header="0.31496062992126" footer="0.31496062992126"/>
  <pageSetup paperSize="9" scale="40" orientation="portrait"/>
  <headerFooter/>
  <rowBreaks count="8" manualBreakCount="8">
    <brk id="60" max="16383" man="1"/>
  </rowBreaks>
  <colBreaks count="1" manualBreakCount="1">
    <brk id="8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60"/>
  <sheetViews>
    <sheetView view="pageBreakPreview" zoomScale="47" zoomScaleNormal="55" topLeftCell="A49" workbookViewId="0">
      <selection activeCell="A61" sqref="$A61:$XFD546"/>
    </sheetView>
  </sheetViews>
  <sheetFormatPr defaultColWidth="9" defaultRowHeight="12.75" outlineLevelCol="7"/>
  <cols>
    <col min="1" max="1" width="5.85714285714286" customWidth="1"/>
    <col min="2" max="2" width="4.14285714285714" customWidth="1"/>
    <col min="3" max="3" width="13.5714285714286" customWidth="1"/>
    <col min="4" max="4" width="11.8571428571429" customWidth="1"/>
    <col min="5" max="5" width="51.5714285714286" customWidth="1"/>
    <col min="6" max="6" width="28" customWidth="1"/>
    <col min="7" max="7" width="30" customWidth="1"/>
    <col min="8" max="8" width="72.2857142857143" style="1" customWidth="1"/>
  </cols>
  <sheetData>
    <row r="1" ht="15.75" spans="1:8">
      <c r="A1" s="2"/>
      <c r="B1" s="3"/>
      <c r="C1" s="4"/>
      <c r="D1" s="5"/>
      <c r="E1" s="5"/>
      <c r="F1" s="5"/>
      <c r="G1" s="5"/>
      <c r="H1" s="6" t="s">
        <v>0</v>
      </c>
    </row>
    <row r="2" ht="15.75" spans="1:8">
      <c r="A2" s="2"/>
      <c r="B2" s="3"/>
      <c r="C2" s="4"/>
      <c r="D2" s="5"/>
      <c r="E2" s="5"/>
      <c r="F2" s="5"/>
      <c r="G2" s="5"/>
      <c r="H2" s="6" t="s">
        <v>1</v>
      </c>
    </row>
    <row r="3" ht="15.75" spans="1:8">
      <c r="A3" s="2"/>
      <c r="B3" s="3"/>
      <c r="C3" s="4"/>
      <c r="D3" s="5"/>
      <c r="E3" s="5"/>
      <c r="F3" s="5"/>
      <c r="G3" s="5"/>
      <c r="H3" s="6" t="s">
        <v>2</v>
      </c>
    </row>
    <row r="4" ht="15.75" spans="1:8">
      <c r="A4" s="2"/>
      <c r="B4" s="3"/>
      <c r="C4" s="4"/>
      <c r="D4" s="5"/>
      <c r="E4" s="5"/>
      <c r="F4" s="5"/>
      <c r="G4" s="5"/>
      <c r="H4" s="6" t="s">
        <v>3</v>
      </c>
    </row>
    <row r="5" ht="15.75" spans="1:8">
      <c r="A5" s="2"/>
      <c r="B5" s="7"/>
      <c r="C5" s="4"/>
      <c r="D5" s="5"/>
      <c r="E5" s="5"/>
      <c r="F5" s="5"/>
      <c r="G5" s="5"/>
      <c r="H5" s="5"/>
    </row>
    <row r="6" ht="15.75" spans="1:8">
      <c r="A6" s="2"/>
      <c r="B6" s="8" t="s">
        <v>4</v>
      </c>
      <c r="C6" s="8"/>
      <c r="D6" s="8"/>
      <c r="E6" s="8"/>
      <c r="F6" s="8"/>
      <c r="G6" s="8"/>
      <c r="H6" s="8"/>
    </row>
    <row r="7" ht="15.75" spans="1:8">
      <c r="A7" s="9"/>
      <c r="B7" s="10" t="str">
        <f>'[1]1нед'!$A$6</f>
        <v>Направление подготовки:</v>
      </c>
      <c r="C7" s="11"/>
      <c r="D7" s="12"/>
      <c r="E7" s="13" t="str">
        <f>'[1]1нед'!$D$130</f>
        <v>09.03.04Программная инженерия (Программно-информационные системы)</v>
      </c>
      <c r="F7" s="12"/>
      <c r="G7" s="12"/>
      <c r="H7" s="14" t="str">
        <f>'[1]1нед'!$D$134</f>
        <v>12-23ПИ</v>
      </c>
    </row>
    <row r="8" ht="15.75" spans="1:8">
      <c r="A8" s="2"/>
      <c r="B8" s="10" t="s">
        <v>5</v>
      </c>
      <c r="C8" s="10"/>
      <c r="D8" s="10"/>
      <c r="E8" s="10" t="s">
        <v>6</v>
      </c>
      <c r="F8" s="10"/>
      <c r="G8" s="10"/>
      <c r="H8" s="10"/>
    </row>
    <row r="9" ht="15.75" spans="1:8">
      <c r="A9" s="2"/>
      <c r="B9" s="10" t="s">
        <v>7</v>
      </c>
      <c r="C9" s="10"/>
      <c r="D9" s="10"/>
      <c r="E9" s="10">
        <v>4</v>
      </c>
      <c r="F9" s="10"/>
      <c r="G9" s="10"/>
      <c r="H9" s="15"/>
    </row>
    <row r="10" ht="16.5" spans="1:8">
      <c r="A10" s="2"/>
      <c r="B10" s="16" t="s">
        <v>8</v>
      </c>
      <c r="C10" s="16"/>
      <c r="D10" s="16"/>
      <c r="E10" s="16">
        <v>1</v>
      </c>
      <c r="F10" s="16"/>
      <c r="G10" s="16"/>
      <c r="H10" s="17"/>
    </row>
    <row r="11" ht="46.5" customHeight="1" spans="1:8">
      <c r="A11" s="19" t="s">
        <v>9</v>
      </c>
      <c r="B11" s="20"/>
      <c r="C11" s="21" t="s">
        <v>10</v>
      </c>
      <c r="D11" s="22" t="s">
        <v>11</v>
      </c>
      <c r="E11" s="23" t="s">
        <v>12</v>
      </c>
      <c r="F11" s="24" t="s">
        <v>13</v>
      </c>
      <c r="G11" s="25"/>
      <c r="H11" s="26" t="s">
        <v>14</v>
      </c>
    </row>
    <row r="12" ht="32.25" customHeight="1" spans="1:8">
      <c r="A12" s="27">
        <v>46265</v>
      </c>
      <c r="B12" s="28" t="s">
        <v>15</v>
      </c>
      <c r="C12" s="29" t="s">
        <v>16</v>
      </c>
      <c r="D12" s="30">
        <f>'[1]1нед'!C136</f>
        <v>0</v>
      </c>
      <c r="E12" s="31">
        <f>'[1]1нед'!D136</f>
        <v>0</v>
      </c>
      <c r="F12" s="32">
        <f>'[1]1нед'!G136</f>
        <v>0</v>
      </c>
      <c r="G12" s="33" t="str">
        <f>'[1]1нед'!H136</f>
        <v/>
      </c>
      <c r="H12" s="34"/>
    </row>
    <row r="13" ht="31.5" spans="1:8">
      <c r="A13" s="36"/>
      <c r="B13" s="37"/>
      <c r="C13" s="29" t="s">
        <v>17</v>
      </c>
      <c r="D13" s="38">
        <f>'[1]1нед'!C137</f>
        <v>0</v>
      </c>
      <c r="E13" s="39">
        <f>'[1]1нед'!D137</f>
        <v>0</v>
      </c>
      <c r="F13" s="40">
        <f>'[1]1нед'!G137</f>
        <v>0</v>
      </c>
      <c r="G13" s="41" t="str">
        <f>'[1]1нед'!H137</f>
        <v/>
      </c>
      <c r="H13" s="42"/>
    </row>
    <row r="14" ht="31.5" spans="1:8">
      <c r="A14" s="36"/>
      <c r="B14" s="37"/>
      <c r="C14" s="29" t="s">
        <v>18</v>
      </c>
      <c r="D14" s="38">
        <f>'[1]1нед'!C138</f>
        <v>0</v>
      </c>
      <c r="E14" s="39">
        <f>'[1]1нед'!D138</f>
        <v>0</v>
      </c>
      <c r="F14" s="40">
        <f>'[1]1нед'!G138</f>
        <v>0</v>
      </c>
      <c r="G14" s="41" t="str">
        <f>'[1]1нед'!H138</f>
        <v/>
      </c>
      <c r="H14" s="42"/>
    </row>
    <row r="15" ht="31.5" spans="1:8">
      <c r="A15" s="36"/>
      <c r="B15" s="37"/>
      <c r="C15" s="29" t="s">
        <v>19</v>
      </c>
      <c r="D15" s="38">
        <f>'[1]1нед'!C139</f>
        <v>0</v>
      </c>
      <c r="E15" s="39">
        <f>'[1]1нед'!D139</f>
        <v>0</v>
      </c>
      <c r="F15" s="40">
        <f>'[1]1нед'!G139</f>
        <v>0</v>
      </c>
      <c r="G15" s="41" t="str">
        <f>'[1]1нед'!H139</f>
        <v/>
      </c>
      <c r="H15" s="42"/>
    </row>
    <row r="16" ht="31.5" spans="1:8">
      <c r="A16" s="36"/>
      <c r="B16" s="37"/>
      <c r="C16" s="29" t="s">
        <v>20</v>
      </c>
      <c r="D16" s="38">
        <f>'[1]1нед'!C140</f>
        <v>0</v>
      </c>
      <c r="E16" s="39">
        <f>'[1]1нед'!D140</f>
        <v>0</v>
      </c>
      <c r="F16" s="40">
        <f>'[1]1нед'!G140</f>
        <v>0</v>
      </c>
      <c r="G16" s="41" t="str">
        <f>'[1]1нед'!H140</f>
        <v/>
      </c>
      <c r="H16" s="42"/>
    </row>
    <row r="17" ht="31.5" spans="1:8">
      <c r="A17" s="36"/>
      <c r="B17" s="37"/>
      <c r="C17" s="29" t="s">
        <v>21</v>
      </c>
      <c r="D17" s="38">
        <f>'[1]1нед'!C141</f>
        <v>0</v>
      </c>
      <c r="E17" s="39">
        <f>'[1]1нед'!D141</f>
        <v>0</v>
      </c>
      <c r="F17" s="40">
        <f>'[1]1нед'!G141</f>
        <v>0</v>
      </c>
      <c r="G17" s="41" t="str">
        <f>'[1]1нед'!H141</f>
        <v/>
      </c>
      <c r="H17" s="56"/>
    </row>
    <row r="18" ht="32.25" spans="1:8">
      <c r="A18" s="36"/>
      <c r="B18" s="37"/>
      <c r="C18" s="29" t="s">
        <v>22</v>
      </c>
      <c r="D18" s="38">
        <f>'[1]1нед'!C142</f>
        <v>0</v>
      </c>
      <c r="E18" s="39">
        <f>'[1]1нед'!D142</f>
        <v>0</v>
      </c>
      <c r="F18" s="40">
        <f>'[1]1нед'!G142</f>
        <v>0</v>
      </c>
      <c r="G18" s="41" t="str">
        <f>'[1]1нед'!H142</f>
        <v/>
      </c>
      <c r="H18" s="56"/>
    </row>
    <row r="19" ht="18.4" hidden="1" customHeight="1" spans="1:8">
      <c r="A19" s="45"/>
      <c r="B19" s="46"/>
      <c r="C19" s="47"/>
      <c r="D19" s="48">
        <f>'[1]1нед'!C143</f>
        <v>0</v>
      </c>
      <c r="E19" s="49">
        <f>'[1]1нед'!D143</f>
        <v>0</v>
      </c>
      <c r="F19" s="50">
        <f>'[1]1нед'!G143</f>
        <v>0</v>
      </c>
      <c r="G19" s="51" t="str">
        <f>'[1]1нед'!H143</f>
        <v/>
      </c>
      <c r="H19" s="52"/>
    </row>
    <row r="20" ht="32.25" customHeight="1" spans="1:8">
      <c r="A20" s="27">
        <v>46266</v>
      </c>
      <c r="B20" s="28" t="s">
        <v>23</v>
      </c>
      <c r="C20" s="55" t="s">
        <v>16</v>
      </c>
      <c r="D20" s="30">
        <f>'[1]1нед'!C144</f>
        <v>0</v>
      </c>
      <c r="E20" s="31">
        <f>'[1]1нед'!D144</f>
        <v>0</v>
      </c>
      <c r="F20" s="32">
        <f>'[1]1нед'!G144</f>
        <v>0</v>
      </c>
      <c r="G20" s="33" t="str">
        <f>'[1]1нед'!H144</f>
        <v/>
      </c>
      <c r="H20" s="34"/>
    </row>
    <row r="21" ht="31.5" spans="1:8">
      <c r="A21" s="36"/>
      <c r="B21" s="37"/>
      <c r="C21" s="29" t="s">
        <v>17</v>
      </c>
      <c r="D21" s="38">
        <f>'[1]1нед'!C145</f>
        <v>0</v>
      </c>
      <c r="E21" s="39">
        <f>'[1]1нед'!D145</f>
        <v>0</v>
      </c>
      <c r="F21" s="40">
        <f>'[1]1нед'!G145</f>
        <v>0</v>
      </c>
      <c r="G21" s="41" t="str">
        <f>'[1]1нед'!H145</f>
        <v/>
      </c>
      <c r="H21" s="42"/>
    </row>
    <row r="22" ht="31.5" spans="1:8">
      <c r="A22" s="36"/>
      <c r="B22" s="37"/>
      <c r="C22" s="29" t="s">
        <v>18</v>
      </c>
      <c r="D22" s="38">
        <f>'[1]1нед'!C146</f>
        <v>0</v>
      </c>
      <c r="E22" s="39">
        <f>'[1]1нед'!D146</f>
        <v>0</v>
      </c>
      <c r="F22" s="40">
        <f>'[1]1нед'!G146</f>
        <v>0</v>
      </c>
      <c r="G22" s="41" t="str">
        <f>'[1]1нед'!H146</f>
        <v/>
      </c>
      <c r="H22" s="42"/>
    </row>
    <row r="23" ht="31.5" spans="1:8">
      <c r="A23" s="36"/>
      <c r="B23" s="37"/>
      <c r="C23" s="29" t="s">
        <v>19</v>
      </c>
      <c r="D23" s="38">
        <f>'[1]1нед'!C147</f>
        <v>0</v>
      </c>
      <c r="E23" s="39">
        <f>'[1]1нед'!D147</f>
        <v>0</v>
      </c>
      <c r="F23" s="40">
        <f>'[1]1нед'!G147</f>
        <v>0</v>
      </c>
      <c r="G23" s="41" t="str">
        <f>'[1]1нед'!H147</f>
        <v/>
      </c>
      <c r="H23" s="42"/>
    </row>
    <row r="24" ht="31.5" spans="1:8">
      <c r="A24" s="36"/>
      <c r="B24" s="37"/>
      <c r="C24" s="29" t="s">
        <v>20</v>
      </c>
      <c r="D24" s="38">
        <f>'[1]1нед'!C148</f>
        <v>0</v>
      </c>
      <c r="E24" s="39">
        <f>'[1]1нед'!D148</f>
        <v>0</v>
      </c>
      <c r="F24" s="40">
        <f>'[1]1нед'!G148</f>
        <v>0</v>
      </c>
      <c r="G24" s="41" t="str">
        <f>'[1]1нед'!H148</f>
        <v/>
      </c>
      <c r="H24" s="42"/>
    </row>
    <row r="25" ht="31.5" spans="1:8">
      <c r="A25" s="36"/>
      <c r="B25" s="37"/>
      <c r="C25" s="29" t="s">
        <v>21</v>
      </c>
      <c r="D25" s="38">
        <f>'[1]1нед'!C149</f>
        <v>0</v>
      </c>
      <c r="E25" s="39">
        <f>'[1]1нед'!D149</f>
        <v>0</v>
      </c>
      <c r="F25" s="40">
        <f>'[1]1нед'!G149</f>
        <v>0</v>
      </c>
      <c r="G25" s="41" t="str">
        <f>'[1]1нед'!H149</f>
        <v/>
      </c>
      <c r="H25" s="56"/>
    </row>
    <row r="26" ht="32.25" spans="1:8">
      <c r="A26" s="36"/>
      <c r="B26" s="37"/>
      <c r="C26" s="29" t="s">
        <v>22</v>
      </c>
      <c r="D26" s="38">
        <f>'[1]1нед'!C150</f>
        <v>0</v>
      </c>
      <c r="E26" s="39">
        <f>'[1]1нед'!D150</f>
        <v>0</v>
      </c>
      <c r="F26" s="40">
        <f>'[1]1нед'!G150</f>
        <v>0</v>
      </c>
      <c r="G26" s="41" t="str">
        <f>'[1]1нед'!H150</f>
        <v/>
      </c>
      <c r="H26" s="56"/>
    </row>
    <row r="27" ht="18.4" hidden="1" customHeight="1" spans="1:8">
      <c r="A27" s="45"/>
      <c r="B27" s="46"/>
      <c r="C27" s="47"/>
      <c r="D27" s="48">
        <f>'[1]1нед'!C151</f>
        <v>0</v>
      </c>
      <c r="E27" s="49">
        <f>'[1]1нед'!D151</f>
        <v>0</v>
      </c>
      <c r="F27" s="50">
        <f>'[1]1нед'!G151</f>
        <v>0</v>
      </c>
      <c r="G27" s="51" t="str">
        <f>'[1]1нед'!H151</f>
        <v/>
      </c>
      <c r="H27" s="52"/>
    </row>
    <row r="28" ht="48" customHeight="1" spans="1:8">
      <c r="A28" s="27">
        <v>46267</v>
      </c>
      <c r="B28" s="57" t="s">
        <v>24</v>
      </c>
      <c r="C28" s="55" t="s">
        <v>16</v>
      </c>
      <c r="D28" s="30">
        <f>'[1]1нед'!C152</f>
        <v>0</v>
      </c>
      <c r="E28" s="31">
        <f>'[1]1нед'!D152</f>
        <v>0</v>
      </c>
      <c r="F28" s="32">
        <f>'[1]1нед'!G152</f>
        <v>0</v>
      </c>
      <c r="G28" s="33" t="str">
        <f>'[1]1нед'!H152</f>
        <v/>
      </c>
      <c r="H28" s="34"/>
    </row>
    <row r="29" ht="31.5" spans="1:8">
      <c r="A29" s="36"/>
      <c r="B29" s="59"/>
      <c r="C29" s="29" t="s">
        <v>17</v>
      </c>
      <c r="D29" s="38">
        <f>'[1]1нед'!C153</f>
        <v>0</v>
      </c>
      <c r="E29" s="39">
        <f>'[1]1нед'!D153</f>
        <v>0</v>
      </c>
      <c r="F29" s="40">
        <f>'[1]1нед'!G153</f>
        <v>0</v>
      </c>
      <c r="G29" s="41" t="str">
        <f>'[1]1нед'!H153</f>
        <v/>
      </c>
      <c r="H29" s="42"/>
    </row>
    <row r="30" ht="37.5" spans="1:8">
      <c r="A30" s="36"/>
      <c r="B30" s="59"/>
      <c r="C30" s="29" t="s">
        <v>18</v>
      </c>
      <c r="D30" s="38" t="str">
        <f>'[1]1нед'!C154</f>
        <v>л</v>
      </c>
      <c r="E30" s="39" t="str">
        <f>'[1]1нед'!D154</f>
        <v>Продвинутые технологии искусственного интеллекта</v>
      </c>
      <c r="F30" s="40" t="str">
        <f>'[1]1нед'!G154</f>
        <v>Алешов В.В.</v>
      </c>
      <c r="G30" s="41" t="str">
        <f>'[1]1нед'!H154</f>
        <v>ст. преподаватель</v>
      </c>
      <c r="H30" s="72" t="s">
        <v>41</v>
      </c>
    </row>
    <row r="31" ht="37.5" spans="1:8">
      <c r="A31" s="36"/>
      <c r="B31" s="59"/>
      <c r="C31" s="29" t="s">
        <v>19</v>
      </c>
      <c r="D31" s="38" t="str">
        <f>'[1]1нед'!C155</f>
        <v>пр</v>
      </c>
      <c r="E31" s="39" t="str">
        <f>'[1]1нед'!D155</f>
        <v>Продвинутые технологии искусственного интеллекта</v>
      </c>
      <c r="F31" s="40" t="str">
        <f>'[1]1нед'!G155</f>
        <v>Алешов В.В.</v>
      </c>
      <c r="G31" s="41" t="str">
        <f>'[1]1нед'!H155</f>
        <v>ст. преподаватель</v>
      </c>
      <c r="H31" s="74" t="s">
        <v>41</v>
      </c>
    </row>
    <row r="32" ht="31.5" spans="1:8">
      <c r="A32" s="36"/>
      <c r="B32" s="59"/>
      <c r="C32" s="29" t="s">
        <v>20</v>
      </c>
      <c r="D32" s="38">
        <f>'[1]1нед'!C156</f>
        <v>0</v>
      </c>
      <c r="E32" s="39">
        <f>'[1]1нед'!D156</f>
        <v>0</v>
      </c>
      <c r="F32" s="40">
        <f>'[1]1нед'!G156</f>
        <v>0</v>
      </c>
      <c r="G32" s="41" t="str">
        <f>'[1]1нед'!H156</f>
        <v/>
      </c>
      <c r="H32" s="42"/>
    </row>
    <row r="33" ht="31.5" spans="1:8">
      <c r="A33" s="36"/>
      <c r="B33" s="59"/>
      <c r="C33" s="29" t="s">
        <v>21</v>
      </c>
      <c r="D33" s="38">
        <f>'[1]1нед'!C157</f>
        <v>0</v>
      </c>
      <c r="E33" s="39">
        <f>'[1]1нед'!D157</f>
        <v>0</v>
      </c>
      <c r="F33" s="40">
        <f>'[1]1нед'!G157</f>
        <v>0</v>
      </c>
      <c r="G33" s="41" t="str">
        <f>'[1]1нед'!H157</f>
        <v/>
      </c>
      <c r="H33" s="56"/>
    </row>
    <row r="34" ht="32.25" spans="1:8">
      <c r="A34" s="36"/>
      <c r="B34" s="59"/>
      <c r="C34" s="29" t="s">
        <v>22</v>
      </c>
      <c r="D34" s="38">
        <f>'[1]1нед'!C158</f>
        <v>0</v>
      </c>
      <c r="E34" s="39">
        <f>'[1]1нед'!D158</f>
        <v>0</v>
      </c>
      <c r="F34" s="40">
        <f>'[1]1нед'!G158</f>
        <v>0</v>
      </c>
      <c r="G34" s="41" t="str">
        <f>'[1]1нед'!H158</f>
        <v/>
      </c>
      <c r="H34" s="56"/>
    </row>
    <row r="35" ht="18.4" hidden="1" customHeight="1" spans="1:8">
      <c r="A35" s="45"/>
      <c r="B35" s="61"/>
      <c r="C35" s="47"/>
      <c r="D35" s="48">
        <f>'[1]1нед'!C159</f>
        <v>0</v>
      </c>
      <c r="E35" s="49">
        <f>'[1]1нед'!D159</f>
        <v>0</v>
      </c>
      <c r="F35" s="50">
        <f>'[1]1нед'!G159</f>
        <v>0</v>
      </c>
      <c r="G35" s="51" t="str">
        <f>'[1]1нед'!H159</f>
        <v/>
      </c>
      <c r="H35" s="52"/>
    </row>
    <row r="36" ht="48" customHeight="1" spans="1:8">
      <c r="A36" s="27">
        <v>46268</v>
      </c>
      <c r="B36" s="28" t="s">
        <v>25</v>
      </c>
      <c r="C36" s="55" t="s">
        <v>16</v>
      </c>
      <c r="D36" s="30" t="str">
        <f>'[1]1нед'!C160</f>
        <v>л</v>
      </c>
      <c r="E36" s="31" t="str">
        <f>'[1]1нед'!D160</f>
        <v>Проектирование человеко-машинного интерфейса</v>
      </c>
      <c r="F36" s="32" t="str">
        <f>'[1]1нед'!G160</f>
        <v>Алешов В.В.</v>
      </c>
      <c r="G36" s="33" t="str">
        <f>'[1]1нед'!H160</f>
        <v>ст. преподаватель</v>
      </c>
      <c r="H36" s="72" t="s">
        <v>41</v>
      </c>
    </row>
    <row r="37" ht="37.5" spans="1:8">
      <c r="A37" s="36"/>
      <c r="B37" s="37"/>
      <c r="C37" s="29" t="s">
        <v>17</v>
      </c>
      <c r="D37" s="38" t="str">
        <f>'[1]1нед'!C161</f>
        <v>л</v>
      </c>
      <c r="E37" s="39" t="str">
        <f>'[1]1нед'!D161</f>
        <v>Продвинутые технологии искусственного интеллекта</v>
      </c>
      <c r="F37" s="40" t="str">
        <f>'[1]1нед'!G161</f>
        <v>Алешов В.В.</v>
      </c>
      <c r="G37" s="41" t="str">
        <f>'[1]1нед'!H161</f>
        <v>ст. преподаватель</v>
      </c>
      <c r="H37" s="74" t="s">
        <v>41</v>
      </c>
    </row>
    <row r="38" ht="37.5" spans="1:8">
      <c r="A38" s="36"/>
      <c r="B38" s="37"/>
      <c r="C38" s="29" t="s">
        <v>18</v>
      </c>
      <c r="D38" s="38" t="str">
        <f>'[1]1нед'!C162</f>
        <v>л</v>
      </c>
      <c r="E38" s="39" t="str">
        <f>'[1]1нед'!D162</f>
        <v>Операционные системы семейства Unix / Linux</v>
      </c>
      <c r="F38" s="40" t="str">
        <f>'[1]1нед'!G162</f>
        <v>Криницкий Ю.В.</v>
      </c>
      <c r="G38" s="41" t="str">
        <f>'[1]1нед'!H162</f>
        <v>преподаватель</v>
      </c>
      <c r="H38" s="74" t="s">
        <v>41</v>
      </c>
    </row>
    <row r="39" ht="31.5" spans="1:8">
      <c r="A39" s="36"/>
      <c r="B39" s="37"/>
      <c r="C39" s="29" t="s">
        <v>19</v>
      </c>
      <c r="D39" s="38">
        <f>'[1]1нед'!C163</f>
        <v>0</v>
      </c>
      <c r="E39" s="39">
        <f>'[1]1нед'!D163</f>
        <v>0</v>
      </c>
      <c r="F39" s="40">
        <f>'[1]1нед'!G163</f>
        <v>0</v>
      </c>
      <c r="G39" s="41" t="str">
        <f>'[1]1нед'!H163</f>
        <v/>
      </c>
      <c r="H39" s="42"/>
    </row>
    <row r="40" ht="31.5" spans="1:8">
      <c r="A40" s="36"/>
      <c r="B40" s="37"/>
      <c r="C40" s="29" t="s">
        <v>20</v>
      </c>
      <c r="D40" s="38">
        <f>'[1]1нед'!C164</f>
        <v>0</v>
      </c>
      <c r="E40" s="39">
        <f>'[1]1нед'!D164</f>
        <v>0</v>
      </c>
      <c r="F40" s="40">
        <f>'[1]1нед'!G164</f>
        <v>0</v>
      </c>
      <c r="G40" s="41" t="str">
        <f>'[1]1нед'!H164</f>
        <v/>
      </c>
      <c r="H40" s="42"/>
    </row>
    <row r="41" ht="31.5" spans="1:8">
      <c r="A41" s="36"/>
      <c r="B41" s="37"/>
      <c r="C41" s="29" t="s">
        <v>21</v>
      </c>
      <c r="D41" s="38">
        <f>'[1]1нед'!C165</f>
        <v>0</v>
      </c>
      <c r="E41" s="39">
        <f>'[1]1нед'!D165</f>
        <v>0</v>
      </c>
      <c r="F41" s="40">
        <f>'[1]1нед'!G165</f>
        <v>0</v>
      </c>
      <c r="G41" s="41" t="str">
        <f>'[1]1нед'!H165</f>
        <v/>
      </c>
      <c r="H41" s="56"/>
    </row>
    <row r="42" ht="32.25" spans="1:8">
      <c r="A42" s="36"/>
      <c r="B42" s="37"/>
      <c r="C42" s="29" t="s">
        <v>22</v>
      </c>
      <c r="D42" s="38">
        <f>'[1]1нед'!C166</f>
        <v>0</v>
      </c>
      <c r="E42" s="39">
        <f>'[1]1нед'!D166</f>
        <v>0</v>
      </c>
      <c r="F42" s="40">
        <f>'[1]1нед'!G166</f>
        <v>0</v>
      </c>
      <c r="G42" s="41" t="str">
        <f>'[1]1нед'!H166</f>
        <v/>
      </c>
      <c r="H42" s="56"/>
    </row>
    <row r="43" ht="18.4" hidden="1" customHeight="1" spans="1:8">
      <c r="A43" s="45"/>
      <c r="B43" s="46"/>
      <c r="C43" s="47"/>
      <c r="D43" s="48">
        <f>'[1]1нед'!C167</f>
        <v>0</v>
      </c>
      <c r="E43" s="49">
        <f>'[1]1нед'!D167</f>
        <v>0</v>
      </c>
      <c r="F43" s="50">
        <f>'[1]1нед'!G167</f>
        <v>0</v>
      </c>
      <c r="G43" s="51" t="str">
        <f>'[1]1нед'!H167</f>
        <v/>
      </c>
      <c r="H43" s="52"/>
    </row>
    <row r="44" ht="48" customHeight="1" spans="1:8">
      <c r="A44" s="27">
        <v>46269</v>
      </c>
      <c r="B44" s="28" t="s">
        <v>26</v>
      </c>
      <c r="C44" s="55" t="s">
        <v>16</v>
      </c>
      <c r="D44" s="30" t="str">
        <f>'[1]1нед'!C168</f>
        <v>л</v>
      </c>
      <c r="E44" s="31" t="str">
        <f>'[1]1нед'!D168</f>
        <v>Разработка приложений для мобильных устройств</v>
      </c>
      <c r="F44" s="32" t="str">
        <f>'[1]1нед'!G168</f>
        <v>Алешов Е.В.</v>
      </c>
      <c r="G44" s="33" t="str">
        <f>'[1]1нед'!H168</f>
        <v>преподаватель</v>
      </c>
      <c r="H44" s="72" t="s">
        <v>41</v>
      </c>
    </row>
    <row r="45" ht="31.5" spans="1:8">
      <c r="A45" s="36"/>
      <c r="B45" s="37"/>
      <c r="C45" s="29" t="s">
        <v>17</v>
      </c>
      <c r="D45" s="38" t="str">
        <f>'[1]1нед'!C169</f>
        <v>л</v>
      </c>
      <c r="E45" s="39" t="str">
        <f>'[1]1нед'!D169</f>
        <v>Технологии искусственного интеллекта</v>
      </c>
      <c r="F45" s="40" t="str">
        <f>'[1]1нед'!G169</f>
        <v>Гришин И.Ю.</v>
      </c>
      <c r="G45" s="41" t="str">
        <f>'[1]1нед'!H169</f>
        <v>профессор, д-р наук</v>
      </c>
      <c r="H45" s="74" t="s">
        <v>41</v>
      </c>
    </row>
    <row r="46" ht="31.5" spans="1:8">
      <c r="A46" s="36"/>
      <c r="B46" s="37"/>
      <c r="C46" s="29" t="s">
        <v>18</v>
      </c>
      <c r="D46" s="38" t="str">
        <f>'[1]1нед'!C170</f>
        <v>л</v>
      </c>
      <c r="E46" s="39" t="str">
        <f>'[1]1нед'!D170</f>
        <v>Технологии искусственного интеллекта</v>
      </c>
      <c r="F46" s="40" t="str">
        <f>'[1]1нед'!G170</f>
        <v>Гришин И.Ю.</v>
      </c>
      <c r="G46" s="41" t="str">
        <f>'[1]1нед'!H170</f>
        <v>профессор, д-р наук</v>
      </c>
      <c r="H46" s="74" t="s">
        <v>41</v>
      </c>
    </row>
    <row r="47" ht="31.5" spans="1:8">
      <c r="A47" s="36"/>
      <c r="B47" s="37"/>
      <c r="C47" s="29" t="s">
        <v>19</v>
      </c>
      <c r="D47" s="38">
        <f>'[1]1нед'!C171</f>
        <v>0</v>
      </c>
      <c r="E47" s="39">
        <f>'[1]1нед'!D171</f>
        <v>0</v>
      </c>
      <c r="F47" s="40">
        <f>'[1]1нед'!G171</f>
        <v>0</v>
      </c>
      <c r="G47" s="41" t="str">
        <f>'[1]1нед'!H171</f>
        <v/>
      </c>
      <c r="H47" s="42"/>
    </row>
    <row r="48" ht="31.5" spans="1:8">
      <c r="A48" s="36"/>
      <c r="B48" s="37"/>
      <c r="C48" s="29" t="s">
        <v>20</v>
      </c>
      <c r="D48" s="38">
        <f>'[1]1нед'!C172</f>
        <v>0</v>
      </c>
      <c r="E48" s="39">
        <f>'[1]1нед'!D172</f>
        <v>0</v>
      </c>
      <c r="F48" s="40">
        <f>'[1]1нед'!G172</f>
        <v>0</v>
      </c>
      <c r="G48" s="41" t="str">
        <f>'[1]1нед'!H172</f>
        <v/>
      </c>
      <c r="H48" s="42"/>
    </row>
    <row r="49" ht="31.5" spans="1:8">
      <c r="A49" s="36"/>
      <c r="B49" s="37"/>
      <c r="C49" s="29" t="s">
        <v>21</v>
      </c>
      <c r="D49" s="38">
        <f>'[1]1нед'!C173</f>
        <v>0</v>
      </c>
      <c r="E49" s="39">
        <f>'[1]1нед'!D173</f>
        <v>0</v>
      </c>
      <c r="F49" s="40">
        <f>'[1]1нед'!G173</f>
        <v>0</v>
      </c>
      <c r="G49" s="41" t="str">
        <f>'[1]1нед'!H173</f>
        <v/>
      </c>
      <c r="H49" s="42"/>
    </row>
    <row r="50" ht="32.25" spans="1:8">
      <c r="A50" s="36"/>
      <c r="B50" s="37"/>
      <c r="C50" s="29" t="s">
        <v>22</v>
      </c>
      <c r="D50" s="38">
        <f>'[1]1нед'!C174</f>
        <v>0</v>
      </c>
      <c r="E50" s="39">
        <f>'[1]1нед'!D174</f>
        <v>0</v>
      </c>
      <c r="F50" s="40">
        <f>'[1]1нед'!G174</f>
        <v>0</v>
      </c>
      <c r="G50" s="41" t="str">
        <f>'[1]1нед'!H174</f>
        <v/>
      </c>
      <c r="H50" s="42"/>
    </row>
    <row r="51" ht="18.4" hidden="1" customHeight="1" spans="1:8">
      <c r="A51" s="45"/>
      <c r="B51" s="46"/>
      <c r="C51" s="47"/>
      <c r="D51" s="48">
        <f>'[1]1нед'!C175</f>
        <v>0</v>
      </c>
      <c r="E51" s="49">
        <f>'[1]1нед'!D175</f>
        <v>0</v>
      </c>
      <c r="F51" s="50">
        <f>'[1]1нед'!G175</f>
        <v>0</v>
      </c>
      <c r="G51" s="51" t="str">
        <f>'[1]1нед'!H175</f>
        <v/>
      </c>
      <c r="H51" s="52"/>
    </row>
    <row r="52" ht="48" customHeight="1" spans="1:8">
      <c r="A52" s="27">
        <v>46270</v>
      </c>
      <c r="B52" s="28" t="s">
        <v>27</v>
      </c>
      <c r="C52" s="55" t="s">
        <v>16</v>
      </c>
      <c r="D52" s="30">
        <f>'[1]1нед'!C176</f>
        <v>0</v>
      </c>
      <c r="E52" s="31">
        <f>'[1]1нед'!D176</f>
        <v>0</v>
      </c>
      <c r="F52" s="32">
        <f>'[1]1нед'!G176</f>
        <v>0</v>
      </c>
      <c r="G52" s="33" t="str">
        <f>'[1]1нед'!H176</f>
        <v/>
      </c>
      <c r="H52" s="34"/>
    </row>
    <row r="53" ht="31.5" spans="1:8">
      <c r="A53" s="36"/>
      <c r="B53" s="37"/>
      <c r="C53" s="29" t="s">
        <v>17</v>
      </c>
      <c r="D53" s="38">
        <f>'[1]1нед'!C177</f>
        <v>0</v>
      </c>
      <c r="E53" s="39">
        <f>'[1]1нед'!D177</f>
        <v>0</v>
      </c>
      <c r="F53" s="40">
        <f>'[1]1нед'!G177</f>
        <v>0</v>
      </c>
      <c r="G53" s="41" t="str">
        <f>'[1]1нед'!H177</f>
        <v/>
      </c>
      <c r="H53" s="42"/>
    </row>
    <row r="54" ht="31.5" spans="1:8">
      <c r="A54" s="36"/>
      <c r="B54" s="37"/>
      <c r="C54" s="29" t="s">
        <v>18</v>
      </c>
      <c r="D54" s="38">
        <f>'[1]1нед'!C178</f>
        <v>0</v>
      </c>
      <c r="E54" s="39">
        <f>'[1]1нед'!D178</f>
        <v>0</v>
      </c>
      <c r="F54" s="40">
        <f>'[1]1нед'!G178</f>
        <v>0</v>
      </c>
      <c r="G54" s="41" t="str">
        <f>'[1]1нед'!H178</f>
        <v/>
      </c>
      <c r="H54" s="42"/>
    </row>
    <row r="55" ht="31.5" spans="1:8">
      <c r="A55" s="36"/>
      <c r="B55" s="37"/>
      <c r="C55" s="29" t="s">
        <v>19</v>
      </c>
      <c r="D55" s="38">
        <f>'[1]1нед'!C179</f>
        <v>0</v>
      </c>
      <c r="E55" s="39">
        <f>'[1]1нед'!D179</f>
        <v>0</v>
      </c>
      <c r="F55" s="40">
        <f>'[1]1нед'!G179</f>
        <v>0</v>
      </c>
      <c r="G55" s="41" t="str">
        <f>'[1]1нед'!H179</f>
        <v/>
      </c>
      <c r="H55" s="42"/>
    </row>
    <row r="56" ht="31.5" spans="1:8">
      <c r="A56" s="36"/>
      <c r="B56" s="37"/>
      <c r="C56" s="29" t="s">
        <v>20</v>
      </c>
      <c r="D56" s="38">
        <f>'[1]1нед'!C180</f>
        <v>0</v>
      </c>
      <c r="E56" s="39">
        <f>'[1]1нед'!D180</f>
        <v>0</v>
      </c>
      <c r="F56" s="40">
        <f>'[1]1нед'!G180</f>
        <v>0</v>
      </c>
      <c r="G56" s="41" t="str">
        <f>'[1]1нед'!H180</f>
        <v/>
      </c>
      <c r="H56" s="42"/>
    </row>
    <row r="57" ht="31.5" spans="1:8">
      <c r="A57" s="36"/>
      <c r="B57" s="37"/>
      <c r="C57" s="29" t="s">
        <v>21</v>
      </c>
      <c r="D57" s="38">
        <f>'[1]1нед'!C181</f>
        <v>0</v>
      </c>
      <c r="E57" s="39">
        <f>'[1]1нед'!D181</f>
        <v>0</v>
      </c>
      <c r="F57" s="40">
        <f>'[1]1нед'!G181</f>
        <v>0</v>
      </c>
      <c r="G57" s="41" t="str">
        <f>'[1]1нед'!H181</f>
        <v/>
      </c>
      <c r="H57" s="42"/>
    </row>
    <row r="58" ht="32.25" spans="1:8">
      <c r="A58" s="36"/>
      <c r="B58" s="37"/>
      <c r="C58" s="29" t="s">
        <v>22</v>
      </c>
      <c r="D58" s="38">
        <f>'[1]1нед'!C182</f>
        <v>0</v>
      </c>
      <c r="E58" s="39">
        <f>'[1]1нед'!D182</f>
        <v>0</v>
      </c>
      <c r="F58" s="40">
        <f>'[1]1нед'!G182</f>
        <v>0</v>
      </c>
      <c r="G58" s="41" t="str">
        <f>'[1]1нед'!H182</f>
        <v/>
      </c>
      <c r="H58" s="42"/>
    </row>
    <row r="59" ht="18.4" hidden="1" customHeight="1" spans="1:8">
      <c r="A59" s="45"/>
      <c r="B59" s="46"/>
      <c r="C59" s="47"/>
      <c r="D59" s="48">
        <f>'[1]1нед'!C59</f>
        <v>0</v>
      </c>
      <c r="E59" s="49">
        <f>'[1]1нед'!D59</f>
        <v>0</v>
      </c>
      <c r="F59" s="50">
        <f>'[1]1нед'!G59</f>
        <v>0</v>
      </c>
      <c r="G59" s="51" t="str">
        <f>'[1]1нед'!H59</f>
        <v/>
      </c>
      <c r="H59" s="52"/>
    </row>
    <row r="60" ht="39" customHeight="1" spans="1:8">
      <c r="A60" s="64"/>
      <c r="B60" s="65"/>
      <c r="C60" s="66"/>
      <c r="D60" s="67"/>
      <c r="E60" s="67" t="s">
        <v>28</v>
      </c>
      <c r="F60" s="67"/>
      <c r="G60" s="68" t="s">
        <v>29</v>
      </c>
      <c r="H60" s="69"/>
    </row>
  </sheetData>
  <mergeCells count="19">
    <mergeCell ref="B6:H6"/>
    <mergeCell ref="B8:D8"/>
    <mergeCell ref="E8:H8"/>
    <mergeCell ref="B9:D9"/>
    <mergeCell ref="B10:D10"/>
    <mergeCell ref="A11:B11"/>
    <mergeCell ref="F11:G11"/>
    <mergeCell ref="A12:A19"/>
    <mergeCell ref="A20:A27"/>
    <mergeCell ref="A28:A35"/>
    <mergeCell ref="A36:A43"/>
    <mergeCell ref="A44:A51"/>
    <mergeCell ref="A52:A59"/>
    <mergeCell ref="B12:B19"/>
    <mergeCell ref="B20:B27"/>
    <mergeCell ref="B28:B35"/>
    <mergeCell ref="B36:B43"/>
    <mergeCell ref="B44:B51"/>
    <mergeCell ref="B52:B59"/>
  </mergeCells>
  <pageMargins left="0.708661417322835" right="0.708661417322835" top="0.748031496062992" bottom="0.748031496062992" header="0.31496062992126" footer="0.31496062992126"/>
  <pageSetup paperSize="9" scale="34" orientation="portrait"/>
  <headerFooter/>
  <rowBreaks count="8" manualBreakCount="8">
    <brk id="60" max="16383" man="1"/>
  </rowBreaks>
  <colBreaks count="1" manualBreakCount="1">
    <brk id="8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60"/>
  <sheetViews>
    <sheetView view="pageBreakPreview" zoomScale="50" zoomScaleNormal="55" topLeftCell="A11" workbookViewId="0">
      <selection activeCell="A61" sqref="$A61:$XFD544"/>
    </sheetView>
  </sheetViews>
  <sheetFormatPr defaultColWidth="9" defaultRowHeight="12.75" outlineLevelCol="7"/>
  <cols>
    <col min="1" max="1" width="5.85714285714286" customWidth="1"/>
    <col min="2" max="2" width="4.14285714285714" customWidth="1"/>
    <col min="3" max="3" width="13.5714285714286" customWidth="1"/>
    <col min="4" max="4" width="11.8571428571429" customWidth="1"/>
    <col min="5" max="5" width="51.5714285714286" customWidth="1"/>
    <col min="6" max="6" width="28" customWidth="1"/>
    <col min="7" max="7" width="30" customWidth="1"/>
    <col min="8" max="8" width="72.2857142857143" style="1" customWidth="1"/>
  </cols>
  <sheetData>
    <row r="1" ht="15.75" spans="1:8">
      <c r="A1" s="2"/>
      <c r="B1" s="3"/>
      <c r="C1" s="4"/>
      <c r="D1" s="5"/>
      <c r="E1" s="5"/>
      <c r="F1" s="5"/>
      <c r="G1" s="5"/>
      <c r="H1" s="6" t="s">
        <v>0</v>
      </c>
    </row>
    <row r="2" ht="15.75" spans="1:8">
      <c r="A2" s="2"/>
      <c r="B2" s="3"/>
      <c r="C2" s="4"/>
      <c r="D2" s="5"/>
      <c r="E2" s="5"/>
      <c r="F2" s="5"/>
      <c r="G2" s="5"/>
      <c r="H2" s="6" t="s">
        <v>1</v>
      </c>
    </row>
    <row r="3" ht="15.75" spans="1:8">
      <c r="A3" s="2"/>
      <c r="B3" s="3"/>
      <c r="C3" s="4"/>
      <c r="D3" s="5"/>
      <c r="E3" s="5"/>
      <c r="F3" s="5"/>
      <c r="G3" s="5"/>
      <c r="H3" s="6" t="s">
        <v>2</v>
      </c>
    </row>
    <row r="4" ht="15.75" spans="1:8">
      <c r="A4" s="2"/>
      <c r="B4" s="3"/>
      <c r="C4" s="4"/>
      <c r="D4" s="5"/>
      <c r="E4" s="5"/>
      <c r="F4" s="5"/>
      <c r="G4" s="5"/>
      <c r="H4" s="6" t="s">
        <v>3</v>
      </c>
    </row>
    <row r="5" ht="15.75" spans="1:8">
      <c r="A5" s="2"/>
      <c r="B5" s="7"/>
      <c r="C5" s="4"/>
      <c r="D5" s="5"/>
      <c r="E5" s="5"/>
      <c r="F5" s="5"/>
      <c r="G5" s="5"/>
      <c r="H5" s="5"/>
    </row>
    <row r="6" ht="15.75" spans="1:8">
      <c r="A6" s="2"/>
      <c r="B6" s="8" t="s">
        <v>4</v>
      </c>
      <c r="C6" s="8"/>
      <c r="D6" s="8"/>
      <c r="E6" s="8"/>
      <c r="F6" s="8"/>
      <c r="G6" s="8"/>
      <c r="H6" s="8"/>
    </row>
    <row r="7" ht="15.75" spans="1:8">
      <c r="A7" s="9"/>
      <c r="B7" s="10" t="str">
        <f>'[1]1нед'!$A$6</f>
        <v>Направление подготовки:</v>
      </c>
      <c r="C7" s="11"/>
      <c r="D7" s="12"/>
      <c r="E7" s="13" t="str">
        <f>'[1]1нед'!$L$130</f>
        <v>09.04.04 Программная инженерия (Разработка программно-информационных систем)</v>
      </c>
      <c r="F7" s="12"/>
      <c r="G7" s="12"/>
      <c r="H7" s="14" t="str">
        <f>'[1]1нед'!$L$134</f>
        <v>12-25РПм</v>
      </c>
    </row>
    <row r="8" ht="15.75" spans="1:8">
      <c r="A8" s="2"/>
      <c r="B8" s="10" t="s">
        <v>5</v>
      </c>
      <c r="C8" s="10"/>
      <c r="D8" s="10"/>
      <c r="E8" s="10" t="s">
        <v>6</v>
      </c>
      <c r="F8" s="10"/>
      <c r="G8" s="10"/>
      <c r="H8" s="10"/>
    </row>
    <row r="9" ht="15.75" spans="1:8">
      <c r="A9" s="2"/>
      <c r="B9" s="10" t="s">
        <v>7</v>
      </c>
      <c r="C9" s="10"/>
      <c r="D9" s="10"/>
      <c r="E9" s="10">
        <v>2</v>
      </c>
      <c r="F9" s="10"/>
      <c r="G9" s="10"/>
      <c r="H9" s="15"/>
    </row>
    <row r="10" ht="16.5" spans="1:8">
      <c r="A10" s="2"/>
      <c r="B10" s="16" t="s">
        <v>8</v>
      </c>
      <c r="C10" s="16"/>
      <c r="D10" s="16"/>
      <c r="E10" s="16">
        <v>1</v>
      </c>
      <c r="F10" s="16"/>
      <c r="G10" s="16"/>
      <c r="H10" s="17"/>
    </row>
    <row r="11" ht="46.5" customHeight="1" spans="1:8">
      <c r="A11" s="19" t="s">
        <v>9</v>
      </c>
      <c r="B11" s="20"/>
      <c r="C11" s="21" t="s">
        <v>10</v>
      </c>
      <c r="D11" s="22" t="s">
        <v>11</v>
      </c>
      <c r="E11" s="23" t="s">
        <v>12</v>
      </c>
      <c r="F11" s="24" t="s">
        <v>13</v>
      </c>
      <c r="G11" s="25"/>
      <c r="H11" s="26" t="s">
        <v>14</v>
      </c>
    </row>
    <row r="12" ht="32.25" customHeight="1" spans="1:8">
      <c r="A12" s="27">
        <v>46265</v>
      </c>
      <c r="B12" s="28" t="s">
        <v>15</v>
      </c>
      <c r="C12" s="29" t="s">
        <v>16</v>
      </c>
      <c r="D12" s="30">
        <f>'[1]1нед'!K136</f>
        <v>0</v>
      </c>
      <c r="E12" s="31">
        <f>'[1]1нед'!L136</f>
        <v>0</v>
      </c>
      <c r="F12" s="32">
        <f>'[1]1нед'!O136</f>
        <v>0</v>
      </c>
      <c r="G12" s="33" t="str">
        <f>'[1]1нед'!P136</f>
        <v/>
      </c>
      <c r="H12" s="34"/>
    </row>
    <row r="13" ht="31.5" spans="1:8">
      <c r="A13" s="36"/>
      <c r="B13" s="37"/>
      <c r="C13" s="29" t="s">
        <v>17</v>
      </c>
      <c r="D13" s="38">
        <f>'[1]1нед'!K137</f>
        <v>0</v>
      </c>
      <c r="E13" s="39">
        <f>'[1]1нед'!L137</f>
        <v>0</v>
      </c>
      <c r="F13" s="40">
        <f>'[1]1нед'!O137</f>
        <v>0</v>
      </c>
      <c r="G13" s="41" t="str">
        <f>'[1]1нед'!P137</f>
        <v/>
      </c>
      <c r="H13" s="42"/>
    </row>
    <row r="14" ht="31.5" spans="1:8">
      <c r="A14" s="36"/>
      <c r="B14" s="37"/>
      <c r="C14" s="29" t="s">
        <v>18</v>
      </c>
      <c r="D14" s="38">
        <f>'[1]1нед'!K138</f>
        <v>0</v>
      </c>
      <c r="E14" s="39">
        <f>'[1]1нед'!L138</f>
        <v>0</v>
      </c>
      <c r="F14" s="40">
        <f>'[1]1нед'!O138</f>
        <v>0</v>
      </c>
      <c r="G14" s="41" t="str">
        <f>'[1]1нед'!P138</f>
        <v/>
      </c>
      <c r="H14" s="42"/>
    </row>
    <row r="15" ht="31.5" spans="1:8">
      <c r="A15" s="36"/>
      <c r="B15" s="37"/>
      <c r="C15" s="29" t="s">
        <v>19</v>
      </c>
      <c r="D15" s="38">
        <f>'[1]1нед'!K139</f>
        <v>0</v>
      </c>
      <c r="E15" s="39">
        <f>'[1]1нед'!L139</f>
        <v>0</v>
      </c>
      <c r="F15" s="40">
        <f>'[1]1нед'!O139</f>
        <v>0</v>
      </c>
      <c r="G15" s="41" t="str">
        <f>'[1]1нед'!P139</f>
        <v/>
      </c>
      <c r="H15" s="42"/>
    </row>
    <row r="16" ht="31.5" spans="1:8">
      <c r="A16" s="36"/>
      <c r="B16" s="37"/>
      <c r="C16" s="29" t="s">
        <v>20</v>
      </c>
      <c r="D16" s="38">
        <f>'[1]1нед'!K140</f>
        <v>0</v>
      </c>
      <c r="E16" s="39">
        <f>'[1]1нед'!L140</f>
        <v>0</v>
      </c>
      <c r="F16" s="40">
        <f>'[1]1нед'!O140</f>
        <v>0</v>
      </c>
      <c r="G16" s="41" t="str">
        <f>'[1]1нед'!P140</f>
        <v/>
      </c>
      <c r="H16" s="42"/>
    </row>
    <row r="17" ht="31.5" spans="1:8">
      <c r="A17" s="36"/>
      <c r="B17" s="37"/>
      <c r="C17" s="29" t="s">
        <v>21</v>
      </c>
      <c r="D17" s="38">
        <f>'[1]1нед'!K141</f>
        <v>0</v>
      </c>
      <c r="E17" s="39">
        <f>'[1]1нед'!L141</f>
        <v>0</v>
      </c>
      <c r="F17" s="40">
        <f>'[1]1нед'!O141</f>
        <v>0</v>
      </c>
      <c r="G17" s="41" t="str">
        <f>'[1]1нед'!P141</f>
        <v/>
      </c>
      <c r="H17" s="42"/>
    </row>
    <row r="18" ht="32.25" spans="1:8">
      <c r="A18" s="36"/>
      <c r="B18" s="37"/>
      <c r="C18" s="29" t="s">
        <v>22</v>
      </c>
      <c r="D18" s="38">
        <f>'[1]1нед'!K142</f>
        <v>0</v>
      </c>
      <c r="E18" s="39">
        <f>'[1]1нед'!L142</f>
        <v>0</v>
      </c>
      <c r="F18" s="40">
        <f>'[1]1нед'!O142</f>
        <v>0</v>
      </c>
      <c r="G18" s="41" t="str">
        <f>'[1]1нед'!P142</f>
        <v/>
      </c>
      <c r="H18" s="42"/>
    </row>
    <row r="19" ht="18.4" hidden="1" customHeight="1" spans="1:8">
      <c r="A19" s="45"/>
      <c r="B19" s="46"/>
      <c r="C19" s="47"/>
      <c r="D19" s="48">
        <f>'[1]1нед'!K143</f>
        <v>0</v>
      </c>
      <c r="E19" s="49">
        <f>'[1]1нед'!L143</f>
        <v>0</v>
      </c>
      <c r="F19" s="50">
        <f>'[1]1нед'!O143</f>
        <v>0</v>
      </c>
      <c r="G19" s="51" t="str">
        <f>'[1]1нед'!P143</f>
        <v/>
      </c>
      <c r="H19" s="52"/>
    </row>
    <row r="20" ht="32.25" customHeight="1" spans="1:8">
      <c r="A20" s="27">
        <v>46266</v>
      </c>
      <c r="B20" s="28" t="s">
        <v>23</v>
      </c>
      <c r="C20" s="55" t="s">
        <v>16</v>
      </c>
      <c r="D20" s="30">
        <f>'[1]1нед'!K144</f>
        <v>0</v>
      </c>
      <c r="E20" s="31">
        <f>'[1]1нед'!L144</f>
        <v>0</v>
      </c>
      <c r="F20" s="32">
        <f>'[1]1нед'!O144</f>
        <v>0</v>
      </c>
      <c r="G20" s="33" t="str">
        <f>'[1]1нед'!P144</f>
        <v/>
      </c>
      <c r="H20" s="34"/>
    </row>
    <row r="21" ht="31.5" spans="1:8">
      <c r="A21" s="36"/>
      <c r="B21" s="37"/>
      <c r="C21" s="29" t="s">
        <v>17</v>
      </c>
      <c r="D21" s="38">
        <f>'[1]1нед'!K145</f>
        <v>0</v>
      </c>
      <c r="E21" s="39">
        <f>'[1]1нед'!L145</f>
        <v>0</v>
      </c>
      <c r="F21" s="40">
        <f>'[1]1нед'!O145</f>
        <v>0</v>
      </c>
      <c r="G21" s="41" t="str">
        <f>'[1]1нед'!P145</f>
        <v/>
      </c>
      <c r="H21" s="42"/>
    </row>
    <row r="22" ht="31.5" spans="1:8">
      <c r="A22" s="36"/>
      <c r="B22" s="37"/>
      <c r="C22" s="29" t="s">
        <v>18</v>
      </c>
      <c r="D22" s="38">
        <f>'[1]1нед'!K146</f>
        <v>0</v>
      </c>
      <c r="E22" s="39">
        <f>'[1]1нед'!L146</f>
        <v>0</v>
      </c>
      <c r="F22" s="40">
        <f>'[1]1нед'!O146</f>
        <v>0</v>
      </c>
      <c r="G22" s="41" t="str">
        <f>'[1]1нед'!P146</f>
        <v/>
      </c>
      <c r="H22" s="42"/>
    </row>
    <row r="23" ht="31.5" spans="1:8">
      <c r="A23" s="36"/>
      <c r="B23" s="37"/>
      <c r="C23" s="29" t="s">
        <v>19</v>
      </c>
      <c r="D23" s="38">
        <f>'[1]1нед'!K147</f>
        <v>0</v>
      </c>
      <c r="E23" s="39">
        <f>'[1]1нед'!L147</f>
        <v>0</v>
      </c>
      <c r="F23" s="40">
        <f>'[1]1нед'!O147</f>
        <v>0</v>
      </c>
      <c r="G23" s="41" t="str">
        <f>'[1]1нед'!P147</f>
        <v/>
      </c>
      <c r="H23" s="42"/>
    </row>
    <row r="24" ht="31.5" spans="1:8">
      <c r="A24" s="36"/>
      <c r="B24" s="37"/>
      <c r="C24" s="29" t="s">
        <v>20</v>
      </c>
      <c r="D24" s="38">
        <f>'[1]1нед'!K148</f>
        <v>0</v>
      </c>
      <c r="E24" s="39">
        <f>'[1]1нед'!L148</f>
        <v>0</v>
      </c>
      <c r="F24" s="40">
        <f>'[1]1нед'!O148</f>
        <v>0</v>
      </c>
      <c r="G24" s="41" t="str">
        <f>'[1]1нед'!P148</f>
        <v/>
      </c>
      <c r="H24" s="42"/>
    </row>
    <row r="25" ht="31.5" spans="1:8">
      <c r="A25" s="36"/>
      <c r="B25" s="37"/>
      <c r="C25" s="29" t="s">
        <v>21</v>
      </c>
      <c r="D25" s="38">
        <f>'[1]1нед'!K149</f>
        <v>0</v>
      </c>
      <c r="E25" s="39">
        <f>'[1]1нед'!L149</f>
        <v>0</v>
      </c>
      <c r="F25" s="40">
        <f>'[1]1нед'!O149</f>
        <v>0</v>
      </c>
      <c r="G25" s="41" t="str">
        <f>'[1]1нед'!P149</f>
        <v/>
      </c>
      <c r="H25" s="42"/>
    </row>
    <row r="26" ht="32.25" spans="1:8">
      <c r="A26" s="36"/>
      <c r="B26" s="37"/>
      <c r="C26" s="29" t="s">
        <v>22</v>
      </c>
      <c r="D26" s="38">
        <f>'[1]1нед'!K150</f>
        <v>0</v>
      </c>
      <c r="E26" s="39">
        <f>'[1]1нед'!L150</f>
        <v>0</v>
      </c>
      <c r="F26" s="40">
        <f>'[1]1нед'!O150</f>
        <v>0</v>
      </c>
      <c r="G26" s="41" t="str">
        <f>'[1]1нед'!P150</f>
        <v/>
      </c>
      <c r="H26" s="42"/>
    </row>
    <row r="27" ht="18.4" hidden="1" customHeight="1" spans="1:8">
      <c r="A27" s="45"/>
      <c r="B27" s="46"/>
      <c r="C27" s="47"/>
      <c r="D27" s="48">
        <f>'[1]1нед'!K151</f>
        <v>0</v>
      </c>
      <c r="E27" s="49">
        <f>'[1]1нед'!L151</f>
        <v>0</v>
      </c>
      <c r="F27" s="50">
        <f>'[1]1нед'!O151</f>
        <v>0</v>
      </c>
      <c r="G27" s="51" t="str">
        <f>'[1]1нед'!P151</f>
        <v/>
      </c>
      <c r="H27" s="52"/>
    </row>
    <row r="28" ht="48" customHeight="1" spans="1:8">
      <c r="A28" s="27">
        <v>46267</v>
      </c>
      <c r="B28" s="57" t="s">
        <v>24</v>
      </c>
      <c r="C28" s="55" t="s">
        <v>16</v>
      </c>
      <c r="D28" s="30">
        <f>'[1]1нед'!K152</f>
        <v>0</v>
      </c>
      <c r="E28" s="31">
        <f>'[1]1нед'!L152</f>
        <v>0</v>
      </c>
      <c r="F28" s="32">
        <f>'[1]1нед'!O152</f>
        <v>0</v>
      </c>
      <c r="G28" s="33" t="str">
        <f>'[1]1нед'!P152</f>
        <v/>
      </c>
      <c r="H28" s="34"/>
    </row>
    <row r="29" ht="31.5" spans="1:8">
      <c r="A29" s="36"/>
      <c r="B29" s="59"/>
      <c r="C29" s="29" t="s">
        <v>17</v>
      </c>
      <c r="D29" s="38">
        <f>'[1]1нед'!K153</f>
        <v>0</v>
      </c>
      <c r="E29" s="39">
        <f>'[1]1нед'!L153</f>
        <v>0</v>
      </c>
      <c r="F29" s="40">
        <f>'[1]1нед'!O153</f>
        <v>0</v>
      </c>
      <c r="G29" s="41" t="str">
        <f>'[1]1нед'!P153</f>
        <v/>
      </c>
      <c r="H29" s="42"/>
    </row>
    <row r="30" ht="31.5" spans="1:8">
      <c r="A30" s="36"/>
      <c r="B30" s="59"/>
      <c r="C30" s="29" t="s">
        <v>18</v>
      </c>
      <c r="D30" s="38">
        <f>'[1]1нед'!K154</f>
        <v>0</v>
      </c>
      <c r="E30" s="39">
        <f>'[1]1нед'!L154</f>
        <v>0</v>
      </c>
      <c r="F30" s="40">
        <f>'[1]1нед'!O154</f>
        <v>0</v>
      </c>
      <c r="G30" s="41" t="str">
        <f>'[1]1нед'!P154</f>
        <v/>
      </c>
      <c r="H30" s="42"/>
    </row>
    <row r="31" ht="31.5" spans="1:8">
      <c r="A31" s="36"/>
      <c r="B31" s="59"/>
      <c r="C31" s="29" t="s">
        <v>19</v>
      </c>
      <c r="D31" s="38">
        <f>'[1]1нед'!K155</f>
        <v>0</v>
      </c>
      <c r="E31" s="39">
        <f>'[1]1нед'!L155</f>
        <v>0</v>
      </c>
      <c r="F31" s="40">
        <f>'[1]1нед'!O155</f>
        <v>0</v>
      </c>
      <c r="G31" s="41" t="str">
        <f>'[1]1нед'!P155</f>
        <v/>
      </c>
      <c r="H31" s="42"/>
    </row>
    <row r="32" ht="31.5" spans="1:8">
      <c r="A32" s="36"/>
      <c r="B32" s="59"/>
      <c r="C32" s="29" t="s">
        <v>20</v>
      </c>
      <c r="D32" s="38">
        <f>'[1]1нед'!K156</f>
        <v>0</v>
      </c>
      <c r="E32" s="39">
        <f>'[1]1нед'!L156</f>
        <v>0</v>
      </c>
      <c r="F32" s="40">
        <f>'[1]1нед'!O156</f>
        <v>0</v>
      </c>
      <c r="G32" s="41" t="str">
        <f>'[1]1нед'!P156</f>
        <v/>
      </c>
      <c r="H32" s="42"/>
    </row>
    <row r="33" ht="31.5" spans="1:8">
      <c r="A33" s="36"/>
      <c r="B33" s="59"/>
      <c r="C33" s="29" t="s">
        <v>21</v>
      </c>
      <c r="D33" s="38">
        <f>'[1]1нед'!K157</f>
        <v>0</v>
      </c>
      <c r="E33" s="39">
        <f>'[1]1нед'!L157</f>
        <v>0</v>
      </c>
      <c r="F33" s="40">
        <f>'[1]1нед'!O157</f>
        <v>0</v>
      </c>
      <c r="G33" s="41" t="str">
        <f>'[1]1нед'!P157</f>
        <v/>
      </c>
      <c r="H33" s="56"/>
    </row>
    <row r="34" ht="32.25" spans="1:8">
      <c r="A34" s="36"/>
      <c r="B34" s="59"/>
      <c r="C34" s="29" t="s">
        <v>22</v>
      </c>
      <c r="D34" s="38">
        <f>'[1]1нед'!K158</f>
        <v>0</v>
      </c>
      <c r="E34" s="39">
        <f>'[1]1нед'!L158</f>
        <v>0</v>
      </c>
      <c r="F34" s="40">
        <f>'[1]1нед'!O158</f>
        <v>0</v>
      </c>
      <c r="G34" s="41" t="str">
        <f>'[1]1нед'!P158</f>
        <v/>
      </c>
      <c r="H34" s="56"/>
    </row>
    <row r="35" ht="18.4" hidden="1" customHeight="1" spans="1:8">
      <c r="A35" s="45"/>
      <c r="B35" s="61"/>
      <c r="C35" s="47"/>
      <c r="D35" s="48">
        <f>'[1]1нед'!K159</f>
        <v>0</v>
      </c>
      <c r="E35" s="49">
        <f>'[1]1нед'!L159</f>
        <v>0</v>
      </c>
      <c r="F35" s="50">
        <f>'[1]1нед'!O159</f>
        <v>0</v>
      </c>
      <c r="G35" s="51" t="str">
        <f>'[1]1нед'!P159</f>
        <v/>
      </c>
      <c r="H35" s="52"/>
    </row>
    <row r="36" ht="48" customHeight="1" spans="1:8">
      <c r="A36" s="27">
        <v>46268</v>
      </c>
      <c r="B36" s="28" t="s">
        <v>25</v>
      </c>
      <c r="C36" s="55" t="s">
        <v>16</v>
      </c>
      <c r="D36" s="30">
        <f>'[1]1нед'!K160</f>
        <v>0</v>
      </c>
      <c r="E36" s="31">
        <f>'[1]1нед'!L160</f>
        <v>0</v>
      </c>
      <c r="F36" s="32">
        <f>'[1]1нед'!O160</f>
        <v>0</v>
      </c>
      <c r="G36" s="33" t="str">
        <f>'[1]1нед'!P160</f>
        <v/>
      </c>
      <c r="H36" s="34"/>
    </row>
    <row r="37" ht="56.25" spans="1:8">
      <c r="A37" s="36"/>
      <c r="B37" s="37"/>
      <c r="C37" s="29" t="s">
        <v>17</v>
      </c>
      <c r="D37" s="38" t="str">
        <f>'[1]1нед'!K161</f>
        <v>л</v>
      </c>
      <c r="E37" s="39" t="str">
        <f>'[1]1нед'!L161</f>
        <v>Управление конфигурацией и сопровождение программного обеспечения</v>
      </c>
      <c r="F37" s="40" t="str">
        <f>'[1]1нед'!O161</f>
        <v>Круглый Д.Г.</v>
      </c>
      <c r="G37" s="41" t="str">
        <f>'[1]1нед'!P161</f>
        <v>профессор, д-р наук</v>
      </c>
      <c r="H37" s="72" t="s">
        <v>42</v>
      </c>
    </row>
    <row r="38" ht="31.5" spans="1:8">
      <c r="A38" s="36"/>
      <c r="B38" s="37"/>
      <c r="C38" s="29" t="s">
        <v>18</v>
      </c>
      <c r="D38" s="38">
        <f>'[1]1нед'!K162</f>
        <v>0</v>
      </c>
      <c r="E38" s="39">
        <f>'[1]1нед'!L162</f>
        <v>0</v>
      </c>
      <c r="F38" s="40">
        <f>'[1]1нед'!O162</f>
        <v>0</v>
      </c>
      <c r="G38" s="41" t="str">
        <f>'[1]1нед'!P162</f>
        <v/>
      </c>
      <c r="H38" s="42"/>
    </row>
    <row r="39" ht="31.5" spans="1:8">
      <c r="A39" s="36"/>
      <c r="B39" s="37"/>
      <c r="C39" s="29" t="s">
        <v>19</v>
      </c>
      <c r="D39" s="38">
        <f>'[1]1нед'!K163</f>
        <v>0</v>
      </c>
      <c r="E39" s="39">
        <f>'[1]1нед'!L163</f>
        <v>0</v>
      </c>
      <c r="F39" s="40">
        <f>'[1]1нед'!O163</f>
        <v>0</v>
      </c>
      <c r="G39" s="41" t="str">
        <f>'[1]1нед'!P163</f>
        <v/>
      </c>
      <c r="H39" s="42"/>
    </row>
    <row r="40" ht="31.5" spans="1:8">
      <c r="A40" s="36"/>
      <c r="B40" s="37"/>
      <c r="C40" s="29" t="s">
        <v>20</v>
      </c>
      <c r="D40" s="38">
        <f>'[1]1нед'!K164</f>
        <v>0</v>
      </c>
      <c r="E40" s="39">
        <f>'[1]1нед'!L164</f>
        <v>0</v>
      </c>
      <c r="F40" s="40">
        <f>'[1]1нед'!O164</f>
        <v>0</v>
      </c>
      <c r="G40" s="41" t="str">
        <f>'[1]1нед'!P164</f>
        <v/>
      </c>
      <c r="H40" s="42"/>
    </row>
    <row r="41" ht="31.5" spans="1:8">
      <c r="A41" s="36"/>
      <c r="B41" s="37"/>
      <c r="C41" s="29" t="s">
        <v>21</v>
      </c>
      <c r="D41" s="38">
        <f>'[1]1нед'!K165</f>
        <v>0</v>
      </c>
      <c r="E41" s="39">
        <f>'[1]1нед'!L165</f>
        <v>0</v>
      </c>
      <c r="F41" s="40">
        <f>'[1]1нед'!O165</f>
        <v>0</v>
      </c>
      <c r="G41" s="41" t="str">
        <f>'[1]1нед'!P165</f>
        <v/>
      </c>
      <c r="H41" s="56"/>
    </row>
    <row r="42" ht="32.25" spans="1:8">
      <c r="A42" s="36"/>
      <c r="B42" s="37"/>
      <c r="C42" s="29" t="s">
        <v>22</v>
      </c>
      <c r="D42" s="38">
        <f>'[1]1нед'!K166</f>
        <v>0</v>
      </c>
      <c r="E42" s="39">
        <f>'[1]1нед'!L166</f>
        <v>0</v>
      </c>
      <c r="F42" s="40">
        <f>'[1]1нед'!O166</f>
        <v>0</v>
      </c>
      <c r="G42" s="41" t="str">
        <f>'[1]1нед'!P166</f>
        <v/>
      </c>
      <c r="H42" s="56"/>
    </row>
    <row r="43" ht="18.4" hidden="1" customHeight="1" spans="1:8">
      <c r="A43" s="45"/>
      <c r="B43" s="46"/>
      <c r="C43" s="47"/>
      <c r="D43" s="48">
        <f>'[1]1нед'!K167</f>
        <v>0</v>
      </c>
      <c r="E43" s="49">
        <f>'[1]1нед'!L167</f>
        <v>0</v>
      </c>
      <c r="F43" s="50">
        <f>'[1]1нед'!O167</f>
        <v>0</v>
      </c>
      <c r="G43" s="51" t="str">
        <f>'[1]1нед'!P167</f>
        <v/>
      </c>
      <c r="H43" s="52"/>
    </row>
    <row r="44" ht="48" customHeight="1" spans="1:8">
      <c r="A44" s="27">
        <v>46269</v>
      </c>
      <c r="B44" s="28" t="s">
        <v>26</v>
      </c>
      <c r="C44" s="55" t="s">
        <v>16</v>
      </c>
      <c r="D44" s="30">
        <f>'[1]1нед'!K168</f>
        <v>0</v>
      </c>
      <c r="E44" s="31">
        <f>'[1]1нед'!L168</f>
        <v>0</v>
      </c>
      <c r="F44" s="32">
        <f>'[1]1нед'!O168</f>
        <v>0</v>
      </c>
      <c r="G44" s="33" t="str">
        <f>'[1]1нед'!P168</f>
        <v/>
      </c>
      <c r="H44" s="34"/>
    </row>
    <row r="45" ht="31.5" spans="1:8">
      <c r="A45" s="36"/>
      <c r="B45" s="37"/>
      <c r="C45" s="29" t="s">
        <v>17</v>
      </c>
      <c r="D45" s="38">
        <f>'[1]1нед'!K169</f>
        <v>0</v>
      </c>
      <c r="E45" s="39">
        <f>'[1]1нед'!L169</f>
        <v>0</v>
      </c>
      <c r="F45" s="40">
        <f>'[1]1нед'!O169</f>
        <v>0</v>
      </c>
      <c r="G45" s="41" t="str">
        <f>'[1]1нед'!P169</f>
        <v/>
      </c>
      <c r="H45" s="42"/>
    </row>
    <row r="46" ht="31.5" spans="1:8">
      <c r="A46" s="36"/>
      <c r="B46" s="37"/>
      <c r="C46" s="29" t="s">
        <v>18</v>
      </c>
      <c r="D46" s="38">
        <f>'[1]1нед'!K170</f>
        <v>0</v>
      </c>
      <c r="E46" s="39">
        <f>'[1]1нед'!L170</f>
        <v>0</v>
      </c>
      <c r="F46" s="40">
        <f>'[1]1нед'!O170</f>
        <v>0</v>
      </c>
      <c r="G46" s="41" t="str">
        <f>'[1]1нед'!P170</f>
        <v/>
      </c>
      <c r="H46" s="42"/>
    </row>
    <row r="47" ht="31.5" spans="1:8">
      <c r="A47" s="36"/>
      <c r="B47" s="37"/>
      <c r="C47" s="29" t="s">
        <v>19</v>
      </c>
      <c r="D47" s="38">
        <f>'[1]1нед'!K171</f>
        <v>0</v>
      </c>
      <c r="E47" s="39">
        <f>'[1]1нед'!L171</f>
        <v>0</v>
      </c>
      <c r="F47" s="40">
        <f>'[1]1нед'!O171</f>
        <v>0</v>
      </c>
      <c r="G47" s="41" t="str">
        <f>'[1]1нед'!P171</f>
        <v/>
      </c>
      <c r="H47" s="42"/>
    </row>
    <row r="48" ht="31.5" spans="1:8">
      <c r="A48" s="36"/>
      <c r="B48" s="37"/>
      <c r="C48" s="29" t="s">
        <v>20</v>
      </c>
      <c r="D48" s="38">
        <f>'[1]1нед'!K172</f>
        <v>0</v>
      </c>
      <c r="E48" s="39">
        <f>'[1]1нед'!L172</f>
        <v>0</v>
      </c>
      <c r="F48" s="40">
        <f>'[1]1нед'!O172</f>
        <v>0</v>
      </c>
      <c r="G48" s="41" t="str">
        <f>'[1]1нед'!P172</f>
        <v/>
      </c>
      <c r="H48" s="42"/>
    </row>
    <row r="49" ht="31.5" spans="1:8">
      <c r="A49" s="36"/>
      <c r="B49" s="37"/>
      <c r="C49" s="29" t="s">
        <v>21</v>
      </c>
      <c r="D49" s="38">
        <f>'[1]1нед'!K173</f>
        <v>0</v>
      </c>
      <c r="E49" s="39">
        <f>'[1]1нед'!L173</f>
        <v>0</v>
      </c>
      <c r="F49" s="40">
        <f>'[1]1нед'!O173</f>
        <v>0</v>
      </c>
      <c r="G49" s="41" t="str">
        <f>'[1]1нед'!P173</f>
        <v/>
      </c>
      <c r="H49" s="42"/>
    </row>
    <row r="50" ht="32.25" spans="1:8">
      <c r="A50" s="36"/>
      <c r="B50" s="37"/>
      <c r="C50" s="29" t="s">
        <v>22</v>
      </c>
      <c r="D50" s="38">
        <f>'[1]1нед'!K174</f>
        <v>0</v>
      </c>
      <c r="E50" s="39">
        <f>'[1]1нед'!L174</f>
        <v>0</v>
      </c>
      <c r="F50" s="40">
        <f>'[1]1нед'!O174</f>
        <v>0</v>
      </c>
      <c r="G50" s="41" t="str">
        <f>'[1]1нед'!P174</f>
        <v/>
      </c>
      <c r="H50" s="42"/>
    </row>
    <row r="51" ht="18.4" hidden="1" customHeight="1" spans="1:8">
      <c r="A51" s="45"/>
      <c r="B51" s="46"/>
      <c r="C51" s="47"/>
      <c r="D51" s="48">
        <f>'[1]1нед'!K175</f>
        <v>0</v>
      </c>
      <c r="E51" s="49">
        <f>'[1]1нед'!L175</f>
        <v>0</v>
      </c>
      <c r="F51" s="50">
        <f>'[1]1нед'!O175</f>
        <v>0</v>
      </c>
      <c r="G51" s="51" t="str">
        <f>'[1]1нед'!P175</f>
        <v/>
      </c>
      <c r="H51" s="52"/>
    </row>
    <row r="52" ht="48" customHeight="1" spans="1:8">
      <c r="A52" s="27">
        <v>46270</v>
      </c>
      <c r="B52" s="28" t="s">
        <v>27</v>
      </c>
      <c r="C52" s="55" t="s">
        <v>16</v>
      </c>
      <c r="D52" s="30">
        <f>'[1]1нед'!K176</f>
        <v>0</v>
      </c>
      <c r="E52" s="31">
        <f>'[1]1нед'!L176</f>
        <v>0</v>
      </c>
      <c r="F52" s="32">
        <f>'[1]1нед'!O176</f>
        <v>0</v>
      </c>
      <c r="G52" s="33" t="str">
        <f>'[1]1нед'!P176</f>
        <v/>
      </c>
      <c r="H52" s="34"/>
    </row>
    <row r="53" ht="31.5" spans="1:8">
      <c r="A53" s="36"/>
      <c r="B53" s="37"/>
      <c r="C53" s="29" t="s">
        <v>17</v>
      </c>
      <c r="D53" s="38">
        <f>'[1]1нед'!K177</f>
        <v>0</v>
      </c>
      <c r="E53" s="39">
        <f>'[1]1нед'!L177</f>
        <v>0</v>
      </c>
      <c r="F53" s="40">
        <f>'[1]1нед'!O177</f>
        <v>0</v>
      </c>
      <c r="G53" s="41" t="str">
        <f>'[1]1нед'!P177</f>
        <v/>
      </c>
      <c r="H53" s="42"/>
    </row>
    <row r="54" ht="31.5" spans="1:8">
      <c r="A54" s="36"/>
      <c r="B54" s="37"/>
      <c r="C54" s="29" t="s">
        <v>18</v>
      </c>
      <c r="D54" s="38">
        <f>'[1]1нед'!K178</f>
        <v>0</v>
      </c>
      <c r="E54" s="39">
        <f>'[1]1нед'!L178</f>
        <v>0</v>
      </c>
      <c r="F54" s="40">
        <f>'[1]1нед'!O178</f>
        <v>0</v>
      </c>
      <c r="G54" s="41" t="str">
        <f>'[1]1нед'!P178</f>
        <v/>
      </c>
      <c r="H54" s="42"/>
    </row>
    <row r="55" ht="31.5" spans="1:8">
      <c r="A55" s="36"/>
      <c r="B55" s="37"/>
      <c r="C55" s="29" t="s">
        <v>19</v>
      </c>
      <c r="D55" s="38">
        <f>'[1]1нед'!K179</f>
        <v>0</v>
      </c>
      <c r="E55" s="39">
        <f>'[1]1нед'!L179</f>
        <v>0</v>
      </c>
      <c r="F55" s="40">
        <f>'[1]1нед'!O179</f>
        <v>0</v>
      </c>
      <c r="G55" s="41" t="str">
        <f>'[1]1нед'!P179</f>
        <v/>
      </c>
      <c r="H55" s="42"/>
    </row>
    <row r="56" ht="31.5" spans="1:8">
      <c r="A56" s="36"/>
      <c r="B56" s="37"/>
      <c r="C56" s="29" t="s">
        <v>20</v>
      </c>
      <c r="D56" s="38">
        <f>'[1]1нед'!K180</f>
        <v>0</v>
      </c>
      <c r="E56" s="39">
        <f>'[1]1нед'!L180</f>
        <v>0</v>
      </c>
      <c r="F56" s="40">
        <f>'[1]1нед'!O180</f>
        <v>0</v>
      </c>
      <c r="G56" s="41" t="str">
        <f>'[1]1нед'!P180</f>
        <v/>
      </c>
      <c r="H56" s="42"/>
    </row>
    <row r="57" ht="31.5" spans="1:8">
      <c r="A57" s="36"/>
      <c r="B57" s="37"/>
      <c r="C57" s="29" t="s">
        <v>21</v>
      </c>
      <c r="D57" s="38">
        <f>'[1]1нед'!K181</f>
        <v>0</v>
      </c>
      <c r="E57" s="39">
        <f>'[1]1нед'!L181</f>
        <v>0</v>
      </c>
      <c r="F57" s="40">
        <f>'[1]1нед'!O181</f>
        <v>0</v>
      </c>
      <c r="G57" s="41" t="str">
        <f>'[1]1нед'!P181</f>
        <v/>
      </c>
      <c r="H57" s="42"/>
    </row>
    <row r="58" ht="32.25" spans="1:8">
      <c r="A58" s="36"/>
      <c r="B58" s="37"/>
      <c r="C58" s="29" t="s">
        <v>22</v>
      </c>
      <c r="D58" s="38">
        <f>'[1]1нед'!K182</f>
        <v>0</v>
      </c>
      <c r="E58" s="39">
        <f>'[1]1нед'!L182</f>
        <v>0</v>
      </c>
      <c r="F58" s="40">
        <f>'[1]1нед'!O182</f>
        <v>0</v>
      </c>
      <c r="G58" s="41" t="str">
        <f>'[1]1нед'!P182</f>
        <v/>
      </c>
      <c r="H58" s="42"/>
    </row>
    <row r="59" ht="18.4" hidden="1" customHeight="1" spans="1:8">
      <c r="A59" s="45"/>
      <c r="B59" s="46"/>
      <c r="C59" s="47"/>
      <c r="D59" s="48">
        <f>'[1]1нед'!K59</f>
        <v>0</v>
      </c>
      <c r="E59" s="49">
        <f>'[1]1нед'!L59</f>
        <v>0</v>
      </c>
      <c r="F59" s="50">
        <f>'[1]1нед'!O59</f>
        <v>0</v>
      </c>
      <c r="G59" s="51" t="str">
        <f>'[1]1нед'!P59</f>
        <v/>
      </c>
      <c r="H59" s="52"/>
    </row>
    <row r="60" ht="39" customHeight="1" spans="1:8">
      <c r="A60" s="64"/>
      <c r="B60" s="65"/>
      <c r="C60" s="66"/>
      <c r="D60" s="67"/>
      <c r="E60" s="67" t="s">
        <v>28</v>
      </c>
      <c r="F60" s="67"/>
      <c r="G60" s="68" t="s">
        <v>29</v>
      </c>
      <c r="H60" s="69"/>
    </row>
  </sheetData>
  <mergeCells count="19">
    <mergeCell ref="B6:H6"/>
    <mergeCell ref="B8:D8"/>
    <mergeCell ref="E8:H8"/>
    <mergeCell ref="B9:D9"/>
    <mergeCell ref="B10:D10"/>
    <mergeCell ref="A11:B11"/>
    <mergeCell ref="F11:G11"/>
    <mergeCell ref="A12:A19"/>
    <mergeCell ref="A20:A27"/>
    <mergeCell ref="A28:A35"/>
    <mergeCell ref="A36:A43"/>
    <mergeCell ref="A44:A51"/>
    <mergeCell ref="A52:A59"/>
    <mergeCell ref="B12:B19"/>
    <mergeCell ref="B20:B27"/>
    <mergeCell ref="B28:B35"/>
    <mergeCell ref="B36:B43"/>
    <mergeCell ref="B44:B51"/>
    <mergeCell ref="B52:B59"/>
  </mergeCells>
  <pageMargins left="0.708661417322835" right="0.708661417322835" top="0.748031496062992" bottom="0.748031496062992" header="0.31496062992126" footer="0.31496062992126"/>
  <pageSetup paperSize="9" scale="34" orientation="portrait"/>
  <headerFooter/>
  <rowBreaks count="8" manualBreakCount="8">
    <brk id="60" max="16383" man="1"/>
  </rowBreaks>
  <colBreaks count="1" manualBreakCount="1">
    <brk id="8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60"/>
  <sheetViews>
    <sheetView view="pageBreakPreview" zoomScale="60" zoomScaleNormal="55" topLeftCell="A20" workbookViewId="0">
      <selection activeCell="A61" sqref="$A61:$XFD547"/>
    </sheetView>
  </sheetViews>
  <sheetFormatPr defaultColWidth="9" defaultRowHeight="12.75" outlineLevelCol="7"/>
  <cols>
    <col min="1" max="1" width="5.85714285714286" customWidth="1"/>
    <col min="2" max="2" width="4.14285714285714" customWidth="1"/>
    <col min="3" max="3" width="13.5714285714286" customWidth="1"/>
    <col min="4" max="4" width="11.8571428571429" customWidth="1"/>
    <col min="5" max="5" width="51.5714285714286" customWidth="1"/>
    <col min="6" max="6" width="28" customWidth="1"/>
    <col min="7" max="7" width="30" customWidth="1"/>
    <col min="8" max="8" width="72.2857142857143" style="1" customWidth="1"/>
  </cols>
  <sheetData>
    <row r="1" ht="15.75" spans="1:8">
      <c r="A1" s="2"/>
      <c r="B1" s="3"/>
      <c r="C1" s="4"/>
      <c r="D1" s="5"/>
      <c r="E1" s="5"/>
      <c r="F1" s="5"/>
      <c r="G1" s="5"/>
      <c r="H1" s="6" t="s">
        <v>0</v>
      </c>
    </row>
    <row r="2" ht="15.75" spans="1:8">
      <c r="A2" s="2"/>
      <c r="B2" s="3"/>
      <c r="C2" s="4"/>
      <c r="D2" s="5"/>
      <c r="E2" s="5"/>
      <c r="F2" s="5"/>
      <c r="G2" s="5"/>
      <c r="H2" s="6" t="s">
        <v>1</v>
      </c>
    </row>
    <row r="3" ht="15.75" spans="1:8">
      <c r="A3" s="2"/>
      <c r="B3" s="3"/>
      <c r="C3" s="4"/>
      <c r="D3" s="5"/>
      <c r="E3" s="5"/>
      <c r="F3" s="5"/>
      <c r="G3" s="5"/>
      <c r="H3" s="6" t="s">
        <v>2</v>
      </c>
    </row>
    <row r="4" ht="15.75" spans="1:8">
      <c r="A4" s="2"/>
      <c r="B4" s="3"/>
      <c r="C4" s="4"/>
      <c r="D4" s="5"/>
      <c r="E4" s="5"/>
      <c r="F4" s="5"/>
      <c r="G4" s="5"/>
      <c r="H4" s="6" t="s">
        <v>3</v>
      </c>
    </row>
    <row r="5" ht="15.75" spans="1:8">
      <c r="A5" s="2"/>
      <c r="B5" s="7"/>
      <c r="C5" s="4"/>
      <c r="D5" s="5"/>
      <c r="E5" s="5"/>
      <c r="F5" s="5"/>
      <c r="G5" s="5"/>
      <c r="H5" s="5"/>
    </row>
    <row r="6" ht="15.75" spans="1:8">
      <c r="A6" s="2"/>
      <c r="B6" s="8" t="s">
        <v>4</v>
      </c>
      <c r="C6" s="8"/>
      <c r="D6" s="8"/>
      <c r="E6" s="8"/>
      <c r="F6" s="8"/>
      <c r="G6" s="8"/>
      <c r="H6" s="8"/>
    </row>
    <row r="7" ht="15.75" spans="1:8">
      <c r="A7" s="9"/>
      <c r="B7" s="10" t="str">
        <f>'[1]1нед'!$A$6</f>
        <v>Направление подготовки:</v>
      </c>
      <c r="C7" s="11"/>
      <c r="D7" s="12"/>
      <c r="E7" s="13" t="str">
        <f>'[1]1нед'!$T$130</f>
        <v>09.03.04Программная инженерия (Программно-информационные системы)</v>
      </c>
      <c r="F7" s="12"/>
      <c r="G7" s="12"/>
      <c r="H7" s="14" t="str">
        <f>'[1]1нед'!$T$134</f>
        <v>12-25ПИоз</v>
      </c>
    </row>
    <row r="8" ht="15.75" spans="1:8">
      <c r="A8" s="2"/>
      <c r="B8" s="10" t="s">
        <v>5</v>
      </c>
      <c r="C8" s="10"/>
      <c r="D8" s="10"/>
      <c r="E8" s="10" t="s">
        <v>43</v>
      </c>
      <c r="F8" s="10"/>
      <c r="G8" s="10"/>
      <c r="H8" s="10"/>
    </row>
    <row r="9" ht="15.75" spans="1:8">
      <c r="A9" s="2"/>
      <c r="B9" s="10" t="s">
        <v>7</v>
      </c>
      <c r="C9" s="10"/>
      <c r="D9" s="10"/>
      <c r="E9" s="10">
        <v>2</v>
      </c>
      <c r="F9" s="10"/>
      <c r="G9" s="10"/>
      <c r="H9" s="15"/>
    </row>
    <row r="10" ht="16.5" spans="1:8">
      <c r="A10" s="2"/>
      <c r="B10" s="16" t="s">
        <v>8</v>
      </c>
      <c r="C10" s="16"/>
      <c r="D10" s="16"/>
      <c r="E10" s="16">
        <v>1</v>
      </c>
      <c r="F10" s="16"/>
      <c r="G10" s="16"/>
      <c r="H10" s="17"/>
    </row>
    <row r="11" ht="46.5" customHeight="1" spans="1:8">
      <c r="A11" s="19" t="s">
        <v>9</v>
      </c>
      <c r="B11" s="20"/>
      <c r="C11" s="21" t="s">
        <v>10</v>
      </c>
      <c r="D11" s="22" t="s">
        <v>11</v>
      </c>
      <c r="E11" s="23" t="s">
        <v>12</v>
      </c>
      <c r="F11" s="24" t="s">
        <v>13</v>
      </c>
      <c r="G11" s="25"/>
      <c r="H11" s="26" t="s">
        <v>14</v>
      </c>
    </row>
    <row r="12" ht="35.1" customHeight="1" spans="1:8">
      <c r="A12" s="27">
        <v>46265</v>
      </c>
      <c r="B12" s="28" t="s">
        <v>15</v>
      </c>
      <c r="C12" s="29" t="s">
        <v>16</v>
      </c>
      <c r="D12" s="30">
        <f>'[1]1нед'!S136</f>
        <v>0</v>
      </c>
      <c r="E12" s="31">
        <f>'[1]1нед'!T136</f>
        <v>0</v>
      </c>
      <c r="F12" s="32">
        <f>'[1]1нед'!W136</f>
        <v>0</v>
      </c>
      <c r="G12" s="33" t="str">
        <f>'[1]1нед'!X136</f>
        <v/>
      </c>
      <c r="H12" s="34"/>
    </row>
    <row r="13" ht="31.5" spans="1:8">
      <c r="A13" s="36"/>
      <c r="B13" s="37"/>
      <c r="C13" s="29" t="s">
        <v>17</v>
      </c>
      <c r="D13" s="38">
        <f>'[1]1нед'!S137</f>
        <v>0</v>
      </c>
      <c r="E13" s="39">
        <f>'[1]1нед'!T137</f>
        <v>0</v>
      </c>
      <c r="F13" s="40">
        <f>'[1]1нед'!W137</f>
        <v>0</v>
      </c>
      <c r="G13" s="41" t="str">
        <f>'[1]1нед'!X137</f>
        <v/>
      </c>
      <c r="H13" s="42"/>
    </row>
    <row r="14" ht="31.5" spans="1:8">
      <c r="A14" s="36"/>
      <c r="B14" s="37"/>
      <c r="C14" s="29" t="s">
        <v>18</v>
      </c>
      <c r="D14" s="38">
        <f>'[1]1нед'!S138</f>
        <v>0</v>
      </c>
      <c r="E14" s="39">
        <f>'[1]1нед'!T138</f>
        <v>0</v>
      </c>
      <c r="F14" s="40">
        <f>'[1]1нед'!W138</f>
        <v>0</v>
      </c>
      <c r="G14" s="41" t="str">
        <f>'[1]1нед'!X138</f>
        <v/>
      </c>
      <c r="H14" s="42"/>
    </row>
    <row r="15" ht="31.5" spans="1:8">
      <c r="A15" s="36"/>
      <c r="B15" s="37"/>
      <c r="C15" s="29" t="s">
        <v>19</v>
      </c>
      <c r="D15" s="38">
        <f>'[1]1нед'!S139</f>
        <v>0</v>
      </c>
      <c r="E15" s="39">
        <f>'[1]1нед'!T139</f>
        <v>0</v>
      </c>
      <c r="F15" s="40">
        <f>'[1]1нед'!W139</f>
        <v>0</v>
      </c>
      <c r="G15" s="41" t="str">
        <f>'[1]1нед'!X139</f>
        <v/>
      </c>
      <c r="H15" s="42"/>
    </row>
    <row r="16" ht="31.5" spans="1:8">
      <c r="A16" s="36"/>
      <c r="B16" s="37"/>
      <c r="C16" s="29" t="s">
        <v>20</v>
      </c>
      <c r="D16" s="38">
        <f>'[1]1нед'!S140</f>
        <v>0</v>
      </c>
      <c r="E16" s="39">
        <f>'[1]1нед'!T140</f>
        <v>0</v>
      </c>
      <c r="F16" s="40">
        <f>'[1]1нед'!W140</f>
        <v>0</v>
      </c>
      <c r="G16" s="41" t="str">
        <f>'[1]1нед'!X140</f>
        <v/>
      </c>
      <c r="H16" s="42"/>
    </row>
    <row r="17" ht="31.5" spans="1:8">
      <c r="A17" s="36"/>
      <c r="B17" s="37"/>
      <c r="C17" s="29" t="s">
        <v>21</v>
      </c>
      <c r="D17" s="38">
        <f>'[1]1нед'!S141</f>
        <v>0</v>
      </c>
      <c r="E17" s="39">
        <f>'[1]1нед'!T141</f>
        <v>0</v>
      </c>
      <c r="F17" s="40">
        <f>'[1]1нед'!W141</f>
        <v>0</v>
      </c>
      <c r="G17" s="41" t="str">
        <f>'[1]1нед'!X141</f>
        <v/>
      </c>
      <c r="H17" s="42"/>
    </row>
    <row r="18" ht="31.5" spans="1:8">
      <c r="A18" s="36"/>
      <c r="B18" s="37"/>
      <c r="C18" s="29" t="s">
        <v>22</v>
      </c>
      <c r="D18" s="38">
        <f>'[1]1нед'!S142</f>
        <v>0</v>
      </c>
      <c r="E18" s="39">
        <f>'[1]1нед'!T142</f>
        <v>0</v>
      </c>
      <c r="F18" s="40">
        <f>'[1]1нед'!W142</f>
        <v>0</v>
      </c>
      <c r="G18" s="41" t="str">
        <f>'[1]1нед'!X142</f>
        <v/>
      </c>
      <c r="H18" s="42"/>
    </row>
    <row r="19" ht="18.4" hidden="1" customHeight="1" spans="1:8">
      <c r="A19" s="45"/>
      <c r="B19" s="46"/>
      <c r="C19" s="47"/>
      <c r="D19" s="48">
        <f>'[1]1нед'!S143</f>
        <v>0</v>
      </c>
      <c r="E19" s="49">
        <f>'[1]1нед'!T143</f>
        <v>0</v>
      </c>
      <c r="F19" s="50">
        <f>'[1]1нед'!W143</f>
        <v>0</v>
      </c>
      <c r="G19" s="51" t="str">
        <f>'[1]1нед'!X143</f>
        <v/>
      </c>
      <c r="H19" s="52"/>
    </row>
    <row r="20" ht="32.25" customHeight="1" spans="1:8">
      <c r="A20" s="27">
        <v>46266</v>
      </c>
      <c r="B20" s="28" t="s">
        <v>23</v>
      </c>
      <c r="C20" s="55" t="s">
        <v>16</v>
      </c>
      <c r="D20" s="30">
        <f>'[1]1нед'!S144</f>
        <v>0</v>
      </c>
      <c r="E20" s="31">
        <f>'[1]1нед'!T144</f>
        <v>0</v>
      </c>
      <c r="F20" s="32">
        <f>'[1]1нед'!W144</f>
        <v>0</v>
      </c>
      <c r="G20" s="33" t="str">
        <f>'[1]1нед'!X144</f>
        <v/>
      </c>
      <c r="H20" s="34"/>
    </row>
    <row r="21" ht="31.5" spans="1:8">
      <c r="A21" s="36"/>
      <c r="B21" s="37"/>
      <c r="C21" s="29" t="s">
        <v>17</v>
      </c>
      <c r="D21" s="38">
        <f>'[1]1нед'!S145</f>
        <v>0</v>
      </c>
      <c r="E21" s="39">
        <f>'[1]1нед'!T145</f>
        <v>0</v>
      </c>
      <c r="F21" s="40">
        <f>'[1]1нед'!W145</f>
        <v>0</v>
      </c>
      <c r="G21" s="41" t="str">
        <f>'[1]1нед'!X145</f>
        <v/>
      </c>
      <c r="H21" s="42"/>
    </row>
    <row r="22" ht="31.5" spans="1:8">
      <c r="A22" s="36"/>
      <c r="B22" s="37"/>
      <c r="C22" s="29" t="s">
        <v>18</v>
      </c>
      <c r="D22" s="38">
        <f>'[1]1нед'!S146</f>
        <v>0</v>
      </c>
      <c r="E22" s="39">
        <f>'[1]1нед'!T146</f>
        <v>0</v>
      </c>
      <c r="F22" s="40">
        <f>'[1]1нед'!W146</f>
        <v>0</v>
      </c>
      <c r="G22" s="41" t="str">
        <f>'[1]1нед'!X146</f>
        <v/>
      </c>
      <c r="H22" s="63"/>
    </row>
    <row r="23" ht="31.5" spans="1:8">
      <c r="A23" s="36"/>
      <c r="B23" s="37"/>
      <c r="C23" s="29" t="s">
        <v>19</v>
      </c>
      <c r="D23" s="38">
        <f>'[1]1нед'!S147</f>
        <v>0</v>
      </c>
      <c r="E23" s="39">
        <f>'[1]1нед'!T147</f>
        <v>0</v>
      </c>
      <c r="F23" s="40">
        <f>'[1]1нед'!W147</f>
        <v>0</v>
      </c>
      <c r="G23" s="41" t="str">
        <f>'[1]1нед'!X147</f>
        <v/>
      </c>
      <c r="H23" s="56"/>
    </row>
    <row r="24" ht="31.5" spans="1:8">
      <c r="A24" s="36"/>
      <c r="B24" s="37"/>
      <c r="C24" s="29" t="s">
        <v>20</v>
      </c>
      <c r="D24" s="38">
        <f>'[1]1нед'!S148</f>
        <v>0</v>
      </c>
      <c r="E24" s="39">
        <f>'[1]1нед'!T148</f>
        <v>0</v>
      </c>
      <c r="F24" s="40">
        <f>'[1]1нед'!W148</f>
        <v>0</v>
      </c>
      <c r="G24" s="41" t="str">
        <f>'[1]1нед'!X148</f>
        <v/>
      </c>
      <c r="H24" s="42"/>
    </row>
    <row r="25" ht="31.5" spans="1:8">
      <c r="A25" s="36"/>
      <c r="B25" s="37"/>
      <c r="C25" s="29" t="s">
        <v>21</v>
      </c>
      <c r="D25" s="38">
        <f>'[1]1нед'!S149</f>
        <v>0</v>
      </c>
      <c r="E25" s="39">
        <f>'[1]1нед'!T149</f>
        <v>0</v>
      </c>
      <c r="F25" s="40">
        <f>'[1]1нед'!W149</f>
        <v>0</v>
      </c>
      <c r="G25" s="41" t="str">
        <f>'[1]1нед'!X149</f>
        <v/>
      </c>
      <c r="H25" s="42"/>
    </row>
    <row r="26" ht="32.25" spans="1:8">
      <c r="A26" s="36"/>
      <c r="B26" s="37"/>
      <c r="C26" s="29" t="s">
        <v>22</v>
      </c>
      <c r="D26" s="38">
        <f>'[1]1нед'!S150</f>
        <v>0</v>
      </c>
      <c r="E26" s="39">
        <f>'[1]1нед'!T150</f>
        <v>0</v>
      </c>
      <c r="F26" s="40">
        <f>'[1]1нед'!W150</f>
        <v>0</v>
      </c>
      <c r="G26" s="41" t="str">
        <f>'[1]1нед'!X150</f>
        <v/>
      </c>
      <c r="H26" s="42"/>
    </row>
    <row r="27" ht="18.4" hidden="1" customHeight="1" spans="1:8">
      <c r="A27" s="45"/>
      <c r="B27" s="46"/>
      <c r="C27" s="47"/>
      <c r="D27" s="48">
        <f>'[1]1нед'!S151</f>
        <v>0</v>
      </c>
      <c r="E27" s="49">
        <f>'[1]1нед'!T151</f>
        <v>0</v>
      </c>
      <c r="F27" s="50">
        <f>'[1]1нед'!W151</f>
        <v>0</v>
      </c>
      <c r="G27" s="51" t="str">
        <f>'[1]1нед'!X151</f>
        <v/>
      </c>
      <c r="H27" s="52"/>
    </row>
    <row r="28" ht="48" customHeight="1" spans="1:8">
      <c r="A28" s="27">
        <v>46267</v>
      </c>
      <c r="B28" s="57" t="s">
        <v>24</v>
      </c>
      <c r="C28" s="55" t="s">
        <v>16</v>
      </c>
      <c r="D28" s="30">
        <f>'[1]1нед'!S152</f>
        <v>0</v>
      </c>
      <c r="E28" s="31">
        <f>'[1]1нед'!T152</f>
        <v>0</v>
      </c>
      <c r="F28" s="32">
        <f>'[1]1нед'!W152</f>
        <v>0</v>
      </c>
      <c r="G28" s="33" t="str">
        <f>'[1]1нед'!X152</f>
        <v/>
      </c>
      <c r="H28" s="34"/>
    </row>
    <row r="29" ht="31.5" spans="1:8">
      <c r="A29" s="36"/>
      <c r="B29" s="59"/>
      <c r="C29" s="29" t="s">
        <v>17</v>
      </c>
      <c r="D29" s="38">
        <f>'[1]1нед'!S153</f>
        <v>0</v>
      </c>
      <c r="E29" s="39">
        <f>'[1]1нед'!T153</f>
        <v>0</v>
      </c>
      <c r="F29" s="40">
        <f>'[1]1нед'!W153</f>
        <v>0</v>
      </c>
      <c r="G29" s="41" t="str">
        <f>'[1]1нед'!X153</f>
        <v/>
      </c>
      <c r="H29" s="42"/>
    </row>
    <row r="30" ht="31.5" spans="1:8">
      <c r="A30" s="36"/>
      <c r="B30" s="59"/>
      <c r="C30" s="29" t="s">
        <v>18</v>
      </c>
      <c r="D30" s="38">
        <f>'[1]1нед'!S154</f>
        <v>0</v>
      </c>
      <c r="E30" s="39">
        <f>'[1]1нед'!T154</f>
        <v>0</v>
      </c>
      <c r="F30" s="40">
        <f>'[1]1нед'!W154</f>
        <v>0</v>
      </c>
      <c r="G30" s="41" t="str">
        <f>'[1]1нед'!X154</f>
        <v/>
      </c>
      <c r="H30" s="56"/>
    </row>
    <row r="31" ht="31.5" spans="1:8">
      <c r="A31" s="36"/>
      <c r="B31" s="59"/>
      <c r="C31" s="29" t="s">
        <v>19</v>
      </c>
      <c r="D31" s="38">
        <f>'[1]1нед'!S155</f>
        <v>0</v>
      </c>
      <c r="E31" s="39">
        <f>'[1]1нед'!T155</f>
        <v>0</v>
      </c>
      <c r="F31" s="40">
        <f>'[1]1нед'!W155</f>
        <v>0</v>
      </c>
      <c r="G31" s="41" t="str">
        <f>'[1]1нед'!X155</f>
        <v/>
      </c>
      <c r="H31" s="56"/>
    </row>
    <row r="32" ht="31.5" spans="1:8">
      <c r="A32" s="36"/>
      <c r="B32" s="59"/>
      <c r="C32" s="29" t="s">
        <v>20</v>
      </c>
      <c r="D32" s="38">
        <f>'[1]1нед'!S156</f>
        <v>0</v>
      </c>
      <c r="E32" s="39">
        <f>'[1]1нед'!T156</f>
        <v>0</v>
      </c>
      <c r="F32" s="40">
        <f>'[1]1нед'!W156</f>
        <v>0</v>
      </c>
      <c r="G32" s="41" t="str">
        <f>'[1]1нед'!X156</f>
        <v/>
      </c>
      <c r="H32" s="42"/>
    </row>
    <row r="33" ht="31.5" spans="1:8">
      <c r="A33" s="36"/>
      <c r="B33" s="59"/>
      <c r="C33" s="29" t="s">
        <v>21</v>
      </c>
      <c r="D33" s="38" t="str">
        <f>'[1]1нед'!S157</f>
        <v>л</v>
      </c>
      <c r="E33" s="39" t="str">
        <f>'[1]1нед'!T157</f>
        <v>Финансово-экономический практикум</v>
      </c>
      <c r="F33" s="40" t="str">
        <f>'[1]1нед'!W157</f>
        <v>Марусик Е.А.</v>
      </c>
      <c r="G33" s="41" t="str">
        <f>'[1]1нед'!X157</f>
        <v>доцент, канд. наук</v>
      </c>
      <c r="H33" s="72" t="s">
        <v>44</v>
      </c>
    </row>
    <row r="34" ht="38.25" spans="1:8">
      <c r="A34" s="36"/>
      <c r="B34" s="59"/>
      <c r="C34" s="29" t="s">
        <v>22</v>
      </c>
      <c r="D34" s="38" t="str">
        <f>'[1]1нед'!S158</f>
        <v>л</v>
      </c>
      <c r="E34" s="39" t="str">
        <f>'[1]1нед'!T158</f>
        <v>Нормативно-правовые основы профессиональной деятельности</v>
      </c>
      <c r="F34" s="40" t="str">
        <f>'[1]1нед'!W158</f>
        <v>Лаврищева О.А.</v>
      </c>
      <c r="G34" s="41" t="str">
        <f>'[1]1нед'!X158</f>
        <v>доцент, канд. наук</v>
      </c>
      <c r="H34" s="73" t="s">
        <v>45</v>
      </c>
    </row>
    <row r="35" ht="18.4" hidden="1" customHeight="1" spans="1:8">
      <c r="A35" s="45"/>
      <c r="B35" s="61"/>
      <c r="C35" s="47"/>
      <c r="D35" s="48">
        <f>'[1]1нед'!S159</f>
        <v>0</v>
      </c>
      <c r="E35" s="49">
        <f>'[1]1нед'!T159</f>
        <v>0</v>
      </c>
      <c r="F35" s="50">
        <f>'[1]1нед'!W159</f>
        <v>0</v>
      </c>
      <c r="G35" s="51" t="str">
        <f>'[1]1нед'!X159</f>
        <v/>
      </c>
      <c r="H35" s="52"/>
    </row>
    <row r="36" ht="48" customHeight="1" spans="1:8">
      <c r="A36" s="27">
        <v>46268</v>
      </c>
      <c r="B36" s="28" t="s">
        <v>25</v>
      </c>
      <c r="C36" s="55" t="s">
        <v>16</v>
      </c>
      <c r="D36" s="30">
        <f>'[1]1нед'!S160</f>
        <v>0</v>
      </c>
      <c r="E36" s="31">
        <f>'[1]1нед'!T160</f>
        <v>0</v>
      </c>
      <c r="F36" s="32">
        <f>'[1]1нед'!W160</f>
        <v>0</v>
      </c>
      <c r="G36" s="33" t="str">
        <f>'[1]1нед'!X160</f>
        <v/>
      </c>
      <c r="H36" s="34"/>
    </row>
    <row r="37" ht="31.5" spans="1:8">
      <c r="A37" s="36"/>
      <c r="B37" s="37"/>
      <c r="C37" s="29" t="s">
        <v>17</v>
      </c>
      <c r="D37" s="38">
        <f>'[1]1нед'!S161</f>
        <v>0</v>
      </c>
      <c r="E37" s="39">
        <f>'[1]1нед'!T161</f>
        <v>0</v>
      </c>
      <c r="F37" s="40">
        <f>'[1]1нед'!W161</f>
        <v>0</v>
      </c>
      <c r="G37" s="41" t="str">
        <f>'[1]1нед'!X161</f>
        <v/>
      </c>
      <c r="H37" s="56"/>
    </row>
    <row r="38" ht="31.5" spans="1:8">
      <c r="A38" s="36"/>
      <c r="B38" s="37"/>
      <c r="C38" s="29" t="s">
        <v>18</v>
      </c>
      <c r="D38" s="38">
        <f>'[1]1нед'!S162</f>
        <v>0</v>
      </c>
      <c r="E38" s="39">
        <f>'[1]1нед'!T162</f>
        <v>0</v>
      </c>
      <c r="F38" s="40">
        <f>'[1]1нед'!W162</f>
        <v>0</v>
      </c>
      <c r="G38" s="41" t="str">
        <f>'[1]1нед'!X162</f>
        <v/>
      </c>
      <c r="H38" s="56"/>
    </row>
    <row r="39" ht="31.5" spans="1:8">
      <c r="A39" s="36"/>
      <c r="B39" s="37"/>
      <c r="C39" s="29" t="s">
        <v>19</v>
      </c>
      <c r="D39" s="38">
        <f>'[1]1нед'!S163</f>
        <v>0</v>
      </c>
      <c r="E39" s="39">
        <f>'[1]1нед'!T163</f>
        <v>0</v>
      </c>
      <c r="F39" s="40">
        <f>'[1]1нед'!W163</f>
        <v>0</v>
      </c>
      <c r="G39" s="41" t="str">
        <f>'[1]1нед'!X163</f>
        <v/>
      </c>
      <c r="H39" s="56"/>
    </row>
    <row r="40" ht="31.5" spans="1:8">
      <c r="A40" s="36"/>
      <c r="B40" s="37"/>
      <c r="C40" s="29" t="s">
        <v>20</v>
      </c>
      <c r="D40" s="38">
        <f>'[1]1нед'!S164</f>
        <v>0</v>
      </c>
      <c r="E40" s="39">
        <f>'[1]1нед'!T164</f>
        <v>0</v>
      </c>
      <c r="F40" s="40">
        <f>'[1]1нед'!W164</f>
        <v>0</v>
      </c>
      <c r="G40" s="41" t="str">
        <f>'[1]1нед'!X164</f>
        <v/>
      </c>
      <c r="H40" s="42"/>
    </row>
    <row r="41" ht="31.5" spans="1:8">
      <c r="A41" s="36"/>
      <c r="B41" s="37"/>
      <c r="C41" s="29" t="s">
        <v>21</v>
      </c>
      <c r="D41" s="38">
        <f>'[1]1нед'!S165</f>
        <v>0</v>
      </c>
      <c r="E41" s="39">
        <f>'[1]1нед'!T165</f>
        <v>0</v>
      </c>
      <c r="F41" s="40">
        <f>'[1]1нед'!W165</f>
        <v>0</v>
      </c>
      <c r="G41" s="41" t="str">
        <f>'[1]1нед'!X165</f>
        <v/>
      </c>
      <c r="H41" s="42"/>
    </row>
    <row r="42" ht="32.25" spans="1:8">
      <c r="A42" s="36"/>
      <c r="B42" s="37"/>
      <c r="C42" s="29" t="s">
        <v>22</v>
      </c>
      <c r="D42" s="38">
        <f>'[1]1нед'!S166</f>
        <v>0</v>
      </c>
      <c r="E42" s="39">
        <f>'[1]1нед'!T166</f>
        <v>0</v>
      </c>
      <c r="F42" s="40">
        <f>'[1]1нед'!W166</f>
        <v>0</v>
      </c>
      <c r="G42" s="41" t="str">
        <f>'[1]1нед'!X166</f>
        <v/>
      </c>
      <c r="H42" s="42"/>
    </row>
    <row r="43" ht="18.4" hidden="1" customHeight="1" spans="1:8">
      <c r="A43" s="45"/>
      <c r="B43" s="46"/>
      <c r="C43" s="47"/>
      <c r="D43" s="48">
        <f>'[1]1нед'!S167</f>
        <v>0</v>
      </c>
      <c r="E43" s="49">
        <f>'[1]1нед'!T167</f>
        <v>0</v>
      </c>
      <c r="F43" s="50">
        <f>'[1]1нед'!W167</f>
        <v>0</v>
      </c>
      <c r="G43" s="51" t="str">
        <f>'[1]1нед'!X167</f>
        <v/>
      </c>
      <c r="H43" s="52"/>
    </row>
    <row r="44" ht="48" customHeight="1" spans="1:8">
      <c r="A44" s="27">
        <v>46269</v>
      </c>
      <c r="B44" s="28" t="s">
        <v>26</v>
      </c>
      <c r="C44" s="55" t="s">
        <v>16</v>
      </c>
      <c r="D44" s="30">
        <f>'[1]1нед'!S168</f>
        <v>0</v>
      </c>
      <c r="E44" s="31">
        <f>'[1]1нед'!T168</f>
        <v>0</v>
      </c>
      <c r="F44" s="32">
        <f>'[1]1нед'!W168</f>
        <v>0</v>
      </c>
      <c r="G44" s="33" t="str">
        <f>'[1]1нед'!X168</f>
        <v/>
      </c>
      <c r="H44" s="34"/>
    </row>
    <row r="45" ht="31.5" spans="1:8">
      <c r="A45" s="36"/>
      <c r="B45" s="37"/>
      <c r="C45" s="29" t="s">
        <v>17</v>
      </c>
      <c r="D45" s="38">
        <f>'[1]1нед'!S169</f>
        <v>0</v>
      </c>
      <c r="E45" s="39">
        <f>'[1]1нед'!T169</f>
        <v>0</v>
      </c>
      <c r="F45" s="40">
        <f>'[1]1нед'!W169</f>
        <v>0</v>
      </c>
      <c r="G45" s="41" t="str">
        <f>'[1]1нед'!X169</f>
        <v/>
      </c>
      <c r="H45" s="56"/>
    </row>
    <row r="46" ht="31.5" spans="1:8">
      <c r="A46" s="36"/>
      <c r="B46" s="37"/>
      <c r="C46" s="29" t="s">
        <v>18</v>
      </c>
      <c r="D46" s="38">
        <f>'[1]1нед'!S170</f>
        <v>0</v>
      </c>
      <c r="E46" s="39">
        <f>'[1]1нед'!T170</f>
        <v>0</v>
      </c>
      <c r="F46" s="40">
        <f>'[1]1нед'!W170</f>
        <v>0</v>
      </c>
      <c r="G46" s="41" t="str">
        <f>'[1]1нед'!X170</f>
        <v/>
      </c>
      <c r="H46" s="56"/>
    </row>
    <row r="47" ht="31.5" spans="1:8">
      <c r="A47" s="36"/>
      <c r="B47" s="37"/>
      <c r="C47" s="29" t="s">
        <v>19</v>
      </c>
      <c r="D47" s="38">
        <f>'[1]1нед'!S171</f>
        <v>0</v>
      </c>
      <c r="E47" s="39">
        <f>'[1]1нед'!T171</f>
        <v>0</v>
      </c>
      <c r="F47" s="40">
        <f>'[1]1нед'!W171</f>
        <v>0</v>
      </c>
      <c r="G47" s="41" t="str">
        <f>'[1]1нед'!X171</f>
        <v/>
      </c>
      <c r="H47" s="42"/>
    </row>
    <row r="48" ht="31.5" spans="1:8">
      <c r="A48" s="36"/>
      <c r="B48" s="37"/>
      <c r="C48" s="29" t="s">
        <v>20</v>
      </c>
      <c r="D48" s="38">
        <f>'[1]1нед'!S172</f>
        <v>0</v>
      </c>
      <c r="E48" s="39">
        <f>'[1]1нед'!T172</f>
        <v>0</v>
      </c>
      <c r="F48" s="40">
        <f>'[1]1нед'!W172</f>
        <v>0</v>
      </c>
      <c r="G48" s="41" t="str">
        <f>'[1]1нед'!X172</f>
        <v/>
      </c>
      <c r="H48" s="42"/>
    </row>
    <row r="49" ht="31.5" spans="1:8">
      <c r="A49" s="36"/>
      <c r="B49" s="37"/>
      <c r="C49" s="29" t="s">
        <v>21</v>
      </c>
      <c r="D49" s="38">
        <f>'[1]1нед'!S173</f>
        <v>0</v>
      </c>
      <c r="E49" s="39">
        <f>'[1]1нед'!T173</f>
        <v>0</v>
      </c>
      <c r="F49" s="40">
        <f>'[1]1нед'!W173</f>
        <v>0</v>
      </c>
      <c r="G49" s="41" t="str">
        <f>'[1]1нед'!X173</f>
        <v/>
      </c>
      <c r="H49" s="42"/>
    </row>
    <row r="50" ht="32.25" spans="1:8">
      <c r="A50" s="36"/>
      <c r="B50" s="37"/>
      <c r="C50" s="29" t="s">
        <v>22</v>
      </c>
      <c r="D50" s="38">
        <f>'[1]1нед'!S174</f>
        <v>0</v>
      </c>
      <c r="E50" s="39">
        <f>'[1]1нед'!T174</f>
        <v>0</v>
      </c>
      <c r="F50" s="40">
        <f>'[1]1нед'!W174</f>
        <v>0</v>
      </c>
      <c r="G50" s="41" t="str">
        <f>'[1]1нед'!X174</f>
        <v/>
      </c>
      <c r="H50" s="42"/>
    </row>
    <row r="51" ht="18.4" hidden="1" customHeight="1" spans="1:8">
      <c r="A51" s="45"/>
      <c r="B51" s="46"/>
      <c r="C51" s="47"/>
      <c r="D51" s="48">
        <f>'[1]1нед'!S175</f>
        <v>0</v>
      </c>
      <c r="E51" s="49">
        <f>'[1]1нед'!T175</f>
        <v>0</v>
      </c>
      <c r="F51" s="50">
        <f>'[1]1нед'!W175</f>
        <v>0</v>
      </c>
      <c r="G51" s="51" t="str">
        <f>'[1]1нед'!X175</f>
        <v/>
      </c>
      <c r="H51" s="52"/>
    </row>
    <row r="52" ht="48" customHeight="1" spans="1:8">
      <c r="A52" s="27">
        <v>46270</v>
      </c>
      <c r="B52" s="28" t="s">
        <v>27</v>
      </c>
      <c r="C52" s="55" t="s">
        <v>16</v>
      </c>
      <c r="D52" s="30">
        <f>'[1]1нед'!S176</f>
        <v>0</v>
      </c>
      <c r="E52" s="31">
        <f>'[1]1нед'!T176</f>
        <v>0</v>
      </c>
      <c r="F52" s="32">
        <f>'[1]1нед'!W176</f>
        <v>0</v>
      </c>
      <c r="G52" s="33" t="str">
        <f>'[1]1нед'!X176</f>
        <v/>
      </c>
      <c r="H52" s="34"/>
    </row>
    <row r="53" ht="31.5" spans="1:8">
      <c r="A53" s="36"/>
      <c r="B53" s="37"/>
      <c r="C53" s="29" t="s">
        <v>17</v>
      </c>
      <c r="D53" s="38">
        <f>'[1]1нед'!S177</f>
        <v>0</v>
      </c>
      <c r="E53" s="39">
        <f>'[1]1нед'!T177</f>
        <v>0</v>
      </c>
      <c r="F53" s="40">
        <f>'[1]1нед'!W177</f>
        <v>0</v>
      </c>
      <c r="G53" s="41" t="str">
        <f>'[1]1нед'!X177</f>
        <v/>
      </c>
      <c r="H53" s="42"/>
    </row>
    <row r="54" ht="31.5" spans="1:8">
      <c r="A54" s="36"/>
      <c r="B54" s="37"/>
      <c r="C54" s="29" t="s">
        <v>18</v>
      </c>
      <c r="D54" s="38">
        <f>'[1]1нед'!S178</f>
        <v>0</v>
      </c>
      <c r="E54" s="39">
        <f>'[1]1нед'!T178</f>
        <v>0</v>
      </c>
      <c r="F54" s="40">
        <f>'[1]1нед'!W178</f>
        <v>0</v>
      </c>
      <c r="G54" s="41" t="str">
        <f>'[1]1нед'!X178</f>
        <v/>
      </c>
      <c r="H54" s="42"/>
    </row>
    <row r="55" ht="31.5" spans="1:8">
      <c r="A55" s="36"/>
      <c r="B55" s="37"/>
      <c r="C55" s="29" t="s">
        <v>19</v>
      </c>
      <c r="D55" s="38">
        <f>'[1]1нед'!S179</f>
        <v>0</v>
      </c>
      <c r="E55" s="39">
        <f>'[1]1нед'!T179</f>
        <v>0</v>
      </c>
      <c r="F55" s="40">
        <f>'[1]1нед'!W179</f>
        <v>0</v>
      </c>
      <c r="G55" s="41" t="str">
        <f>'[1]1нед'!X179</f>
        <v/>
      </c>
      <c r="H55" s="42"/>
    </row>
    <row r="56" ht="31.5" spans="1:8">
      <c r="A56" s="36"/>
      <c r="B56" s="37"/>
      <c r="C56" s="29" t="s">
        <v>20</v>
      </c>
      <c r="D56" s="38">
        <f>'[1]1нед'!S180</f>
        <v>0</v>
      </c>
      <c r="E56" s="39">
        <f>'[1]1нед'!T180</f>
        <v>0</v>
      </c>
      <c r="F56" s="40">
        <f>'[1]1нед'!W180</f>
        <v>0</v>
      </c>
      <c r="G56" s="41" t="str">
        <f>'[1]1нед'!X180</f>
        <v/>
      </c>
      <c r="H56" s="42"/>
    </row>
    <row r="57" ht="31.5" spans="1:8">
      <c r="A57" s="36"/>
      <c r="B57" s="37"/>
      <c r="C57" s="29" t="s">
        <v>21</v>
      </c>
      <c r="D57" s="38">
        <f>'[1]1нед'!S181</f>
        <v>0</v>
      </c>
      <c r="E57" s="39">
        <f>'[1]1нед'!T181</f>
        <v>0</v>
      </c>
      <c r="F57" s="40">
        <f>'[1]1нед'!W181</f>
        <v>0</v>
      </c>
      <c r="G57" s="41" t="str">
        <f>'[1]1нед'!X181</f>
        <v/>
      </c>
      <c r="H57" s="42"/>
    </row>
    <row r="58" ht="32.25" spans="1:8">
      <c r="A58" s="36"/>
      <c r="B58" s="37"/>
      <c r="C58" s="29" t="s">
        <v>22</v>
      </c>
      <c r="D58" s="38">
        <f>'[1]1нед'!S182</f>
        <v>0</v>
      </c>
      <c r="E58" s="39">
        <f>'[1]1нед'!T182</f>
        <v>0</v>
      </c>
      <c r="F58" s="40">
        <f>'[1]1нед'!W182</f>
        <v>0</v>
      </c>
      <c r="G58" s="41" t="str">
        <f>'[1]1нед'!X182</f>
        <v/>
      </c>
      <c r="H58" s="42"/>
    </row>
    <row r="59" ht="18.4" hidden="1" customHeight="1" spans="1:8">
      <c r="A59" s="45"/>
      <c r="B59" s="46"/>
      <c r="C59" s="47"/>
      <c r="D59" s="48">
        <f>'[1]1нед'!S59</f>
        <v>0</v>
      </c>
      <c r="E59" s="49">
        <f>'[1]1нед'!T59</f>
        <v>0</v>
      </c>
      <c r="F59" s="50">
        <f>'[1]1нед'!W59</f>
        <v>0</v>
      </c>
      <c r="G59" s="51" t="str">
        <f>'[1]1нед'!X59</f>
        <v/>
      </c>
      <c r="H59" s="52"/>
    </row>
    <row r="60" ht="39" customHeight="1" spans="1:8">
      <c r="A60" s="64"/>
      <c r="B60" s="65"/>
      <c r="C60" s="66"/>
      <c r="D60" s="67"/>
      <c r="E60" s="67" t="s">
        <v>28</v>
      </c>
      <c r="F60" s="67"/>
      <c r="G60" s="68" t="s">
        <v>29</v>
      </c>
      <c r="H60" s="69"/>
    </row>
  </sheetData>
  <mergeCells count="19">
    <mergeCell ref="B6:H6"/>
    <mergeCell ref="B8:D8"/>
    <mergeCell ref="E8:H8"/>
    <mergeCell ref="B9:D9"/>
    <mergeCell ref="B10:D10"/>
    <mergeCell ref="A11:B11"/>
    <mergeCell ref="F11:G11"/>
    <mergeCell ref="A12:A19"/>
    <mergeCell ref="A20:A27"/>
    <mergeCell ref="A28:A35"/>
    <mergeCell ref="A36:A43"/>
    <mergeCell ref="A44:A51"/>
    <mergeCell ref="A52:A59"/>
    <mergeCell ref="B12:B19"/>
    <mergeCell ref="B20:B27"/>
    <mergeCell ref="B28:B35"/>
    <mergeCell ref="B36:B43"/>
    <mergeCell ref="B44:B51"/>
    <mergeCell ref="B52:B59"/>
  </mergeCells>
  <pageMargins left="0.708661417322835" right="0.708661417322835" top="0.748031496062992" bottom="0.748031496062992" header="0.31496062992126" footer="0.31496062992126"/>
  <pageSetup paperSize="9" scale="34" orientation="portrait"/>
  <headerFooter/>
  <rowBreaks count="8" manualBreakCount="8">
    <brk id="60" max="16383" man="1"/>
  </rowBreaks>
  <colBreaks count="1" manualBreakCount="1">
    <brk id="8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60"/>
  <sheetViews>
    <sheetView view="pageBreakPreview" zoomScale="57" zoomScaleNormal="55" topLeftCell="A22" workbookViewId="0">
      <selection activeCell="A61" sqref="$A61:$XFD543"/>
    </sheetView>
  </sheetViews>
  <sheetFormatPr defaultColWidth="9" defaultRowHeight="12.75" outlineLevelCol="7"/>
  <cols>
    <col min="1" max="1" width="5.85714285714286" customWidth="1"/>
    <col min="2" max="2" width="4.14285714285714" customWidth="1"/>
    <col min="3" max="3" width="13.5714285714286" customWidth="1"/>
    <col min="4" max="4" width="11.8571428571429" customWidth="1"/>
    <col min="5" max="5" width="51.5714285714286" customWidth="1"/>
    <col min="6" max="6" width="28" customWidth="1"/>
    <col min="7" max="7" width="30" customWidth="1"/>
    <col min="8" max="8" width="72.2857142857143" style="1" customWidth="1"/>
  </cols>
  <sheetData>
    <row r="1" ht="15.75" spans="1:8">
      <c r="A1" s="2"/>
      <c r="B1" s="3"/>
      <c r="C1" s="4"/>
      <c r="D1" s="5"/>
      <c r="E1" s="5"/>
      <c r="F1" s="5"/>
      <c r="G1" s="5"/>
      <c r="H1" s="6" t="s">
        <v>0</v>
      </c>
    </row>
    <row r="2" ht="15.75" spans="1:8">
      <c r="A2" s="2"/>
      <c r="B2" s="3"/>
      <c r="C2" s="4"/>
      <c r="D2" s="5"/>
      <c r="E2" s="5"/>
      <c r="F2" s="5"/>
      <c r="G2" s="5"/>
      <c r="H2" s="6" t="s">
        <v>1</v>
      </c>
    </row>
    <row r="3" ht="15.75" spans="1:8">
      <c r="A3" s="2"/>
      <c r="B3" s="3"/>
      <c r="C3" s="4"/>
      <c r="D3" s="5"/>
      <c r="E3" s="5"/>
      <c r="F3" s="5"/>
      <c r="G3" s="5"/>
      <c r="H3" s="6" t="s">
        <v>2</v>
      </c>
    </row>
    <row r="4" ht="15.75" spans="1:8">
      <c r="A4" s="2"/>
      <c r="B4" s="3"/>
      <c r="C4" s="4"/>
      <c r="D4" s="5"/>
      <c r="E4" s="5"/>
      <c r="F4" s="5"/>
      <c r="G4" s="5"/>
      <c r="H4" s="6" t="s">
        <v>3</v>
      </c>
    </row>
    <row r="5" ht="15.75" spans="1:8">
      <c r="A5" s="2"/>
      <c r="B5" s="7"/>
      <c r="C5" s="4"/>
      <c r="D5" s="5"/>
      <c r="E5" s="5"/>
      <c r="F5" s="5"/>
      <c r="G5" s="5"/>
      <c r="H5" s="5"/>
    </row>
    <row r="6" ht="15.75" spans="1:8">
      <c r="A6" s="2"/>
      <c r="B6" s="8" t="s">
        <v>4</v>
      </c>
      <c r="C6" s="8"/>
      <c r="D6" s="8"/>
      <c r="E6" s="8"/>
      <c r="F6" s="8"/>
      <c r="G6" s="8"/>
      <c r="H6" s="8"/>
    </row>
    <row r="7" ht="15.75" spans="1:8">
      <c r="A7" s="9"/>
      <c r="B7" s="10" t="str">
        <f>'[1]1нед'!$A$6</f>
        <v>Направление подготовки:</v>
      </c>
      <c r="C7" s="11"/>
      <c r="D7" s="12"/>
      <c r="E7" s="13" t="str">
        <f>'[1]1нед'!$D$192</f>
        <v>44.03.05Педагогическое образование (с двумя профилями подготовки) (Математика и Информатика)</v>
      </c>
      <c r="F7" s="12"/>
      <c r="G7" s="12"/>
      <c r="H7" s="14" t="str">
        <f>'[1]1нед'!$D$196</f>
        <v>12-25МИоз</v>
      </c>
    </row>
    <row r="8" ht="15.75" spans="1:8">
      <c r="A8" s="2"/>
      <c r="B8" s="10" t="s">
        <v>5</v>
      </c>
      <c r="C8" s="10"/>
      <c r="D8" s="10"/>
      <c r="E8" s="10" t="s">
        <v>43</v>
      </c>
      <c r="F8" s="10"/>
      <c r="G8" s="10"/>
      <c r="H8" s="10"/>
    </row>
    <row r="9" ht="15.75" spans="1:8">
      <c r="A9" s="2"/>
      <c r="B9" s="10" t="s">
        <v>7</v>
      </c>
      <c r="C9" s="10"/>
      <c r="D9" s="10"/>
      <c r="E9" s="10">
        <v>2</v>
      </c>
      <c r="F9" s="10"/>
      <c r="G9" s="10"/>
      <c r="H9" s="15"/>
    </row>
    <row r="10" ht="16.5" spans="1:8">
      <c r="A10" s="2"/>
      <c r="B10" s="16" t="s">
        <v>8</v>
      </c>
      <c r="C10" s="16"/>
      <c r="D10" s="16"/>
      <c r="E10" s="16">
        <v>1</v>
      </c>
      <c r="F10" s="16"/>
      <c r="G10" s="16"/>
      <c r="H10" s="17"/>
    </row>
    <row r="11" ht="46.5" customHeight="1" spans="1:8">
      <c r="A11" s="19" t="s">
        <v>9</v>
      </c>
      <c r="B11" s="20"/>
      <c r="C11" s="21" t="s">
        <v>10</v>
      </c>
      <c r="D11" s="22" t="s">
        <v>11</v>
      </c>
      <c r="E11" s="23" t="s">
        <v>12</v>
      </c>
      <c r="F11" s="24" t="s">
        <v>13</v>
      </c>
      <c r="G11" s="25"/>
      <c r="H11" s="26" t="s">
        <v>14</v>
      </c>
    </row>
    <row r="12" ht="32.25" customHeight="1" spans="1:8">
      <c r="A12" s="27">
        <v>46265</v>
      </c>
      <c r="B12" s="28" t="s">
        <v>15</v>
      </c>
      <c r="C12" s="29" t="s">
        <v>16</v>
      </c>
      <c r="D12" s="30">
        <f>'[1]1нед'!C198</f>
        <v>0</v>
      </c>
      <c r="E12" s="31">
        <f>'[1]1нед'!D198</f>
        <v>0</v>
      </c>
      <c r="F12" s="32">
        <f>'[1]1нед'!G198</f>
        <v>0</v>
      </c>
      <c r="G12" s="33" t="str">
        <f>'[1]1нед'!H198</f>
        <v/>
      </c>
      <c r="H12" s="34"/>
    </row>
    <row r="13" ht="31.5" spans="1:8">
      <c r="A13" s="36"/>
      <c r="B13" s="37"/>
      <c r="C13" s="29" t="s">
        <v>17</v>
      </c>
      <c r="D13" s="38">
        <f>'[1]1нед'!C199</f>
        <v>0</v>
      </c>
      <c r="E13" s="39">
        <f>'[1]1нед'!D199</f>
        <v>0</v>
      </c>
      <c r="F13" s="40">
        <f>'[1]1нед'!G199</f>
        <v>0</v>
      </c>
      <c r="G13" s="41" t="str">
        <f>'[1]1нед'!H199</f>
        <v/>
      </c>
      <c r="H13" s="42"/>
    </row>
    <row r="14" ht="31.5" spans="1:8">
      <c r="A14" s="36"/>
      <c r="B14" s="37"/>
      <c r="C14" s="29" t="s">
        <v>18</v>
      </c>
      <c r="D14" s="38">
        <f>'[1]1нед'!C200</f>
        <v>0</v>
      </c>
      <c r="E14" s="39">
        <f>'[1]1нед'!D200</f>
        <v>0</v>
      </c>
      <c r="F14" s="40">
        <f>'[1]1нед'!G200</f>
        <v>0</v>
      </c>
      <c r="G14" s="41" t="str">
        <f>'[1]1нед'!H200</f>
        <v/>
      </c>
      <c r="H14" s="42"/>
    </row>
    <row r="15" ht="31.5" spans="1:8">
      <c r="A15" s="36"/>
      <c r="B15" s="37"/>
      <c r="C15" s="29" t="s">
        <v>19</v>
      </c>
      <c r="D15" s="38">
        <f>'[1]1нед'!C201</f>
        <v>0</v>
      </c>
      <c r="E15" s="39">
        <f>'[1]1нед'!D201</f>
        <v>0</v>
      </c>
      <c r="F15" s="40">
        <f>'[1]1нед'!G201</f>
        <v>0</v>
      </c>
      <c r="G15" s="41" t="str">
        <f>'[1]1нед'!H201</f>
        <v/>
      </c>
      <c r="H15" s="42"/>
    </row>
    <row r="16" ht="31.5" spans="1:8">
      <c r="A16" s="36"/>
      <c r="B16" s="37"/>
      <c r="C16" s="29" t="s">
        <v>20</v>
      </c>
      <c r="D16" s="38">
        <f>'[1]1нед'!C202</f>
        <v>0</v>
      </c>
      <c r="E16" s="39">
        <f>'[1]1нед'!D202</f>
        <v>0</v>
      </c>
      <c r="F16" s="40">
        <f>'[1]1нед'!G202</f>
        <v>0</v>
      </c>
      <c r="G16" s="41" t="str">
        <f>'[1]1нед'!H202</f>
        <v/>
      </c>
      <c r="H16" s="42"/>
    </row>
    <row r="17" ht="31.5" spans="1:8">
      <c r="A17" s="36"/>
      <c r="B17" s="37"/>
      <c r="C17" s="29" t="s">
        <v>21</v>
      </c>
      <c r="D17" s="38">
        <f>'[1]1нед'!C203</f>
        <v>0</v>
      </c>
      <c r="E17" s="39">
        <f>'[1]1нед'!D203</f>
        <v>0</v>
      </c>
      <c r="F17" s="40">
        <f>'[1]1нед'!G203</f>
        <v>0</v>
      </c>
      <c r="G17" s="41" t="str">
        <f>'[1]1нед'!H203</f>
        <v/>
      </c>
      <c r="H17" s="56"/>
    </row>
    <row r="18" ht="32.25" spans="1:8">
      <c r="A18" s="36"/>
      <c r="B18" s="37"/>
      <c r="C18" s="29" t="s">
        <v>22</v>
      </c>
      <c r="D18" s="38">
        <f>'[1]1нед'!C204</f>
        <v>0</v>
      </c>
      <c r="E18" s="39">
        <f>'[1]1нед'!D204</f>
        <v>0</v>
      </c>
      <c r="F18" s="40">
        <f>'[1]1нед'!G204</f>
        <v>0</v>
      </c>
      <c r="G18" s="41" t="str">
        <f>'[1]1нед'!H204</f>
        <v/>
      </c>
      <c r="H18" s="56"/>
    </row>
    <row r="19" ht="18.4" hidden="1" customHeight="1" spans="1:8">
      <c r="A19" s="45"/>
      <c r="B19" s="46"/>
      <c r="C19" s="47"/>
      <c r="D19" s="48">
        <f>'[1]1нед'!C205</f>
        <v>0</v>
      </c>
      <c r="E19" s="49">
        <f>'[1]1нед'!D205</f>
        <v>0</v>
      </c>
      <c r="F19" s="50">
        <f>'[1]1нед'!G205</f>
        <v>0</v>
      </c>
      <c r="G19" s="51" t="str">
        <f>'[1]1нед'!H205</f>
        <v/>
      </c>
      <c r="H19" s="52"/>
    </row>
    <row r="20" ht="32.25" customHeight="1" spans="1:8">
      <c r="A20" s="27">
        <v>46266</v>
      </c>
      <c r="B20" s="28" t="s">
        <v>23</v>
      </c>
      <c r="C20" s="55" t="s">
        <v>16</v>
      </c>
      <c r="D20" s="30">
        <f>'[1]1нед'!C206</f>
        <v>0</v>
      </c>
      <c r="E20" s="31">
        <f>'[1]1нед'!D206</f>
        <v>0</v>
      </c>
      <c r="F20" s="32">
        <f>'[1]1нед'!G206</f>
        <v>0</v>
      </c>
      <c r="G20" s="33" t="str">
        <f>'[1]1нед'!H206</f>
        <v/>
      </c>
      <c r="H20" s="34"/>
    </row>
    <row r="21" ht="31.5" spans="1:8">
      <c r="A21" s="36"/>
      <c r="B21" s="37"/>
      <c r="C21" s="29" t="s">
        <v>17</v>
      </c>
      <c r="D21" s="38">
        <f>'[1]1нед'!C207</f>
        <v>0</v>
      </c>
      <c r="E21" s="39">
        <f>'[1]1нед'!D207</f>
        <v>0</v>
      </c>
      <c r="F21" s="40">
        <f>'[1]1нед'!G207</f>
        <v>0</v>
      </c>
      <c r="G21" s="41" t="str">
        <f>'[1]1нед'!H207</f>
        <v/>
      </c>
      <c r="H21" s="42"/>
    </row>
    <row r="22" ht="31.5" spans="1:8">
      <c r="A22" s="36"/>
      <c r="B22" s="37"/>
      <c r="C22" s="29" t="s">
        <v>18</v>
      </c>
      <c r="D22" s="38">
        <f>'[1]1нед'!C208</f>
        <v>0</v>
      </c>
      <c r="E22" s="39">
        <f>'[1]1нед'!D208</f>
        <v>0</v>
      </c>
      <c r="F22" s="40">
        <f>'[1]1нед'!G208</f>
        <v>0</v>
      </c>
      <c r="G22" s="41" t="str">
        <f>'[1]1нед'!H208</f>
        <v/>
      </c>
      <c r="H22" s="42"/>
    </row>
    <row r="23" ht="31.5" spans="1:8">
      <c r="A23" s="36"/>
      <c r="B23" s="37"/>
      <c r="C23" s="29" t="s">
        <v>19</v>
      </c>
      <c r="D23" s="38">
        <f>'[1]1нед'!C209</f>
        <v>0</v>
      </c>
      <c r="E23" s="39">
        <f>'[1]1нед'!D209</f>
        <v>0</v>
      </c>
      <c r="F23" s="40">
        <f>'[1]1нед'!G209</f>
        <v>0</v>
      </c>
      <c r="G23" s="41" t="str">
        <f>'[1]1нед'!H209</f>
        <v/>
      </c>
      <c r="H23" s="42"/>
    </row>
    <row r="24" ht="31.5" spans="1:8">
      <c r="A24" s="36"/>
      <c r="B24" s="37"/>
      <c r="C24" s="29" t="s">
        <v>20</v>
      </c>
      <c r="D24" s="38">
        <f>'[1]1нед'!C210</f>
        <v>0</v>
      </c>
      <c r="E24" s="39">
        <f>'[1]1нед'!D210</f>
        <v>0</v>
      </c>
      <c r="F24" s="40">
        <f>'[1]1нед'!G210</f>
        <v>0</v>
      </c>
      <c r="G24" s="41" t="str">
        <f>'[1]1нед'!H210</f>
        <v/>
      </c>
      <c r="H24" s="42"/>
    </row>
    <row r="25" ht="31.5" spans="1:8">
      <c r="A25" s="36"/>
      <c r="B25" s="37"/>
      <c r="C25" s="29" t="s">
        <v>21</v>
      </c>
      <c r="D25" s="38">
        <f>'[1]1нед'!C211</f>
        <v>0</v>
      </c>
      <c r="E25" s="39">
        <f>'[1]1нед'!D211</f>
        <v>0</v>
      </c>
      <c r="F25" s="40">
        <f>'[1]1нед'!G211</f>
        <v>0</v>
      </c>
      <c r="G25" s="41" t="str">
        <f>'[1]1нед'!H211</f>
        <v/>
      </c>
      <c r="H25" s="42"/>
    </row>
    <row r="26" ht="32.25" spans="1:8">
      <c r="A26" s="36"/>
      <c r="B26" s="37"/>
      <c r="C26" s="29" t="s">
        <v>22</v>
      </c>
      <c r="D26" s="38">
        <f>'[1]1нед'!C212</f>
        <v>0</v>
      </c>
      <c r="E26" s="39">
        <f>'[1]1нед'!D212</f>
        <v>0</v>
      </c>
      <c r="F26" s="40">
        <f>'[1]1нед'!G212</f>
        <v>0</v>
      </c>
      <c r="G26" s="41" t="str">
        <f>'[1]1нед'!H212</f>
        <v/>
      </c>
      <c r="H26" s="42"/>
    </row>
    <row r="27" ht="18.4" hidden="1" customHeight="1" spans="1:8">
      <c r="A27" s="45"/>
      <c r="B27" s="46"/>
      <c r="C27" s="47"/>
      <c r="D27" s="48">
        <f>'[1]1нед'!C213</f>
        <v>0</v>
      </c>
      <c r="E27" s="49">
        <f>'[1]1нед'!D213</f>
        <v>0</v>
      </c>
      <c r="F27" s="50">
        <f>'[1]1нед'!G213</f>
        <v>0</v>
      </c>
      <c r="G27" s="51" t="str">
        <f>'[1]1нед'!H213</f>
        <v/>
      </c>
      <c r="H27" s="52"/>
    </row>
    <row r="28" ht="48" customHeight="1" spans="1:8">
      <c r="A28" s="27">
        <v>46267</v>
      </c>
      <c r="B28" s="57" t="s">
        <v>24</v>
      </c>
      <c r="C28" s="55" t="s">
        <v>16</v>
      </c>
      <c r="D28" s="30">
        <f>'[1]1нед'!C214</f>
        <v>0</v>
      </c>
      <c r="E28" s="31">
        <f>'[1]1нед'!D214</f>
        <v>0</v>
      </c>
      <c r="F28" s="32">
        <f>'[1]1нед'!G214</f>
        <v>0</v>
      </c>
      <c r="G28" s="33" t="str">
        <f>'[1]1нед'!H214</f>
        <v/>
      </c>
      <c r="H28" s="34"/>
    </row>
    <row r="29" ht="31.5" spans="1:8">
      <c r="A29" s="36"/>
      <c r="B29" s="59"/>
      <c r="C29" s="29" t="s">
        <v>17</v>
      </c>
      <c r="D29" s="38">
        <f>'[1]1нед'!C215</f>
        <v>0</v>
      </c>
      <c r="E29" s="39">
        <f>'[1]1нед'!D215</f>
        <v>0</v>
      </c>
      <c r="F29" s="40">
        <f>'[1]1нед'!G215</f>
        <v>0</v>
      </c>
      <c r="G29" s="41" t="str">
        <f>'[1]1нед'!H215</f>
        <v/>
      </c>
      <c r="H29" s="42"/>
    </row>
    <row r="30" ht="31.5" spans="1:8">
      <c r="A30" s="36"/>
      <c r="B30" s="59"/>
      <c r="C30" s="29" t="s">
        <v>18</v>
      </c>
      <c r="D30" s="38">
        <f>'[1]1нед'!C216</f>
        <v>0</v>
      </c>
      <c r="E30" s="39">
        <f>'[1]1нед'!D216</f>
        <v>0</v>
      </c>
      <c r="F30" s="40">
        <f>'[1]1нед'!G216</f>
        <v>0</v>
      </c>
      <c r="G30" s="41" t="str">
        <f>'[1]1нед'!H216</f>
        <v/>
      </c>
      <c r="H30" s="42"/>
    </row>
    <row r="31" ht="31.5" spans="1:8">
      <c r="A31" s="36"/>
      <c r="B31" s="59"/>
      <c r="C31" s="29" t="s">
        <v>19</v>
      </c>
      <c r="D31" s="38">
        <f>'[1]1нед'!C217</f>
        <v>0</v>
      </c>
      <c r="E31" s="39">
        <f>'[1]1нед'!D217</f>
        <v>0</v>
      </c>
      <c r="F31" s="40">
        <f>'[1]1нед'!G217</f>
        <v>0</v>
      </c>
      <c r="G31" s="41" t="str">
        <f>'[1]1нед'!H217</f>
        <v/>
      </c>
      <c r="H31" s="42"/>
    </row>
    <row r="32" ht="31.5" spans="1:8">
      <c r="A32" s="36"/>
      <c r="B32" s="59"/>
      <c r="C32" s="29" t="s">
        <v>20</v>
      </c>
      <c r="D32" s="38">
        <f>'[1]1нед'!C218</f>
        <v>0</v>
      </c>
      <c r="E32" s="39">
        <f>'[1]1нед'!D218</f>
        <v>0</v>
      </c>
      <c r="F32" s="40">
        <f>'[1]1нед'!G218</f>
        <v>0</v>
      </c>
      <c r="G32" s="41" t="str">
        <f>'[1]1нед'!H218</f>
        <v/>
      </c>
      <c r="H32" s="42"/>
    </row>
    <row r="33" ht="31.5" spans="1:8">
      <c r="A33" s="36"/>
      <c r="B33" s="59"/>
      <c r="C33" s="29" t="s">
        <v>21</v>
      </c>
      <c r="D33" s="38" t="str">
        <f>'[1]1нед'!C219</f>
        <v>л</v>
      </c>
      <c r="E33" s="39" t="str">
        <f>'[1]1нед'!D219</f>
        <v>Финансово-экономический практикум</v>
      </c>
      <c r="F33" s="40" t="str">
        <f>'[1]1нед'!G219</f>
        <v>Марусик Е.А.</v>
      </c>
      <c r="G33" s="41" t="str">
        <f>'[1]1нед'!H219</f>
        <v>доцент, канд. наук</v>
      </c>
      <c r="H33" s="72" t="s">
        <v>44</v>
      </c>
    </row>
    <row r="34" ht="38.25" spans="1:8">
      <c r="A34" s="36"/>
      <c r="B34" s="59"/>
      <c r="C34" s="29" t="s">
        <v>22</v>
      </c>
      <c r="D34" s="38" t="str">
        <f>'[1]1нед'!C220</f>
        <v>л</v>
      </c>
      <c r="E34" s="39" t="str">
        <f>'[1]1нед'!D220</f>
        <v>Нормативно-правовые основы профессиональной деятельности</v>
      </c>
      <c r="F34" s="40" t="str">
        <f>'[1]1нед'!G220</f>
        <v>Лаврищева О.А.</v>
      </c>
      <c r="G34" s="41" t="str">
        <f>'[1]1нед'!H220</f>
        <v>доцент, канд. наук</v>
      </c>
      <c r="H34" s="71" t="s">
        <v>46</v>
      </c>
    </row>
    <row r="35" ht="18.4" hidden="1" customHeight="1" spans="1:8">
      <c r="A35" s="45"/>
      <c r="B35" s="61"/>
      <c r="C35" s="47"/>
      <c r="D35" s="48">
        <f>'[1]1нед'!C221</f>
        <v>0</v>
      </c>
      <c r="E35" s="49">
        <f>'[1]1нед'!D221</f>
        <v>0</v>
      </c>
      <c r="F35" s="50">
        <f>'[1]1нед'!G221</f>
        <v>0</v>
      </c>
      <c r="G35" s="51" t="str">
        <f>'[1]1нед'!H221</f>
        <v/>
      </c>
      <c r="H35" s="52"/>
    </row>
    <row r="36" ht="48" customHeight="1" spans="1:8">
      <c r="A36" s="27">
        <v>46268</v>
      </c>
      <c r="B36" s="28" t="s">
        <v>25</v>
      </c>
      <c r="C36" s="55" t="s">
        <v>16</v>
      </c>
      <c r="D36" s="30">
        <f>'[1]1нед'!C222</f>
        <v>0</v>
      </c>
      <c r="E36" s="31">
        <f>'[1]1нед'!D222</f>
        <v>0</v>
      </c>
      <c r="F36" s="32">
        <f>'[1]1нед'!G222</f>
        <v>0</v>
      </c>
      <c r="G36" s="33" t="str">
        <f>'[1]1нед'!H222</f>
        <v/>
      </c>
      <c r="H36" s="34"/>
    </row>
    <row r="37" ht="31.5" spans="1:8">
      <c r="A37" s="36"/>
      <c r="B37" s="37"/>
      <c r="C37" s="29" t="s">
        <v>17</v>
      </c>
      <c r="D37" s="38">
        <f>'[1]1нед'!C223</f>
        <v>0</v>
      </c>
      <c r="E37" s="39">
        <f>'[1]1нед'!D223</f>
        <v>0</v>
      </c>
      <c r="F37" s="40">
        <f>'[1]1нед'!G223</f>
        <v>0</v>
      </c>
      <c r="G37" s="41" t="str">
        <f>'[1]1нед'!H223</f>
        <v/>
      </c>
      <c r="H37" s="42"/>
    </row>
    <row r="38" ht="31.5" spans="1:8">
      <c r="A38" s="36"/>
      <c r="B38" s="37"/>
      <c r="C38" s="29" t="s">
        <v>18</v>
      </c>
      <c r="D38" s="38">
        <f>'[1]1нед'!C224</f>
        <v>0</v>
      </c>
      <c r="E38" s="39">
        <f>'[1]1нед'!D224</f>
        <v>0</v>
      </c>
      <c r="F38" s="40">
        <f>'[1]1нед'!G224</f>
        <v>0</v>
      </c>
      <c r="G38" s="41" t="str">
        <f>'[1]1нед'!H224</f>
        <v/>
      </c>
      <c r="H38" s="42"/>
    </row>
    <row r="39" ht="31.5" spans="1:8">
      <c r="A39" s="36"/>
      <c r="B39" s="37"/>
      <c r="C39" s="29" t="s">
        <v>19</v>
      </c>
      <c r="D39" s="38">
        <f>'[1]1нед'!C225</f>
        <v>0</v>
      </c>
      <c r="E39" s="39">
        <f>'[1]1нед'!D225</f>
        <v>0</v>
      </c>
      <c r="F39" s="40">
        <f>'[1]1нед'!G225</f>
        <v>0</v>
      </c>
      <c r="G39" s="41" t="str">
        <f>'[1]1нед'!H225</f>
        <v/>
      </c>
      <c r="H39" s="42"/>
    </row>
    <row r="40" ht="31.5" spans="1:8">
      <c r="A40" s="36"/>
      <c r="B40" s="37"/>
      <c r="C40" s="29" t="s">
        <v>20</v>
      </c>
      <c r="D40" s="38">
        <f>'[1]1нед'!C226</f>
        <v>0</v>
      </c>
      <c r="E40" s="39">
        <f>'[1]1нед'!D226</f>
        <v>0</v>
      </c>
      <c r="F40" s="40">
        <f>'[1]1нед'!G226</f>
        <v>0</v>
      </c>
      <c r="G40" s="41" t="str">
        <f>'[1]1нед'!H226</f>
        <v/>
      </c>
      <c r="H40" s="42"/>
    </row>
    <row r="41" ht="31.5" spans="1:8">
      <c r="A41" s="36"/>
      <c r="B41" s="37"/>
      <c r="C41" s="29" t="s">
        <v>21</v>
      </c>
      <c r="D41" s="38" t="str">
        <f>'[1]1нед'!C227</f>
        <v>л</v>
      </c>
      <c r="E41" s="39" t="str">
        <f>'[1]1нед'!D227</f>
        <v>Психология</v>
      </c>
      <c r="F41" s="40" t="str">
        <f>'[1]1нед'!G227</f>
        <v>Дьяков С.И.</v>
      </c>
      <c r="G41" s="41" t="str">
        <f>'[1]1нед'!H227</f>
        <v>профессор, д-р наук</v>
      </c>
      <c r="H41" s="70" t="s">
        <v>47</v>
      </c>
    </row>
    <row r="42" ht="32.25" spans="1:8">
      <c r="A42" s="36"/>
      <c r="B42" s="37"/>
      <c r="C42" s="29" t="s">
        <v>22</v>
      </c>
      <c r="D42" s="38">
        <f>'[1]1нед'!C228</f>
        <v>0</v>
      </c>
      <c r="E42" s="39">
        <f>'[1]1нед'!D228</f>
        <v>0</v>
      </c>
      <c r="F42" s="40">
        <f>'[1]1нед'!G228</f>
        <v>0</v>
      </c>
      <c r="G42" s="41" t="str">
        <f>'[1]1нед'!H228</f>
        <v/>
      </c>
      <c r="H42" s="56"/>
    </row>
    <row r="43" ht="18.4" hidden="1" customHeight="1" spans="1:8">
      <c r="A43" s="45"/>
      <c r="B43" s="46"/>
      <c r="C43" s="47"/>
      <c r="D43" s="48">
        <f>'[1]1нед'!C229</f>
        <v>0</v>
      </c>
      <c r="E43" s="49">
        <f>'[1]1нед'!D229</f>
        <v>0</v>
      </c>
      <c r="F43" s="50">
        <f>'[1]1нед'!G229</f>
        <v>0</v>
      </c>
      <c r="G43" s="51" t="str">
        <f>'[1]1нед'!H229</f>
        <v/>
      </c>
      <c r="H43" s="52"/>
    </row>
    <row r="44" ht="48" customHeight="1" spans="1:8">
      <c r="A44" s="27">
        <v>46269</v>
      </c>
      <c r="B44" s="28" t="s">
        <v>26</v>
      </c>
      <c r="C44" s="55" t="s">
        <v>16</v>
      </c>
      <c r="D44" s="30">
        <f>'[1]1нед'!C230</f>
        <v>0</v>
      </c>
      <c r="E44" s="31">
        <f>'[1]1нед'!D230</f>
        <v>0</v>
      </c>
      <c r="F44" s="32">
        <f>'[1]1нед'!G230</f>
        <v>0</v>
      </c>
      <c r="G44" s="33" t="str">
        <f>'[1]1нед'!H230</f>
        <v/>
      </c>
      <c r="H44" s="34"/>
    </row>
    <row r="45" ht="31.5" spans="1:8">
      <c r="A45" s="36"/>
      <c r="B45" s="37"/>
      <c r="C45" s="29" t="s">
        <v>17</v>
      </c>
      <c r="D45" s="38">
        <f>'[1]1нед'!C231</f>
        <v>0</v>
      </c>
      <c r="E45" s="39">
        <f>'[1]1нед'!D231</f>
        <v>0</v>
      </c>
      <c r="F45" s="40">
        <f>'[1]1нед'!G231</f>
        <v>0</v>
      </c>
      <c r="G45" s="41" t="str">
        <f>'[1]1нед'!H231</f>
        <v/>
      </c>
      <c r="H45" s="42"/>
    </row>
    <row r="46" ht="31.5" spans="1:8">
      <c r="A46" s="36"/>
      <c r="B46" s="37"/>
      <c r="C46" s="29" t="s">
        <v>18</v>
      </c>
      <c r="D46" s="38">
        <f>'[1]1нед'!C232</f>
        <v>0</v>
      </c>
      <c r="E46" s="39">
        <f>'[1]1нед'!D232</f>
        <v>0</v>
      </c>
      <c r="F46" s="40">
        <f>'[1]1нед'!G232</f>
        <v>0</v>
      </c>
      <c r="G46" s="41" t="str">
        <f>'[1]1нед'!H232</f>
        <v/>
      </c>
      <c r="H46" s="42"/>
    </row>
    <row r="47" ht="31.5" spans="1:8">
      <c r="A47" s="36"/>
      <c r="B47" s="37"/>
      <c r="C47" s="29" t="s">
        <v>19</v>
      </c>
      <c r="D47" s="38">
        <f>'[1]1нед'!C233</f>
        <v>0</v>
      </c>
      <c r="E47" s="39">
        <f>'[1]1нед'!D233</f>
        <v>0</v>
      </c>
      <c r="F47" s="40">
        <f>'[1]1нед'!G233</f>
        <v>0</v>
      </c>
      <c r="G47" s="41" t="str">
        <f>'[1]1нед'!H233</f>
        <v/>
      </c>
      <c r="H47" s="42"/>
    </row>
    <row r="48" ht="31.5" spans="1:8">
      <c r="A48" s="36"/>
      <c r="B48" s="37"/>
      <c r="C48" s="29" t="s">
        <v>20</v>
      </c>
      <c r="D48" s="38">
        <f>'[1]1нед'!C234</f>
        <v>0</v>
      </c>
      <c r="E48" s="39">
        <f>'[1]1нед'!D234</f>
        <v>0</v>
      </c>
      <c r="F48" s="40">
        <f>'[1]1нед'!G234</f>
        <v>0</v>
      </c>
      <c r="G48" s="41" t="str">
        <f>'[1]1нед'!H234</f>
        <v/>
      </c>
      <c r="H48" s="42"/>
    </row>
    <row r="49" ht="31.5" spans="1:8">
      <c r="A49" s="36"/>
      <c r="B49" s="37"/>
      <c r="C49" s="29" t="s">
        <v>21</v>
      </c>
      <c r="D49" s="38">
        <f>'[1]1нед'!C235</f>
        <v>0</v>
      </c>
      <c r="E49" s="39">
        <f>'[1]1нед'!D235</f>
        <v>0</v>
      </c>
      <c r="F49" s="40">
        <f>'[1]1нед'!G235</f>
        <v>0</v>
      </c>
      <c r="G49" s="41" t="str">
        <f>'[1]1нед'!H235</f>
        <v/>
      </c>
      <c r="H49" s="42"/>
    </row>
    <row r="50" ht="32.25" spans="1:8">
      <c r="A50" s="36"/>
      <c r="B50" s="37"/>
      <c r="C50" s="29" t="s">
        <v>22</v>
      </c>
      <c r="D50" s="38">
        <f>'[1]1нед'!C236</f>
        <v>0</v>
      </c>
      <c r="E50" s="39">
        <f>'[1]1нед'!D236</f>
        <v>0</v>
      </c>
      <c r="F50" s="40">
        <f>'[1]1нед'!G236</f>
        <v>0</v>
      </c>
      <c r="G50" s="41" t="str">
        <f>'[1]1нед'!H236</f>
        <v/>
      </c>
      <c r="H50" s="42"/>
    </row>
    <row r="51" ht="18.4" hidden="1" customHeight="1" spans="1:8">
      <c r="A51" s="45"/>
      <c r="B51" s="46"/>
      <c r="C51" s="47"/>
      <c r="D51" s="48">
        <f>'[1]1нед'!C237</f>
        <v>0</v>
      </c>
      <c r="E51" s="49">
        <f>'[1]1нед'!D237</f>
        <v>0</v>
      </c>
      <c r="F51" s="50">
        <f>'[1]1нед'!G237</f>
        <v>0</v>
      </c>
      <c r="G51" s="51" t="str">
        <f>'[1]1нед'!H237</f>
        <v/>
      </c>
      <c r="H51" s="52"/>
    </row>
    <row r="52" ht="48" customHeight="1" spans="1:8">
      <c r="A52" s="27">
        <v>46270</v>
      </c>
      <c r="B52" s="28" t="s">
        <v>27</v>
      </c>
      <c r="C52" s="55" t="s">
        <v>16</v>
      </c>
      <c r="D52" s="30">
        <f>'[1]1нед'!C238</f>
        <v>0</v>
      </c>
      <c r="E52" s="31">
        <f>'[1]1нед'!D238</f>
        <v>0</v>
      </c>
      <c r="F52" s="32">
        <f>'[1]1нед'!G238</f>
        <v>0</v>
      </c>
      <c r="G52" s="33" t="str">
        <f>'[1]1нед'!H238</f>
        <v/>
      </c>
      <c r="H52" s="34"/>
    </row>
    <row r="53" ht="31.5" spans="1:8">
      <c r="A53" s="36"/>
      <c r="B53" s="37"/>
      <c r="C53" s="29" t="s">
        <v>17</v>
      </c>
      <c r="D53" s="38">
        <f>'[1]1нед'!C239</f>
        <v>0</v>
      </c>
      <c r="E53" s="39">
        <f>'[1]1нед'!D239</f>
        <v>0</v>
      </c>
      <c r="F53" s="40">
        <f>'[1]1нед'!G239</f>
        <v>0</v>
      </c>
      <c r="G53" s="41" t="str">
        <f>'[1]1нед'!H239</f>
        <v/>
      </c>
      <c r="H53" s="42"/>
    </row>
    <row r="54" ht="31.5" spans="1:8">
      <c r="A54" s="36"/>
      <c r="B54" s="37"/>
      <c r="C54" s="29" t="s">
        <v>18</v>
      </c>
      <c r="D54" s="38">
        <f>'[1]1нед'!C240</f>
        <v>0</v>
      </c>
      <c r="E54" s="39">
        <f>'[1]1нед'!D240</f>
        <v>0</v>
      </c>
      <c r="F54" s="40">
        <f>'[1]1нед'!G240</f>
        <v>0</v>
      </c>
      <c r="G54" s="41" t="str">
        <f>'[1]1нед'!H240</f>
        <v/>
      </c>
      <c r="H54" s="42"/>
    </row>
    <row r="55" ht="31.5" spans="1:8">
      <c r="A55" s="36"/>
      <c r="B55" s="37"/>
      <c r="C55" s="29" t="s">
        <v>19</v>
      </c>
      <c r="D55" s="38">
        <f>'[1]1нед'!C241</f>
        <v>0</v>
      </c>
      <c r="E55" s="39">
        <f>'[1]1нед'!D241</f>
        <v>0</v>
      </c>
      <c r="F55" s="40">
        <f>'[1]1нед'!G241</f>
        <v>0</v>
      </c>
      <c r="G55" s="41" t="str">
        <f>'[1]1нед'!H241</f>
        <v/>
      </c>
      <c r="H55" s="42"/>
    </row>
    <row r="56" ht="31.5" spans="1:8">
      <c r="A56" s="36"/>
      <c r="B56" s="37"/>
      <c r="C56" s="29" t="s">
        <v>20</v>
      </c>
      <c r="D56" s="38">
        <f>'[1]1нед'!C242</f>
        <v>0</v>
      </c>
      <c r="E56" s="39">
        <f>'[1]1нед'!D242</f>
        <v>0</v>
      </c>
      <c r="F56" s="40">
        <f>'[1]1нед'!G242</f>
        <v>0</v>
      </c>
      <c r="G56" s="41" t="str">
        <f>'[1]1нед'!H242</f>
        <v/>
      </c>
      <c r="H56" s="42"/>
    </row>
    <row r="57" ht="31.5" spans="1:8">
      <c r="A57" s="36"/>
      <c r="B57" s="37"/>
      <c r="C57" s="29" t="s">
        <v>21</v>
      </c>
      <c r="D57" s="38">
        <f>'[1]1нед'!C243</f>
        <v>0</v>
      </c>
      <c r="E57" s="39">
        <f>'[1]1нед'!D243</f>
        <v>0</v>
      </c>
      <c r="F57" s="40">
        <f>'[1]1нед'!G243</f>
        <v>0</v>
      </c>
      <c r="G57" s="41" t="str">
        <f>'[1]1нед'!H243</f>
        <v/>
      </c>
      <c r="H57" s="42"/>
    </row>
    <row r="58" ht="32.25" spans="1:8">
      <c r="A58" s="36"/>
      <c r="B58" s="37"/>
      <c r="C58" s="29" t="s">
        <v>22</v>
      </c>
      <c r="D58" s="38">
        <f>'[1]1нед'!C244</f>
        <v>0</v>
      </c>
      <c r="E58" s="39">
        <f>'[1]1нед'!D244</f>
        <v>0</v>
      </c>
      <c r="F58" s="40">
        <f>'[1]1нед'!G244</f>
        <v>0</v>
      </c>
      <c r="G58" s="41" t="str">
        <f>'[1]1нед'!H244</f>
        <v/>
      </c>
      <c r="H58" s="42"/>
    </row>
    <row r="59" ht="19.15" hidden="1" customHeight="1" spans="1:8">
      <c r="A59" s="45"/>
      <c r="B59" s="46"/>
      <c r="C59" s="47"/>
      <c r="D59" s="30">
        <f>'[1]1нед'!C59</f>
        <v>0</v>
      </c>
      <c r="E59" s="31">
        <f>'[1]1нед'!D59</f>
        <v>0</v>
      </c>
      <c r="F59" s="32">
        <f>'[1]1нед'!G59</f>
        <v>0</v>
      </c>
      <c r="G59" s="33" t="str">
        <f>'[1]1нед'!H59</f>
        <v/>
      </c>
      <c r="H59" s="34"/>
    </row>
    <row r="60" ht="39" customHeight="1" spans="1:8">
      <c r="A60" s="64"/>
      <c r="B60" s="65"/>
      <c r="C60" s="66"/>
      <c r="D60" s="67"/>
      <c r="E60" s="67" t="s">
        <v>28</v>
      </c>
      <c r="F60" s="67"/>
      <c r="G60" s="68" t="s">
        <v>29</v>
      </c>
      <c r="H60" s="69"/>
    </row>
  </sheetData>
  <mergeCells count="19">
    <mergeCell ref="B6:H6"/>
    <mergeCell ref="B8:D8"/>
    <mergeCell ref="E8:H8"/>
    <mergeCell ref="B9:D9"/>
    <mergeCell ref="B10:D10"/>
    <mergeCell ref="A11:B11"/>
    <mergeCell ref="F11:G11"/>
    <mergeCell ref="A12:A19"/>
    <mergeCell ref="A20:A27"/>
    <mergeCell ref="A28:A35"/>
    <mergeCell ref="A36:A43"/>
    <mergeCell ref="A44:A51"/>
    <mergeCell ref="A52:A59"/>
    <mergeCell ref="B12:B19"/>
    <mergeCell ref="B20:B27"/>
    <mergeCell ref="B28:B35"/>
    <mergeCell ref="B36:B43"/>
    <mergeCell ref="B44:B51"/>
    <mergeCell ref="B52:B59"/>
  </mergeCells>
  <conditionalFormatting sqref="G59:H59">
    <cfRule type="cellIs" dxfId="0" priority="187" operator="equal">
      <formula>"0. ,0, "</formula>
    </cfRule>
    <cfRule type="cellIs" dxfId="0" priority="186" operator="equal">
      <formula>"0. 0,0, ауд. 0, 0"</formula>
    </cfRule>
    <cfRule type="cellIs" dxfId="0" priority="185" operator="equal">
      <formula>"0. 0 0, ауд. 0, 0"</formula>
    </cfRule>
    <cfRule type="cellIs" dxfId="0" priority="184" operator="equal">
      <formula>"0. ,0, "</formula>
    </cfRule>
    <cfRule type="cellIs" dxfId="0" priority="183" operator="equal">
      <formula>"0. 0,0, ауд. 0, 0"</formula>
    </cfRule>
    <cfRule type="cellIs" dxfId="0" priority="182" operator="equal">
      <formula>"0. 0 0, ауд. 0, 0"</formula>
    </cfRule>
    <cfRule type="cellIs" dxfId="0" priority="181" operator="equal">
      <formula>"0. ,0, "</formula>
    </cfRule>
    <cfRule type="cellIs" dxfId="0" priority="180" operator="equal">
      <formula>"0. 0,0, ауд. 0, 0"</formula>
    </cfRule>
    <cfRule type="cellIs" dxfId="0" priority="179" operator="equal">
      <formula>"0. 0 0, ауд. 0, 0"</formula>
    </cfRule>
    <cfRule type="cellIs" dxfId="0" priority="177" operator="equal">
      <formula>"0. 0 0, ауд. 0,"</formula>
    </cfRule>
    <cfRule type="colorScale" priority="178">
      <colorScale>
        <cfvo type="min"/>
        <cfvo type="max"/>
        <color rgb="FFFF7128"/>
        <color rgb="FFFFEF9C"/>
      </colorScale>
    </cfRule>
  </conditionalFormatting>
  <pageMargins left="0.708661417322835" right="0.708661417322835" top="0.748031496062992" bottom="0.748031496062992" header="0.31496062992126" footer="0.31496062992126"/>
  <pageSetup paperSize="9" scale="34" orientation="portrait"/>
  <headerFooter/>
  <rowBreaks count="8" manualBreakCount="8">
    <brk id="60" max="16383" man="1"/>
  </rowBreaks>
  <colBreaks count="1" manualBreakCount="1">
    <brk id="8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60"/>
  <sheetViews>
    <sheetView view="pageBreakPreview" zoomScale="63" zoomScaleNormal="55" topLeftCell="A53" workbookViewId="0">
      <selection activeCell="A61" sqref="$A61:$XFD542"/>
    </sheetView>
  </sheetViews>
  <sheetFormatPr defaultColWidth="9" defaultRowHeight="12.75" outlineLevelCol="7"/>
  <cols>
    <col min="1" max="1" width="5.85714285714286" customWidth="1"/>
    <col min="2" max="2" width="4.14285714285714" customWidth="1"/>
    <col min="3" max="3" width="13.5714285714286" customWidth="1"/>
    <col min="4" max="4" width="11.8571428571429" customWidth="1"/>
    <col min="5" max="5" width="51.5714285714286" customWidth="1"/>
    <col min="6" max="6" width="28" customWidth="1"/>
    <col min="7" max="7" width="30" customWidth="1"/>
    <col min="8" max="8" width="72.2857142857143" style="1" customWidth="1"/>
  </cols>
  <sheetData>
    <row r="1" ht="15.75" spans="1:8">
      <c r="A1" s="2"/>
      <c r="B1" s="3"/>
      <c r="C1" s="4"/>
      <c r="D1" s="5"/>
      <c r="E1" s="5"/>
      <c r="F1" s="5"/>
      <c r="G1" s="5"/>
      <c r="H1" s="6" t="s">
        <v>0</v>
      </c>
    </row>
    <row r="2" ht="15.75" spans="1:8">
      <c r="A2" s="2"/>
      <c r="B2" s="3"/>
      <c r="C2" s="4"/>
      <c r="D2" s="5"/>
      <c r="E2" s="5"/>
      <c r="F2" s="5"/>
      <c r="G2" s="5"/>
      <c r="H2" s="6" t="s">
        <v>1</v>
      </c>
    </row>
    <row r="3" ht="15.75" spans="1:8">
      <c r="A3" s="2"/>
      <c r="B3" s="3"/>
      <c r="C3" s="4"/>
      <c r="D3" s="5"/>
      <c r="E3" s="5"/>
      <c r="F3" s="5"/>
      <c r="G3" s="5"/>
      <c r="H3" s="6" t="s">
        <v>2</v>
      </c>
    </row>
    <row r="4" ht="15.75" spans="1:8">
      <c r="A4" s="2"/>
      <c r="B4" s="3"/>
      <c r="C4" s="4"/>
      <c r="D4" s="5"/>
      <c r="E4" s="5"/>
      <c r="F4" s="5"/>
      <c r="G4" s="5"/>
      <c r="H4" s="6" t="s">
        <v>3</v>
      </c>
    </row>
    <row r="5" ht="15.75" spans="1:8">
      <c r="A5" s="2"/>
      <c r="B5" s="7"/>
      <c r="C5" s="4"/>
      <c r="D5" s="5"/>
      <c r="E5" s="5"/>
      <c r="F5" s="5"/>
      <c r="G5" s="5"/>
      <c r="H5" s="5"/>
    </row>
    <row r="6" ht="15.75" spans="1:8">
      <c r="A6" s="2"/>
      <c r="B6" s="8" t="s">
        <v>4</v>
      </c>
      <c r="C6" s="8"/>
      <c r="D6" s="8"/>
      <c r="E6" s="8"/>
      <c r="F6" s="8"/>
      <c r="G6" s="8"/>
      <c r="H6" s="8"/>
    </row>
    <row r="7" ht="15.75" spans="1:8">
      <c r="A7" s="9"/>
      <c r="B7" s="10" t="str">
        <f>'[1]1нед'!$A$6</f>
        <v>Направление подготовки:</v>
      </c>
      <c r="C7" s="11"/>
      <c r="D7" s="12"/>
      <c r="E7" s="13" t="str">
        <f>'[1]1нед'!$L$192</f>
        <v>44.03.05.Педагогическое образование (с двумя профилями подготовки) (Математика и Экономика)</v>
      </c>
      <c r="F7" s="12"/>
      <c r="G7" s="12"/>
      <c r="H7" s="14" t="str">
        <f>'[1]1нед'!$L$196</f>
        <v>12-25МЭоз</v>
      </c>
    </row>
    <row r="8" ht="15.75" spans="1:8">
      <c r="A8" s="2"/>
      <c r="B8" s="10" t="s">
        <v>5</v>
      </c>
      <c r="C8" s="10"/>
      <c r="D8" s="10"/>
      <c r="E8" s="10" t="s">
        <v>43</v>
      </c>
      <c r="F8" s="10"/>
      <c r="G8" s="10"/>
      <c r="H8" s="10"/>
    </row>
    <row r="9" ht="15.75" spans="1:8">
      <c r="A9" s="2"/>
      <c r="B9" s="10" t="s">
        <v>7</v>
      </c>
      <c r="C9" s="10"/>
      <c r="D9" s="10"/>
      <c r="E9" s="10">
        <v>2</v>
      </c>
      <c r="F9" s="10"/>
      <c r="G9" s="10"/>
      <c r="H9" s="15"/>
    </row>
    <row r="10" ht="16.5" spans="1:8">
      <c r="A10" s="2"/>
      <c r="B10" s="16" t="s">
        <v>8</v>
      </c>
      <c r="C10" s="16"/>
      <c r="D10" s="16"/>
      <c r="E10" s="16">
        <v>1</v>
      </c>
      <c r="F10" s="16"/>
      <c r="G10" s="16"/>
      <c r="H10" s="17"/>
    </row>
    <row r="11" ht="46.5" customHeight="1" spans="1:8">
      <c r="A11" s="19" t="s">
        <v>9</v>
      </c>
      <c r="B11" s="20"/>
      <c r="C11" s="21" t="s">
        <v>10</v>
      </c>
      <c r="D11" s="22" t="s">
        <v>11</v>
      </c>
      <c r="E11" s="23" t="s">
        <v>12</v>
      </c>
      <c r="F11" s="24" t="s">
        <v>13</v>
      </c>
      <c r="G11" s="25"/>
      <c r="H11" s="26" t="s">
        <v>14</v>
      </c>
    </row>
    <row r="12" ht="32.25" customHeight="1" spans="1:8">
      <c r="A12" s="27">
        <v>46265</v>
      </c>
      <c r="B12" s="28" t="s">
        <v>15</v>
      </c>
      <c r="C12" s="29" t="s">
        <v>16</v>
      </c>
      <c r="D12" s="30">
        <f>'[1]1нед'!K198</f>
        <v>0</v>
      </c>
      <c r="E12" s="31">
        <f>'[1]1нед'!L198</f>
        <v>0</v>
      </c>
      <c r="F12" s="32">
        <f>'[1]1нед'!O198</f>
        <v>0</v>
      </c>
      <c r="G12" s="33" t="str">
        <f>'[1]1нед'!P198</f>
        <v/>
      </c>
      <c r="H12" s="34"/>
    </row>
    <row r="13" ht="31.5" spans="1:8">
      <c r="A13" s="36"/>
      <c r="B13" s="37"/>
      <c r="C13" s="29" t="s">
        <v>17</v>
      </c>
      <c r="D13" s="38">
        <f>'[1]1нед'!K199</f>
        <v>0</v>
      </c>
      <c r="E13" s="39">
        <f>'[1]1нед'!L199</f>
        <v>0</v>
      </c>
      <c r="F13" s="40">
        <f>'[1]1нед'!O199</f>
        <v>0</v>
      </c>
      <c r="G13" s="41" t="str">
        <f>'[1]1нед'!P199</f>
        <v/>
      </c>
      <c r="H13" s="42"/>
    </row>
    <row r="14" ht="31.5" spans="1:8">
      <c r="A14" s="36"/>
      <c r="B14" s="37"/>
      <c r="C14" s="29" t="s">
        <v>18</v>
      </c>
      <c r="D14" s="38">
        <f>'[1]1нед'!K200</f>
        <v>0</v>
      </c>
      <c r="E14" s="39">
        <f>'[1]1нед'!L200</f>
        <v>0</v>
      </c>
      <c r="F14" s="40">
        <f>'[1]1нед'!O200</f>
        <v>0</v>
      </c>
      <c r="G14" s="41" t="str">
        <f>'[1]1нед'!P200</f>
        <v/>
      </c>
      <c r="H14" s="42"/>
    </row>
    <row r="15" ht="31.5" spans="1:8">
      <c r="A15" s="36"/>
      <c r="B15" s="37"/>
      <c r="C15" s="29" t="s">
        <v>19</v>
      </c>
      <c r="D15" s="38">
        <f>'[1]1нед'!K201</f>
        <v>0</v>
      </c>
      <c r="E15" s="39">
        <f>'[1]1нед'!L201</f>
        <v>0</v>
      </c>
      <c r="F15" s="40">
        <f>'[1]1нед'!O201</f>
        <v>0</v>
      </c>
      <c r="G15" s="41" t="str">
        <f>'[1]1нед'!P201</f>
        <v/>
      </c>
      <c r="H15" s="42"/>
    </row>
    <row r="16" ht="31.5" spans="1:8">
      <c r="A16" s="36"/>
      <c r="B16" s="37"/>
      <c r="C16" s="29" t="s">
        <v>20</v>
      </c>
      <c r="D16" s="38">
        <f>'[1]1нед'!K202</f>
        <v>0</v>
      </c>
      <c r="E16" s="39">
        <f>'[1]1нед'!L202</f>
        <v>0</v>
      </c>
      <c r="F16" s="40">
        <f>'[1]1нед'!O202</f>
        <v>0</v>
      </c>
      <c r="G16" s="41" t="str">
        <f>'[1]1нед'!P202</f>
        <v/>
      </c>
      <c r="H16" s="42"/>
    </row>
    <row r="17" ht="31.5" spans="1:8">
      <c r="A17" s="36"/>
      <c r="B17" s="37"/>
      <c r="C17" s="29" t="s">
        <v>21</v>
      </c>
      <c r="D17" s="38">
        <f>'[1]1нед'!K203</f>
        <v>0</v>
      </c>
      <c r="E17" s="39">
        <f>'[1]1нед'!L203</f>
        <v>0</v>
      </c>
      <c r="F17" s="40">
        <f>'[1]1нед'!O203</f>
        <v>0</v>
      </c>
      <c r="G17" s="41" t="str">
        <f>'[1]1нед'!P203</f>
        <v/>
      </c>
      <c r="H17" s="42"/>
    </row>
    <row r="18" ht="32.25" spans="1:8">
      <c r="A18" s="36"/>
      <c r="B18" s="37"/>
      <c r="C18" s="29" t="s">
        <v>22</v>
      </c>
      <c r="D18" s="38">
        <f>'[1]1нед'!K204</f>
        <v>0</v>
      </c>
      <c r="E18" s="39">
        <f>'[1]1нед'!L204</f>
        <v>0</v>
      </c>
      <c r="F18" s="40">
        <f>'[1]1нед'!O204</f>
        <v>0</v>
      </c>
      <c r="G18" s="41" t="str">
        <f>'[1]1нед'!P204</f>
        <v/>
      </c>
      <c r="H18" s="42"/>
    </row>
    <row r="19" ht="18.4" hidden="1" customHeight="1" spans="1:8">
      <c r="A19" s="45"/>
      <c r="B19" s="46"/>
      <c r="C19" s="47"/>
      <c r="D19" s="48">
        <f>'[1]1нед'!K205</f>
        <v>0</v>
      </c>
      <c r="E19" s="49">
        <f>'[1]1нед'!L205</f>
        <v>0</v>
      </c>
      <c r="F19" s="50">
        <f>'[1]1нед'!O205</f>
        <v>0</v>
      </c>
      <c r="G19" s="51" t="str">
        <f>'[1]1нед'!P205</f>
        <v/>
      </c>
      <c r="H19" s="52"/>
    </row>
    <row r="20" ht="32.25" customHeight="1" spans="1:8">
      <c r="A20" s="27">
        <v>46266</v>
      </c>
      <c r="B20" s="28" t="s">
        <v>23</v>
      </c>
      <c r="C20" s="55" t="s">
        <v>16</v>
      </c>
      <c r="D20" s="30">
        <f>'[1]1нед'!K206</f>
        <v>0</v>
      </c>
      <c r="E20" s="31">
        <f>'[1]1нед'!L206</f>
        <v>0</v>
      </c>
      <c r="F20" s="32">
        <f>'[1]1нед'!O206</f>
        <v>0</v>
      </c>
      <c r="G20" s="33" t="str">
        <f>'[1]1нед'!P206</f>
        <v/>
      </c>
      <c r="H20" s="34"/>
    </row>
    <row r="21" ht="31.5" spans="1:8">
      <c r="A21" s="36"/>
      <c r="B21" s="37"/>
      <c r="C21" s="29" t="s">
        <v>17</v>
      </c>
      <c r="D21" s="38">
        <f>'[1]1нед'!K207</f>
        <v>0</v>
      </c>
      <c r="E21" s="39">
        <f>'[1]1нед'!L207</f>
        <v>0</v>
      </c>
      <c r="F21" s="40">
        <f>'[1]1нед'!O207</f>
        <v>0</v>
      </c>
      <c r="G21" s="41" t="str">
        <f>'[1]1нед'!P207</f>
        <v/>
      </c>
      <c r="H21" s="42"/>
    </row>
    <row r="22" ht="31.5" spans="1:8">
      <c r="A22" s="36"/>
      <c r="B22" s="37"/>
      <c r="C22" s="29" t="s">
        <v>18</v>
      </c>
      <c r="D22" s="38">
        <f>'[1]1нед'!K208</f>
        <v>0</v>
      </c>
      <c r="E22" s="39">
        <f>'[1]1нед'!L208</f>
        <v>0</v>
      </c>
      <c r="F22" s="40">
        <f>'[1]1нед'!O208</f>
        <v>0</v>
      </c>
      <c r="G22" s="41" t="str">
        <f>'[1]1нед'!P208</f>
        <v/>
      </c>
      <c r="H22" s="42"/>
    </row>
    <row r="23" ht="31.5" spans="1:8">
      <c r="A23" s="36"/>
      <c r="B23" s="37"/>
      <c r="C23" s="29" t="s">
        <v>19</v>
      </c>
      <c r="D23" s="38">
        <f>'[1]1нед'!K209</f>
        <v>0</v>
      </c>
      <c r="E23" s="39">
        <f>'[1]1нед'!L209</f>
        <v>0</v>
      </c>
      <c r="F23" s="40">
        <f>'[1]1нед'!O209</f>
        <v>0</v>
      </c>
      <c r="G23" s="41" t="str">
        <f>'[1]1нед'!P209</f>
        <v/>
      </c>
      <c r="H23" s="42"/>
    </row>
    <row r="24" ht="31.5" spans="1:8">
      <c r="A24" s="36"/>
      <c r="B24" s="37"/>
      <c r="C24" s="29" t="s">
        <v>20</v>
      </c>
      <c r="D24" s="38">
        <f>'[1]1нед'!K210</f>
        <v>0</v>
      </c>
      <c r="E24" s="39">
        <f>'[1]1нед'!L210</f>
        <v>0</v>
      </c>
      <c r="F24" s="40">
        <f>'[1]1нед'!O210</f>
        <v>0</v>
      </c>
      <c r="G24" s="41" t="str">
        <f>'[1]1нед'!P210</f>
        <v/>
      </c>
      <c r="H24" s="42"/>
    </row>
    <row r="25" ht="31.5" spans="1:8">
      <c r="A25" s="36"/>
      <c r="B25" s="37"/>
      <c r="C25" s="29" t="s">
        <v>21</v>
      </c>
      <c r="D25" s="38">
        <f>'[1]1нед'!K211</f>
        <v>0</v>
      </c>
      <c r="E25" s="39">
        <f>'[1]1нед'!L211</f>
        <v>0</v>
      </c>
      <c r="F25" s="40">
        <f>'[1]1нед'!O211</f>
        <v>0</v>
      </c>
      <c r="G25" s="41" t="str">
        <f>'[1]1нед'!P211</f>
        <v/>
      </c>
      <c r="H25" s="56"/>
    </row>
    <row r="26" ht="32.25" spans="1:8">
      <c r="A26" s="36"/>
      <c r="B26" s="37"/>
      <c r="C26" s="29" t="s">
        <v>22</v>
      </c>
      <c r="D26" s="38">
        <f>'[1]1нед'!K212</f>
        <v>0</v>
      </c>
      <c r="E26" s="39">
        <f>'[1]1нед'!L212</f>
        <v>0</v>
      </c>
      <c r="F26" s="40">
        <f>'[1]1нед'!O212</f>
        <v>0</v>
      </c>
      <c r="G26" s="41" t="str">
        <f>'[1]1нед'!P212</f>
        <v/>
      </c>
      <c r="H26" s="56"/>
    </row>
    <row r="27" ht="18.4" hidden="1" customHeight="1" spans="1:8">
      <c r="A27" s="45"/>
      <c r="B27" s="46"/>
      <c r="C27" s="47"/>
      <c r="D27" s="48">
        <f>'[1]1нед'!K213</f>
        <v>0</v>
      </c>
      <c r="E27" s="49">
        <f>'[1]1нед'!L213</f>
        <v>0</v>
      </c>
      <c r="F27" s="50">
        <f>'[1]1нед'!O213</f>
        <v>0</v>
      </c>
      <c r="G27" s="51" t="str">
        <f>'[1]1нед'!P213</f>
        <v/>
      </c>
      <c r="H27" s="52"/>
    </row>
    <row r="28" ht="48" customHeight="1" spans="1:8">
      <c r="A28" s="27">
        <v>46267</v>
      </c>
      <c r="B28" s="57" t="s">
        <v>24</v>
      </c>
      <c r="C28" s="55" t="s">
        <v>16</v>
      </c>
      <c r="D28" s="30">
        <f>'[1]1нед'!K214</f>
        <v>0</v>
      </c>
      <c r="E28" s="31">
        <f>'[1]1нед'!L214</f>
        <v>0</v>
      </c>
      <c r="F28" s="32">
        <f>'[1]1нед'!O214</f>
        <v>0</v>
      </c>
      <c r="G28" s="33" t="str">
        <f>'[1]1нед'!P214</f>
        <v/>
      </c>
      <c r="H28" s="34"/>
    </row>
    <row r="29" ht="31.5" spans="1:8">
      <c r="A29" s="36"/>
      <c r="B29" s="59"/>
      <c r="C29" s="29" t="s">
        <v>17</v>
      </c>
      <c r="D29" s="38">
        <f>'[1]1нед'!K215</f>
        <v>0</v>
      </c>
      <c r="E29" s="39">
        <f>'[1]1нед'!L215</f>
        <v>0</v>
      </c>
      <c r="F29" s="40">
        <f>'[1]1нед'!O215</f>
        <v>0</v>
      </c>
      <c r="G29" s="41" t="str">
        <f>'[1]1нед'!P215</f>
        <v/>
      </c>
      <c r="H29" s="42"/>
    </row>
    <row r="30" ht="31.5" spans="1:8">
      <c r="A30" s="36"/>
      <c r="B30" s="59"/>
      <c r="C30" s="29" t="s">
        <v>18</v>
      </c>
      <c r="D30" s="38">
        <f>'[1]1нед'!K216</f>
        <v>0</v>
      </c>
      <c r="E30" s="39">
        <f>'[1]1нед'!L216</f>
        <v>0</v>
      </c>
      <c r="F30" s="40">
        <f>'[1]1нед'!O216</f>
        <v>0</v>
      </c>
      <c r="G30" s="41" t="str">
        <f>'[1]1нед'!P216</f>
        <v/>
      </c>
      <c r="H30" s="42"/>
    </row>
    <row r="31" ht="31.5" spans="1:8">
      <c r="A31" s="36"/>
      <c r="B31" s="59"/>
      <c r="C31" s="29" t="s">
        <v>19</v>
      </c>
      <c r="D31" s="38">
        <f>'[1]1нед'!K217</f>
        <v>0</v>
      </c>
      <c r="E31" s="39">
        <f>'[1]1нед'!L217</f>
        <v>0</v>
      </c>
      <c r="F31" s="40">
        <f>'[1]1нед'!O217</f>
        <v>0</v>
      </c>
      <c r="G31" s="41" t="str">
        <f>'[1]1нед'!P217</f>
        <v/>
      </c>
      <c r="H31" s="42"/>
    </row>
    <row r="32" ht="31.5" spans="1:8">
      <c r="A32" s="36"/>
      <c r="B32" s="59"/>
      <c r="C32" s="29" t="s">
        <v>20</v>
      </c>
      <c r="D32" s="38">
        <f>'[1]1нед'!K218</f>
        <v>0</v>
      </c>
      <c r="E32" s="39">
        <f>'[1]1нед'!L218</f>
        <v>0</v>
      </c>
      <c r="F32" s="40">
        <f>'[1]1нед'!O218</f>
        <v>0</v>
      </c>
      <c r="G32" s="41" t="str">
        <f>'[1]1нед'!P218</f>
        <v/>
      </c>
      <c r="H32" s="42"/>
    </row>
    <row r="33" ht="31.5" spans="1:8">
      <c r="A33" s="36"/>
      <c r="B33" s="59"/>
      <c r="C33" s="29" t="s">
        <v>21</v>
      </c>
      <c r="D33" s="38" t="str">
        <f>'[1]1нед'!K219</f>
        <v>л</v>
      </c>
      <c r="E33" s="39" t="str">
        <f>'[1]1нед'!L219</f>
        <v>Финансово-экономический практикум</v>
      </c>
      <c r="F33" s="40" t="str">
        <f>'[1]1нед'!O219</f>
        <v>Марусик Е.А.</v>
      </c>
      <c r="G33" s="41" t="str">
        <f>'[1]1нед'!P219</f>
        <v>доцент, канд. наук</v>
      </c>
      <c r="H33" s="72" t="s">
        <v>44</v>
      </c>
    </row>
    <row r="34" ht="38.25" spans="1:8">
      <c r="A34" s="36"/>
      <c r="B34" s="59"/>
      <c r="C34" s="29" t="s">
        <v>22</v>
      </c>
      <c r="D34" s="38" t="str">
        <f>'[1]1нед'!K220</f>
        <v>л</v>
      </c>
      <c r="E34" s="39" t="str">
        <f>'[1]1нед'!L220</f>
        <v>Нормативно-правовые основы профессиональной деятельности</v>
      </c>
      <c r="F34" s="40" t="str">
        <f>'[1]1нед'!O220</f>
        <v>Лаврищева О.А.</v>
      </c>
      <c r="G34" s="41" t="str">
        <f>'[1]1нед'!P220</f>
        <v>доцент, канд. наук</v>
      </c>
      <c r="H34" s="71" t="s">
        <v>46</v>
      </c>
    </row>
    <row r="35" ht="18.4" hidden="1" customHeight="1" spans="1:8">
      <c r="A35" s="45"/>
      <c r="B35" s="61"/>
      <c r="C35" s="47"/>
      <c r="D35" s="48">
        <f>'[1]1нед'!K221</f>
        <v>0</v>
      </c>
      <c r="E35" s="49">
        <f>'[1]1нед'!L221</f>
        <v>0</v>
      </c>
      <c r="F35" s="50">
        <f>'[1]1нед'!O221</f>
        <v>0</v>
      </c>
      <c r="G35" s="51" t="str">
        <f>'[1]1нед'!P221</f>
        <v/>
      </c>
      <c r="H35" s="52"/>
    </row>
    <row r="36" ht="48" customHeight="1" spans="1:8">
      <c r="A36" s="27">
        <v>46268</v>
      </c>
      <c r="B36" s="28" t="s">
        <v>25</v>
      </c>
      <c r="C36" s="55" t="s">
        <v>16</v>
      </c>
      <c r="D36" s="30">
        <f>'[1]1нед'!K222</f>
        <v>0</v>
      </c>
      <c r="E36" s="31">
        <f>'[1]1нед'!L222</f>
        <v>0</v>
      </c>
      <c r="F36" s="32">
        <f>'[1]1нед'!O222</f>
        <v>0</v>
      </c>
      <c r="G36" s="33" t="str">
        <f>'[1]1нед'!P222</f>
        <v/>
      </c>
      <c r="H36" s="34"/>
    </row>
    <row r="37" ht="31.5" spans="1:8">
      <c r="A37" s="36"/>
      <c r="B37" s="37"/>
      <c r="C37" s="29" t="s">
        <v>17</v>
      </c>
      <c r="D37" s="38">
        <f>'[1]1нед'!K223</f>
        <v>0</v>
      </c>
      <c r="E37" s="39">
        <f>'[1]1нед'!L223</f>
        <v>0</v>
      </c>
      <c r="F37" s="40">
        <f>'[1]1нед'!O223</f>
        <v>0</v>
      </c>
      <c r="G37" s="41" t="str">
        <f>'[1]1нед'!P223</f>
        <v/>
      </c>
      <c r="H37" s="42"/>
    </row>
    <row r="38" ht="31.5" spans="1:8">
      <c r="A38" s="36"/>
      <c r="B38" s="37"/>
      <c r="C38" s="29" t="s">
        <v>18</v>
      </c>
      <c r="D38" s="38">
        <f>'[1]1нед'!K224</f>
        <v>0</v>
      </c>
      <c r="E38" s="39">
        <f>'[1]1нед'!L224</f>
        <v>0</v>
      </c>
      <c r="F38" s="40">
        <f>'[1]1нед'!O224</f>
        <v>0</v>
      </c>
      <c r="G38" s="41" t="str">
        <f>'[1]1нед'!P224</f>
        <v/>
      </c>
      <c r="H38" s="42"/>
    </row>
    <row r="39" ht="31.5" spans="1:8">
      <c r="A39" s="36"/>
      <c r="B39" s="37"/>
      <c r="C39" s="29" t="s">
        <v>19</v>
      </c>
      <c r="D39" s="38">
        <f>'[1]1нед'!K225</f>
        <v>0</v>
      </c>
      <c r="E39" s="39">
        <f>'[1]1нед'!L225</f>
        <v>0</v>
      </c>
      <c r="F39" s="40">
        <f>'[1]1нед'!O225</f>
        <v>0</v>
      </c>
      <c r="G39" s="41" t="str">
        <f>'[1]1нед'!P225</f>
        <v/>
      </c>
      <c r="H39" s="42"/>
    </row>
    <row r="40" ht="31.5" spans="1:8">
      <c r="A40" s="36"/>
      <c r="B40" s="37"/>
      <c r="C40" s="29" t="s">
        <v>20</v>
      </c>
      <c r="D40" s="38">
        <f>'[1]1нед'!K226</f>
        <v>0</v>
      </c>
      <c r="E40" s="39">
        <f>'[1]1нед'!L226</f>
        <v>0</v>
      </c>
      <c r="F40" s="40">
        <f>'[1]1нед'!O226</f>
        <v>0</v>
      </c>
      <c r="G40" s="41" t="str">
        <f>'[1]1нед'!P226</f>
        <v/>
      </c>
      <c r="H40" s="42"/>
    </row>
    <row r="41" ht="31.5" spans="1:8">
      <c r="A41" s="36"/>
      <c r="B41" s="37"/>
      <c r="C41" s="29" t="s">
        <v>21</v>
      </c>
      <c r="D41" s="38" t="str">
        <f>'[1]1нед'!K227</f>
        <v>л</v>
      </c>
      <c r="E41" s="39" t="str">
        <f>'[1]1нед'!L227</f>
        <v>Психология</v>
      </c>
      <c r="F41" s="40" t="str">
        <f>'[1]1нед'!O227</f>
        <v>Дьяков С.И.</v>
      </c>
      <c r="G41" s="41" t="str">
        <f>'[1]1нед'!P227</f>
        <v>профессор, д-р наук</v>
      </c>
      <c r="H41" s="70" t="s">
        <v>47</v>
      </c>
    </row>
    <row r="42" ht="32.25" spans="1:8">
      <c r="A42" s="36"/>
      <c r="B42" s="37"/>
      <c r="C42" s="29" t="s">
        <v>22</v>
      </c>
      <c r="D42" s="38" t="str">
        <f>'[1]1нед'!K228</f>
        <v>л</v>
      </c>
      <c r="E42" s="39" t="str">
        <f>'[1]1нед'!L228</f>
        <v>Математический анализ</v>
      </c>
      <c r="F42" s="40" t="str">
        <f>'[1]1нед'!O228</f>
        <v>Линник Е.П.</v>
      </c>
      <c r="G42" s="41" t="str">
        <f>'[1]1нед'!P228</f>
        <v>доцент, канд. наук</v>
      </c>
      <c r="H42" s="71" t="s">
        <v>48</v>
      </c>
    </row>
    <row r="43" ht="18.4" hidden="1" customHeight="1" spans="1:8">
      <c r="A43" s="45"/>
      <c r="B43" s="46"/>
      <c r="C43" s="47"/>
      <c r="D43" s="48">
        <f>'[1]1нед'!K229</f>
        <v>0</v>
      </c>
      <c r="E43" s="49">
        <f>'[1]1нед'!L229</f>
        <v>0</v>
      </c>
      <c r="F43" s="50">
        <f>'[1]1нед'!O229</f>
        <v>0</v>
      </c>
      <c r="G43" s="51" t="str">
        <f>'[1]1нед'!P229</f>
        <v/>
      </c>
      <c r="H43" s="52"/>
    </row>
    <row r="44" ht="48" customHeight="1" spans="1:8">
      <c r="A44" s="27">
        <v>46269</v>
      </c>
      <c r="B44" s="28" t="s">
        <v>26</v>
      </c>
      <c r="C44" s="55" t="s">
        <v>16</v>
      </c>
      <c r="D44" s="30">
        <f>'[1]1нед'!K230</f>
        <v>0</v>
      </c>
      <c r="E44" s="31">
        <f>'[1]1нед'!L230</f>
        <v>0</v>
      </c>
      <c r="F44" s="32">
        <f>'[1]1нед'!O230</f>
        <v>0</v>
      </c>
      <c r="G44" s="33" t="str">
        <f>'[1]1нед'!P230</f>
        <v/>
      </c>
      <c r="H44" s="34"/>
    </row>
    <row r="45" ht="31.5" spans="1:8">
      <c r="A45" s="36"/>
      <c r="B45" s="37"/>
      <c r="C45" s="29" t="s">
        <v>17</v>
      </c>
      <c r="D45" s="38">
        <f>'[1]1нед'!K231</f>
        <v>0</v>
      </c>
      <c r="E45" s="39">
        <f>'[1]1нед'!L231</f>
        <v>0</v>
      </c>
      <c r="F45" s="40">
        <f>'[1]1нед'!O231</f>
        <v>0</v>
      </c>
      <c r="G45" s="41" t="str">
        <f>'[1]1нед'!P231</f>
        <v/>
      </c>
      <c r="H45" s="42"/>
    </row>
    <row r="46" ht="31.5" spans="1:8">
      <c r="A46" s="36"/>
      <c r="B46" s="37"/>
      <c r="C46" s="29" t="s">
        <v>18</v>
      </c>
      <c r="D46" s="38">
        <f>'[1]1нед'!K232</f>
        <v>0</v>
      </c>
      <c r="E46" s="39">
        <f>'[1]1нед'!L232</f>
        <v>0</v>
      </c>
      <c r="F46" s="40">
        <f>'[1]1нед'!O232</f>
        <v>0</v>
      </c>
      <c r="G46" s="41" t="str">
        <f>'[1]1нед'!P232</f>
        <v/>
      </c>
      <c r="H46" s="42"/>
    </row>
    <row r="47" ht="31.5" spans="1:8">
      <c r="A47" s="36"/>
      <c r="B47" s="37"/>
      <c r="C47" s="29" t="s">
        <v>19</v>
      </c>
      <c r="D47" s="38">
        <f>'[1]1нед'!K233</f>
        <v>0</v>
      </c>
      <c r="E47" s="39">
        <f>'[1]1нед'!L233</f>
        <v>0</v>
      </c>
      <c r="F47" s="40">
        <f>'[1]1нед'!O233</f>
        <v>0</v>
      </c>
      <c r="G47" s="41" t="str">
        <f>'[1]1нед'!P233</f>
        <v/>
      </c>
      <c r="H47" s="42"/>
    </row>
    <row r="48" ht="31.5" spans="1:8">
      <c r="A48" s="36"/>
      <c r="B48" s="37"/>
      <c r="C48" s="29" t="s">
        <v>20</v>
      </c>
      <c r="D48" s="38">
        <f>'[1]1нед'!K234</f>
        <v>0</v>
      </c>
      <c r="E48" s="39">
        <f>'[1]1нед'!L234</f>
        <v>0</v>
      </c>
      <c r="F48" s="40">
        <f>'[1]1нед'!O234</f>
        <v>0</v>
      </c>
      <c r="G48" s="41" t="str">
        <f>'[1]1нед'!P234</f>
        <v/>
      </c>
      <c r="H48" s="42"/>
    </row>
    <row r="49" ht="31.5" spans="1:8">
      <c r="A49" s="36"/>
      <c r="B49" s="37"/>
      <c r="C49" s="29" t="s">
        <v>21</v>
      </c>
      <c r="D49" s="38">
        <f>'[1]1нед'!K235</f>
        <v>0</v>
      </c>
      <c r="E49" s="39">
        <f>'[1]1нед'!L235</f>
        <v>0</v>
      </c>
      <c r="F49" s="40">
        <f>'[1]1нед'!O235</f>
        <v>0</v>
      </c>
      <c r="G49" s="41" t="str">
        <f>'[1]1нед'!P235</f>
        <v/>
      </c>
      <c r="H49" s="42"/>
    </row>
    <row r="50" ht="32.25" spans="1:8">
      <c r="A50" s="36"/>
      <c r="B50" s="37"/>
      <c r="C50" s="29" t="s">
        <v>22</v>
      </c>
      <c r="D50" s="38">
        <f>'[1]1нед'!K236</f>
        <v>0</v>
      </c>
      <c r="E50" s="39">
        <f>'[1]1нед'!L236</f>
        <v>0</v>
      </c>
      <c r="F50" s="40">
        <f>'[1]1нед'!O236</f>
        <v>0</v>
      </c>
      <c r="G50" s="41" t="str">
        <f>'[1]1нед'!P236</f>
        <v/>
      </c>
      <c r="H50" s="42"/>
    </row>
    <row r="51" ht="18.4" hidden="1" customHeight="1" spans="1:8">
      <c r="A51" s="45"/>
      <c r="B51" s="46"/>
      <c r="C51" s="47"/>
      <c r="D51" s="48">
        <f>'[1]1нед'!K237</f>
        <v>0</v>
      </c>
      <c r="E51" s="49">
        <f>'[1]1нед'!L237</f>
        <v>0</v>
      </c>
      <c r="F51" s="50">
        <f>'[1]1нед'!O237</f>
        <v>0</v>
      </c>
      <c r="G51" s="51" t="str">
        <f>'[1]1нед'!P237</f>
        <v/>
      </c>
      <c r="H51" s="52"/>
    </row>
    <row r="52" ht="48" customHeight="1" spans="1:8">
      <c r="A52" s="27">
        <v>46270</v>
      </c>
      <c r="B52" s="28" t="s">
        <v>27</v>
      </c>
      <c r="C52" s="55" t="s">
        <v>16</v>
      </c>
      <c r="D52" s="30">
        <f>'[1]1нед'!K238</f>
        <v>0</v>
      </c>
      <c r="E52" s="31">
        <f>'[1]1нед'!L238</f>
        <v>0</v>
      </c>
      <c r="F52" s="32">
        <f>'[1]1нед'!O238</f>
        <v>0</v>
      </c>
      <c r="G52" s="33" t="str">
        <f>'[1]1нед'!P238</f>
        <v/>
      </c>
      <c r="H52" s="34"/>
    </row>
    <row r="53" ht="31.5" spans="1:8">
      <c r="A53" s="36"/>
      <c r="B53" s="37"/>
      <c r="C53" s="29" t="s">
        <v>17</v>
      </c>
      <c r="D53" s="38">
        <f>'[1]1нед'!K239</f>
        <v>0</v>
      </c>
      <c r="E53" s="39">
        <f>'[1]1нед'!L239</f>
        <v>0</v>
      </c>
      <c r="F53" s="40">
        <f>'[1]1нед'!O239</f>
        <v>0</v>
      </c>
      <c r="G53" s="41" t="str">
        <f>'[1]1нед'!P239</f>
        <v/>
      </c>
      <c r="H53" s="42"/>
    </row>
    <row r="54" ht="31.5" spans="1:8">
      <c r="A54" s="36"/>
      <c r="B54" s="37"/>
      <c r="C54" s="29" t="s">
        <v>18</v>
      </c>
      <c r="D54" s="38">
        <f>'[1]1нед'!K240</f>
        <v>0</v>
      </c>
      <c r="E54" s="39">
        <f>'[1]1нед'!L240</f>
        <v>0</v>
      </c>
      <c r="F54" s="40">
        <f>'[1]1нед'!O240</f>
        <v>0</v>
      </c>
      <c r="G54" s="41" t="str">
        <f>'[1]1нед'!P240</f>
        <v/>
      </c>
      <c r="H54" s="63"/>
    </row>
    <row r="55" ht="31.5" spans="1:8">
      <c r="A55" s="36"/>
      <c r="B55" s="37"/>
      <c r="C55" s="29" t="s">
        <v>19</v>
      </c>
      <c r="D55" s="38">
        <f>'[1]1нед'!K241</f>
        <v>0</v>
      </c>
      <c r="E55" s="39">
        <f>'[1]1нед'!L241</f>
        <v>0</v>
      </c>
      <c r="F55" s="40">
        <f>'[1]1нед'!O241</f>
        <v>0</v>
      </c>
      <c r="G55" s="41" t="str">
        <f>'[1]1нед'!P241</f>
        <v/>
      </c>
      <c r="H55" s="42"/>
    </row>
    <row r="56" ht="31.5" spans="1:8">
      <c r="A56" s="36"/>
      <c r="B56" s="37"/>
      <c r="C56" s="29" t="s">
        <v>20</v>
      </c>
      <c r="D56" s="38">
        <f>'[1]1нед'!K242</f>
        <v>0</v>
      </c>
      <c r="E56" s="39">
        <f>'[1]1нед'!L242</f>
        <v>0</v>
      </c>
      <c r="F56" s="40">
        <f>'[1]1нед'!O242</f>
        <v>0</v>
      </c>
      <c r="G56" s="41" t="str">
        <f>'[1]1нед'!P242</f>
        <v/>
      </c>
      <c r="H56" s="42"/>
    </row>
    <row r="57" ht="31.5" spans="1:8">
      <c r="A57" s="36"/>
      <c r="B57" s="37"/>
      <c r="C57" s="29" t="s">
        <v>21</v>
      </c>
      <c r="D57" s="38">
        <f>'[1]1нед'!K243</f>
        <v>0</v>
      </c>
      <c r="E57" s="39">
        <f>'[1]1нед'!L243</f>
        <v>0</v>
      </c>
      <c r="F57" s="40">
        <f>'[1]1нед'!O243</f>
        <v>0</v>
      </c>
      <c r="G57" s="41" t="str">
        <f>'[1]1нед'!P243</f>
        <v/>
      </c>
      <c r="H57" s="42"/>
    </row>
    <row r="58" ht="32.25" spans="1:8">
      <c r="A58" s="36"/>
      <c r="B58" s="37"/>
      <c r="C58" s="29" t="s">
        <v>22</v>
      </c>
      <c r="D58" s="38">
        <f>'[1]1нед'!K244</f>
        <v>0</v>
      </c>
      <c r="E58" s="39">
        <f>'[1]1нед'!L244</f>
        <v>0</v>
      </c>
      <c r="F58" s="40">
        <f>'[1]1нед'!O244</f>
        <v>0</v>
      </c>
      <c r="G58" s="41" t="str">
        <f>'[1]1нед'!P244</f>
        <v/>
      </c>
      <c r="H58" s="42"/>
    </row>
    <row r="59" ht="19.15" hidden="1" customHeight="1" spans="1:8">
      <c r="A59" s="45"/>
      <c r="B59" s="46"/>
      <c r="C59" s="47"/>
      <c r="D59" s="30">
        <f>'[1]1нед'!K59</f>
        <v>0</v>
      </c>
      <c r="E59" s="31">
        <f>'[1]1нед'!L59</f>
        <v>0</v>
      </c>
      <c r="F59" s="32">
        <f>'[1]1нед'!O59</f>
        <v>0</v>
      </c>
      <c r="G59" s="33" t="str">
        <f>'[1]1нед'!P59</f>
        <v/>
      </c>
      <c r="H59" s="34"/>
    </row>
    <row r="60" ht="39" customHeight="1" spans="1:8">
      <c r="A60" s="64"/>
      <c r="B60" s="65"/>
      <c r="C60" s="66"/>
      <c r="D60" s="67"/>
      <c r="E60" s="67" t="s">
        <v>28</v>
      </c>
      <c r="F60" s="67"/>
      <c r="G60" s="68" t="s">
        <v>29</v>
      </c>
      <c r="H60" s="69"/>
    </row>
  </sheetData>
  <mergeCells count="19">
    <mergeCell ref="B6:H6"/>
    <mergeCell ref="B8:D8"/>
    <mergeCell ref="E8:H8"/>
    <mergeCell ref="B9:D9"/>
    <mergeCell ref="B10:D10"/>
    <mergeCell ref="A11:B11"/>
    <mergeCell ref="F11:G11"/>
    <mergeCell ref="A12:A19"/>
    <mergeCell ref="A20:A27"/>
    <mergeCell ref="A28:A35"/>
    <mergeCell ref="A36:A43"/>
    <mergeCell ref="A44:A51"/>
    <mergeCell ref="A52:A59"/>
    <mergeCell ref="B12:B19"/>
    <mergeCell ref="B20:B27"/>
    <mergeCell ref="B28:B35"/>
    <mergeCell ref="B36:B43"/>
    <mergeCell ref="B44:B51"/>
    <mergeCell ref="B52:B59"/>
  </mergeCells>
  <conditionalFormatting sqref="G59:H59">
    <cfRule type="cellIs" dxfId="0" priority="99" operator="equal">
      <formula>"0. ,0, "</formula>
    </cfRule>
    <cfRule type="cellIs" dxfId="0" priority="98" operator="equal">
      <formula>"0. 0,0, ауд. 0, 0"</formula>
    </cfRule>
    <cfRule type="cellIs" dxfId="0" priority="97" operator="equal">
      <formula>"0. 0 0, ауд. 0, 0"</formula>
    </cfRule>
    <cfRule type="cellIs" dxfId="0" priority="96" operator="equal">
      <formula>"0. ,0, "</formula>
    </cfRule>
    <cfRule type="cellIs" dxfId="0" priority="95" operator="equal">
      <formula>"0. 0,0, ауд. 0, 0"</formula>
    </cfRule>
    <cfRule type="cellIs" dxfId="0" priority="94" operator="equal">
      <formula>"0. 0 0, ауд. 0, 0"</formula>
    </cfRule>
    <cfRule type="cellIs" dxfId="0" priority="93" operator="equal">
      <formula>"0. ,0, "</formula>
    </cfRule>
    <cfRule type="cellIs" dxfId="0" priority="92" operator="equal">
      <formula>"0. 0,0, ауд. 0, 0"</formula>
    </cfRule>
    <cfRule type="cellIs" dxfId="0" priority="91" operator="equal">
      <formula>"0. 0 0, ауд. 0, 0"</formula>
    </cfRule>
    <cfRule type="cellIs" dxfId="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pageMargins left="0.708661417322835" right="0.708661417322835" top="0.748031496062992" bottom="0.748031496062992" header="0.31496062992126" footer="0.31496062992126"/>
  <pageSetup paperSize="9" scale="34" orientation="portrait"/>
  <headerFooter/>
  <rowBreaks count="8" manualBreakCount="8">
    <brk id="60" max="16383" man="1"/>
  </rowBreaks>
  <colBreaks count="1" manualBreakCount="1">
    <brk id="8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60"/>
  <sheetViews>
    <sheetView view="pageBreakPreview" zoomScale="50" zoomScaleNormal="55" workbookViewId="0">
      <selection activeCell="A61" sqref="$A61:$XFD550"/>
    </sheetView>
  </sheetViews>
  <sheetFormatPr defaultColWidth="9" defaultRowHeight="12.75" outlineLevelCol="7"/>
  <cols>
    <col min="1" max="1" width="5.85714285714286" customWidth="1"/>
    <col min="2" max="2" width="4.14285714285714" customWidth="1"/>
    <col min="3" max="3" width="13.5714285714286" customWidth="1"/>
    <col min="4" max="4" width="11.8571428571429" customWidth="1"/>
    <col min="5" max="5" width="51.5714285714286" customWidth="1"/>
    <col min="6" max="6" width="28" customWidth="1"/>
    <col min="7" max="7" width="30" customWidth="1"/>
    <col min="8" max="8" width="72.2857142857143" style="1" customWidth="1"/>
  </cols>
  <sheetData>
    <row r="1" ht="15.75" spans="1:8">
      <c r="A1" s="2"/>
      <c r="B1" s="3"/>
      <c r="C1" s="4"/>
      <c r="D1" s="5"/>
      <c r="E1" s="5"/>
      <c r="F1" s="5"/>
      <c r="G1" s="5"/>
      <c r="H1" s="6" t="s">
        <v>0</v>
      </c>
    </row>
    <row r="2" ht="15.75" spans="1:8">
      <c r="A2" s="2"/>
      <c r="B2" s="3"/>
      <c r="C2" s="4"/>
      <c r="D2" s="5"/>
      <c r="E2" s="5"/>
      <c r="F2" s="5"/>
      <c r="G2" s="5"/>
      <c r="H2" s="6" t="s">
        <v>1</v>
      </c>
    </row>
    <row r="3" ht="15.75" spans="1:8">
      <c r="A3" s="2"/>
      <c r="B3" s="3"/>
      <c r="C3" s="4"/>
      <c r="D3" s="5"/>
      <c r="E3" s="5"/>
      <c r="F3" s="5"/>
      <c r="G3" s="5"/>
      <c r="H3" s="6" t="s">
        <v>2</v>
      </c>
    </row>
    <row r="4" ht="15.75" spans="1:8">
      <c r="A4" s="2"/>
      <c r="B4" s="3"/>
      <c r="C4" s="4"/>
      <c r="D4" s="5"/>
      <c r="E4" s="5"/>
      <c r="F4" s="5"/>
      <c r="G4" s="5"/>
      <c r="H4" s="6" t="s">
        <v>3</v>
      </c>
    </row>
    <row r="5" ht="15.75" spans="1:8">
      <c r="A5" s="2"/>
      <c r="B5" s="7"/>
      <c r="C5" s="4"/>
      <c r="D5" s="5"/>
      <c r="E5" s="5"/>
      <c r="F5" s="5"/>
      <c r="G5" s="5"/>
      <c r="H5" s="5"/>
    </row>
    <row r="6" ht="15.75" spans="1:8">
      <c r="A6" s="2"/>
      <c r="B6" s="8" t="s">
        <v>4</v>
      </c>
      <c r="C6" s="8"/>
      <c r="D6" s="8"/>
      <c r="E6" s="8"/>
      <c r="F6" s="8"/>
      <c r="G6" s="8"/>
      <c r="H6" s="8"/>
    </row>
    <row r="7" ht="15.75" spans="1:8">
      <c r="A7" s="9"/>
      <c r="B7" s="10" t="str">
        <f>'[1]1нед'!$A$6</f>
        <v>Направление подготовки:</v>
      </c>
      <c r="C7" s="11"/>
      <c r="D7" s="12"/>
      <c r="E7" s="13" t="str">
        <f>'[1]1нед'!$T$192</f>
        <v>09.03.04Программная инженерия (Программно-информационные системы)</v>
      </c>
      <c r="F7" s="12"/>
      <c r="G7" s="12"/>
      <c r="H7" s="14" t="str">
        <f>'[1]1нед'!$T$196</f>
        <v>12-24ПИоз</v>
      </c>
    </row>
    <row r="8" ht="15.75" spans="1:8">
      <c r="A8" s="2"/>
      <c r="B8" s="10" t="s">
        <v>5</v>
      </c>
      <c r="C8" s="10"/>
      <c r="D8" s="10"/>
      <c r="E8" s="10" t="s">
        <v>43</v>
      </c>
      <c r="F8" s="10"/>
      <c r="G8" s="10"/>
      <c r="H8" s="10"/>
    </row>
    <row r="9" ht="15.75" spans="1:8">
      <c r="A9" s="2"/>
      <c r="B9" s="10" t="s">
        <v>7</v>
      </c>
      <c r="C9" s="10"/>
      <c r="D9" s="10"/>
      <c r="E9" s="10">
        <v>3</v>
      </c>
      <c r="F9" s="10"/>
      <c r="G9" s="10"/>
      <c r="H9" s="15"/>
    </row>
    <row r="10" ht="16.5" spans="1:8">
      <c r="A10" s="2"/>
      <c r="B10" s="16" t="s">
        <v>8</v>
      </c>
      <c r="C10" s="16"/>
      <c r="D10" s="16"/>
      <c r="E10" s="16">
        <v>1</v>
      </c>
      <c r="F10" s="16"/>
      <c r="G10" s="16"/>
      <c r="H10" s="17"/>
    </row>
    <row r="11" ht="46.5" customHeight="1" spans="1:8">
      <c r="A11" s="19" t="s">
        <v>9</v>
      </c>
      <c r="B11" s="20"/>
      <c r="C11" s="21" t="s">
        <v>10</v>
      </c>
      <c r="D11" s="22" t="s">
        <v>11</v>
      </c>
      <c r="E11" s="23" t="s">
        <v>12</v>
      </c>
      <c r="F11" s="24" t="s">
        <v>13</v>
      </c>
      <c r="G11" s="25"/>
      <c r="H11" s="26" t="s">
        <v>14</v>
      </c>
    </row>
    <row r="12" ht="35.1" customHeight="1" spans="1:8">
      <c r="A12" s="27">
        <v>46265</v>
      </c>
      <c r="B12" s="28" t="s">
        <v>15</v>
      </c>
      <c r="C12" s="29" t="s">
        <v>16</v>
      </c>
      <c r="D12" s="30">
        <f>'[1]1нед'!S198</f>
        <v>0</v>
      </c>
      <c r="E12" s="31">
        <f>'[1]1нед'!T198</f>
        <v>0</v>
      </c>
      <c r="F12" s="32">
        <f>'[1]1нед'!W198</f>
        <v>0</v>
      </c>
      <c r="G12" s="33" t="str">
        <f>'[1]1нед'!X198</f>
        <v/>
      </c>
      <c r="H12" s="34"/>
    </row>
    <row r="13" ht="31.5" spans="1:8">
      <c r="A13" s="36"/>
      <c r="B13" s="37"/>
      <c r="C13" s="29" t="s">
        <v>17</v>
      </c>
      <c r="D13" s="38">
        <f>'[1]1нед'!S199</f>
        <v>0</v>
      </c>
      <c r="E13" s="39">
        <f>'[1]1нед'!T199</f>
        <v>0</v>
      </c>
      <c r="F13" s="40">
        <f>'[1]1нед'!W199</f>
        <v>0</v>
      </c>
      <c r="G13" s="41" t="str">
        <f>'[1]1нед'!X199</f>
        <v/>
      </c>
      <c r="H13" s="42"/>
    </row>
    <row r="14" ht="31.5" spans="1:8">
      <c r="A14" s="36"/>
      <c r="B14" s="37"/>
      <c r="C14" s="29" t="s">
        <v>18</v>
      </c>
      <c r="D14" s="38">
        <f>'[1]1нед'!S200</f>
        <v>0</v>
      </c>
      <c r="E14" s="39">
        <f>'[1]1нед'!T200</f>
        <v>0</v>
      </c>
      <c r="F14" s="40">
        <f>'[1]1нед'!W200</f>
        <v>0</v>
      </c>
      <c r="G14" s="41" t="str">
        <f>'[1]1нед'!X200</f>
        <v/>
      </c>
      <c r="H14" s="42"/>
    </row>
    <row r="15" ht="31.5" spans="1:8">
      <c r="A15" s="36"/>
      <c r="B15" s="37"/>
      <c r="C15" s="29" t="s">
        <v>19</v>
      </c>
      <c r="D15" s="38">
        <f>'[1]1нед'!S201</f>
        <v>0</v>
      </c>
      <c r="E15" s="39">
        <f>'[1]1нед'!T201</f>
        <v>0</v>
      </c>
      <c r="F15" s="40">
        <f>'[1]1нед'!W201</f>
        <v>0</v>
      </c>
      <c r="G15" s="41" t="str">
        <f>'[1]1нед'!X201</f>
        <v/>
      </c>
      <c r="H15" s="42"/>
    </row>
    <row r="16" ht="31.5" spans="1:8">
      <c r="A16" s="36"/>
      <c r="B16" s="37"/>
      <c r="C16" s="29" t="s">
        <v>20</v>
      </c>
      <c r="D16" s="38">
        <f>'[1]1нед'!S202</f>
        <v>0</v>
      </c>
      <c r="E16" s="39">
        <f>'[1]1нед'!T202</f>
        <v>0</v>
      </c>
      <c r="F16" s="40">
        <f>'[1]1нед'!W202</f>
        <v>0</v>
      </c>
      <c r="G16" s="41" t="str">
        <f>'[1]1нед'!X202</f>
        <v/>
      </c>
      <c r="H16" s="42"/>
    </row>
    <row r="17" ht="31.5" spans="1:8">
      <c r="A17" s="36"/>
      <c r="B17" s="37"/>
      <c r="C17" s="29" t="s">
        <v>21</v>
      </c>
      <c r="D17" s="38">
        <f>'[1]1нед'!S203</f>
        <v>0</v>
      </c>
      <c r="E17" s="39">
        <f>'[1]1нед'!T203</f>
        <v>0</v>
      </c>
      <c r="F17" s="40">
        <f>'[1]1нед'!W203</f>
        <v>0</v>
      </c>
      <c r="G17" s="41" t="str">
        <f>'[1]1нед'!X203</f>
        <v/>
      </c>
      <c r="H17" s="42"/>
    </row>
    <row r="18" ht="32.25" spans="1:8">
      <c r="A18" s="36"/>
      <c r="B18" s="37"/>
      <c r="C18" s="29" t="s">
        <v>22</v>
      </c>
      <c r="D18" s="38">
        <f>'[1]1нед'!S204</f>
        <v>0</v>
      </c>
      <c r="E18" s="39">
        <f>'[1]1нед'!T204</f>
        <v>0</v>
      </c>
      <c r="F18" s="40">
        <f>'[1]1нед'!W204</f>
        <v>0</v>
      </c>
      <c r="G18" s="41" t="str">
        <f>'[1]1нед'!X204</f>
        <v/>
      </c>
      <c r="H18" s="42"/>
    </row>
    <row r="19" ht="18.4" hidden="1" customHeight="1" spans="1:8">
      <c r="A19" s="45"/>
      <c r="B19" s="46"/>
      <c r="C19" s="47"/>
      <c r="D19" s="48">
        <f>'[1]1нед'!S205</f>
        <v>0</v>
      </c>
      <c r="E19" s="49">
        <f>'[1]1нед'!T205</f>
        <v>0</v>
      </c>
      <c r="F19" s="50">
        <f>'[1]1нед'!W205</f>
        <v>0</v>
      </c>
      <c r="G19" s="51" t="str">
        <f>'[1]1нед'!X205</f>
        <v/>
      </c>
      <c r="H19" s="52"/>
    </row>
    <row r="20" ht="32.25" customHeight="1" spans="1:8">
      <c r="A20" s="27">
        <v>46266</v>
      </c>
      <c r="B20" s="28" t="s">
        <v>23</v>
      </c>
      <c r="C20" s="55" t="s">
        <v>16</v>
      </c>
      <c r="D20" s="30">
        <f>'[1]1нед'!S206</f>
        <v>0</v>
      </c>
      <c r="E20" s="31">
        <f>'[1]1нед'!T206</f>
        <v>0</v>
      </c>
      <c r="F20" s="32">
        <f>'[1]1нед'!W206</f>
        <v>0</v>
      </c>
      <c r="G20" s="33" t="str">
        <f>'[1]1нед'!X206</f>
        <v/>
      </c>
      <c r="H20" s="34"/>
    </row>
    <row r="21" ht="31.5" spans="1:8">
      <c r="A21" s="36"/>
      <c r="B21" s="37"/>
      <c r="C21" s="29" t="s">
        <v>17</v>
      </c>
      <c r="D21" s="38">
        <f>'[1]1нед'!S207</f>
        <v>0</v>
      </c>
      <c r="E21" s="39">
        <f>'[1]1нед'!T207</f>
        <v>0</v>
      </c>
      <c r="F21" s="40">
        <f>'[1]1нед'!W207</f>
        <v>0</v>
      </c>
      <c r="G21" s="41" t="str">
        <f>'[1]1нед'!X207</f>
        <v/>
      </c>
      <c r="H21" s="42"/>
    </row>
    <row r="22" ht="31.5" spans="1:8">
      <c r="A22" s="36"/>
      <c r="B22" s="37"/>
      <c r="C22" s="29" t="s">
        <v>18</v>
      </c>
      <c r="D22" s="38">
        <f>'[1]1нед'!S208</f>
        <v>0</v>
      </c>
      <c r="E22" s="39">
        <f>'[1]1нед'!T208</f>
        <v>0</v>
      </c>
      <c r="F22" s="40">
        <f>'[1]1нед'!W208</f>
        <v>0</v>
      </c>
      <c r="G22" s="41" t="str">
        <f>'[1]1нед'!X208</f>
        <v/>
      </c>
      <c r="H22" s="42"/>
    </row>
    <row r="23" ht="31.5" spans="1:8">
      <c r="A23" s="36"/>
      <c r="B23" s="37"/>
      <c r="C23" s="29" t="s">
        <v>19</v>
      </c>
      <c r="D23" s="38">
        <f>'[1]1нед'!S209</f>
        <v>0</v>
      </c>
      <c r="E23" s="39">
        <f>'[1]1нед'!T209</f>
        <v>0</v>
      </c>
      <c r="F23" s="40">
        <f>'[1]1нед'!W209</f>
        <v>0</v>
      </c>
      <c r="G23" s="41" t="str">
        <f>'[1]1нед'!X209</f>
        <v/>
      </c>
      <c r="H23" s="42"/>
    </row>
    <row r="24" ht="31.5" spans="1:8">
      <c r="A24" s="36"/>
      <c r="B24" s="37"/>
      <c r="C24" s="29" t="s">
        <v>20</v>
      </c>
      <c r="D24" s="38">
        <f>'[1]1нед'!S210</f>
        <v>0</v>
      </c>
      <c r="E24" s="39">
        <f>'[1]1нед'!T210</f>
        <v>0</v>
      </c>
      <c r="F24" s="40">
        <f>'[1]1нед'!W210</f>
        <v>0</v>
      </c>
      <c r="G24" s="41" t="str">
        <f>'[1]1нед'!X210</f>
        <v/>
      </c>
      <c r="H24" s="42"/>
    </row>
    <row r="25" ht="31.5" spans="1:8">
      <c r="A25" s="36"/>
      <c r="B25" s="37"/>
      <c r="C25" s="29" t="s">
        <v>21</v>
      </c>
      <c r="D25" s="38">
        <f>'[1]1нед'!S211</f>
        <v>0</v>
      </c>
      <c r="E25" s="39">
        <f>'[1]1нед'!T211</f>
        <v>0</v>
      </c>
      <c r="F25" s="40">
        <f>'[1]1нед'!W211</f>
        <v>0</v>
      </c>
      <c r="G25" s="41" t="str">
        <f>'[1]1нед'!X211</f>
        <v/>
      </c>
      <c r="H25" s="56"/>
    </row>
    <row r="26" ht="31.5" spans="1:8">
      <c r="A26" s="36"/>
      <c r="B26" s="37"/>
      <c r="C26" s="29" t="s">
        <v>22</v>
      </c>
      <c r="D26" s="38">
        <f>'[1]1нед'!S212</f>
        <v>0</v>
      </c>
      <c r="E26" s="39">
        <f>'[1]1нед'!T212</f>
        <v>0</v>
      </c>
      <c r="F26" s="40">
        <f>'[1]1нед'!W212</f>
        <v>0</v>
      </c>
      <c r="G26" s="41" t="str">
        <f>'[1]1нед'!X212</f>
        <v/>
      </c>
      <c r="H26" s="56"/>
    </row>
    <row r="27" ht="18.4" hidden="1" customHeight="1" spans="1:8">
      <c r="A27" s="45"/>
      <c r="B27" s="46"/>
      <c r="C27" s="47"/>
      <c r="D27" s="48">
        <f>'[1]1нед'!S213</f>
        <v>0</v>
      </c>
      <c r="E27" s="49">
        <f>'[1]1нед'!T213</f>
        <v>0</v>
      </c>
      <c r="F27" s="50">
        <f>'[1]1нед'!W213</f>
        <v>0</v>
      </c>
      <c r="G27" s="51" t="str">
        <f>'[1]1нед'!X213</f>
        <v/>
      </c>
      <c r="H27" s="52"/>
    </row>
    <row r="28" ht="48" customHeight="1" spans="1:8">
      <c r="A28" s="27">
        <v>46267</v>
      </c>
      <c r="B28" s="57" t="s">
        <v>24</v>
      </c>
      <c r="C28" s="55" t="s">
        <v>16</v>
      </c>
      <c r="D28" s="30">
        <f>'[1]1нед'!S214</f>
        <v>0</v>
      </c>
      <c r="E28" s="31">
        <f>'[1]1нед'!T214</f>
        <v>0</v>
      </c>
      <c r="F28" s="32">
        <f>'[1]1нед'!W214</f>
        <v>0</v>
      </c>
      <c r="G28" s="33" t="str">
        <f>'[1]1нед'!X214</f>
        <v/>
      </c>
      <c r="H28" s="34"/>
    </row>
    <row r="29" ht="31.5" spans="1:8">
      <c r="A29" s="36"/>
      <c r="B29" s="59"/>
      <c r="C29" s="29" t="s">
        <v>17</v>
      </c>
      <c r="D29" s="38">
        <f>'[1]1нед'!S215</f>
        <v>0</v>
      </c>
      <c r="E29" s="39">
        <f>'[1]1нед'!T215</f>
        <v>0</v>
      </c>
      <c r="F29" s="40">
        <f>'[1]1нед'!W215</f>
        <v>0</v>
      </c>
      <c r="G29" s="41" t="str">
        <f>'[1]1нед'!X215</f>
        <v/>
      </c>
      <c r="H29" s="42"/>
    </row>
    <row r="30" ht="31.5" spans="1:8">
      <c r="A30" s="36"/>
      <c r="B30" s="59"/>
      <c r="C30" s="29" t="s">
        <v>18</v>
      </c>
      <c r="D30" s="38">
        <f>'[1]1нед'!S216</f>
        <v>0</v>
      </c>
      <c r="E30" s="39">
        <f>'[1]1нед'!T216</f>
        <v>0</v>
      </c>
      <c r="F30" s="40">
        <f>'[1]1нед'!W216</f>
        <v>0</v>
      </c>
      <c r="G30" s="41" t="str">
        <f>'[1]1нед'!X216</f>
        <v/>
      </c>
      <c r="H30" s="42"/>
    </row>
    <row r="31" ht="31.5" spans="1:8">
      <c r="A31" s="36"/>
      <c r="B31" s="59"/>
      <c r="C31" s="29" t="s">
        <v>19</v>
      </c>
      <c r="D31" s="38">
        <f>'[1]1нед'!S217</f>
        <v>0</v>
      </c>
      <c r="E31" s="39">
        <f>'[1]1нед'!T217</f>
        <v>0</v>
      </c>
      <c r="F31" s="40">
        <f>'[1]1нед'!W217</f>
        <v>0</v>
      </c>
      <c r="G31" s="41" t="str">
        <f>'[1]1нед'!X217</f>
        <v/>
      </c>
      <c r="H31" s="42"/>
    </row>
    <row r="32" ht="31.5" spans="1:8">
      <c r="A32" s="36"/>
      <c r="B32" s="59"/>
      <c r="C32" s="29" t="s">
        <v>20</v>
      </c>
      <c r="D32" s="38">
        <f>'[1]1нед'!S218</f>
        <v>0</v>
      </c>
      <c r="E32" s="39">
        <f>'[1]1нед'!T218</f>
        <v>0</v>
      </c>
      <c r="F32" s="40">
        <f>'[1]1нед'!W218</f>
        <v>0</v>
      </c>
      <c r="G32" s="41" t="str">
        <f>'[1]1нед'!X218</f>
        <v/>
      </c>
      <c r="H32" s="42"/>
    </row>
    <row r="33" ht="31.5" spans="1:8">
      <c r="A33" s="36"/>
      <c r="B33" s="59"/>
      <c r="C33" s="29" t="s">
        <v>21</v>
      </c>
      <c r="D33" s="38">
        <f>'[1]1нед'!S219</f>
        <v>0</v>
      </c>
      <c r="E33" s="39">
        <f>'[1]1нед'!T219</f>
        <v>0</v>
      </c>
      <c r="F33" s="40">
        <f>'[1]1нед'!W219</f>
        <v>0</v>
      </c>
      <c r="G33" s="41" t="str">
        <f>'[1]1нед'!X219</f>
        <v/>
      </c>
      <c r="H33" s="56"/>
    </row>
    <row r="34" ht="32.25" spans="1:8">
      <c r="A34" s="36"/>
      <c r="B34" s="59"/>
      <c r="C34" s="29" t="s">
        <v>22</v>
      </c>
      <c r="D34" s="38" t="str">
        <f>'[1]1нед'!S220</f>
        <v>л</v>
      </c>
      <c r="E34" s="39" t="str">
        <f>'[1]1нед'!T220</f>
        <v>Основы военной подготовки</v>
      </c>
      <c r="F34" s="40" t="str">
        <f>'[1]1нед'!W220</f>
        <v>Кулак А.Ф.</v>
      </c>
      <c r="G34" s="41" t="str">
        <f>'[1]1нед'!X220</f>
        <v>преподаватель</v>
      </c>
      <c r="H34" s="70" t="s">
        <v>49</v>
      </c>
    </row>
    <row r="35" ht="18.4" hidden="1" customHeight="1" spans="1:8">
      <c r="A35" s="45"/>
      <c r="B35" s="61"/>
      <c r="C35" s="47"/>
      <c r="D35" s="48">
        <f>'[1]1нед'!S221</f>
        <v>0</v>
      </c>
      <c r="E35" s="49">
        <f>'[1]1нед'!T221</f>
        <v>0</v>
      </c>
      <c r="F35" s="50">
        <f>'[1]1нед'!W221</f>
        <v>0</v>
      </c>
      <c r="G35" s="51" t="str">
        <f>'[1]1нед'!X221</f>
        <v/>
      </c>
      <c r="H35" s="52"/>
    </row>
    <row r="36" ht="48" customHeight="1" spans="1:8">
      <c r="A36" s="27">
        <v>46268</v>
      </c>
      <c r="B36" s="28" t="s">
        <v>25</v>
      </c>
      <c r="C36" s="55" t="s">
        <v>16</v>
      </c>
      <c r="D36" s="30">
        <f>'[1]1нед'!S222</f>
        <v>0</v>
      </c>
      <c r="E36" s="31">
        <f>'[1]1нед'!T222</f>
        <v>0</v>
      </c>
      <c r="F36" s="32">
        <f>'[1]1нед'!W222</f>
        <v>0</v>
      </c>
      <c r="G36" s="33" t="str">
        <f>'[1]1нед'!X222</f>
        <v/>
      </c>
      <c r="H36" s="34"/>
    </row>
    <row r="37" ht="31.5" spans="1:8">
      <c r="A37" s="36"/>
      <c r="B37" s="37"/>
      <c r="C37" s="29" t="s">
        <v>17</v>
      </c>
      <c r="D37" s="38">
        <f>'[1]1нед'!S223</f>
        <v>0</v>
      </c>
      <c r="E37" s="39">
        <f>'[1]1нед'!T223</f>
        <v>0</v>
      </c>
      <c r="F37" s="40">
        <f>'[1]1нед'!W223</f>
        <v>0</v>
      </c>
      <c r="G37" s="41" t="str">
        <f>'[1]1нед'!X223</f>
        <v/>
      </c>
      <c r="H37" s="42"/>
    </row>
    <row r="38" ht="31.5" spans="1:8">
      <c r="A38" s="36"/>
      <c r="B38" s="37"/>
      <c r="C38" s="29" t="s">
        <v>18</v>
      </c>
      <c r="D38" s="38">
        <f>'[1]1нед'!S224</f>
        <v>0</v>
      </c>
      <c r="E38" s="39">
        <f>'[1]1нед'!T224</f>
        <v>0</v>
      </c>
      <c r="F38" s="40">
        <f>'[1]1нед'!W224</f>
        <v>0</v>
      </c>
      <c r="G38" s="41" t="str">
        <f>'[1]1нед'!X224</f>
        <v/>
      </c>
      <c r="H38" s="42"/>
    </row>
    <row r="39" ht="31.5" spans="1:8">
      <c r="A39" s="36"/>
      <c r="B39" s="37"/>
      <c r="C39" s="29" t="s">
        <v>19</v>
      </c>
      <c r="D39" s="38">
        <f>'[1]1нед'!S225</f>
        <v>0</v>
      </c>
      <c r="E39" s="39">
        <f>'[1]1нед'!T225</f>
        <v>0</v>
      </c>
      <c r="F39" s="40">
        <f>'[1]1нед'!W225</f>
        <v>0</v>
      </c>
      <c r="G39" s="41" t="str">
        <f>'[1]1нед'!X225</f>
        <v/>
      </c>
      <c r="H39" s="42"/>
    </row>
    <row r="40" ht="31.5" spans="1:8">
      <c r="A40" s="36"/>
      <c r="B40" s="37"/>
      <c r="C40" s="29" t="s">
        <v>20</v>
      </c>
      <c r="D40" s="38">
        <f>'[1]1нед'!S226</f>
        <v>0</v>
      </c>
      <c r="E40" s="39">
        <f>'[1]1нед'!T226</f>
        <v>0</v>
      </c>
      <c r="F40" s="40">
        <f>'[1]1нед'!W226</f>
        <v>0</v>
      </c>
      <c r="G40" s="41" t="str">
        <f>'[1]1нед'!X226</f>
        <v/>
      </c>
      <c r="H40" s="42"/>
    </row>
    <row r="41" ht="31.5" spans="1:8">
      <c r="A41" s="36"/>
      <c r="B41" s="37"/>
      <c r="C41" s="29" t="s">
        <v>21</v>
      </c>
      <c r="D41" s="38">
        <f>'[1]1нед'!S227</f>
        <v>0</v>
      </c>
      <c r="E41" s="39">
        <f>'[1]1нед'!T227</f>
        <v>0</v>
      </c>
      <c r="F41" s="40">
        <f>'[1]1нед'!W227</f>
        <v>0</v>
      </c>
      <c r="G41" s="41" t="str">
        <f>'[1]1нед'!X227</f>
        <v/>
      </c>
      <c r="H41" s="56"/>
    </row>
    <row r="42" ht="38.25" spans="1:8">
      <c r="A42" s="36"/>
      <c r="B42" s="37"/>
      <c r="C42" s="29" t="s">
        <v>22</v>
      </c>
      <c r="D42" s="38" t="str">
        <f>'[1]1нед'!S228</f>
        <v>л</v>
      </c>
      <c r="E42" s="39" t="str">
        <f>'[1]1нед'!T228</f>
        <v>Управление ИТ-проектами и гибкая методология</v>
      </c>
      <c r="F42" s="40" t="str">
        <f>'[1]1нед'!W228</f>
        <v>Гришин И.Ю.</v>
      </c>
      <c r="G42" s="41" t="str">
        <f>'[1]1нед'!X228</f>
        <v>профессор, д-р наук</v>
      </c>
      <c r="H42" s="70" t="s">
        <v>50</v>
      </c>
    </row>
    <row r="43" ht="18.4" hidden="1" customHeight="1" spans="1:8">
      <c r="A43" s="45"/>
      <c r="B43" s="46"/>
      <c r="C43" s="47"/>
      <c r="D43" s="48">
        <f>'[1]1нед'!S229</f>
        <v>0</v>
      </c>
      <c r="E43" s="49">
        <f>'[1]1нед'!T229</f>
        <v>0</v>
      </c>
      <c r="F43" s="50">
        <f>'[1]1нед'!W229</f>
        <v>0</v>
      </c>
      <c r="G43" s="51" t="str">
        <f>'[1]1нед'!X229</f>
        <v/>
      </c>
      <c r="H43" s="52"/>
    </row>
    <row r="44" ht="48" customHeight="1" spans="1:8">
      <c r="A44" s="27">
        <v>46269</v>
      </c>
      <c r="B44" s="28" t="s">
        <v>26</v>
      </c>
      <c r="C44" s="55" t="s">
        <v>16</v>
      </c>
      <c r="D44" s="30">
        <f>'[1]1нед'!S230</f>
        <v>0</v>
      </c>
      <c r="E44" s="31">
        <f>'[1]1нед'!T230</f>
        <v>0</v>
      </c>
      <c r="F44" s="32">
        <f>'[1]1нед'!W230</f>
        <v>0</v>
      </c>
      <c r="G44" s="33" t="str">
        <f>'[1]1нед'!X230</f>
        <v/>
      </c>
      <c r="H44" s="34"/>
    </row>
    <row r="45" ht="31.5" spans="1:8">
      <c r="A45" s="36"/>
      <c r="B45" s="37"/>
      <c r="C45" s="29" t="s">
        <v>17</v>
      </c>
      <c r="D45" s="38">
        <f>'[1]1нед'!S231</f>
        <v>0</v>
      </c>
      <c r="E45" s="39">
        <f>'[1]1нед'!T231</f>
        <v>0</v>
      </c>
      <c r="F45" s="40">
        <f>'[1]1нед'!W231</f>
        <v>0</v>
      </c>
      <c r="G45" s="41" t="str">
        <f>'[1]1нед'!X231</f>
        <v/>
      </c>
      <c r="H45" s="42"/>
    </row>
    <row r="46" ht="31.5" spans="1:8">
      <c r="A46" s="36"/>
      <c r="B46" s="37"/>
      <c r="C46" s="29" t="s">
        <v>18</v>
      </c>
      <c r="D46" s="38">
        <f>'[1]1нед'!S232</f>
        <v>0</v>
      </c>
      <c r="E46" s="39">
        <f>'[1]1нед'!T232</f>
        <v>0</v>
      </c>
      <c r="F46" s="40">
        <f>'[1]1нед'!W232</f>
        <v>0</v>
      </c>
      <c r="G46" s="41" t="str">
        <f>'[1]1нед'!X232</f>
        <v/>
      </c>
      <c r="H46" s="42"/>
    </row>
    <row r="47" ht="31.5" spans="1:8">
      <c r="A47" s="36"/>
      <c r="B47" s="37"/>
      <c r="C47" s="29" t="s">
        <v>19</v>
      </c>
      <c r="D47" s="38">
        <f>'[1]1нед'!S233</f>
        <v>0</v>
      </c>
      <c r="E47" s="39">
        <f>'[1]1нед'!T233</f>
        <v>0</v>
      </c>
      <c r="F47" s="40">
        <f>'[1]1нед'!W233</f>
        <v>0</v>
      </c>
      <c r="G47" s="41" t="str">
        <f>'[1]1нед'!X233</f>
        <v/>
      </c>
      <c r="H47" s="42"/>
    </row>
    <row r="48" ht="31.5" spans="1:8">
      <c r="A48" s="36"/>
      <c r="B48" s="37"/>
      <c r="C48" s="29" t="s">
        <v>20</v>
      </c>
      <c r="D48" s="38">
        <f>'[1]1нед'!S234</f>
        <v>0</v>
      </c>
      <c r="E48" s="39">
        <f>'[1]1нед'!T234</f>
        <v>0</v>
      </c>
      <c r="F48" s="40">
        <f>'[1]1нед'!W234</f>
        <v>0</v>
      </c>
      <c r="G48" s="41" t="str">
        <f>'[1]1нед'!X234</f>
        <v/>
      </c>
      <c r="H48" s="42"/>
    </row>
    <row r="49" ht="31.5" spans="1:8">
      <c r="A49" s="36"/>
      <c r="B49" s="37"/>
      <c r="C49" s="29" t="s">
        <v>21</v>
      </c>
      <c r="D49" s="38">
        <f>'[1]1нед'!S235</f>
        <v>0</v>
      </c>
      <c r="E49" s="39">
        <f>'[1]1нед'!T235</f>
        <v>0</v>
      </c>
      <c r="F49" s="40">
        <f>'[1]1нед'!W235</f>
        <v>0</v>
      </c>
      <c r="G49" s="41" t="str">
        <f>'[1]1нед'!X235</f>
        <v/>
      </c>
      <c r="H49" s="42"/>
    </row>
    <row r="50" ht="38.25" spans="1:8">
      <c r="A50" s="36"/>
      <c r="B50" s="37"/>
      <c r="C50" s="29" t="s">
        <v>22</v>
      </c>
      <c r="D50" s="38" t="str">
        <f>'[1]1нед'!S236</f>
        <v>пр</v>
      </c>
      <c r="E50" s="39" t="str">
        <f>'[1]1нед'!T236</f>
        <v>Управление ИТ-проектами и гибкая методология</v>
      </c>
      <c r="F50" s="40" t="str">
        <f>'[1]1нед'!W236</f>
        <v>Гришин И.Ю.</v>
      </c>
      <c r="G50" s="41" t="str">
        <f>'[1]1нед'!X236</f>
        <v>профессор, д-р наук</v>
      </c>
      <c r="H50" s="70" t="s">
        <v>50</v>
      </c>
    </row>
    <row r="51" ht="18.4" hidden="1" customHeight="1" spans="1:8">
      <c r="A51" s="45"/>
      <c r="B51" s="46"/>
      <c r="C51" s="47"/>
      <c r="D51" s="48">
        <f>'[1]1нед'!S237</f>
        <v>0</v>
      </c>
      <c r="E51" s="49">
        <f>'[1]1нед'!T237</f>
        <v>0</v>
      </c>
      <c r="F51" s="50">
        <f>'[1]1нед'!W237</f>
        <v>0</v>
      </c>
      <c r="G51" s="51" t="str">
        <f>'[1]1нед'!X237</f>
        <v/>
      </c>
      <c r="H51" s="52"/>
    </row>
    <row r="52" ht="48" customHeight="1" spans="1:8">
      <c r="A52" s="27">
        <v>46270</v>
      </c>
      <c r="B52" s="28" t="s">
        <v>27</v>
      </c>
      <c r="C52" s="55" t="s">
        <v>16</v>
      </c>
      <c r="D52" s="30">
        <f>'[1]1нед'!S238</f>
        <v>0</v>
      </c>
      <c r="E52" s="31">
        <f>'[1]1нед'!T238</f>
        <v>0</v>
      </c>
      <c r="F52" s="32">
        <f>'[1]1нед'!W238</f>
        <v>0</v>
      </c>
      <c r="G52" s="33" t="str">
        <f>'[1]1нед'!X238</f>
        <v/>
      </c>
      <c r="H52" s="34"/>
    </row>
    <row r="53" ht="31.5" spans="1:8">
      <c r="A53" s="36"/>
      <c r="B53" s="37"/>
      <c r="C53" s="29" t="s">
        <v>17</v>
      </c>
      <c r="D53" s="38">
        <f>'[1]1нед'!S239</f>
        <v>0</v>
      </c>
      <c r="E53" s="39">
        <f>'[1]1нед'!T239</f>
        <v>0</v>
      </c>
      <c r="F53" s="40">
        <f>'[1]1нед'!W239</f>
        <v>0</v>
      </c>
      <c r="G53" s="41" t="str">
        <f>'[1]1нед'!X239</f>
        <v/>
      </c>
      <c r="H53" s="42"/>
    </row>
    <row r="54" ht="31.5" spans="1:8">
      <c r="A54" s="36"/>
      <c r="B54" s="37"/>
      <c r="C54" s="29" t="s">
        <v>18</v>
      </c>
      <c r="D54" s="38">
        <f>'[1]1нед'!S240</f>
        <v>0</v>
      </c>
      <c r="E54" s="39">
        <f>'[1]1нед'!T240</f>
        <v>0</v>
      </c>
      <c r="F54" s="40">
        <f>'[1]1нед'!W240</f>
        <v>0</v>
      </c>
      <c r="G54" s="41" t="str">
        <f>'[1]1нед'!X240</f>
        <v/>
      </c>
      <c r="H54" s="63"/>
    </row>
    <row r="55" ht="31.5" spans="1:8">
      <c r="A55" s="36"/>
      <c r="B55" s="37"/>
      <c r="C55" s="29" t="s">
        <v>19</v>
      </c>
      <c r="D55" s="38">
        <f>'[1]1нед'!S241</f>
        <v>0</v>
      </c>
      <c r="E55" s="39">
        <f>'[1]1нед'!T241</f>
        <v>0</v>
      </c>
      <c r="F55" s="40">
        <f>'[1]1нед'!W241</f>
        <v>0</v>
      </c>
      <c r="G55" s="41" t="str">
        <f>'[1]1нед'!X241</f>
        <v/>
      </c>
      <c r="H55" s="42"/>
    </row>
    <row r="56" ht="31.5" spans="1:8">
      <c r="A56" s="36"/>
      <c r="B56" s="37"/>
      <c r="C56" s="29" t="s">
        <v>20</v>
      </c>
      <c r="D56" s="38">
        <f>'[1]1нед'!S242</f>
        <v>0</v>
      </c>
      <c r="E56" s="39">
        <f>'[1]1нед'!T242</f>
        <v>0</v>
      </c>
      <c r="F56" s="40">
        <f>'[1]1нед'!W242</f>
        <v>0</v>
      </c>
      <c r="G56" s="41" t="str">
        <f>'[1]1нед'!X242</f>
        <v/>
      </c>
      <c r="H56" s="42"/>
    </row>
    <row r="57" ht="31.5" spans="1:8">
      <c r="A57" s="36"/>
      <c r="B57" s="37"/>
      <c r="C57" s="29" t="s">
        <v>21</v>
      </c>
      <c r="D57" s="38">
        <f>'[1]1нед'!S243</f>
        <v>0</v>
      </c>
      <c r="E57" s="39">
        <f>'[1]1нед'!T243</f>
        <v>0</v>
      </c>
      <c r="F57" s="40">
        <f>'[1]1нед'!W243</f>
        <v>0</v>
      </c>
      <c r="G57" s="41" t="str">
        <f>'[1]1нед'!X243</f>
        <v/>
      </c>
      <c r="H57" s="42"/>
    </row>
    <row r="58" ht="32.25" spans="1:8">
      <c r="A58" s="36"/>
      <c r="B58" s="37"/>
      <c r="C58" s="29" t="s">
        <v>22</v>
      </c>
      <c r="D58" s="38">
        <f>'[1]1нед'!S244</f>
        <v>0</v>
      </c>
      <c r="E58" s="39">
        <f>'[1]1нед'!T244</f>
        <v>0</v>
      </c>
      <c r="F58" s="40">
        <f>'[1]1нед'!W244</f>
        <v>0</v>
      </c>
      <c r="G58" s="41" t="str">
        <f>'[1]1нед'!X244</f>
        <v/>
      </c>
      <c r="H58" s="42"/>
    </row>
    <row r="59" ht="18.4" hidden="1" customHeight="1" spans="1:8">
      <c r="A59" s="45"/>
      <c r="B59" s="46"/>
      <c r="C59" s="47"/>
      <c r="D59" s="48">
        <f>'[1]1нед'!S59</f>
        <v>0</v>
      </c>
      <c r="E59" s="49">
        <f>'[1]1нед'!T59</f>
        <v>0</v>
      </c>
      <c r="F59" s="50">
        <f>'[1]1нед'!W59</f>
        <v>0</v>
      </c>
      <c r="G59" s="51" t="str">
        <f>'[1]1нед'!X59</f>
        <v/>
      </c>
      <c r="H59" s="52"/>
    </row>
    <row r="60" ht="39" customHeight="1" spans="1:8">
      <c r="A60" s="64"/>
      <c r="B60" s="65"/>
      <c r="C60" s="66"/>
      <c r="D60" s="67"/>
      <c r="E60" s="67" t="s">
        <v>28</v>
      </c>
      <c r="F60" s="67"/>
      <c r="G60" s="68" t="s">
        <v>29</v>
      </c>
      <c r="H60" s="69"/>
    </row>
  </sheetData>
  <mergeCells count="19">
    <mergeCell ref="B6:H6"/>
    <mergeCell ref="B8:D8"/>
    <mergeCell ref="E8:H8"/>
    <mergeCell ref="B9:D9"/>
    <mergeCell ref="B10:D10"/>
    <mergeCell ref="A11:B11"/>
    <mergeCell ref="F11:G11"/>
    <mergeCell ref="A12:A19"/>
    <mergeCell ref="A20:A27"/>
    <mergeCell ref="A28:A35"/>
    <mergeCell ref="A36:A43"/>
    <mergeCell ref="A44:A51"/>
    <mergeCell ref="A52:A59"/>
    <mergeCell ref="B12:B19"/>
    <mergeCell ref="B20:B27"/>
    <mergeCell ref="B28:B35"/>
    <mergeCell ref="B36:B43"/>
    <mergeCell ref="B44:B51"/>
    <mergeCell ref="B52:B59"/>
  </mergeCells>
  <pageMargins left="0.708661417322835" right="0.708661417322835" top="0.748031496062992" bottom="0.748031496062992" header="0.31496062992126" footer="0.31496062992126"/>
  <pageSetup paperSize="9" scale="34" orientation="portrait"/>
  <headerFooter/>
  <rowBreaks count="8" manualBreakCount="8">
    <brk id="60" max="16383" man="1"/>
  </rowBreaks>
  <colBreaks count="1" manualBreakCount="1">
    <brk id="8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60"/>
  <sheetViews>
    <sheetView view="pageBreakPreview" zoomScale="51" zoomScaleNormal="55" topLeftCell="A12" workbookViewId="0">
      <selection activeCell="A61" sqref="$A61:$XFD546"/>
    </sheetView>
  </sheetViews>
  <sheetFormatPr defaultColWidth="9" defaultRowHeight="12.75" outlineLevelCol="7"/>
  <cols>
    <col min="1" max="1" width="5.85714285714286" customWidth="1"/>
    <col min="2" max="2" width="4.14285714285714" customWidth="1"/>
    <col min="3" max="3" width="13.5714285714286" customWidth="1"/>
    <col min="4" max="4" width="11.8571428571429" customWidth="1"/>
    <col min="5" max="5" width="51.5714285714286" customWidth="1"/>
    <col min="6" max="6" width="28" customWidth="1"/>
    <col min="7" max="7" width="30" customWidth="1"/>
    <col min="8" max="8" width="72.2857142857143" style="1" customWidth="1"/>
  </cols>
  <sheetData>
    <row r="1" ht="15.75" spans="1:8">
      <c r="A1" s="2"/>
      <c r="B1" s="3"/>
      <c r="C1" s="4"/>
      <c r="D1" s="5"/>
      <c r="E1" s="5"/>
      <c r="F1" s="5"/>
      <c r="G1" s="5"/>
      <c r="H1" s="6" t="s">
        <v>0</v>
      </c>
    </row>
    <row r="2" ht="15.75" spans="1:8">
      <c r="A2" s="2"/>
      <c r="B2" s="3"/>
      <c r="C2" s="4"/>
      <c r="D2" s="5"/>
      <c r="E2" s="5"/>
      <c r="F2" s="5"/>
      <c r="G2" s="5"/>
      <c r="H2" s="6" t="s">
        <v>1</v>
      </c>
    </row>
    <row r="3" ht="15.75" spans="1:8">
      <c r="A3" s="2"/>
      <c r="B3" s="3"/>
      <c r="C3" s="4"/>
      <c r="D3" s="5"/>
      <c r="E3" s="5"/>
      <c r="F3" s="5"/>
      <c r="G3" s="5"/>
      <c r="H3" s="6" t="s">
        <v>2</v>
      </c>
    </row>
    <row r="4" ht="15.75" spans="1:8">
      <c r="A4" s="2"/>
      <c r="B4" s="3"/>
      <c r="C4" s="4"/>
      <c r="D4" s="5"/>
      <c r="E4" s="5"/>
      <c r="F4" s="5"/>
      <c r="G4" s="5"/>
      <c r="H4" s="6" t="s">
        <v>3</v>
      </c>
    </row>
    <row r="5" ht="15.75" spans="1:8">
      <c r="A5" s="2"/>
      <c r="B5" s="7"/>
      <c r="C5" s="4"/>
      <c r="D5" s="5"/>
      <c r="E5" s="5"/>
      <c r="F5" s="5"/>
      <c r="G5" s="5"/>
      <c r="H5" s="5"/>
    </row>
    <row r="6" ht="15.75" spans="1:8">
      <c r="A6" s="2"/>
      <c r="B6" s="8" t="s">
        <v>4</v>
      </c>
      <c r="C6" s="8"/>
      <c r="D6" s="8"/>
      <c r="E6" s="8"/>
      <c r="F6" s="8"/>
      <c r="G6" s="8"/>
      <c r="H6" s="8"/>
    </row>
    <row r="7" ht="15.75" spans="1:8">
      <c r="A7" s="9"/>
      <c r="B7" s="10" t="str">
        <f>'[1]1нед'!$A$6</f>
        <v>Направление подготовки:</v>
      </c>
      <c r="C7" s="11"/>
      <c r="D7" s="12"/>
      <c r="E7" s="13" t="str">
        <f>'[1]1нед'!$D$254</f>
        <v>44.03.05Педагогическое образование (с двумя профилями подготовки) (Математика и Информатика)</v>
      </c>
      <c r="F7" s="12"/>
      <c r="G7" s="12"/>
      <c r="H7" s="14" t="str">
        <f>'[1]1нед'!$D$258</f>
        <v>12-24МИоз</v>
      </c>
    </row>
    <row r="8" ht="15.75" spans="1:8">
      <c r="A8" s="2"/>
      <c r="B8" s="10" t="s">
        <v>5</v>
      </c>
      <c r="C8" s="10"/>
      <c r="D8" s="10"/>
      <c r="E8" s="10" t="s">
        <v>43</v>
      </c>
      <c r="F8" s="10"/>
      <c r="G8" s="10"/>
      <c r="H8" s="10"/>
    </row>
    <row r="9" ht="15.75" spans="1:8">
      <c r="A9" s="2"/>
      <c r="B9" s="10" t="s">
        <v>7</v>
      </c>
      <c r="C9" s="10"/>
      <c r="D9" s="10"/>
      <c r="E9" s="10">
        <v>3</v>
      </c>
      <c r="F9" s="10"/>
      <c r="G9" s="10"/>
      <c r="H9" s="15"/>
    </row>
    <row r="10" ht="16.5" spans="1:8">
      <c r="A10" s="2"/>
      <c r="B10" s="16" t="s">
        <v>8</v>
      </c>
      <c r="C10" s="16"/>
      <c r="D10" s="16"/>
      <c r="E10" s="16">
        <v>1</v>
      </c>
      <c r="F10" s="16"/>
      <c r="G10" s="16"/>
      <c r="H10" s="17"/>
    </row>
    <row r="11" ht="46.5" customHeight="1" spans="1:8">
      <c r="A11" s="19" t="s">
        <v>9</v>
      </c>
      <c r="B11" s="20"/>
      <c r="C11" s="21" t="s">
        <v>10</v>
      </c>
      <c r="D11" s="22" t="s">
        <v>11</v>
      </c>
      <c r="E11" s="23" t="s">
        <v>12</v>
      </c>
      <c r="F11" s="24" t="s">
        <v>13</v>
      </c>
      <c r="G11" s="25"/>
      <c r="H11" s="26" t="s">
        <v>14</v>
      </c>
    </row>
    <row r="12" ht="32.25" customHeight="1" spans="1:8">
      <c r="A12" s="27">
        <v>46265</v>
      </c>
      <c r="B12" s="28" t="s">
        <v>15</v>
      </c>
      <c r="C12" s="29" t="s">
        <v>16</v>
      </c>
      <c r="D12" s="30">
        <f>'[1]1нед'!C260</f>
        <v>0</v>
      </c>
      <c r="E12" s="31">
        <f>'[1]1нед'!D260</f>
        <v>0</v>
      </c>
      <c r="F12" s="32">
        <f>'[1]1нед'!G260</f>
        <v>0</v>
      </c>
      <c r="G12" s="33" t="str">
        <f>'[1]1нед'!H260</f>
        <v/>
      </c>
      <c r="H12" s="34"/>
    </row>
    <row r="13" ht="31.5" spans="1:8">
      <c r="A13" s="36"/>
      <c r="B13" s="37"/>
      <c r="C13" s="29" t="s">
        <v>17</v>
      </c>
      <c r="D13" s="38">
        <f>'[1]1нед'!C261</f>
        <v>0</v>
      </c>
      <c r="E13" s="39">
        <f>'[1]1нед'!D261</f>
        <v>0</v>
      </c>
      <c r="F13" s="40">
        <f>'[1]1нед'!G261</f>
        <v>0</v>
      </c>
      <c r="G13" s="41" t="str">
        <f>'[1]1нед'!H261</f>
        <v/>
      </c>
      <c r="H13" s="42"/>
    </row>
    <row r="14" ht="31.5" spans="1:8">
      <c r="A14" s="36"/>
      <c r="B14" s="37"/>
      <c r="C14" s="29" t="s">
        <v>18</v>
      </c>
      <c r="D14" s="38">
        <f>'[1]1нед'!C262</f>
        <v>0</v>
      </c>
      <c r="E14" s="39">
        <f>'[1]1нед'!D262</f>
        <v>0</v>
      </c>
      <c r="F14" s="40">
        <f>'[1]1нед'!G262</f>
        <v>0</v>
      </c>
      <c r="G14" s="41" t="str">
        <f>'[1]1нед'!H262</f>
        <v/>
      </c>
      <c r="H14" s="42"/>
    </row>
    <row r="15" ht="31.5" spans="1:8">
      <c r="A15" s="36"/>
      <c r="B15" s="37"/>
      <c r="C15" s="29" t="s">
        <v>19</v>
      </c>
      <c r="D15" s="38">
        <f>'[1]1нед'!C263</f>
        <v>0</v>
      </c>
      <c r="E15" s="39">
        <f>'[1]1нед'!D263</f>
        <v>0</v>
      </c>
      <c r="F15" s="40">
        <f>'[1]1нед'!G263</f>
        <v>0</v>
      </c>
      <c r="G15" s="41" t="str">
        <f>'[1]1нед'!H263</f>
        <v/>
      </c>
      <c r="H15" s="42"/>
    </row>
    <row r="16" ht="31.5" spans="1:8">
      <c r="A16" s="36"/>
      <c r="B16" s="37"/>
      <c r="C16" s="29" t="s">
        <v>20</v>
      </c>
      <c r="D16" s="38">
        <f>'[1]1нед'!C264</f>
        <v>0</v>
      </c>
      <c r="E16" s="39">
        <f>'[1]1нед'!D264</f>
        <v>0</v>
      </c>
      <c r="F16" s="40">
        <f>'[1]1нед'!G264</f>
        <v>0</v>
      </c>
      <c r="G16" s="41" t="str">
        <f>'[1]1нед'!H264</f>
        <v/>
      </c>
      <c r="H16" s="42"/>
    </row>
    <row r="17" ht="31.5" spans="1:8">
      <c r="A17" s="36"/>
      <c r="B17" s="37"/>
      <c r="C17" s="29" t="s">
        <v>21</v>
      </c>
      <c r="D17" s="38">
        <f>'[1]1нед'!C265</f>
        <v>0</v>
      </c>
      <c r="E17" s="39">
        <f>'[1]1нед'!D265</f>
        <v>0</v>
      </c>
      <c r="F17" s="40">
        <f>'[1]1нед'!G265</f>
        <v>0</v>
      </c>
      <c r="G17" s="41" t="str">
        <f>'[1]1нед'!H265</f>
        <v/>
      </c>
      <c r="H17" s="42"/>
    </row>
    <row r="18" ht="32.25" spans="1:8">
      <c r="A18" s="36"/>
      <c r="B18" s="37"/>
      <c r="C18" s="29" t="s">
        <v>22</v>
      </c>
      <c r="D18" s="38">
        <f>'[1]1нед'!C266</f>
        <v>0</v>
      </c>
      <c r="E18" s="39">
        <f>'[1]1нед'!D266</f>
        <v>0</v>
      </c>
      <c r="F18" s="40">
        <f>'[1]1нед'!G266</f>
        <v>0</v>
      </c>
      <c r="G18" s="41" t="str">
        <f>'[1]1нед'!H266</f>
        <v/>
      </c>
      <c r="H18" s="42"/>
    </row>
    <row r="19" ht="18.4" hidden="1" customHeight="1" spans="1:8">
      <c r="A19" s="45"/>
      <c r="B19" s="46"/>
      <c r="C19" s="47"/>
      <c r="D19" s="48">
        <f>'[1]1нед'!C267</f>
        <v>0</v>
      </c>
      <c r="E19" s="49">
        <f>'[1]1нед'!D267</f>
        <v>0</v>
      </c>
      <c r="F19" s="50">
        <f>'[1]1нед'!G267</f>
        <v>0</v>
      </c>
      <c r="G19" s="51" t="str">
        <f>'[1]1нед'!H267</f>
        <v/>
      </c>
      <c r="H19" s="52"/>
    </row>
    <row r="20" ht="32.25" customHeight="1" spans="1:8">
      <c r="A20" s="27">
        <v>46266</v>
      </c>
      <c r="B20" s="28" t="s">
        <v>23</v>
      </c>
      <c r="C20" s="55" t="s">
        <v>16</v>
      </c>
      <c r="D20" s="30">
        <f>'[1]1нед'!C268</f>
        <v>0</v>
      </c>
      <c r="E20" s="31">
        <f>'[1]1нед'!D268</f>
        <v>0</v>
      </c>
      <c r="F20" s="32">
        <f>'[1]1нед'!G268</f>
        <v>0</v>
      </c>
      <c r="G20" s="33" t="str">
        <f>'[1]1нед'!H268</f>
        <v/>
      </c>
      <c r="H20" s="34"/>
    </row>
    <row r="21" ht="31.5" spans="1:8">
      <c r="A21" s="36"/>
      <c r="B21" s="37"/>
      <c r="C21" s="29" t="s">
        <v>17</v>
      </c>
      <c r="D21" s="38">
        <f>'[1]1нед'!C269</f>
        <v>0</v>
      </c>
      <c r="E21" s="39">
        <f>'[1]1нед'!D269</f>
        <v>0</v>
      </c>
      <c r="F21" s="40">
        <f>'[1]1нед'!G269</f>
        <v>0</v>
      </c>
      <c r="G21" s="41" t="str">
        <f>'[1]1нед'!H269</f>
        <v/>
      </c>
      <c r="H21" s="42"/>
    </row>
    <row r="22" ht="31.5" spans="1:8">
      <c r="A22" s="36"/>
      <c r="B22" s="37"/>
      <c r="C22" s="29" t="s">
        <v>18</v>
      </c>
      <c r="D22" s="38">
        <f>'[1]1нед'!C270</f>
        <v>0</v>
      </c>
      <c r="E22" s="39">
        <f>'[1]1нед'!D270</f>
        <v>0</v>
      </c>
      <c r="F22" s="40">
        <f>'[1]1нед'!G270</f>
        <v>0</v>
      </c>
      <c r="G22" s="41" t="str">
        <f>'[1]1нед'!H270</f>
        <v/>
      </c>
      <c r="H22" s="42"/>
    </row>
    <row r="23" ht="31.5" spans="1:8">
      <c r="A23" s="36"/>
      <c r="B23" s="37"/>
      <c r="C23" s="29" t="s">
        <v>19</v>
      </c>
      <c r="D23" s="38">
        <f>'[1]1нед'!C271</f>
        <v>0</v>
      </c>
      <c r="E23" s="39">
        <f>'[1]1нед'!D271</f>
        <v>0</v>
      </c>
      <c r="F23" s="40">
        <f>'[1]1нед'!G271</f>
        <v>0</v>
      </c>
      <c r="G23" s="41" t="str">
        <f>'[1]1нед'!H271</f>
        <v/>
      </c>
      <c r="H23" s="42"/>
    </row>
    <row r="24" ht="31.5" spans="1:8">
      <c r="A24" s="36"/>
      <c r="B24" s="37"/>
      <c r="C24" s="29" t="s">
        <v>20</v>
      </c>
      <c r="D24" s="38">
        <f>'[1]1нед'!C272</f>
        <v>0</v>
      </c>
      <c r="E24" s="39">
        <f>'[1]1нед'!D272</f>
        <v>0</v>
      </c>
      <c r="F24" s="40">
        <f>'[1]1нед'!G272</f>
        <v>0</v>
      </c>
      <c r="G24" s="41" t="str">
        <f>'[1]1нед'!H272</f>
        <v/>
      </c>
      <c r="H24" s="42"/>
    </row>
    <row r="25" ht="31.5" spans="1:8">
      <c r="A25" s="36"/>
      <c r="B25" s="37"/>
      <c r="C25" s="29" t="s">
        <v>21</v>
      </c>
      <c r="D25" s="38">
        <f>'[1]1нед'!C273</f>
        <v>0</v>
      </c>
      <c r="E25" s="39">
        <f>'[1]1нед'!D273</f>
        <v>0</v>
      </c>
      <c r="F25" s="40">
        <f>'[1]1нед'!G273</f>
        <v>0</v>
      </c>
      <c r="G25" s="41" t="str">
        <f>'[1]1нед'!H273</f>
        <v/>
      </c>
      <c r="H25" s="56"/>
    </row>
    <row r="26" ht="32.25" spans="1:8">
      <c r="A26" s="36"/>
      <c r="B26" s="37"/>
      <c r="C26" s="29" t="s">
        <v>22</v>
      </c>
      <c r="D26" s="38">
        <f>'[1]1нед'!C274</f>
        <v>0</v>
      </c>
      <c r="E26" s="39">
        <f>'[1]1нед'!D274</f>
        <v>0</v>
      </c>
      <c r="F26" s="40">
        <f>'[1]1нед'!G274</f>
        <v>0</v>
      </c>
      <c r="G26" s="41" t="str">
        <f>'[1]1нед'!H274</f>
        <v/>
      </c>
      <c r="H26" s="56"/>
    </row>
    <row r="27" ht="18.4" hidden="1" customHeight="1" spans="1:8">
      <c r="A27" s="45"/>
      <c r="B27" s="46"/>
      <c r="C27" s="47"/>
      <c r="D27" s="48">
        <f>'[1]1нед'!C275</f>
        <v>0</v>
      </c>
      <c r="E27" s="49">
        <f>'[1]1нед'!D275</f>
        <v>0</v>
      </c>
      <c r="F27" s="50">
        <f>'[1]1нед'!G275</f>
        <v>0</v>
      </c>
      <c r="G27" s="51" t="str">
        <f>'[1]1нед'!H275</f>
        <v/>
      </c>
      <c r="H27" s="52"/>
    </row>
    <row r="28" ht="48" customHeight="1" spans="1:8">
      <c r="A28" s="27">
        <v>46267</v>
      </c>
      <c r="B28" s="57" t="s">
        <v>24</v>
      </c>
      <c r="C28" s="55" t="s">
        <v>16</v>
      </c>
      <c r="D28" s="30">
        <f>'[1]1нед'!C276</f>
        <v>0</v>
      </c>
      <c r="E28" s="31">
        <f>'[1]1нед'!D276</f>
        <v>0</v>
      </c>
      <c r="F28" s="32">
        <f>'[1]1нед'!G276</f>
        <v>0</v>
      </c>
      <c r="G28" s="33" t="str">
        <f>'[1]1нед'!H276</f>
        <v/>
      </c>
      <c r="H28" s="34"/>
    </row>
    <row r="29" ht="31.5" spans="1:8">
      <c r="A29" s="36"/>
      <c r="B29" s="59"/>
      <c r="C29" s="29" t="s">
        <v>17</v>
      </c>
      <c r="D29" s="38">
        <f>'[1]1нед'!C277</f>
        <v>0</v>
      </c>
      <c r="E29" s="39">
        <f>'[1]1нед'!D277</f>
        <v>0</v>
      </c>
      <c r="F29" s="40">
        <f>'[1]1нед'!G277</f>
        <v>0</v>
      </c>
      <c r="G29" s="41" t="str">
        <f>'[1]1нед'!H277</f>
        <v/>
      </c>
      <c r="H29" s="42"/>
    </row>
    <row r="30" ht="31.5" spans="1:8">
      <c r="A30" s="36"/>
      <c r="B30" s="59"/>
      <c r="C30" s="29" t="s">
        <v>18</v>
      </c>
      <c r="D30" s="38">
        <f>'[1]1нед'!C278</f>
        <v>0</v>
      </c>
      <c r="E30" s="39">
        <f>'[1]1нед'!D278</f>
        <v>0</v>
      </c>
      <c r="F30" s="40">
        <f>'[1]1нед'!G278</f>
        <v>0</v>
      </c>
      <c r="G30" s="41" t="str">
        <f>'[1]1нед'!H278</f>
        <v/>
      </c>
      <c r="H30" s="42"/>
    </row>
    <row r="31" ht="31.5" spans="1:8">
      <c r="A31" s="36"/>
      <c r="B31" s="59"/>
      <c r="C31" s="29" t="s">
        <v>19</v>
      </c>
      <c r="D31" s="38">
        <f>'[1]1нед'!C279</f>
        <v>0</v>
      </c>
      <c r="E31" s="39">
        <f>'[1]1нед'!D279</f>
        <v>0</v>
      </c>
      <c r="F31" s="40">
        <f>'[1]1нед'!G279</f>
        <v>0</v>
      </c>
      <c r="G31" s="41" t="str">
        <f>'[1]1нед'!H279</f>
        <v/>
      </c>
      <c r="H31" s="42"/>
    </row>
    <row r="32" ht="31.5" spans="1:8">
      <c r="A32" s="36"/>
      <c r="B32" s="59"/>
      <c r="C32" s="29" t="s">
        <v>20</v>
      </c>
      <c r="D32" s="38">
        <f>'[1]1нед'!C280</f>
        <v>0</v>
      </c>
      <c r="E32" s="39">
        <f>'[1]1нед'!D280</f>
        <v>0</v>
      </c>
      <c r="F32" s="40">
        <f>'[1]1нед'!G280</f>
        <v>0</v>
      </c>
      <c r="G32" s="41" t="str">
        <f>'[1]1нед'!H280</f>
        <v/>
      </c>
      <c r="H32" s="42"/>
    </row>
    <row r="33" ht="37.5" spans="1:8">
      <c r="A33" s="36"/>
      <c r="B33" s="59"/>
      <c r="C33" s="29" t="s">
        <v>21</v>
      </c>
      <c r="D33" s="38" t="str">
        <f>'[1]1нед'!C281</f>
        <v>л</v>
      </c>
      <c r="E33" s="39" t="str">
        <f>'[1]1нед'!D281</f>
        <v>Методы исследовательской/проектной деятельности</v>
      </c>
      <c r="F33" s="40" t="str">
        <f>'[1]1нед'!G281</f>
        <v>Казанцев Ю.А.</v>
      </c>
      <c r="G33" s="41" t="str">
        <f>'[1]1нед'!H281</f>
        <v>ст. преподаватель</v>
      </c>
      <c r="H33" s="70" t="s">
        <v>51</v>
      </c>
    </row>
    <row r="34" ht="32.25" spans="1:8">
      <c r="A34" s="36"/>
      <c r="B34" s="59"/>
      <c r="C34" s="29" t="s">
        <v>22</v>
      </c>
      <c r="D34" s="38" t="str">
        <f>'[1]1нед'!C282</f>
        <v>л</v>
      </c>
      <c r="E34" s="39" t="str">
        <f>'[1]1нед'!D282</f>
        <v>Основы военной подготовки</v>
      </c>
      <c r="F34" s="40" t="str">
        <f>'[1]1нед'!G282</f>
        <v>Кулак А.Ф.</v>
      </c>
      <c r="G34" s="41" t="str">
        <f>'[1]1нед'!H282</f>
        <v>преподаватель</v>
      </c>
      <c r="H34" s="71" t="s">
        <v>49</v>
      </c>
    </row>
    <row r="35" ht="18.4" hidden="1" customHeight="1" spans="1:8">
      <c r="A35" s="45"/>
      <c r="B35" s="61"/>
      <c r="C35" s="47"/>
      <c r="D35" s="48">
        <f>'[1]1нед'!C283</f>
        <v>0</v>
      </c>
      <c r="E35" s="49">
        <f>'[1]1нед'!D283</f>
        <v>0</v>
      </c>
      <c r="F35" s="50">
        <f>'[1]1нед'!G283</f>
        <v>0</v>
      </c>
      <c r="G35" s="51" t="str">
        <f>'[1]1нед'!H283</f>
        <v/>
      </c>
      <c r="H35" s="52"/>
    </row>
    <row r="36" ht="48" customHeight="1" spans="1:8">
      <c r="A36" s="27">
        <v>46268</v>
      </c>
      <c r="B36" s="28" t="s">
        <v>25</v>
      </c>
      <c r="C36" s="55" t="s">
        <v>16</v>
      </c>
      <c r="D36" s="30">
        <f>'[1]1нед'!C284</f>
        <v>0</v>
      </c>
      <c r="E36" s="31">
        <f>'[1]1нед'!D284</f>
        <v>0</v>
      </c>
      <c r="F36" s="32">
        <f>'[1]1нед'!G284</f>
        <v>0</v>
      </c>
      <c r="G36" s="33" t="str">
        <f>'[1]1нед'!H284</f>
        <v/>
      </c>
      <c r="H36" s="34"/>
    </row>
    <row r="37" ht="31.5" spans="1:8">
      <c r="A37" s="36"/>
      <c r="B37" s="37"/>
      <c r="C37" s="29" t="s">
        <v>17</v>
      </c>
      <c r="D37" s="38">
        <f>'[1]1нед'!C285</f>
        <v>0</v>
      </c>
      <c r="E37" s="39">
        <f>'[1]1нед'!D285</f>
        <v>0</v>
      </c>
      <c r="F37" s="40">
        <f>'[1]1нед'!G285</f>
        <v>0</v>
      </c>
      <c r="G37" s="41" t="str">
        <f>'[1]1нед'!H285</f>
        <v/>
      </c>
      <c r="H37" s="42"/>
    </row>
    <row r="38" ht="31.5" spans="1:8">
      <c r="A38" s="36"/>
      <c r="B38" s="37"/>
      <c r="C38" s="29" t="s">
        <v>18</v>
      </c>
      <c r="D38" s="38">
        <f>'[1]1нед'!C286</f>
        <v>0</v>
      </c>
      <c r="E38" s="39">
        <f>'[1]1нед'!D286</f>
        <v>0</v>
      </c>
      <c r="F38" s="40">
        <f>'[1]1нед'!G286</f>
        <v>0</v>
      </c>
      <c r="G38" s="41" t="str">
        <f>'[1]1нед'!H286</f>
        <v/>
      </c>
      <c r="H38" s="42"/>
    </row>
    <row r="39" ht="31.5" spans="1:8">
      <c r="A39" s="36"/>
      <c r="B39" s="37"/>
      <c r="C39" s="29" t="s">
        <v>19</v>
      </c>
      <c r="D39" s="38">
        <f>'[1]1нед'!C287</f>
        <v>0</v>
      </c>
      <c r="E39" s="39">
        <f>'[1]1нед'!D287</f>
        <v>0</v>
      </c>
      <c r="F39" s="40">
        <f>'[1]1нед'!G287</f>
        <v>0</v>
      </c>
      <c r="G39" s="41" t="str">
        <f>'[1]1нед'!H287</f>
        <v/>
      </c>
      <c r="H39" s="42"/>
    </row>
    <row r="40" ht="31.5" spans="1:8">
      <c r="A40" s="36"/>
      <c r="B40" s="37"/>
      <c r="C40" s="29" t="s">
        <v>20</v>
      </c>
      <c r="D40" s="38">
        <f>'[1]1нед'!C288</f>
        <v>0</v>
      </c>
      <c r="E40" s="39">
        <f>'[1]1нед'!D288</f>
        <v>0</v>
      </c>
      <c r="F40" s="40">
        <f>'[1]1нед'!G288</f>
        <v>0</v>
      </c>
      <c r="G40" s="41" t="str">
        <f>'[1]1нед'!H288</f>
        <v/>
      </c>
      <c r="H40" s="42"/>
    </row>
    <row r="41" ht="31.5" spans="1:8">
      <c r="A41" s="36"/>
      <c r="B41" s="37"/>
      <c r="C41" s="29" t="s">
        <v>21</v>
      </c>
      <c r="D41" s="38">
        <f>'[1]1нед'!C289</f>
        <v>0</v>
      </c>
      <c r="E41" s="39">
        <f>'[1]1нед'!D289</f>
        <v>0</v>
      </c>
      <c r="F41" s="40">
        <f>'[1]1нед'!G289</f>
        <v>0</v>
      </c>
      <c r="G41" s="41" t="str">
        <f>'[1]1нед'!H289</f>
        <v/>
      </c>
      <c r="H41" s="56"/>
    </row>
    <row r="42" ht="32.25" spans="1:8">
      <c r="A42" s="36"/>
      <c r="B42" s="37"/>
      <c r="C42" s="29" t="s">
        <v>22</v>
      </c>
      <c r="D42" s="38">
        <f>'[1]1нед'!C290</f>
        <v>0</v>
      </c>
      <c r="E42" s="39">
        <f>'[1]1нед'!D290</f>
        <v>0</v>
      </c>
      <c r="F42" s="40">
        <f>'[1]1нед'!G290</f>
        <v>0</v>
      </c>
      <c r="G42" s="41" t="str">
        <f>'[1]1нед'!H290</f>
        <v/>
      </c>
      <c r="H42" s="56"/>
    </row>
    <row r="43" ht="18.4" hidden="1" customHeight="1" spans="1:8">
      <c r="A43" s="45"/>
      <c r="B43" s="46"/>
      <c r="C43" s="47"/>
      <c r="D43" s="48">
        <f>'[1]1нед'!C291</f>
        <v>0</v>
      </c>
      <c r="E43" s="49">
        <f>'[1]1нед'!D291</f>
        <v>0</v>
      </c>
      <c r="F43" s="50">
        <f>'[1]1нед'!G291</f>
        <v>0</v>
      </c>
      <c r="G43" s="51" t="str">
        <f>'[1]1нед'!H291</f>
        <v/>
      </c>
      <c r="H43" s="52"/>
    </row>
    <row r="44" ht="48" customHeight="1" spans="1:8">
      <c r="A44" s="27">
        <v>46269</v>
      </c>
      <c r="B44" s="28" t="s">
        <v>26</v>
      </c>
      <c r="C44" s="55" t="s">
        <v>16</v>
      </c>
      <c r="D44" s="30">
        <f>'[1]1нед'!C292</f>
        <v>0</v>
      </c>
      <c r="E44" s="31">
        <f>'[1]1нед'!D292</f>
        <v>0</v>
      </c>
      <c r="F44" s="32">
        <f>'[1]1нед'!G292</f>
        <v>0</v>
      </c>
      <c r="G44" s="33" t="str">
        <f>'[1]1нед'!H292</f>
        <v/>
      </c>
      <c r="H44" s="34"/>
    </row>
    <row r="45" ht="31.5" spans="1:8">
      <c r="A45" s="36"/>
      <c r="B45" s="37"/>
      <c r="C45" s="29" t="s">
        <v>17</v>
      </c>
      <c r="D45" s="38">
        <f>'[1]1нед'!C293</f>
        <v>0</v>
      </c>
      <c r="E45" s="39">
        <f>'[1]1нед'!D293</f>
        <v>0</v>
      </c>
      <c r="F45" s="40">
        <f>'[1]1нед'!G293</f>
        <v>0</v>
      </c>
      <c r="G45" s="41" t="str">
        <f>'[1]1нед'!H293</f>
        <v/>
      </c>
      <c r="H45" s="42"/>
    </row>
    <row r="46" ht="31.5" spans="1:8">
      <c r="A46" s="36"/>
      <c r="B46" s="37"/>
      <c r="C46" s="29" t="s">
        <v>18</v>
      </c>
      <c r="D46" s="38">
        <f>'[1]1нед'!C294</f>
        <v>0</v>
      </c>
      <c r="E46" s="39">
        <f>'[1]1нед'!D294</f>
        <v>0</v>
      </c>
      <c r="F46" s="40">
        <f>'[1]1нед'!G294</f>
        <v>0</v>
      </c>
      <c r="G46" s="41" t="str">
        <f>'[1]1нед'!H294</f>
        <v/>
      </c>
      <c r="H46" s="42"/>
    </row>
    <row r="47" ht="31.5" spans="1:8">
      <c r="A47" s="36"/>
      <c r="B47" s="37"/>
      <c r="C47" s="29" t="s">
        <v>19</v>
      </c>
      <c r="D47" s="38">
        <f>'[1]1нед'!C295</f>
        <v>0</v>
      </c>
      <c r="E47" s="39">
        <f>'[1]1нед'!D295</f>
        <v>0</v>
      </c>
      <c r="F47" s="40">
        <f>'[1]1нед'!G295</f>
        <v>0</v>
      </c>
      <c r="G47" s="41" t="str">
        <f>'[1]1нед'!H295</f>
        <v/>
      </c>
      <c r="H47" s="42"/>
    </row>
    <row r="48" ht="31.5" spans="1:8">
      <c r="A48" s="36"/>
      <c r="B48" s="37"/>
      <c r="C48" s="29" t="s">
        <v>20</v>
      </c>
      <c r="D48" s="38">
        <f>'[1]1нед'!C296</f>
        <v>0</v>
      </c>
      <c r="E48" s="39">
        <f>'[1]1нед'!D296</f>
        <v>0</v>
      </c>
      <c r="F48" s="40">
        <f>'[1]1нед'!G296</f>
        <v>0</v>
      </c>
      <c r="G48" s="41" t="str">
        <f>'[1]1нед'!H296</f>
        <v/>
      </c>
      <c r="H48" s="42"/>
    </row>
    <row r="49" ht="31.5" spans="1:8">
      <c r="A49" s="36"/>
      <c r="B49" s="37"/>
      <c r="C49" s="29" t="s">
        <v>21</v>
      </c>
      <c r="D49" s="38">
        <f>'[1]1нед'!C297</f>
        <v>0</v>
      </c>
      <c r="E49" s="39">
        <f>'[1]1нед'!D297</f>
        <v>0</v>
      </c>
      <c r="F49" s="40">
        <f>'[1]1нед'!G297</f>
        <v>0</v>
      </c>
      <c r="G49" s="41" t="str">
        <f>'[1]1нед'!H297</f>
        <v/>
      </c>
      <c r="H49" s="42"/>
    </row>
    <row r="50" ht="32.25" spans="1:8">
      <c r="A50" s="36"/>
      <c r="B50" s="37"/>
      <c r="C50" s="29" t="s">
        <v>22</v>
      </c>
      <c r="D50" s="38">
        <f>'[1]1нед'!C298</f>
        <v>0</v>
      </c>
      <c r="E50" s="39">
        <f>'[1]1нед'!D298</f>
        <v>0</v>
      </c>
      <c r="F50" s="40">
        <f>'[1]1нед'!G298</f>
        <v>0</v>
      </c>
      <c r="G50" s="41" t="str">
        <f>'[1]1нед'!H298</f>
        <v/>
      </c>
      <c r="H50" s="42"/>
    </row>
    <row r="51" ht="18.4" hidden="1" customHeight="1" spans="1:8">
      <c r="A51" s="45"/>
      <c r="B51" s="46"/>
      <c r="C51" s="47"/>
      <c r="D51" s="48">
        <f>'[1]1нед'!C299</f>
        <v>0</v>
      </c>
      <c r="E51" s="49">
        <f>'[1]1нед'!D299</f>
        <v>0</v>
      </c>
      <c r="F51" s="50">
        <f>'[1]1нед'!G299</f>
        <v>0</v>
      </c>
      <c r="G51" s="51" t="str">
        <f>'[1]1нед'!H299</f>
        <v/>
      </c>
      <c r="H51" s="52"/>
    </row>
    <row r="52" ht="48" customHeight="1" spans="1:8">
      <c r="A52" s="27">
        <v>46270</v>
      </c>
      <c r="B52" s="28" t="s">
        <v>27</v>
      </c>
      <c r="C52" s="55" t="s">
        <v>16</v>
      </c>
      <c r="D52" s="30">
        <f>'[1]1нед'!C300</f>
        <v>0</v>
      </c>
      <c r="E52" s="31">
        <f>'[1]1нед'!D300</f>
        <v>0</v>
      </c>
      <c r="F52" s="32">
        <f>'[1]1нед'!G300</f>
        <v>0</v>
      </c>
      <c r="G52" s="33" t="str">
        <f>'[1]1нед'!H300</f>
        <v/>
      </c>
      <c r="H52" s="34"/>
    </row>
    <row r="53" ht="31.5" spans="1:8">
      <c r="A53" s="36"/>
      <c r="B53" s="37"/>
      <c r="C53" s="29" t="s">
        <v>17</v>
      </c>
      <c r="D53" s="38">
        <f>'[1]1нед'!C301</f>
        <v>0</v>
      </c>
      <c r="E53" s="39">
        <f>'[1]1нед'!D301</f>
        <v>0</v>
      </c>
      <c r="F53" s="40">
        <f>'[1]1нед'!G301</f>
        <v>0</v>
      </c>
      <c r="G53" s="41" t="str">
        <f>'[1]1нед'!H301</f>
        <v/>
      </c>
      <c r="H53" s="42"/>
    </row>
    <row r="54" ht="31.5" spans="1:8">
      <c r="A54" s="36"/>
      <c r="B54" s="37"/>
      <c r="C54" s="29" t="s">
        <v>18</v>
      </c>
      <c r="D54" s="38">
        <f>'[1]1нед'!C302</f>
        <v>0</v>
      </c>
      <c r="E54" s="39">
        <f>'[1]1нед'!D302</f>
        <v>0</v>
      </c>
      <c r="F54" s="40">
        <f>'[1]1нед'!G302</f>
        <v>0</v>
      </c>
      <c r="G54" s="41" t="str">
        <f>'[1]1нед'!H302</f>
        <v/>
      </c>
      <c r="H54" s="63"/>
    </row>
    <row r="55" ht="31.5" spans="1:8">
      <c r="A55" s="36"/>
      <c r="B55" s="37"/>
      <c r="C55" s="29" t="s">
        <v>19</v>
      </c>
      <c r="D55" s="38">
        <f>'[1]1нед'!C303</f>
        <v>0</v>
      </c>
      <c r="E55" s="39">
        <f>'[1]1нед'!D303</f>
        <v>0</v>
      </c>
      <c r="F55" s="40">
        <f>'[1]1нед'!G303</f>
        <v>0</v>
      </c>
      <c r="G55" s="41" t="str">
        <f>'[1]1нед'!H303</f>
        <v/>
      </c>
      <c r="H55" s="42"/>
    </row>
    <row r="56" ht="31.5" spans="1:8">
      <c r="A56" s="36"/>
      <c r="B56" s="37"/>
      <c r="C56" s="29" t="s">
        <v>20</v>
      </c>
      <c r="D56" s="38">
        <f>'[1]1нед'!C304</f>
        <v>0</v>
      </c>
      <c r="E56" s="39">
        <f>'[1]1нед'!D304</f>
        <v>0</v>
      </c>
      <c r="F56" s="40">
        <f>'[1]1нед'!G304</f>
        <v>0</v>
      </c>
      <c r="G56" s="41" t="str">
        <f>'[1]1нед'!H304</f>
        <v/>
      </c>
      <c r="H56" s="42"/>
    </row>
    <row r="57" ht="31.5" spans="1:8">
      <c r="A57" s="36"/>
      <c r="B57" s="37"/>
      <c r="C57" s="29" t="s">
        <v>21</v>
      </c>
      <c r="D57" s="38">
        <f>'[1]1нед'!C305</f>
        <v>0</v>
      </c>
      <c r="E57" s="39">
        <f>'[1]1нед'!D305</f>
        <v>0</v>
      </c>
      <c r="F57" s="40">
        <f>'[1]1нед'!G305</f>
        <v>0</v>
      </c>
      <c r="G57" s="41" t="str">
        <f>'[1]1нед'!H305</f>
        <v/>
      </c>
      <c r="H57" s="42"/>
    </row>
    <row r="58" ht="32.25" spans="1:8">
      <c r="A58" s="36"/>
      <c r="B58" s="37"/>
      <c r="C58" s="29" t="s">
        <v>22</v>
      </c>
      <c r="D58" s="38">
        <f>'[1]1нед'!C306</f>
        <v>0</v>
      </c>
      <c r="E58" s="39">
        <f>'[1]1нед'!D306</f>
        <v>0</v>
      </c>
      <c r="F58" s="40">
        <f>'[1]1нед'!G306</f>
        <v>0</v>
      </c>
      <c r="G58" s="41" t="str">
        <f>'[1]1нед'!H306</f>
        <v/>
      </c>
      <c r="H58" s="42"/>
    </row>
    <row r="59" ht="19.15" hidden="1" customHeight="1" spans="1:8">
      <c r="A59" s="45"/>
      <c r="B59" s="46"/>
      <c r="C59" s="47"/>
      <c r="D59" s="30">
        <f>'[1]1нед'!C59</f>
        <v>0</v>
      </c>
      <c r="E59" s="31">
        <f>'[1]1нед'!D59</f>
        <v>0</v>
      </c>
      <c r="F59" s="32">
        <f>'[1]1нед'!G59</f>
        <v>0</v>
      </c>
      <c r="G59" s="33" t="str">
        <f>'[1]1нед'!H59</f>
        <v/>
      </c>
      <c r="H59" s="34"/>
    </row>
    <row r="60" ht="39" customHeight="1" spans="1:8">
      <c r="A60" s="64"/>
      <c r="B60" s="65"/>
      <c r="C60" s="66"/>
      <c r="D60" s="67"/>
      <c r="E60" s="67" t="s">
        <v>28</v>
      </c>
      <c r="F60" s="67"/>
      <c r="G60" s="68" t="s">
        <v>29</v>
      </c>
      <c r="H60" s="69"/>
    </row>
  </sheetData>
  <mergeCells count="19">
    <mergeCell ref="B6:H6"/>
    <mergeCell ref="B8:D8"/>
    <mergeCell ref="E8:H8"/>
    <mergeCell ref="B9:D9"/>
    <mergeCell ref="B10:D10"/>
    <mergeCell ref="A11:B11"/>
    <mergeCell ref="F11:G11"/>
    <mergeCell ref="A12:A19"/>
    <mergeCell ref="A20:A27"/>
    <mergeCell ref="A28:A35"/>
    <mergeCell ref="A36:A43"/>
    <mergeCell ref="A44:A51"/>
    <mergeCell ref="A52:A59"/>
    <mergeCell ref="B12:B19"/>
    <mergeCell ref="B20:B27"/>
    <mergeCell ref="B28:B35"/>
    <mergeCell ref="B36:B43"/>
    <mergeCell ref="B44:B51"/>
    <mergeCell ref="B52:B59"/>
  </mergeCells>
  <conditionalFormatting sqref="G59:H59">
    <cfRule type="cellIs" dxfId="0" priority="99" operator="equal">
      <formula>"0. ,0, "</formula>
    </cfRule>
    <cfRule type="cellIs" dxfId="0" priority="98" operator="equal">
      <formula>"0. 0,0, ауд. 0, 0"</formula>
    </cfRule>
    <cfRule type="cellIs" dxfId="0" priority="97" operator="equal">
      <formula>"0. 0 0, ауд. 0, 0"</formula>
    </cfRule>
    <cfRule type="cellIs" dxfId="0" priority="96" operator="equal">
      <formula>"0. ,0, "</formula>
    </cfRule>
    <cfRule type="cellIs" dxfId="0" priority="95" operator="equal">
      <formula>"0. 0,0, ауд. 0, 0"</formula>
    </cfRule>
    <cfRule type="cellIs" dxfId="0" priority="94" operator="equal">
      <formula>"0. 0 0, ауд. 0, 0"</formula>
    </cfRule>
    <cfRule type="cellIs" dxfId="0" priority="93" operator="equal">
      <formula>"0. ,0, "</formula>
    </cfRule>
    <cfRule type="cellIs" dxfId="0" priority="92" operator="equal">
      <formula>"0. 0,0, ауд. 0, 0"</formula>
    </cfRule>
    <cfRule type="cellIs" dxfId="0" priority="91" operator="equal">
      <formula>"0. 0 0, ауд. 0, 0"</formula>
    </cfRule>
    <cfRule type="cellIs" dxfId="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pageMargins left="0.708661417322835" right="0.708661417322835" top="0.748031496062992" bottom="0.748031496062992" header="0.31496062992126" footer="0.31496062992126"/>
  <pageSetup paperSize="9" scale="34" orientation="portrait"/>
  <headerFooter/>
  <rowBreaks count="8" manualBreakCount="8">
    <brk id="60" max="16383" man="1"/>
  </rowBreaks>
  <colBreaks count="1" manualBreakCount="1">
    <brk id="8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60"/>
  <sheetViews>
    <sheetView view="pageBreakPreview" zoomScale="50" zoomScaleNormal="55" topLeftCell="A10" workbookViewId="0">
      <selection activeCell="A61" sqref="$A61:$XFD543"/>
    </sheetView>
  </sheetViews>
  <sheetFormatPr defaultColWidth="9" defaultRowHeight="12.75" outlineLevelCol="7"/>
  <cols>
    <col min="1" max="1" width="5.85714285714286" customWidth="1"/>
    <col min="2" max="2" width="4.14285714285714" customWidth="1"/>
    <col min="3" max="3" width="13.5714285714286" customWidth="1"/>
    <col min="4" max="4" width="11.8571428571429" customWidth="1"/>
    <col min="5" max="5" width="51.5714285714286" customWidth="1"/>
    <col min="6" max="6" width="28" customWidth="1"/>
    <col min="7" max="7" width="30" customWidth="1"/>
    <col min="8" max="8" width="72.2857142857143" style="1" customWidth="1"/>
  </cols>
  <sheetData>
    <row r="1" ht="15.75" spans="1:8">
      <c r="A1" s="2"/>
      <c r="B1" s="3"/>
      <c r="C1" s="4"/>
      <c r="D1" s="5"/>
      <c r="E1" s="5"/>
      <c r="F1" s="5"/>
      <c r="G1" s="5"/>
      <c r="H1" s="6" t="s">
        <v>0</v>
      </c>
    </row>
    <row r="2" ht="15.75" spans="1:8">
      <c r="A2" s="2"/>
      <c r="B2" s="3"/>
      <c r="C2" s="4"/>
      <c r="D2" s="5"/>
      <c r="E2" s="5"/>
      <c r="F2" s="5"/>
      <c r="G2" s="5"/>
      <c r="H2" s="6" t="s">
        <v>1</v>
      </c>
    </row>
    <row r="3" ht="15.75" spans="1:8">
      <c r="A3" s="2"/>
      <c r="B3" s="3"/>
      <c r="C3" s="4"/>
      <c r="D3" s="5"/>
      <c r="E3" s="5"/>
      <c r="F3" s="5"/>
      <c r="G3" s="5"/>
      <c r="H3" s="6" t="s">
        <v>2</v>
      </c>
    </row>
    <row r="4" ht="15.75" spans="1:8">
      <c r="A4" s="2"/>
      <c r="B4" s="3"/>
      <c r="C4" s="4"/>
      <c r="D4" s="5"/>
      <c r="E4" s="5"/>
      <c r="F4" s="5"/>
      <c r="G4" s="5"/>
      <c r="H4" s="6" t="s">
        <v>3</v>
      </c>
    </row>
    <row r="5" ht="15.75" spans="1:8">
      <c r="A5" s="2"/>
      <c r="B5" s="7"/>
      <c r="C5" s="4"/>
      <c r="D5" s="5"/>
      <c r="E5" s="5"/>
      <c r="F5" s="5"/>
      <c r="G5" s="5"/>
      <c r="H5" s="5"/>
    </row>
    <row r="6" ht="15.75" spans="1:8">
      <c r="A6" s="2"/>
      <c r="B6" s="8" t="s">
        <v>4</v>
      </c>
      <c r="C6" s="8"/>
      <c r="D6" s="8"/>
      <c r="E6" s="8"/>
      <c r="F6" s="8"/>
      <c r="G6" s="8"/>
      <c r="H6" s="8"/>
    </row>
    <row r="7" ht="15.75" spans="1:8">
      <c r="A7" s="9"/>
      <c r="B7" s="10" t="str">
        <f>'[1]1нед'!$A$6</f>
        <v>Направление подготовки:</v>
      </c>
      <c r="C7" s="11"/>
      <c r="D7" s="12"/>
      <c r="E7" s="13" t="str">
        <f>'[1]1нед'!$L$254</f>
        <v>44.03.05.Педагогическое образование (с двумя профилями подготовки) (Математика и Экономика)</v>
      </c>
      <c r="F7" s="12"/>
      <c r="G7" s="12"/>
      <c r="H7" s="14" t="str">
        <f>'[1]1нед'!$L$258</f>
        <v>12-24МЭоз</v>
      </c>
    </row>
    <row r="8" ht="15.75" spans="1:8">
      <c r="A8" s="2"/>
      <c r="B8" s="10" t="s">
        <v>5</v>
      </c>
      <c r="C8" s="10"/>
      <c r="D8" s="10"/>
      <c r="E8" s="10" t="s">
        <v>43</v>
      </c>
      <c r="F8" s="10"/>
      <c r="G8" s="10"/>
      <c r="H8" s="10"/>
    </row>
    <row r="9" ht="15.75" spans="1:8">
      <c r="A9" s="2"/>
      <c r="B9" s="10" t="s">
        <v>7</v>
      </c>
      <c r="C9" s="10"/>
      <c r="D9" s="10"/>
      <c r="E9" s="10">
        <v>2</v>
      </c>
      <c r="F9" s="10"/>
      <c r="G9" s="10"/>
      <c r="H9" s="15"/>
    </row>
    <row r="10" ht="16.5" spans="1:8">
      <c r="A10" s="2"/>
      <c r="B10" s="16" t="s">
        <v>8</v>
      </c>
      <c r="C10" s="16"/>
      <c r="D10" s="16"/>
      <c r="E10" s="16">
        <v>1</v>
      </c>
      <c r="F10" s="16"/>
      <c r="G10" s="16"/>
      <c r="H10" s="17"/>
    </row>
    <row r="11" ht="46.5" customHeight="1" spans="1:8">
      <c r="A11" s="19" t="s">
        <v>9</v>
      </c>
      <c r="B11" s="20"/>
      <c r="C11" s="21" t="s">
        <v>10</v>
      </c>
      <c r="D11" s="22" t="s">
        <v>11</v>
      </c>
      <c r="E11" s="23" t="s">
        <v>12</v>
      </c>
      <c r="F11" s="24" t="s">
        <v>13</v>
      </c>
      <c r="G11" s="25"/>
      <c r="H11" s="26" t="s">
        <v>14</v>
      </c>
    </row>
    <row r="12" ht="32.25" customHeight="1" spans="1:8">
      <c r="A12" s="27">
        <v>46265</v>
      </c>
      <c r="B12" s="28" t="s">
        <v>15</v>
      </c>
      <c r="C12" s="29" t="s">
        <v>16</v>
      </c>
      <c r="D12" s="30">
        <f>'[1]1нед'!K260</f>
        <v>0</v>
      </c>
      <c r="E12" s="31">
        <f>'[1]1нед'!L260</f>
        <v>0</v>
      </c>
      <c r="F12" s="32">
        <f>'[1]1нед'!O260</f>
        <v>0</v>
      </c>
      <c r="G12" s="33" t="str">
        <f>'[1]1нед'!P260</f>
        <v/>
      </c>
      <c r="H12" s="34"/>
    </row>
    <row r="13" ht="31.5" spans="1:8">
      <c r="A13" s="36"/>
      <c r="B13" s="37"/>
      <c r="C13" s="29" t="s">
        <v>17</v>
      </c>
      <c r="D13" s="38">
        <f>'[1]1нед'!K261</f>
        <v>0</v>
      </c>
      <c r="E13" s="39">
        <f>'[1]1нед'!L261</f>
        <v>0</v>
      </c>
      <c r="F13" s="40">
        <f>'[1]1нед'!O261</f>
        <v>0</v>
      </c>
      <c r="G13" s="41" t="str">
        <f>'[1]1нед'!P261</f>
        <v/>
      </c>
      <c r="H13" s="42"/>
    </row>
    <row r="14" ht="31.5" spans="1:8">
      <c r="A14" s="36"/>
      <c r="B14" s="37"/>
      <c r="C14" s="29" t="s">
        <v>18</v>
      </c>
      <c r="D14" s="38">
        <f>'[1]1нед'!K262</f>
        <v>0</v>
      </c>
      <c r="E14" s="39">
        <f>'[1]1нед'!L262</f>
        <v>0</v>
      </c>
      <c r="F14" s="40">
        <f>'[1]1нед'!O262</f>
        <v>0</v>
      </c>
      <c r="G14" s="41" t="str">
        <f>'[1]1нед'!P262</f>
        <v/>
      </c>
      <c r="H14" s="42"/>
    </row>
    <row r="15" ht="31.5" spans="1:8">
      <c r="A15" s="36"/>
      <c r="B15" s="37"/>
      <c r="C15" s="29" t="s">
        <v>19</v>
      </c>
      <c r="D15" s="38">
        <f>'[1]1нед'!K263</f>
        <v>0</v>
      </c>
      <c r="E15" s="39">
        <f>'[1]1нед'!L263</f>
        <v>0</v>
      </c>
      <c r="F15" s="40">
        <f>'[1]1нед'!O263</f>
        <v>0</v>
      </c>
      <c r="G15" s="41" t="str">
        <f>'[1]1нед'!P263</f>
        <v/>
      </c>
      <c r="H15" s="42"/>
    </row>
    <row r="16" ht="31.5" spans="1:8">
      <c r="A16" s="36"/>
      <c r="B16" s="37"/>
      <c r="C16" s="29" t="s">
        <v>20</v>
      </c>
      <c r="D16" s="38">
        <f>'[1]1нед'!K264</f>
        <v>0</v>
      </c>
      <c r="E16" s="39">
        <f>'[1]1нед'!L264</f>
        <v>0</v>
      </c>
      <c r="F16" s="40">
        <f>'[1]1нед'!O264</f>
        <v>0</v>
      </c>
      <c r="G16" s="41" t="str">
        <f>'[1]1нед'!P264</f>
        <v/>
      </c>
      <c r="H16" s="42"/>
    </row>
    <row r="17" ht="31.5" spans="1:8">
      <c r="A17" s="36"/>
      <c r="B17" s="37"/>
      <c r="C17" s="29" t="s">
        <v>21</v>
      </c>
      <c r="D17" s="38">
        <f>'[1]1нед'!K265</f>
        <v>0</v>
      </c>
      <c r="E17" s="39">
        <f>'[1]1нед'!L265</f>
        <v>0</v>
      </c>
      <c r="F17" s="40">
        <f>'[1]1нед'!O265</f>
        <v>0</v>
      </c>
      <c r="G17" s="41" t="str">
        <f>'[1]1нед'!P265</f>
        <v/>
      </c>
      <c r="H17" s="42"/>
    </row>
    <row r="18" ht="32.25" spans="1:8">
      <c r="A18" s="36"/>
      <c r="B18" s="37"/>
      <c r="C18" s="29" t="s">
        <v>22</v>
      </c>
      <c r="D18" s="38">
        <f>'[1]1нед'!K266</f>
        <v>0</v>
      </c>
      <c r="E18" s="39">
        <f>'[1]1нед'!L266</f>
        <v>0</v>
      </c>
      <c r="F18" s="40">
        <f>'[1]1нед'!O266</f>
        <v>0</v>
      </c>
      <c r="G18" s="41" t="str">
        <f>'[1]1нед'!P266</f>
        <v/>
      </c>
      <c r="H18" s="42"/>
    </row>
    <row r="19" ht="18.4" hidden="1" customHeight="1" spans="1:8">
      <c r="A19" s="45"/>
      <c r="B19" s="46"/>
      <c r="C19" s="47"/>
      <c r="D19" s="48">
        <f>'[1]1нед'!K267</f>
        <v>0</v>
      </c>
      <c r="E19" s="49">
        <f>'[1]1нед'!L267</f>
        <v>0</v>
      </c>
      <c r="F19" s="50">
        <f>'[1]1нед'!O267</f>
        <v>0</v>
      </c>
      <c r="G19" s="51" t="str">
        <f>'[1]1нед'!P267</f>
        <v/>
      </c>
      <c r="H19" s="52"/>
    </row>
    <row r="20" ht="32.25" customHeight="1" spans="1:8">
      <c r="A20" s="27">
        <v>46266</v>
      </c>
      <c r="B20" s="28" t="s">
        <v>23</v>
      </c>
      <c r="C20" s="55" t="s">
        <v>16</v>
      </c>
      <c r="D20" s="30">
        <f>'[1]1нед'!K268</f>
        <v>0</v>
      </c>
      <c r="E20" s="31">
        <f>'[1]1нед'!L268</f>
        <v>0</v>
      </c>
      <c r="F20" s="32">
        <f>'[1]1нед'!O268</f>
        <v>0</v>
      </c>
      <c r="G20" s="33" t="str">
        <f>'[1]1нед'!P268</f>
        <v/>
      </c>
      <c r="H20" s="34"/>
    </row>
    <row r="21" ht="31.5" spans="1:8">
      <c r="A21" s="36"/>
      <c r="B21" s="37"/>
      <c r="C21" s="29" t="s">
        <v>17</v>
      </c>
      <c r="D21" s="38">
        <f>'[1]1нед'!K269</f>
        <v>0</v>
      </c>
      <c r="E21" s="39">
        <f>'[1]1нед'!L269</f>
        <v>0</v>
      </c>
      <c r="F21" s="40">
        <f>'[1]1нед'!O269</f>
        <v>0</v>
      </c>
      <c r="G21" s="41" t="str">
        <f>'[1]1нед'!P269</f>
        <v/>
      </c>
      <c r="H21" s="42"/>
    </row>
    <row r="22" ht="31.5" spans="1:8">
      <c r="A22" s="36"/>
      <c r="B22" s="37"/>
      <c r="C22" s="29" t="s">
        <v>18</v>
      </c>
      <c r="D22" s="38">
        <f>'[1]1нед'!K270</f>
        <v>0</v>
      </c>
      <c r="E22" s="39">
        <f>'[1]1нед'!L270</f>
        <v>0</v>
      </c>
      <c r="F22" s="40">
        <f>'[1]1нед'!O270</f>
        <v>0</v>
      </c>
      <c r="G22" s="41" t="str">
        <f>'[1]1нед'!P270</f>
        <v/>
      </c>
      <c r="H22" s="42"/>
    </row>
    <row r="23" ht="31.5" spans="1:8">
      <c r="A23" s="36"/>
      <c r="B23" s="37"/>
      <c r="C23" s="29" t="s">
        <v>19</v>
      </c>
      <c r="D23" s="38">
        <f>'[1]1нед'!K271</f>
        <v>0</v>
      </c>
      <c r="E23" s="39">
        <f>'[1]1нед'!L271</f>
        <v>0</v>
      </c>
      <c r="F23" s="40">
        <f>'[1]1нед'!O271</f>
        <v>0</v>
      </c>
      <c r="G23" s="41" t="str">
        <f>'[1]1нед'!P271</f>
        <v/>
      </c>
      <c r="H23" s="42"/>
    </row>
    <row r="24" ht="31.5" spans="1:8">
      <c r="A24" s="36"/>
      <c r="B24" s="37"/>
      <c r="C24" s="29" t="s">
        <v>20</v>
      </c>
      <c r="D24" s="38">
        <f>'[1]1нед'!K272</f>
        <v>0</v>
      </c>
      <c r="E24" s="39">
        <f>'[1]1нед'!L272</f>
        <v>0</v>
      </c>
      <c r="F24" s="40">
        <f>'[1]1нед'!O272</f>
        <v>0</v>
      </c>
      <c r="G24" s="41" t="str">
        <f>'[1]1нед'!P272</f>
        <v/>
      </c>
      <c r="H24" s="42"/>
    </row>
    <row r="25" ht="31.5" spans="1:8">
      <c r="A25" s="36"/>
      <c r="B25" s="37"/>
      <c r="C25" s="29" t="s">
        <v>21</v>
      </c>
      <c r="D25" s="38">
        <f>'[1]1нед'!K273</f>
        <v>0</v>
      </c>
      <c r="E25" s="39">
        <f>'[1]1нед'!L273</f>
        <v>0</v>
      </c>
      <c r="F25" s="40">
        <f>'[1]1нед'!O273</f>
        <v>0</v>
      </c>
      <c r="G25" s="41" t="str">
        <f>'[1]1нед'!P273</f>
        <v/>
      </c>
      <c r="H25" s="56"/>
    </row>
    <row r="26" ht="31.5" spans="1:8">
      <c r="A26" s="36"/>
      <c r="B26" s="37"/>
      <c r="C26" s="29" t="s">
        <v>22</v>
      </c>
      <c r="D26" s="38">
        <f>'[1]1нед'!K274</f>
        <v>0</v>
      </c>
      <c r="E26" s="39">
        <f>'[1]1нед'!L274</f>
        <v>0</v>
      </c>
      <c r="F26" s="40">
        <f>'[1]1нед'!O274</f>
        <v>0</v>
      </c>
      <c r="G26" s="41" t="str">
        <f>'[1]1нед'!P274</f>
        <v/>
      </c>
      <c r="H26" s="56"/>
    </row>
    <row r="27" ht="18.4" hidden="1" customHeight="1" spans="1:8">
      <c r="A27" s="45"/>
      <c r="B27" s="46"/>
      <c r="C27" s="47"/>
      <c r="D27" s="48">
        <f>'[1]1нед'!K275</f>
        <v>0</v>
      </c>
      <c r="E27" s="49">
        <f>'[1]1нед'!L275</f>
        <v>0</v>
      </c>
      <c r="F27" s="50">
        <f>'[1]1нед'!O275</f>
        <v>0</v>
      </c>
      <c r="G27" s="51" t="str">
        <f>'[1]1нед'!P275</f>
        <v/>
      </c>
      <c r="H27" s="52"/>
    </row>
    <row r="28" ht="48" customHeight="1" spans="1:8">
      <c r="A28" s="27">
        <v>46267</v>
      </c>
      <c r="B28" s="57" t="s">
        <v>24</v>
      </c>
      <c r="C28" s="55" t="s">
        <v>16</v>
      </c>
      <c r="D28" s="30">
        <f>'[1]1нед'!K276</f>
        <v>0</v>
      </c>
      <c r="E28" s="31">
        <f>'[1]1нед'!L276</f>
        <v>0</v>
      </c>
      <c r="F28" s="32">
        <f>'[1]1нед'!O276</f>
        <v>0</v>
      </c>
      <c r="G28" s="33" t="str">
        <f>'[1]1нед'!P276</f>
        <v/>
      </c>
      <c r="H28" s="34"/>
    </row>
    <row r="29" ht="31.5" spans="1:8">
      <c r="A29" s="36"/>
      <c r="B29" s="59"/>
      <c r="C29" s="29" t="s">
        <v>17</v>
      </c>
      <c r="D29" s="38">
        <f>'[1]1нед'!K277</f>
        <v>0</v>
      </c>
      <c r="E29" s="39">
        <f>'[1]1нед'!L277</f>
        <v>0</v>
      </c>
      <c r="F29" s="40">
        <f>'[1]1нед'!O277</f>
        <v>0</v>
      </c>
      <c r="G29" s="41" t="str">
        <f>'[1]1нед'!P277</f>
        <v/>
      </c>
      <c r="H29" s="42"/>
    </row>
    <row r="30" ht="31.5" spans="1:8">
      <c r="A30" s="36"/>
      <c r="B30" s="59"/>
      <c r="C30" s="29" t="s">
        <v>18</v>
      </c>
      <c r="D30" s="38">
        <f>'[1]1нед'!K278</f>
        <v>0</v>
      </c>
      <c r="E30" s="39">
        <f>'[1]1нед'!L278</f>
        <v>0</v>
      </c>
      <c r="F30" s="40">
        <f>'[1]1нед'!O278</f>
        <v>0</v>
      </c>
      <c r="G30" s="41" t="str">
        <f>'[1]1нед'!P278</f>
        <v/>
      </c>
      <c r="H30" s="42"/>
    </row>
    <row r="31" ht="31.5" spans="1:8">
      <c r="A31" s="36"/>
      <c r="B31" s="59"/>
      <c r="C31" s="29" t="s">
        <v>19</v>
      </c>
      <c r="D31" s="38">
        <f>'[1]1нед'!K279</f>
        <v>0</v>
      </c>
      <c r="E31" s="39">
        <f>'[1]1нед'!L279</f>
        <v>0</v>
      </c>
      <c r="F31" s="40">
        <f>'[1]1нед'!O279</f>
        <v>0</v>
      </c>
      <c r="G31" s="41" t="str">
        <f>'[1]1нед'!P279</f>
        <v/>
      </c>
      <c r="H31" s="42"/>
    </row>
    <row r="32" ht="31.5" spans="1:8">
      <c r="A32" s="36"/>
      <c r="B32" s="59"/>
      <c r="C32" s="29" t="s">
        <v>20</v>
      </c>
      <c r="D32" s="38">
        <f>'[1]1нед'!K280</f>
        <v>0</v>
      </c>
      <c r="E32" s="39">
        <f>'[1]1нед'!L280</f>
        <v>0</v>
      </c>
      <c r="F32" s="40">
        <f>'[1]1нед'!O280</f>
        <v>0</v>
      </c>
      <c r="G32" s="41" t="str">
        <f>'[1]1нед'!P280</f>
        <v/>
      </c>
      <c r="H32" s="42"/>
    </row>
    <row r="33" ht="37.5" spans="1:8">
      <c r="A33" s="36"/>
      <c r="B33" s="59"/>
      <c r="C33" s="29" t="s">
        <v>21</v>
      </c>
      <c r="D33" s="38" t="str">
        <f>'[1]1нед'!K281</f>
        <v>л</v>
      </c>
      <c r="E33" s="39" t="str">
        <f>'[1]1нед'!L281</f>
        <v>Методы исследовательской/проектной деятельности</v>
      </c>
      <c r="F33" s="40" t="str">
        <f>'[1]1нед'!O281</f>
        <v>Казанцев Ю.А.</v>
      </c>
      <c r="G33" s="41" t="str">
        <f>'[1]1нед'!P281</f>
        <v>ст. преподаватель</v>
      </c>
      <c r="H33" s="70" t="s">
        <v>51</v>
      </c>
    </row>
    <row r="34" ht="32.25" spans="1:8">
      <c r="A34" s="36"/>
      <c r="B34" s="59"/>
      <c r="C34" s="29" t="s">
        <v>22</v>
      </c>
      <c r="D34" s="38" t="str">
        <f>'[1]1нед'!K282</f>
        <v>л</v>
      </c>
      <c r="E34" s="39" t="str">
        <f>'[1]1нед'!L282</f>
        <v>Основы военной подготовки</v>
      </c>
      <c r="F34" s="40" t="str">
        <f>'[1]1нед'!O282</f>
        <v>Кулак А.Ф.</v>
      </c>
      <c r="G34" s="41" t="str">
        <f>'[1]1нед'!P282</f>
        <v>преподаватель</v>
      </c>
      <c r="H34" s="71" t="s">
        <v>49</v>
      </c>
    </row>
    <row r="35" ht="18.4" hidden="1" customHeight="1" spans="1:8">
      <c r="A35" s="45"/>
      <c r="B35" s="61"/>
      <c r="C35" s="47"/>
      <c r="D35" s="48">
        <f>'[1]1нед'!K283</f>
        <v>0</v>
      </c>
      <c r="E35" s="49">
        <f>'[1]1нед'!L283</f>
        <v>0</v>
      </c>
      <c r="F35" s="50">
        <f>'[1]1нед'!O283</f>
        <v>0</v>
      </c>
      <c r="G35" s="51" t="str">
        <f>'[1]1нед'!P283</f>
        <v/>
      </c>
      <c r="H35" s="52"/>
    </row>
    <row r="36" ht="48" customHeight="1" spans="1:8">
      <c r="A36" s="27">
        <v>46268</v>
      </c>
      <c r="B36" s="28" t="s">
        <v>25</v>
      </c>
      <c r="C36" s="55" t="s">
        <v>16</v>
      </c>
      <c r="D36" s="30">
        <f>'[1]1нед'!K284</f>
        <v>0</v>
      </c>
      <c r="E36" s="31">
        <f>'[1]1нед'!L284</f>
        <v>0</v>
      </c>
      <c r="F36" s="32">
        <f>'[1]1нед'!O284</f>
        <v>0</v>
      </c>
      <c r="G36" s="33" t="str">
        <f>'[1]1нед'!P284</f>
        <v/>
      </c>
      <c r="H36" s="34"/>
    </row>
    <row r="37" ht="31.5" spans="1:8">
      <c r="A37" s="36"/>
      <c r="B37" s="37"/>
      <c r="C37" s="29" t="s">
        <v>17</v>
      </c>
      <c r="D37" s="38">
        <f>'[1]1нед'!K285</f>
        <v>0</v>
      </c>
      <c r="E37" s="39">
        <f>'[1]1нед'!L285</f>
        <v>0</v>
      </c>
      <c r="F37" s="40">
        <f>'[1]1нед'!O285</f>
        <v>0</v>
      </c>
      <c r="G37" s="41" t="str">
        <f>'[1]1нед'!P285</f>
        <v/>
      </c>
      <c r="H37" s="42"/>
    </row>
    <row r="38" ht="31.5" spans="1:8">
      <c r="A38" s="36"/>
      <c r="B38" s="37"/>
      <c r="C38" s="29" t="s">
        <v>18</v>
      </c>
      <c r="D38" s="38">
        <f>'[1]1нед'!K286</f>
        <v>0</v>
      </c>
      <c r="E38" s="39">
        <f>'[1]1нед'!L286</f>
        <v>0</v>
      </c>
      <c r="F38" s="40">
        <f>'[1]1нед'!O286</f>
        <v>0</v>
      </c>
      <c r="G38" s="41" t="str">
        <f>'[1]1нед'!P286</f>
        <v/>
      </c>
      <c r="H38" s="42"/>
    </row>
    <row r="39" ht="31.5" spans="1:8">
      <c r="A39" s="36"/>
      <c r="B39" s="37"/>
      <c r="C39" s="29" t="s">
        <v>19</v>
      </c>
      <c r="D39" s="38">
        <f>'[1]1нед'!K287</f>
        <v>0</v>
      </c>
      <c r="E39" s="39">
        <f>'[1]1нед'!L287</f>
        <v>0</v>
      </c>
      <c r="F39" s="40">
        <f>'[1]1нед'!O287</f>
        <v>0</v>
      </c>
      <c r="G39" s="41" t="str">
        <f>'[1]1нед'!P287</f>
        <v/>
      </c>
      <c r="H39" s="42"/>
    </row>
    <row r="40" ht="31.5" spans="1:8">
      <c r="A40" s="36"/>
      <c r="B40" s="37"/>
      <c r="C40" s="29" t="s">
        <v>20</v>
      </c>
      <c r="D40" s="38">
        <f>'[1]1нед'!K288</f>
        <v>0</v>
      </c>
      <c r="E40" s="39">
        <f>'[1]1нед'!L288</f>
        <v>0</v>
      </c>
      <c r="F40" s="40">
        <f>'[1]1нед'!O288</f>
        <v>0</v>
      </c>
      <c r="G40" s="41" t="str">
        <f>'[1]1нед'!P288</f>
        <v/>
      </c>
      <c r="H40" s="42"/>
    </row>
    <row r="41" ht="31.5" spans="1:8">
      <c r="A41" s="36"/>
      <c r="B41" s="37"/>
      <c r="C41" s="29" t="s">
        <v>21</v>
      </c>
      <c r="D41" s="38">
        <f>'[1]1нед'!K289</f>
        <v>0</v>
      </c>
      <c r="E41" s="39">
        <f>'[1]1нед'!L289</f>
        <v>0</v>
      </c>
      <c r="F41" s="40">
        <f>'[1]1нед'!O289</f>
        <v>0</v>
      </c>
      <c r="G41" s="41" t="str">
        <f>'[1]1нед'!P289</f>
        <v/>
      </c>
      <c r="H41" s="56"/>
    </row>
    <row r="42" ht="32.25" spans="1:8">
      <c r="A42" s="36"/>
      <c r="B42" s="37"/>
      <c r="C42" s="29" t="s">
        <v>22</v>
      </c>
      <c r="D42" s="38">
        <f>'[1]1нед'!K290</f>
        <v>0</v>
      </c>
      <c r="E42" s="39">
        <f>'[1]1нед'!L290</f>
        <v>0</v>
      </c>
      <c r="F42" s="40">
        <f>'[1]1нед'!O290</f>
        <v>0</v>
      </c>
      <c r="G42" s="41" t="str">
        <f>'[1]1нед'!P290</f>
        <v/>
      </c>
      <c r="H42" s="56"/>
    </row>
    <row r="43" ht="18.4" hidden="1" customHeight="1" spans="1:8">
      <c r="A43" s="45"/>
      <c r="B43" s="46"/>
      <c r="C43" s="47"/>
      <c r="D43" s="48">
        <f>'[1]1нед'!K291</f>
        <v>0</v>
      </c>
      <c r="E43" s="49">
        <f>'[1]1нед'!L291</f>
        <v>0</v>
      </c>
      <c r="F43" s="50">
        <f>'[1]1нед'!O291</f>
        <v>0</v>
      </c>
      <c r="G43" s="51" t="str">
        <f>'[1]1нед'!P291</f>
        <v/>
      </c>
      <c r="H43" s="52"/>
    </row>
    <row r="44" ht="48" customHeight="1" spans="1:8">
      <c r="A44" s="27">
        <v>46269</v>
      </c>
      <c r="B44" s="28" t="s">
        <v>26</v>
      </c>
      <c r="C44" s="55" t="s">
        <v>16</v>
      </c>
      <c r="D44" s="30">
        <f>'[1]1нед'!K292</f>
        <v>0</v>
      </c>
      <c r="E44" s="31">
        <f>'[1]1нед'!L292</f>
        <v>0</v>
      </c>
      <c r="F44" s="32">
        <f>'[1]1нед'!O292</f>
        <v>0</v>
      </c>
      <c r="G44" s="33" t="str">
        <f>'[1]1нед'!P292</f>
        <v/>
      </c>
      <c r="H44" s="34"/>
    </row>
    <row r="45" ht="31.5" spans="1:8">
      <c r="A45" s="36"/>
      <c r="B45" s="37"/>
      <c r="C45" s="29" t="s">
        <v>17</v>
      </c>
      <c r="D45" s="38">
        <f>'[1]1нед'!K293</f>
        <v>0</v>
      </c>
      <c r="E45" s="39">
        <f>'[1]1нед'!L293</f>
        <v>0</v>
      </c>
      <c r="F45" s="40">
        <f>'[1]1нед'!O293</f>
        <v>0</v>
      </c>
      <c r="G45" s="41" t="str">
        <f>'[1]1нед'!P293</f>
        <v/>
      </c>
      <c r="H45" s="42"/>
    </row>
    <row r="46" ht="31.5" spans="1:8">
      <c r="A46" s="36"/>
      <c r="B46" s="37"/>
      <c r="C46" s="29" t="s">
        <v>18</v>
      </c>
      <c r="D46" s="38">
        <f>'[1]1нед'!K294</f>
        <v>0</v>
      </c>
      <c r="E46" s="39">
        <f>'[1]1нед'!L294</f>
        <v>0</v>
      </c>
      <c r="F46" s="40">
        <f>'[1]1нед'!O294</f>
        <v>0</v>
      </c>
      <c r="G46" s="41" t="str">
        <f>'[1]1нед'!P294</f>
        <v/>
      </c>
      <c r="H46" s="42"/>
    </row>
    <row r="47" ht="31.5" spans="1:8">
      <c r="A47" s="36"/>
      <c r="B47" s="37"/>
      <c r="C47" s="29" t="s">
        <v>19</v>
      </c>
      <c r="D47" s="38">
        <f>'[1]1нед'!K295</f>
        <v>0</v>
      </c>
      <c r="E47" s="39">
        <f>'[1]1нед'!L295</f>
        <v>0</v>
      </c>
      <c r="F47" s="40">
        <f>'[1]1нед'!O295</f>
        <v>0</v>
      </c>
      <c r="G47" s="41" t="str">
        <f>'[1]1нед'!P295</f>
        <v/>
      </c>
      <c r="H47" s="42"/>
    </row>
    <row r="48" ht="31.5" spans="1:8">
      <c r="A48" s="36"/>
      <c r="B48" s="37"/>
      <c r="C48" s="29" t="s">
        <v>20</v>
      </c>
      <c r="D48" s="38">
        <f>'[1]1нед'!K296</f>
        <v>0</v>
      </c>
      <c r="E48" s="39">
        <f>'[1]1нед'!L296</f>
        <v>0</v>
      </c>
      <c r="F48" s="40">
        <f>'[1]1нед'!O296</f>
        <v>0</v>
      </c>
      <c r="G48" s="41" t="str">
        <f>'[1]1нед'!P296</f>
        <v/>
      </c>
      <c r="H48" s="42"/>
    </row>
    <row r="49" ht="31.5" spans="1:8">
      <c r="A49" s="36"/>
      <c r="B49" s="37"/>
      <c r="C49" s="29" t="s">
        <v>21</v>
      </c>
      <c r="D49" s="38">
        <f>'[1]1нед'!K297</f>
        <v>0</v>
      </c>
      <c r="E49" s="39">
        <f>'[1]1нед'!L297</f>
        <v>0</v>
      </c>
      <c r="F49" s="40">
        <f>'[1]1нед'!O297</f>
        <v>0</v>
      </c>
      <c r="G49" s="41" t="str">
        <f>'[1]1нед'!P297</f>
        <v/>
      </c>
      <c r="H49" s="42"/>
    </row>
    <row r="50" ht="32.25" spans="1:8">
      <c r="A50" s="36"/>
      <c r="B50" s="37"/>
      <c r="C50" s="29" t="s">
        <v>22</v>
      </c>
      <c r="D50" s="38">
        <f>'[1]1нед'!K298</f>
        <v>0</v>
      </c>
      <c r="E50" s="39">
        <f>'[1]1нед'!L298</f>
        <v>0</v>
      </c>
      <c r="F50" s="40">
        <f>'[1]1нед'!O298</f>
        <v>0</v>
      </c>
      <c r="G50" s="41" t="str">
        <f>'[1]1нед'!P298</f>
        <v/>
      </c>
      <c r="H50" s="42"/>
    </row>
    <row r="51" ht="18.4" hidden="1" customHeight="1" spans="1:8">
      <c r="A51" s="45"/>
      <c r="B51" s="46"/>
      <c r="C51" s="47"/>
      <c r="D51" s="48">
        <f>'[1]1нед'!K299</f>
        <v>0</v>
      </c>
      <c r="E51" s="49">
        <f>'[1]1нед'!L299</f>
        <v>0</v>
      </c>
      <c r="F51" s="50">
        <f>'[1]1нед'!O299</f>
        <v>0</v>
      </c>
      <c r="G51" s="51" t="str">
        <f>'[1]1нед'!P299</f>
        <v/>
      </c>
      <c r="H51" s="52"/>
    </row>
    <row r="52" ht="48" customHeight="1" spans="1:8">
      <c r="A52" s="27">
        <v>46270</v>
      </c>
      <c r="B52" s="28" t="s">
        <v>27</v>
      </c>
      <c r="C52" s="55" t="s">
        <v>16</v>
      </c>
      <c r="D52" s="30">
        <f>'[1]1нед'!K300</f>
        <v>0</v>
      </c>
      <c r="E52" s="31">
        <f>'[1]1нед'!L300</f>
        <v>0</v>
      </c>
      <c r="F52" s="32">
        <f>'[1]1нед'!O300</f>
        <v>0</v>
      </c>
      <c r="G52" s="33" t="str">
        <f>'[1]1нед'!P300</f>
        <v/>
      </c>
      <c r="H52" s="34"/>
    </row>
    <row r="53" ht="31.5" spans="1:8">
      <c r="A53" s="36"/>
      <c r="B53" s="37"/>
      <c r="C53" s="29" t="s">
        <v>17</v>
      </c>
      <c r="D53" s="38">
        <f>'[1]1нед'!K301</f>
        <v>0</v>
      </c>
      <c r="E53" s="39">
        <f>'[1]1нед'!L301</f>
        <v>0</v>
      </c>
      <c r="F53" s="40">
        <f>'[1]1нед'!O301</f>
        <v>0</v>
      </c>
      <c r="G53" s="41" t="str">
        <f>'[1]1нед'!P301</f>
        <v/>
      </c>
      <c r="H53" s="42"/>
    </row>
    <row r="54" ht="31.5" spans="1:8">
      <c r="A54" s="36"/>
      <c r="B54" s="37"/>
      <c r="C54" s="29" t="s">
        <v>18</v>
      </c>
      <c r="D54" s="38">
        <f>'[1]1нед'!K302</f>
        <v>0</v>
      </c>
      <c r="E54" s="39">
        <f>'[1]1нед'!L302</f>
        <v>0</v>
      </c>
      <c r="F54" s="40">
        <f>'[1]1нед'!O302</f>
        <v>0</v>
      </c>
      <c r="G54" s="41" t="str">
        <f>'[1]1нед'!P302</f>
        <v/>
      </c>
      <c r="H54" s="63"/>
    </row>
    <row r="55" ht="31.5" spans="1:8">
      <c r="A55" s="36"/>
      <c r="B55" s="37"/>
      <c r="C55" s="29" t="s">
        <v>19</v>
      </c>
      <c r="D55" s="38">
        <f>'[1]1нед'!K303</f>
        <v>0</v>
      </c>
      <c r="E55" s="39">
        <f>'[1]1нед'!L303</f>
        <v>0</v>
      </c>
      <c r="F55" s="40">
        <f>'[1]1нед'!O303</f>
        <v>0</v>
      </c>
      <c r="G55" s="41" t="str">
        <f>'[1]1нед'!P303</f>
        <v/>
      </c>
      <c r="H55" s="42"/>
    </row>
    <row r="56" ht="31.5" spans="1:8">
      <c r="A56" s="36"/>
      <c r="B56" s="37"/>
      <c r="C56" s="29" t="s">
        <v>20</v>
      </c>
      <c r="D56" s="38">
        <f>'[1]1нед'!K304</f>
        <v>0</v>
      </c>
      <c r="E56" s="39">
        <f>'[1]1нед'!L304</f>
        <v>0</v>
      </c>
      <c r="F56" s="40">
        <f>'[1]1нед'!O304</f>
        <v>0</v>
      </c>
      <c r="G56" s="41" t="str">
        <f>'[1]1нед'!P304</f>
        <v/>
      </c>
      <c r="H56" s="42"/>
    </row>
    <row r="57" ht="31.5" spans="1:8">
      <c r="A57" s="36"/>
      <c r="B57" s="37"/>
      <c r="C57" s="29" t="s">
        <v>21</v>
      </c>
      <c r="D57" s="38">
        <f>'[1]1нед'!K305</f>
        <v>0</v>
      </c>
      <c r="E57" s="39">
        <f>'[1]1нед'!L305</f>
        <v>0</v>
      </c>
      <c r="F57" s="40">
        <f>'[1]1нед'!O305</f>
        <v>0</v>
      </c>
      <c r="G57" s="41" t="str">
        <f>'[1]1нед'!P305</f>
        <v/>
      </c>
      <c r="H57" s="42"/>
    </row>
    <row r="58" ht="32.25" spans="1:8">
      <c r="A58" s="36"/>
      <c r="B58" s="37"/>
      <c r="C58" s="29" t="s">
        <v>22</v>
      </c>
      <c r="D58" s="38">
        <f>'[1]1нед'!K306</f>
        <v>0</v>
      </c>
      <c r="E58" s="39">
        <f>'[1]1нед'!L306</f>
        <v>0</v>
      </c>
      <c r="F58" s="40">
        <f>'[1]1нед'!O306</f>
        <v>0</v>
      </c>
      <c r="G58" s="41" t="str">
        <f>'[1]1нед'!P306</f>
        <v/>
      </c>
      <c r="H58" s="42"/>
    </row>
    <row r="59" ht="19.15" hidden="1" customHeight="1" spans="1:8">
      <c r="A59" s="45"/>
      <c r="B59" s="46"/>
      <c r="C59" s="47"/>
      <c r="D59" s="30">
        <f>'[1]1нед'!K59</f>
        <v>0</v>
      </c>
      <c r="E59" s="31">
        <f>'[1]1нед'!L59</f>
        <v>0</v>
      </c>
      <c r="F59" s="32">
        <f>'[1]1нед'!O59</f>
        <v>0</v>
      </c>
      <c r="G59" s="33" t="str">
        <f>'[1]1нед'!P59</f>
        <v/>
      </c>
      <c r="H59" s="34"/>
    </row>
    <row r="60" ht="39" customHeight="1" spans="1:8">
      <c r="A60" s="64"/>
      <c r="B60" s="65"/>
      <c r="C60" s="66"/>
      <c r="D60" s="67"/>
      <c r="E60" s="67" t="s">
        <v>28</v>
      </c>
      <c r="F60" s="67"/>
      <c r="G60" s="68" t="s">
        <v>29</v>
      </c>
      <c r="H60" s="69"/>
    </row>
  </sheetData>
  <mergeCells count="19">
    <mergeCell ref="B6:H6"/>
    <mergeCell ref="B8:D8"/>
    <mergeCell ref="E8:H8"/>
    <mergeCell ref="B9:D9"/>
    <mergeCell ref="B10:D10"/>
    <mergeCell ref="A11:B11"/>
    <mergeCell ref="F11:G11"/>
    <mergeCell ref="A12:A19"/>
    <mergeCell ref="A20:A27"/>
    <mergeCell ref="A28:A35"/>
    <mergeCell ref="A36:A43"/>
    <mergeCell ref="A44:A51"/>
    <mergeCell ref="A52:A59"/>
    <mergeCell ref="B12:B19"/>
    <mergeCell ref="B20:B27"/>
    <mergeCell ref="B28:B35"/>
    <mergeCell ref="B36:B43"/>
    <mergeCell ref="B44:B51"/>
    <mergeCell ref="B52:B59"/>
  </mergeCells>
  <conditionalFormatting sqref="G59:H59">
    <cfRule type="cellIs" dxfId="0" priority="99" operator="equal">
      <formula>"0. ,0, "</formula>
    </cfRule>
    <cfRule type="cellIs" dxfId="0" priority="98" operator="equal">
      <formula>"0. 0,0, ауд. 0, 0"</formula>
    </cfRule>
    <cfRule type="cellIs" dxfId="0" priority="97" operator="equal">
      <formula>"0. 0 0, ауд. 0, 0"</formula>
    </cfRule>
    <cfRule type="cellIs" dxfId="0" priority="96" operator="equal">
      <formula>"0. ,0, "</formula>
    </cfRule>
    <cfRule type="cellIs" dxfId="0" priority="95" operator="equal">
      <formula>"0. 0,0, ауд. 0, 0"</formula>
    </cfRule>
    <cfRule type="cellIs" dxfId="0" priority="94" operator="equal">
      <formula>"0. 0 0, ауд. 0, 0"</formula>
    </cfRule>
    <cfRule type="cellIs" dxfId="0" priority="93" operator="equal">
      <formula>"0. ,0, "</formula>
    </cfRule>
    <cfRule type="cellIs" dxfId="0" priority="92" operator="equal">
      <formula>"0. 0,0, ауд. 0, 0"</formula>
    </cfRule>
    <cfRule type="cellIs" dxfId="0" priority="91" operator="equal">
      <formula>"0. 0 0, ауд. 0, 0"</formula>
    </cfRule>
    <cfRule type="cellIs" dxfId="0" priority="89" operator="equal">
      <formula>"0. 0 0, ауд. 0,"</formula>
    </cfRule>
    <cfRule type="colorScale" priority="90">
      <colorScale>
        <cfvo type="min"/>
        <cfvo type="max"/>
        <color rgb="FFFF7128"/>
        <color rgb="FFFFEF9C"/>
      </colorScale>
    </cfRule>
  </conditionalFormatting>
  <pageMargins left="0.708661417322835" right="0.708661417322835" top="0.748031496062992" bottom="0.748031496062992" header="0.31496062992126" footer="0.31496062992126"/>
  <pageSetup paperSize="9" scale="34" orientation="portrait"/>
  <headerFooter/>
  <rowBreaks count="8" manualBreakCount="8">
    <brk id="60" max="16383" man="1"/>
  </rowBreaks>
  <colBreaks count="1" manualBreakCount="1">
    <brk id="8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540"/>
  <sheetViews>
    <sheetView view="pageBreakPreview" zoomScale="50" zoomScaleNormal="55" workbookViewId="0">
      <selection activeCell="I1" sqref="I1"/>
    </sheetView>
  </sheetViews>
  <sheetFormatPr defaultColWidth="9" defaultRowHeight="12.75"/>
  <cols>
    <col min="1" max="1" width="5.85714285714286" customWidth="1"/>
    <col min="2" max="2" width="4.14285714285714" customWidth="1"/>
    <col min="3" max="3" width="13.5714285714286" customWidth="1"/>
    <col min="4" max="4" width="11.8571428571429" customWidth="1"/>
    <col min="5" max="5" width="51.5714285714286" customWidth="1"/>
    <col min="6" max="6" width="28" customWidth="1"/>
    <col min="7" max="7" width="30" customWidth="1"/>
    <col min="8" max="8" width="72.2857142857143" style="1" customWidth="1"/>
    <col min="9" max="9" width="5.85714285714286" customWidth="1"/>
    <col min="10" max="10" width="4.14285714285714" customWidth="1"/>
    <col min="11" max="11" width="13.5714285714286" customWidth="1"/>
    <col min="12" max="12" width="11.8571428571429" customWidth="1"/>
    <col min="13" max="13" width="51.5714285714286" customWidth="1"/>
    <col min="14" max="14" width="30.8571428571429" customWidth="1"/>
    <col min="15" max="15" width="29.2857142857143" customWidth="1"/>
    <col min="16" max="16" width="71.4285714285714" style="1" customWidth="1"/>
  </cols>
  <sheetData>
    <row r="1" ht="15.75" spans="1:16">
      <c r="A1" s="2"/>
      <c r="B1" s="3"/>
      <c r="C1" s="4"/>
      <c r="D1" s="5"/>
      <c r="E1" s="5"/>
      <c r="F1" s="5"/>
      <c r="G1" s="5"/>
      <c r="H1" s="6" t="s">
        <v>0</v>
      </c>
      <c r="I1" s="2"/>
      <c r="J1" s="3"/>
      <c r="K1" s="4"/>
      <c r="L1" s="5"/>
      <c r="M1" s="5"/>
      <c r="N1" s="5"/>
      <c r="O1" s="5"/>
      <c r="P1" s="6" t="s">
        <v>0</v>
      </c>
    </row>
    <row r="2" ht="15.75" spans="1:16">
      <c r="A2" s="2"/>
      <c r="B2" s="3"/>
      <c r="C2" s="4"/>
      <c r="D2" s="5"/>
      <c r="E2" s="5"/>
      <c r="F2" s="5"/>
      <c r="G2" s="5"/>
      <c r="H2" s="6" t="s">
        <v>1</v>
      </c>
      <c r="I2" s="2"/>
      <c r="J2" s="3"/>
      <c r="K2" s="4"/>
      <c r="L2" s="5"/>
      <c r="M2" s="5"/>
      <c r="N2" s="5"/>
      <c r="O2" s="5"/>
      <c r="P2" s="6" t="s">
        <v>1</v>
      </c>
    </row>
    <row r="3" ht="15.75" spans="1:16">
      <c r="A3" s="2"/>
      <c r="B3" s="3"/>
      <c r="C3" s="4"/>
      <c r="D3" s="5"/>
      <c r="E3" s="5"/>
      <c r="F3" s="5"/>
      <c r="G3" s="5"/>
      <c r="H3" s="6" t="s">
        <v>2</v>
      </c>
      <c r="I3" s="2"/>
      <c r="J3" s="3"/>
      <c r="K3" s="4"/>
      <c r="L3" s="5"/>
      <c r="M3" s="5"/>
      <c r="N3" s="5"/>
      <c r="O3" s="5"/>
      <c r="P3" s="6" t="s">
        <v>2</v>
      </c>
    </row>
    <row r="4" ht="15.75" spans="1:16">
      <c r="A4" s="2"/>
      <c r="B4" s="3"/>
      <c r="C4" s="4"/>
      <c r="D4" s="5"/>
      <c r="E4" s="5"/>
      <c r="F4" s="5"/>
      <c r="G4" s="5"/>
      <c r="H4" s="6" t="s">
        <v>3</v>
      </c>
      <c r="I4" s="2"/>
      <c r="J4" s="3"/>
      <c r="K4" s="4"/>
      <c r="L4" s="5"/>
      <c r="M4" s="5"/>
      <c r="N4" s="5"/>
      <c r="O4" s="5"/>
      <c r="P4" s="6" t="s">
        <v>3</v>
      </c>
    </row>
    <row r="5" ht="15.75" spans="1:16">
      <c r="A5" s="2"/>
      <c r="B5" s="7"/>
      <c r="C5" s="4"/>
      <c r="D5" s="5"/>
      <c r="E5" s="5"/>
      <c r="F5" s="5"/>
      <c r="G5" s="5"/>
      <c r="H5" s="5"/>
      <c r="I5" s="2"/>
      <c r="J5" s="7"/>
      <c r="K5" s="4"/>
      <c r="L5" s="5"/>
      <c r="M5" s="5"/>
      <c r="N5" s="5"/>
      <c r="O5" s="5"/>
      <c r="P5" s="5"/>
    </row>
    <row r="6" ht="15.75" spans="1:16">
      <c r="A6" s="2"/>
      <c r="B6" s="8" t="s">
        <v>4</v>
      </c>
      <c r="C6" s="8"/>
      <c r="D6" s="8"/>
      <c r="E6" s="8"/>
      <c r="F6" s="8"/>
      <c r="G6" s="8"/>
      <c r="H6" s="8"/>
      <c r="I6" s="2"/>
      <c r="J6" s="8" t="s">
        <v>4</v>
      </c>
      <c r="K6" s="8"/>
      <c r="L6" s="8"/>
      <c r="M6" s="8"/>
      <c r="N6" s="8"/>
      <c r="O6" s="8"/>
      <c r="P6" s="8"/>
    </row>
    <row r="7" ht="15.75" spans="1:16">
      <c r="A7" s="9"/>
      <c r="B7" s="10" t="str">
        <f>'[1]1нед'!$A$6</f>
        <v>Направление подготовки:</v>
      </c>
      <c r="C7" s="11"/>
      <c r="D7" s="12"/>
      <c r="E7" s="13" t="str">
        <f>'[1]1нед'!$T$254</f>
        <v>00</v>
      </c>
      <c r="F7" s="12"/>
      <c r="G7" s="12"/>
      <c r="H7" s="14">
        <f>'[1]1нед'!$T$258</f>
        <v>0</v>
      </c>
      <c r="I7" s="9"/>
      <c r="J7" s="10" t="str">
        <f>'[1]1нед'!$A$6</f>
        <v>Направление подготовки:</v>
      </c>
      <c r="K7" s="11"/>
      <c r="L7" s="12"/>
      <c r="M7" s="13" t="str">
        <f>E7</f>
        <v>00</v>
      </c>
      <c r="N7" s="12"/>
      <c r="O7" s="12"/>
      <c r="P7" s="14">
        <f>H7</f>
        <v>0</v>
      </c>
    </row>
    <row r="8" ht="15.75" spans="1:16">
      <c r="A8" s="2"/>
      <c r="B8" s="10" t="s">
        <v>5</v>
      </c>
      <c r="C8" s="10"/>
      <c r="D8" s="10"/>
      <c r="E8" s="10" t="s">
        <v>43</v>
      </c>
      <c r="F8" s="10"/>
      <c r="G8" s="10"/>
      <c r="H8" s="10"/>
      <c r="I8" s="2"/>
      <c r="J8" s="10" t="s">
        <v>5</v>
      </c>
      <c r="K8" s="10"/>
      <c r="L8" s="10"/>
      <c r="M8" s="10" t="str">
        <f t="shared" ref="M8:M9" si="0">E8</f>
        <v>очно-заочная</v>
      </c>
      <c r="N8" s="10"/>
      <c r="O8" s="10"/>
      <c r="P8" s="10"/>
    </row>
    <row r="9" ht="15.75" spans="1:16">
      <c r="A9" s="2"/>
      <c r="B9" s="10" t="s">
        <v>7</v>
      </c>
      <c r="C9" s="10"/>
      <c r="D9" s="10"/>
      <c r="E9" s="10">
        <v>3</v>
      </c>
      <c r="F9" s="10"/>
      <c r="G9" s="10"/>
      <c r="H9" s="15"/>
      <c r="I9" s="2"/>
      <c r="J9" s="10" t="s">
        <v>7</v>
      </c>
      <c r="K9" s="10"/>
      <c r="L9" s="10"/>
      <c r="M9" s="10">
        <f t="shared" si="0"/>
        <v>3</v>
      </c>
      <c r="N9" s="10"/>
      <c r="O9" s="10"/>
      <c r="P9" s="15"/>
    </row>
    <row r="10" ht="16.5" spans="1:16">
      <c r="A10" s="2"/>
      <c r="B10" s="16" t="s">
        <v>8</v>
      </c>
      <c r="C10" s="16"/>
      <c r="D10" s="16"/>
      <c r="E10" s="16">
        <v>1</v>
      </c>
      <c r="F10" s="16"/>
      <c r="G10" s="16"/>
      <c r="H10" s="17"/>
      <c r="I10" s="2"/>
      <c r="J10" s="18" t="s">
        <v>8</v>
      </c>
      <c r="K10" s="18"/>
      <c r="L10" s="18"/>
      <c r="M10" s="16">
        <f>E10+1</f>
        <v>2</v>
      </c>
      <c r="N10" s="16"/>
      <c r="O10" s="16"/>
      <c r="P10" s="17"/>
    </row>
    <row r="11" ht="46.5" customHeight="1" spans="1:16">
      <c r="A11" s="19" t="s">
        <v>9</v>
      </c>
      <c r="B11" s="20"/>
      <c r="C11" s="21" t="s">
        <v>10</v>
      </c>
      <c r="D11" s="22" t="s">
        <v>11</v>
      </c>
      <c r="E11" s="23" t="s">
        <v>12</v>
      </c>
      <c r="F11" s="24" t="s">
        <v>13</v>
      </c>
      <c r="G11" s="25"/>
      <c r="H11" s="26" t="s">
        <v>14</v>
      </c>
      <c r="I11" s="19" t="s">
        <v>9</v>
      </c>
      <c r="J11" s="20"/>
      <c r="K11" s="21" t="s">
        <v>10</v>
      </c>
      <c r="L11" s="22" t="s">
        <v>11</v>
      </c>
      <c r="M11" s="23" t="s">
        <v>12</v>
      </c>
      <c r="N11" s="24" t="s">
        <v>13</v>
      </c>
      <c r="O11" s="25"/>
      <c r="P11" s="26" t="s">
        <v>14</v>
      </c>
    </row>
    <row r="12" ht="35.1" customHeight="1" spans="1:16">
      <c r="A12" s="27">
        <v>46265</v>
      </c>
      <c r="B12" s="28" t="s">
        <v>15</v>
      </c>
      <c r="C12" s="29" t="s">
        <v>16</v>
      </c>
      <c r="D12" s="30">
        <f>'[1]1нед'!S260</f>
        <v>0</v>
      </c>
      <c r="E12" s="31">
        <f>'[1]1нед'!T260</f>
        <v>0</v>
      </c>
      <c r="F12" s="32">
        <f>'[1]1нед'!W260</f>
        <v>0</v>
      </c>
      <c r="G12" s="33" t="str">
        <f>'[1]1нед'!X260</f>
        <v/>
      </c>
      <c r="H12" s="34"/>
      <c r="I12" s="27">
        <v>46272</v>
      </c>
      <c r="J12" s="35" t="s">
        <v>15</v>
      </c>
      <c r="K12" s="29" t="s">
        <v>16</v>
      </c>
      <c r="L12" s="30">
        <f>'[1]2нед'!S260</f>
        <v>0</v>
      </c>
      <c r="M12" s="31">
        <f>'[1]2нед'!T260</f>
        <v>0</v>
      </c>
      <c r="N12" s="32">
        <f>'[1]2нед'!W260</f>
        <v>0</v>
      </c>
      <c r="O12" s="33" t="str">
        <f>'[1]2нед'!X260</f>
        <v/>
      </c>
      <c r="P12" s="34"/>
    </row>
    <row r="13" ht="31.5" spans="1:16">
      <c r="A13" s="36"/>
      <c r="B13" s="37"/>
      <c r="C13" s="29" t="s">
        <v>17</v>
      </c>
      <c r="D13" s="38">
        <f>'[1]1нед'!S261</f>
        <v>0</v>
      </c>
      <c r="E13" s="39">
        <f>'[1]1нед'!T261</f>
        <v>0</v>
      </c>
      <c r="F13" s="40">
        <f>'[1]1нед'!W261</f>
        <v>0</v>
      </c>
      <c r="G13" s="41" t="str">
        <f>'[1]1нед'!X261</f>
        <v/>
      </c>
      <c r="H13" s="42"/>
      <c r="I13" s="43"/>
      <c r="J13" s="44"/>
      <c r="K13" s="29" t="s">
        <v>17</v>
      </c>
      <c r="L13" s="38">
        <f>'[1]2нед'!S261</f>
        <v>0</v>
      </c>
      <c r="M13" s="39">
        <f>'[1]2нед'!T261</f>
        <v>0</v>
      </c>
      <c r="N13" s="40">
        <f>'[1]2нед'!W261</f>
        <v>0</v>
      </c>
      <c r="O13" s="41" t="str">
        <f>'[1]2нед'!X261</f>
        <v/>
      </c>
      <c r="P13" s="42"/>
    </row>
    <row r="14" ht="31.5" spans="1:16">
      <c r="A14" s="36"/>
      <c r="B14" s="37"/>
      <c r="C14" s="29" t="s">
        <v>18</v>
      </c>
      <c r="D14" s="38">
        <f>'[1]1нед'!S262</f>
        <v>0</v>
      </c>
      <c r="E14" s="39">
        <f>'[1]1нед'!T262</f>
        <v>0</v>
      </c>
      <c r="F14" s="40">
        <f>'[1]1нед'!W262</f>
        <v>0</v>
      </c>
      <c r="G14" s="41" t="str">
        <f>'[1]1нед'!X262</f>
        <v/>
      </c>
      <c r="H14" s="42"/>
      <c r="I14" s="43"/>
      <c r="J14" s="44"/>
      <c r="K14" s="29" t="s">
        <v>18</v>
      </c>
      <c r="L14" s="38">
        <f>'[1]2нед'!S262</f>
        <v>0</v>
      </c>
      <c r="M14" s="39">
        <f>'[1]2нед'!T262</f>
        <v>0</v>
      </c>
      <c r="N14" s="40">
        <f>'[1]2нед'!W262</f>
        <v>0</v>
      </c>
      <c r="O14" s="41" t="str">
        <f>'[1]2нед'!X262</f>
        <v/>
      </c>
      <c r="P14" s="42"/>
    </row>
    <row r="15" ht="31.5" spans="1:16">
      <c r="A15" s="36"/>
      <c r="B15" s="37"/>
      <c r="C15" s="29" t="s">
        <v>19</v>
      </c>
      <c r="D15" s="38">
        <f>'[1]1нед'!S263</f>
        <v>0</v>
      </c>
      <c r="E15" s="39">
        <f>'[1]1нед'!T263</f>
        <v>0</v>
      </c>
      <c r="F15" s="40">
        <f>'[1]1нед'!W263</f>
        <v>0</v>
      </c>
      <c r="G15" s="41" t="str">
        <f>'[1]1нед'!X263</f>
        <v/>
      </c>
      <c r="H15" s="42"/>
      <c r="I15" s="43"/>
      <c r="J15" s="44"/>
      <c r="K15" s="29" t="s">
        <v>19</v>
      </c>
      <c r="L15" s="38">
        <f>'[1]2нед'!S263</f>
        <v>0</v>
      </c>
      <c r="M15" s="39">
        <f>'[1]2нед'!T263</f>
        <v>0</v>
      </c>
      <c r="N15" s="40">
        <f>'[1]2нед'!W263</f>
        <v>0</v>
      </c>
      <c r="O15" s="41" t="str">
        <f>'[1]2нед'!X263</f>
        <v/>
      </c>
      <c r="P15" s="42"/>
    </row>
    <row r="16" ht="31.5" spans="1:16">
      <c r="A16" s="36"/>
      <c r="B16" s="37"/>
      <c r="C16" s="29" t="s">
        <v>20</v>
      </c>
      <c r="D16" s="38">
        <f>'[1]1нед'!S264</f>
        <v>0</v>
      </c>
      <c r="E16" s="39">
        <f>'[1]1нед'!T264</f>
        <v>0</v>
      </c>
      <c r="F16" s="40">
        <f>'[1]1нед'!W264</f>
        <v>0</v>
      </c>
      <c r="G16" s="41" t="str">
        <f>'[1]1нед'!X264</f>
        <v/>
      </c>
      <c r="H16" s="42"/>
      <c r="I16" s="43"/>
      <c r="J16" s="44"/>
      <c r="K16" s="29" t="s">
        <v>20</v>
      </c>
      <c r="L16" s="38">
        <f>'[1]2нед'!S264</f>
        <v>0</v>
      </c>
      <c r="M16" s="39">
        <f>'[1]2нед'!T264</f>
        <v>0</v>
      </c>
      <c r="N16" s="40">
        <f>'[1]2нед'!W264</f>
        <v>0</v>
      </c>
      <c r="O16" s="41" t="str">
        <f>'[1]2нед'!X264</f>
        <v/>
      </c>
      <c r="P16" s="42"/>
    </row>
    <row r="17" ht="31.5" spans="1:16">
      <c r="A17" s="36"/>
      <c r="B17" s="37"/>
      <c r="C17" s="29" t="s">
        <v>21</v>
      </c>
      <c r="D17" s="38">
        <f>'[1]1нед'!S265</f>
        <v>0</v>
      </c>
      <c r="E17" s="39">
        <f>'[1]1нед'!T265</f>
        <v>0</v>
      </c>
      <c r="F17" s="40">
        <f>'[1]1нед'!W265</f>
        <v>0</v>
      </c>
      <c r="G17" s="41" t="str">
        <f>'[1]1нед'!X265</f>
        <v/>
      </c>
      <c r="H17" s="42"/>
      <c r="I17" s="43"/>
      <c r="J17" s="44"/>
      <c r="K17" s="29" t="s">
        <v>21</v>
      </c>
      <c r="L17" s="38">
        <f>'[1]2нед'!S265</f>
        <v>0</v>
      </c>
      <c r="M17" s="39">
        <f>'[1]2нед'!T265</f>
        <v>0</v>
      </c>
      <c r="N17" s="40">
        <f>'[1]2нед'!W265</f>
        <v>0</v>
      </c>
      <c r="O17" s="41" t="str">
        <f>'[1]2нед'!X265</f>
        <v/>
      </c>
      <c r="P17" s="42"/>
    </row>
    <row r="18" ht="32.25" spans="1:16">
      <c r="A18" s="36"/>
      <c r="B18" s="37"/>
      <c r="C18" s="29" t="s">
        <v>22</v>
      </c>
      <c r="D18" s="38">
        <f>'[1]1нед'!S266</f>
        <v>0</v>
      </c>
      <c r="E18" s="39">
        <f>'[1]1нед'!T266</f>
        <v>0</v>
      </c>
      <c r="F18" s="40">
        <f>'[1]1нед'!W266</f>
        <v>0</v>
      </c>
      <c r="G18" s="41" t="str">
        <f>'[1]1нед'!X266</f>
        <v/>
      </c>
      <c r="H18" s="42"/>
      <c r="I18" s="43"/>
      <c r="J18" s="44"/>
      <c r="K18" s="29" t="s">
        <v>22</v>
      </c>
      <c r="L18" s="38">
        <f>'[1]2нед'!S266</f>
        <v>0</v>
      </c>
      <c r="M18" s="39">
        <f>'[1]2нед'!T266</f>
        <v>0</v>
      </c>
      <c r="N18" s="40">
        <f>'[1]2нед'!W266</f>
        <v>0</v>
      </c>
      <c r="O18" s="41" t="str">
        <f>'[1]2нед'!X266</f>
        <v/>
      </c>
      <c r="P18" s="42"/>
    </row>
    <row r="19" ht="18.4" hidden="1" customHeight="1" spans="1:16">
      <c r="A19" s="45"/>
      <c r="B19" s="46"/>
      <c r="C19" s="47"/>
      <c r="D19" s="48">
        <f>'[1]1нед'!S267</f>
        <v>0</v>
      </c>
      <c r="E19" s="49">
        <f>'[1]1нед'!T267</f>
        <v>0</v>
      </c>
      <c r="F19" s="50">
        <f>'[1]1нед'!W267</f>
        <v>0</v>
      </c>
      <c r="G19" s="51" t="str">
        <f>'[1]1нед'!X267</f>
        <v/>
      </c>
      <c r="H19" s="52"/>
      <c r="I19" s="53"/>
      <c r="J19" s="54"/>
      <c r="K19" s="47"/>
      <c r="L19" s="48">
        <f>'[1]2нед'!S267</f>
        <v>0</v>
      </c>
      <c r="M19" s="49">
        <f>'[1]2нед'!T267</f>
        <v>0</v>
      </c>
      <c r="N19" s="50">
        <f>'[1]2нед'!W267</f>
        <v>0</v>
      </c>
      <c r="O19" s="51" t="str">
        <f>'[1]2нед'!X267</f>
        <v/>
      </c>
      <c r="P19" s="52"/>
    </row>
    <row r="20" ht="32.25" customHeight="1" spans="1:16">
      <c r="A20" s="27">
        <v>46266</v>
      </c>
      <c r="B20" s="28" t="s">
        <v>23</v>
      </c>
      <c r="C20" s="55" t="s">
        <v>16</v>
      </c>
      <c r="D20" s="30">
        <f>'[1]1нед'!S268</f>
        <v>0</v>
      </c>
      <c r="E20" s="31">
        <f>'[1]1нед'!T268</f>
        <v>0</v>
      </c>
      <c r="F20" s="32">
        <f>'[1]1нед'!W268</f>
        <v>0</v>
      </c>
      <c r="G20" s="33" t="str">
        <f>'[1]1нед'!X268</f>
        <v/>
      </c>
      <c r="H20" s="34"/>
      <c r="I20" s="27">
        <v>46273</v>
      </c>
      <c r="J20" s="35" t="s">
        <v>23</v>
      </c>
      <c r="K20" s="55" t="s">
        <v>16</v>
      </c>
      <c r="L20" s="30">
        <f>'[1]2нед'!S268</f>
        <v>0</v>
      </c>
      <c r="M20" s="31">
        <f>'[1]2нед'!T268</f>
        <v>0</v>
      </c>
      <c r="N20" s="32">
        <f>'[1]2нед'!W268</f>
        <v>0</v>
      </c>
      <c r="O20" s="33" t="str">
        <f>'[1]2нед'!X268</f>
        <v/>
      </c>
      <c r="P20" s="34"/>
    </row>
    <row r="21" ht="31.5" spans="1:16">
      <c r="A21" s="36"/>
      <c r="B21" s="37"/>
      <c r="C21" s="29" t="s">
        <v>17</v>
      </c>
      <c r="D21" s="38">
        <f>'[1]1нед'!S269</f>
        <v>0</v>
      </c>
      <c r="E21" s="39">
        <f>'[1]1нед'!T269</f>
        <v>0</v>
      </c>
      <c r="F21" s="40">
        <f>'[1]1нед'!W269</f>
        <v>0</v>
      </c>
      <c r="G21" s="41" t="str">
        <f>'[1]1нед'!X269</f>
        <v/>
      </c>
      <c r="H21" s="42"/>
      <c r="I21" s="43"/>
      <c r="J21" s="44"/>
      <c r="K21" s="29" t="s">
        <v>17</v>
      </c>
      <c r="L21" s="38">
        <f>'[1]2нед'!S269</f>
        <v>0</v>
      </c>
      <c r="M21" s="39">
        <f>'[1]2нед'!T269</f>
        <v>0</v>
      </c>
      <c r="N21" s="40">
        <f>'[1]2нед'!W269</f>
        <v>0</v>
      </c>
      <c r="O21" s="41" t="str">
        <f>'[1]2нед'!X269</f>
        <v/>
      </c>
      <c r="P21" s="42"/>
    </row>
    <row r="22" ht="31.5" spans="1:16">
      <c r="A22" s="36"/>
      <c r="B22" s="37"/>
      <c r="C22" s="29" t="s">
        <v>18</v>
      </c>
      <c r="D22" s="38">
        <f>'[1]1нед'!S270</f>
        <v>0</v>
      </c>
      <c r="E22" s="39">
        <f>'[1]1нед'!T270</f>
        <v>0</v>
      </c>
      <c r="F22" s="40">
        <f>'[1]1нед'!W270</f>
        <v>0</v>
      </c>
      <c r="G22" s="41" t="str">
        <f>'[1]1нед'!X270</f>
        <v/>
      </c>
      <c r="H22" s="42"/>
      <c r="I22" s="43"/>
      <c r="J22" s="44"/>
      <c r="K22" s="29" t="s">
        <v>18</v>
      </c>
      <c r="L22" s="38">
        <f>'[1]2нед'!S270</f>
        <v>0</v>
      </c>
      <c r="M22" s="39">
        <f>'[1]2нед'!T270</f>
        <v>0</v>
      </c>
      <c r="N22" s="40">
        <f>'[1]2нед'!W270</f>
        <v>0</v>
      </c>
      <c r="O22" s="41" t="str">
        <f>'[1]2нед'!X270</f>
        <v/>
      </c>
      <c r="P22" s="42"/>
    </row>
    <row r="23" ht="31.5" spans="1:16">
      <c r="A23" s="36"/>
      <c r="B23" s="37"/>
      <c r="C23" s="29" t="s">
        <v>19</v>
      </c>
      <c r="D23" s="38">
        <f>'[1]1нед'!S271</f>
        <v>0</v>
      </c>
      <c r="E23" s="39">
        <f>'[1]1нед'!T271</f>
        <v>0</v>
      </c>
      <c r="F23" s="40">
        <f>'[1]1нед'!W271</f>
        <v>0</v>
      </c>
      <c r="G23" s="41" t="str">
        <f>'[1]1нед'!X271</f>
        <v/>
      </c>
      <c r="H23" s="42"/>
      <c r="I23" s="43"/>
      <c r="J23" s="44"/>
      <c r="K23" s="29" t="s">
        <v>19</v>
      </c>
      <c r="L23" s="38">
        <f>'[1]2нед'!S271</f>
        <v>0</v>
      </c>
      <c r="M23" s="39">
        <f>'[1]2нед'!T271</f>
        <v>0</v>
      </c>
      <c r="N23" s="40">
        <f>'[1]2нед'!W271</f>
        <v>0</v>
      </c>
      <c r="O23" s="41" t="str">
        <f>'[1]2нед'!X271</f>
        <v/>
      </c>
      <c r="P23" s="42"/>
    </row>
    <row r="24" ht="31.5" spans="1:16">
      <c r="A24" s="36"/>
      <c r="B24" s="37"/>
      <c r="C24" s="29" t="s">
        <v>20</v>
      </c>
      <c r="D24" s="38">
        <f>'[1]1нед'!S272</f>
        <v>0</v>
      </c>
      <c r="E24" s="39">
        <f>'[1]1нед'!T272</f>
        <v>0</v>
      </c>
      <c r="F24" s="40">
        <f>'[1]1нед'!W272</f>
        <v>0</v>
      </c>
      <c r="G24" s="41" t="str">
        <f>'[1]1нед'!X272</f>
        <v/>
      </c>
      <c r="H24" s="42"/>
      <c r="I24" s="43"/>
      <c r="J24" s="44"/>
      <c r="K24" s="29" t="s">
        <v>20</v>
      </c>
      <c r="L24" s="38">
        <f>'[1]2нед'!S272</f>
        <v>0</v>
      </c>
      <c r="M24" s="39">
        <f>'[1]2нед'!T272</f>
        <v>0</v>
      </c>
      <c r="N24" s="40">
        <f>'[1]2нед'!W272</f>
        <v>0</v>
      </c>
      <c r="O24" s="41" t="str">
        <f>'[1]2нед'!X272</f>
        <v/>
      </c>
      <c r="P24" s="42"/>
    </row>
    <row r="25" ht="31.5" spans="1:16">
      <c r="A25" s="36"/>
      <c r="B25" s="37"/>
      <c r="C25" s="29" t="s">
        <v>21</v>
      </c>
      <c r="D25" s="38">
        <f>'[1]1нед'!S273</f>
        <v>0</v>
      </c>
      <c r="E25" s="39">
        <f>'[1]1нед'!T273</f>
        <v>0</v>
      </c>
      <c r="F25" s="40">
        <f>'[1]1нед'!W273</f>
        <v>0</v>
      </c>
      <c r="G25" s="41" t="str">
        <f>'[1]1нед'!X273</f>
        <v/>
      </c>
      <c r="H25" s="56"/>
      <c r="I25" s="43"/>
      <c r="J25" s="44"/>
      <c r="K25" s="29" t="s">
        <v>21</v>
      </c>
      <c r="L25" s="38">
        <f>'[1]2нед'!S273</f>
        <v>0</v>
      </c>
      <c r="M25" s="39">
        <f>'[1]2нед'!T273</f>
        <v>0</v>
      </c>
      <c r="N25" s="40">
        <f>'[1]2нед'!W273</f>
        <v>0</v>
      </c>
      <c r="O25" s="41" t="str">
        <f>'[1]2нед'!X273</f>
        <v/>
      </c>
      <c r="P25" s="56"/>
    </row>
    <row r="26" ht="32.25" spans="1:16">
      <c r="A26" s="36"/>
      <c r="B26" s="37"/>
      <c r="C26" s="29" t="s">
        <v>22</v>
      </c>
      <c r="D26" s="38">
        <f>'[1]1нед'!S274</f>
        <v>0</v>
      </c>
      <c r="E26" s="39">
        <f>'[1]1нед'!T274</f>
        <v>0</v>
      </c>
      <c r="F26" s="40">
        <f>'[1]1нед'!W274</f>
        <v>0</v>
      </c>
      <c r="G26" s="41" t="str">
        <f>'[1]1нед'!X274</f>
        <v/>
      </c>
      <c r="H26" s="56"/>
      <c r="I26" s="43"/>
      <c r="J26" s="44"/>
      <c r="K26" s="29" t="s">
        <v>22</v>
      </c>
      <c r="L26" s="38">
        <f>'[1]2нед'!S274</f>
        <v>0</v>
      </c>
      <c r="M26" s="39">
        <f>'[1]2нед'!T274</f>
        <v>0</v>
      </c>
      <c r="N26" s="40">
        <f>'[1]2нед'!W274</f>
        <v>0</v>
      </c>
      <c r="O26" s="41" t="str">
        <f>'[1]2нед'!X274</f>
        <v/>
      </c>
      <c r="P26" s="56"/>
    </row>
    <row r="27" ht="18.4" hidden="1" customHeight="1" spans="1:16">
      <c r="A27" s="45"/>
      <c r="B27" s="46"/>
      <c r="C27" s="47"/>
      <c r="D27" s="48">
        <f>'[1]1нед'!S275</f>
        <v>0</v>
      </c>
      <c r="E27" s="49">
        <f>'[1]1нед'!T275</f>
        <v>0</v>
      </c>
      <c r="F27" s="50">
        <f>'[1]1нед'!W275</f>
        <v>0</v>
      </c>
      <c r="G27" s="51" t="str">
        <f>'[1]1нед'!X275</f>
        <v/>
      </c>
      <c r="H27" s="52"/>
      <c r="I27" s="53"/>
      <c r="J27" s="54"/>
      <c r="K27" s="47"/>
      <c r="L27" s="48">
        <f>'[1]2нед'!S275</f>
        <v>0</v>
      </c>
      <c r="M27" s="49">
        <f>'[1]2нед'!T275</f>
        <v>0</v>
      </c>
      <c r="N27" s="50">
        <f>'[1]2нед'!W275</f>
        <v>0</v>
      </c>
      <c r="O27" s="51" t="str">
        <f>'[1]2нед'!X275</f>
        <v/>
      </c>
      <c r="P27" s="52"/>
    </row>
    <row r="28" ht="48" customHeight="1" spans="1:16">
      <c r="A28" s="27">
        <v>46267</v>
      </c>
      <c r="B28" s="57" t="s">
        <v>24</v>
      </c>
      <c r="C28" s="55" t="s">
        <v>16</v>
      </c>
      <c r="D28" s="30">
        <f>'[1]1нед'!S276</f>
        <v>0</v>
      </c>
      <c r="E28" s="31">
        <f>'[1]1нед'!T276</f>
        <v>0</v>
      </c>
      <c r="F28" s="32">
        <f>'[1]1нед'!W276</f>
        <v>0</v>
      </c>
      <c r="G28" s="33" t="str">
        <f>'[1]1нед'!X276</f>
        <v/>
      </c>
      <c r="H28" s="34"/>
      <c r="I28" s="27">
        <v>46274</v>
      </c>
      <c r="J28" s="58" t="s">
        <v>24</v>
      </c>
      <c r="K28" s="55" t="s">
        <v>16</v>
      </c>
      <c r="L28" s="30">
        <f>'[1]2нед'!S276</f>
        <v>0</v>
      </c>
      <c r="M28" s="31">
        <f>'[1]2нед'!T276</f>
        <v>0</v>
      </c>
      <c r="N28" s="32">
        <f>'[1]2нед'!W276</f>
        <v>0</v>
      </c>
      <c r="O28" s="33" t="str">
        <f>'[1]2нед'!X276</f>
        <v/>
      </c>
      <c r="P28" s="34"/>
    </row>
    <row r="29" ht="31.5" spans="1:16">
      <c r="A29" s="36"/>
      <c r="B29" s="59"/>
      <c r="C29" s="29" t="s">
        <v>17</v>
      </c>
      <c r="D29" s="38">
        <f>'[1]1нед'!S277</f>
        <v>0</v>
      </c>
      <c r="E29" s="39">
        <f>'[1]1нед'!T277</f>
        <v>0</v>
      </c>
      <c r="F29" s="40">
        <f>'[1]1нед'!W277</f>
        <v>0</v>
      </c>
      <c r="G29" s="41" t="str">
        <f>'[1]1нед'!X277</f>
        <v/>
      </c>
      <c r="H29" s="42"/>
      <c r="I29" s="43"/>
      <c r="J29" s="60"/>
      <c r="K29" s="29" t="s">
        <v>17</v>
      </c>
      <c r="L29" s="38">
        <f>'[1]2нед'!S277</f>
        <v>0</v>
      </c>
      <c r="M29" s="39">
        <f>'[1]2нед'!T277</f>
        <v>0</v>
      </c>
      <c r="N29" s="40">
        <f>'[1]2нед'!W277</f>
        <v>0</v>
      </c>
      <c r="O29" s="41" t="str">
        <f>'[1]2нед'!X277</f>
        <v/>
      </c>
      <c r="P29" s="42"/>
    </row>
    <row r="30" ht="31.5" spans="1:16">
      <c r="A30" s="36"/>
      <c r="B30" s="59"/>
      <c r="C30" s="29" t="s">
        <v>18</v>
      </c>
      <c r="D30" s="38">
        <f>'[1]1нед'!S278</f>
        <v>0</v>
      </c>
      <c r="E30" s="39">
        <f>'[1]1нед'!T278</f>
        <v>0</v>
      </c>
      <c r="F30" s="40">
        <f>'[1]1нед'!W278</f>
        <v>0</v>
      </c>
      <c r="G30" s="41" t="str">
        <f>'[1]1нед'!X278</f>
        <v/>
      </c>
      <c r="H30" s="42"/>
      <c r="I30" s="43"/>
      <c r="J30" s="60"/>
      <c r="K30" s="29" t="s">
        <v>18</v>
      </c>
      <c r="L30" s="38">
        <f>'[1]2нед'!S278</f>
        <v>0</v>
      </c>
      <c r="M30" s="39">
        <f>'[1]2нед'!T278</f>
        <v>0</v>
      </c>
      <c r="N30" s="40">
        <f>'[1]2нед'!W278</f>
        <v>0</v>
      </c>
      <c r="O30" s="41" t="str">
        <f>'[1]2нед'!X278</f>
        <v/>
      </c>
      <c r="P30" s="42"/>
    </row>
    <row r="31" ht="31.5" spans="1:16">
      <c r="A31" s="36"/>
      <c r="B31" s="59"/>
      <c r="C31" s="29" t="s">
        <v>19</v>
      </c>
      <c r="D31" s="38">
        <f>'[1]1нед'!S279</f>
        <v>0</v>
      </c>
      <c r="E31" s="39">
        <f>'[1]1нед'!T279</f>
        <v>0</v>
      </c>
      <c r="F31" s="40">
        <f>'[1]1нед'!W279</f>
        <v>0</v>
      </c>
      <c r="G31" s="41" t="str">
        <f>'[1]1нед'!X279</f>
        <v/>
      </c>
      <c r="H31" s="42"/>
      <c r="I31" s="43"/>
      <c r="J31" s="60"/>
      <c r="K31" s="29" t="s">
        <v>19</v>
      </c>
      <c r="L31" s="38">
        <f>'[1]2нед'!S279</f>
        <v>0</v>
      </c>
      <c r="M31" s="39">
        <f>'[1]2нед'!T279</f>
        <v>0</v>
      </c>
      <c r="N31" s="40">
        <f>'[1]2нед'!W279</f>
        <v>0</v>
      </c>
      <c r="O31" s="41" t="str">
        <f>'[1]2нед'!X279</f>
        <v/>
      </c>
      <c r="P31" s="42"/>
    </row>
    <row r="32" ht="31.5" spans="1:16">
      <c r="A32" s="36"/>
      <c r="B32" s="59"/>
      <c r="C32" s="29" t="s">
        <v>20</v>
      </c>
      <c r="D32" s="38">
        <f>'[1]1нед'!S280</f>
        <v>0</v>
      </c>
      <c r="E32" s="39">
        <f>'[1]1нед'!T280</f>
        <v>0</v>
      </c>
      <c r="F32" s="40">
        <f>'[1]1нед'!W280</f>
        <v>0</v>
      </c>
      <c r="G32" s="41" t="str">
        <f>'[1]1нед'!X280</f>
        <v/>
      </c>
      <c r="H32" s="42"/>
      <c r="I32" s="43"/>
      <c r="J32" s="60"/>
      <c r="K32" s="29" t="s">
        <v>20</v>
      </c>
      <c r="L32" s="38">
        <f>'[1]2нед'!S280</f>
        <v>0</v>
      </c>
      <c r="M32" s="39">
        <f>'[1]2нед'!T280</f>
        <v>0</v>
      </c>
      <c r="N32" s="40">
        <f>'[1]2нед'!W280</f>
        <v>0</v>
      </c>
      <c r="O32" s="41" t="str">
        <f>'[1]2нед'!X280</f>
        <v/>
      </c>
      <c r="P32" s="42"/>
    </row>
    <row r="33" ht="31.5" spans="1:16">
      <c r="A33" s="36"/>
      <c r="B33" s="59"/>
      <c r="C33" s="29" t="s">
        <v>21</v>
      </c>
      <c r="D33" s="38">
        <f>'[1]1нед'!S281</f>
        <v>0</v>
      </c>
      <c r="E33" s="39">
        <f>'[1]1нед'!T281</f>
        <v>0</v>
      </c>
      <c r="F33" s="40">
        <f>'[1]1нед'!W281</f>
        <v>0</v>
      </c>
      <c r="G33" s="41" t="str">
        <f>'[1]1нед'!X281</f>
        <v/>
      </c>
      <c r="H33" s="56"/>
      <c r="I33" s="43"/>
      <c r="J33" s="60"/>
      <c r="K33" s="29" t="s">
        <v>21</v>
      </c>
      <c r="L33" s="38">
        <f>'[1]2нед'!S281</f>
        <v>0</v>
      </c>
      <c r="M33" s="39">
        <f>'[1]2нед'!T281</f>
        <v>0</v>
      </c>
      <c r="N33" s="40">
        <f>'[1]2нед'!W281</f>
        <v>0</v>
      </c>
      <c r="O33" s="41" t="str">
        <f>'[1]2нед'!X281</f>
        <v/>
      </c>
      <c r="P33" s="56"/>
    </row>
    <row r="34" ht="32.25" spans="1:16">
      <c r="A34" s="36"/>
      <c r="B34" s="59"/>
      <c r="C34" s="29" t="s">
        <v>22</v>
      </c>
      <c r="D34" s="38">
        <f>'[1]1нед'!S282</f>
        <v>0</v>
      </c>
      <c r="E34" s="39">
        <f>'[1]1нед'!T282</f>
        <v>0</v>
      </c>
      <c r="F34" s="40">
        <f>'[1]1нед'!W282</f>
        <v>0</v>
      </c>
      <c r="G34" s="41" t="str">
        <f>'[1]1нед'!X282</f>
        <v/>
      </c>
      <c r="H34" s="56"/>
      <c r="I34" s="43"/>
      <c r="J34" s="60"/>
      <c r="K34" s="29" t="s">
        <v>22</v>
      </c>
      <c r="L34" s="38">
        <f>'[1]2нед'!S282</f>
        <v>0</v>
      </c>
      <c r="M34" s="39">
        <f>'[1]2нед'!T282</f>
        <v>0</v>
      </c>
      <c r="N34" s="40">
        <f>'[1]2нед'!W282</f>
        <v>0</v>
      </c>
      <c r="O34" s="41" t="str">
        <f>'[1]2нед'!X282</f>
        <v/>
      </c>
      <c r="P34" s="56"/>
    </row>
    <row r="35" ht="18.4" hidden="1" customHeight="1" spans="1:16">
      <c r="A35" s="45"/>
      <c r="B35" s="61"/>
      <c r="C35" s="47"/>
      <c r="D35" s="48">
        <f>'[1]1нед'!S283</f>
        <v>0</v>
      </c>
      <c r="E35" s="49">
        <f>'[1]1нед'!T283</f>
        <v>0</v>
      </c>
      <c r="F35" s="50">
        <f>'[1]1нед'!W283</f>
        <v>0</v>
      </c>
      <c r="G35" s="51" t="str">
        <f>'[1]1нед'!X283</f>
        <v/>
      </c>
      <c r="H35" s="52"/>
      <c r="I35" s="53"/>
      <c r="J35" s="62"/>
      <c r="K35" s="47"/>
      <c r="L35" s="48">
        <f>'[1]2нед'!S283</f>
        <v>0</v>
      </c>
      <c r="M35" s="49">
        <f>'[1]2нед'!T283</f>
        <v>0</v>
      </c>
      <c r="N35" s="50">
        <f>'[1]2нед'!W283</f>
        <v>0</v>
      </c>
      <c r="O35" s="51" t="str">
        <f>'[1]2нед'!X283</f>
        <v/>
      </c>
      <c r="P35" s="52"/>
    </row>
    <row r="36" ht="48" customHeight="1" spans="1:16">
      <c r="A36" s="27">
        <v>46268</v>
      </c>
      <c r="B36" s="28" t="s">
        <v>25</v>
      </c>
      <c r="C36" s="55" t="s">
        <v>16</v>
      </c>
      <c r="D36" s="30">
        <f>'[1]1нед'!S284</f>
        <v>0</v>
      </c>
      <c r="E36" s="31">
        <f>'[1]1нед'!T284</f>
        <v>0</v>
      </c>
      <c r="F36" s="32">
        <f>'[1]1нед'!W284</f>
        <v>0</v>
      </c>
      <c r="G36" s="33" t="str">
        <f>'[1]1нед'!X284</f>
        <v/>
      </c>
      <c r="H36" s="34"/>
      <c r="I36" s="27">
        <v>46275</v>
      </c>
      <c r="J36" s="35" t="s">
        <v>25</v>
      </c>
      <c r="K36" s="55" t="s">
        <v>16</v>
      </c>
      <c r="L36" s="30">
        <f>'[1]2нед'!S284</f>
        <v>0</v>
      </c>
      <c r="M36" s="31">
        <f>'[1]2нед'!T284</f>
        <v>0</v>
      </c>
      <c r="N36" s="32">
        <f>'[1]2нед'!W284</f>
        <v>0</v>
      </c>
      <c r="O36" s="33" t="str">
        <f>'[1]2нед'!X284</f>
        <v/>
      </c>
      <c r="P36" s="34"/>
    </row>
    <row r="37" ht="31.5" spans="1:16">
      <c r="A37" s="36"/>
      <c r="B37" s="37"/>
      <c r="C37" s="29" t="s">
        <v>17</v>
      </c>
      <c r="D37" s="38">
        <f>'[1]1нед'!S285</f>
        <v>0</v>
      </c>
      <c r="E37" s="39">
        <f>'[1]1нед'!T285</f>
        <v>0</v>
      </c>
      <c r="F37" s="40">
        <f>'[1]1нед'!W285</f>
        <v>0</v>
      </c>
      <c r="G37" s="41" t="str">
        <f>'[1]1нед'!X285</f>
        <v/>
      </c>
      <c r="H37" s="42"/>
      <c r="I37" s="43"/>
      <c r="J37" s="44"/>
      <c r="K37" s="29" t="s">
        <v>17</v>
      </c>
      <c r="L37" s="38">
        <f>'[1]2нед'!S285</f>
        <v>0</v>
      </c>
      <c r="M37" s="39">
        <f>'[1]2нед'!T285</f>
        <v>0</v>
      </c>
      <c r="N37" s="40">
        <f>'[1]2нед'!W285</f>
        <v>0</v>
      </c>
      <c r="O37" s="41" t="str">
        <f>'[1]2нед'!X285</f>
        <v/>
      </c>
      <c r="P37" s="42"/>
    </row>
    <row r="38" ht="31.5" spans="1:16">
      <c r="A38" s="36"/>
      <c r="B38" s="37"/>
      <c r="C38" s="29" t="s">
        <v>18</v>
      </c>
      <c r="D38" s="38">
        <f>'[1]1нед'!S286</f>
        <v>0</v>
      </c>
      <c r="E38" s="39">
        <f>'[1]1нед'!T286</f>
        <v>0</v>
      </c>
      <c r="F38" s="40">
        <f>'[1]1нед'!W286</f>
        <v>0</v>
      </c>
      <c r="G38" s="41" t="str">
        <f>'[1]1нед'!X286</f>
        <v/>
      </c>
      <c r="H38" s="42"/>
      <c r="I38" s="43"/>
      <c r="J38" s="44"/>
      <c r="K38" s="29" t="s">
        <v>18</v>
      </c>
      <c r="L38" s="38">
        <f>'[1]2нед'!S286</f>
        <v>0</v>
      </c>
      <c r="M38" s="39">
        <f>'[1]2нед'!T286</f>
        <v>0</v>
      </c>
      <c r="N38" s="40">
        <f>'[1]2нед'!W286</f>
        <v>0</v>
      </c>
      <c r="O38" s="41" t="str">
        <f>'[1]2нед'!X286</f>
        <v/>
      </c>
      <c r="P38" s="42"/>
    </row>
    <row r="39" ht="31.5" spans="1:16">
      <c r="A39" s="36"/>
      <c r="B39" s="37"/>
      <c r="C39" s="29" t="s">
        <v>19</v>
      </c>
      <c r="D39" s="38">
        <f>'[1]1нед'!S287</f>
        <v>0</v>
      </c>
      <c r="E39" s="39">
        <f>'[1]1нед'!T287</f>
        <v>0</v>
      </c>
      <c r="F39" s="40">
        <f>'[1]1нед'!W287</f>
        <v>0</v>
      </c>
      <c r="G39" s="41" t="str">
        <f>'[1]1нед'!X287</f>
        <v/>
      </c>
      <c r="H39" s="42"/>
      <c r="I39" s="43"/>
      <c r="J39" s="44"/>
      <c r="K39" s="29" t="s">
        <v>19</v>
      </c>
      <c r="L39" s="38">
        <f>'[1]2нед'!S287</f>
        <v>0</v>
      </c>
      <c r="M39" s="39">
        <f>'[1]2нед'!T287</f>
        <v>0</v>
      </c>
      <c r="N39" s="40">
        <f>'[1]2нед'!W287</f>
        <v>0</v>
      </c>
      <c r="O39" s="41" t="str">
        <f>'[1]2нед'!X287</f>
        <v/>
      </c>
      <c r="P39" s="42"/>
    </row>
    <row r="40" ht="31.5" spans="1:16">
      <c r="A40" s="36"/>
      <c r="B40" s="37"/>
      <c r="C40" s="29" t="s">
        <v>20</v>
      </c>
      <c r="D40" s="38">
        <f>'[1]1нед'!S288</f>
        <v>0</v>
      </c>
      <c r="E40" s="39">
        <f>'[1]1нед'!T288</f>
        <v>0</v>
      </c>
      <c r="F40" s="40">
        <f>'[1]1нед'!W288</f>
        <v>0</v>
      </c>
      <c r="G40" s="41" t="str">
        <f>'[1]1нед'!X288</f>
        <v/>
      </c>
      <c r="H40" s="42"/>
      <c r="I40" s="43"/>
      <c r="J40" s="44"/>
      <c r="K40" s="29" t="s">
        <v>20</v>
      </c>
      <c r="L40" s="38">
        <f>'[1]2нед'!S288</f>
        <v>0</v>
      </c>
      <c r="M40" s="39">
        <f>'[1]2нед'!T288</f>
        <v>0</v>
      </c>
      <c r="N40" s="40">
        <f>'[1]2нед'!W288</f>
        <v>0</v>
      </c>
      <c r="O40" s="41" t="str">
        <f>'[1]2нед'!X288</f>
        <v/>
      </c>
      <c r="P40" s="42"/>
    </row>
    <row r="41" ht="31.5" spans="1:16">
      <c r="A41" s="36"/>
      <c r="B41" s="37"/>
      <c r="C41" s="29" t="s">
        <v>21</v>
      </c>
      <c r="D41" s="38">
        <f>'[1]1нед'!S289</f>
        <v>0</v>
      </c>
      <c r="E41" s="39">
        <f>'[1]1нед'!T289</f>
        <v>0</v>
      </c>
      <c r="F41" s="40">
        <f>'[1]1нед'!W289</f>
        <v>0</v>
      </c>
      <c r="G41" s="41" t="str">
        <f>'[1]1нед'!X289</f>
        <v/>
      </c>
      <c r="H41" s="56"/>
      <c r="I41" s="43"/>
      <c r="J41" s="44"/>
      <c r="K41" s="29" t="s">
        <v>21</v>
      </c>
      <c r="L41" s="38">
        <f>'[1]2нед'!S289</f>
        <v>0</v>
      </c>
      <c r="M41" s="39">
        <f>'[1]2нед'!T289</f>
        <v>0</v>
      </c>
      <c r="N41" s="40">
        <f>'[1]2нед'!W289</f>
        <v>0</v>
      </c>
      <c r="O41" s="41" t="str">
        <f>'[1]2нед'!X289</f>
        <v/>
      </c>
      <c r="P41" s="56"/>
    </row>
    <row r="42" ht="32.25" spans="1:16">
      <c r="A42" s="36"/>
      <c r="B42" s="37"/>
      <c r="C42" s="29" t="s">
        <v>22</v>
      </c>
      <c r="D42" s="38">
        <f>'[1]1нед'!S290</f>
        <v>0</v>
      </c>
      <c r="E42" s="39">
        <f>'[1]1нед'!T290</f>
        <v>0</v>
      </c>
      <c r="F42" s="40">
        <f>'[1]1нед'!W290</f>
        <v>0</v>
      </c>
      <c r="G42" s="41" t="str">
        <f>'[1]1нед'!X290</f>
        <v/>
      </c>
      <c r="H42" s="56"/>
      <c r="I42" s="43"/>
      <c r="J42" s="44"/>
      <c r="K42" s="29" t="s">
        <v>22</v>
      </c>
      <c r="L42" s="38">
        <f>'[1]2нед'!S290</f>
        <v>0</v>
      </c>
      <c r="M42" s="39">
        <f>'[1]2нед'!T290</f>
        <v>0</v>
      </c>
      <c r="N42" s="40">
        <f>'[1]2нед'!W290</f>
        <v>0</v>
      </c>
      <c r="O42" s="41" t="str">
        <f>'[1]2нед'!X290</f>
        <v/>
      </c>
      <c r="P42" s="56"/>
    </row>
    <row r="43" ht="18.4" hidden="1" customHeight="1" spans="1:16">
      <c r="A43" s="45"/>
      <c r="B43" s="46"/>
      <c r="C43" s="47"/>
      <c r="D43" s="48">
        <f>'[1]1нед'!S291</f>
        <v>0</v>
      </c>
      <c r="E43" s="49">
        <f>'[1]1нед'!T291</f>
        <v>0</v>
      </c>
      <c r="F43" s="50">
        <f>'[1]1нед'!W291</f>
        <v>0</v>
      </c>
      <c r="G43" s="51" t="str">
        <f>'[1]1нед'!X291</f>
        <v/>
      </c>
      <c r="H43" s="52"/>
      <c r="I43" s="53"/>
      <c r="J43" s="54"/>
      <c r="K43" s="47"/>
      <c r="L43" s="48">
        <f>'[1]2нед'!S291</f>
        <v>0</v>
      </c>
      <c r="M43" s="49">
        <f>'[1]2нед'!T291</f>
        <v>0</v>
      </c>
      <c r="N43" s="50">
        <f>'[1]2нед'!W291</f>
        <v>0</v>
      </c>
      <c r="O43" s="51" t="str">
        <f>'[1]2нед'!X291</f>
        <v/>
      </c>
      <c r="P43" s="52"/>
    </row>
    <row r="44" ht="48" customHeight="1" spans="1:16">
      <c r="A44" s="27">
        <v>46269</v>
      </c>
      <c r="B44" s="28" t="s">
        <v>26</v>
      </c>
      <c r="C44" s="55" t="s">
        <v>16</v>
      </c>
      <c r="D44" s="30">
        <f>'[1]1нед'!S292</f>
        <v>0</v>
      </c>
      <c r="E44" s="31">
        <f>'[1]1нед'!T292</f>
        <v>0</v>
      </c>
      <c r="F44" s="32">
        <f>'[1]1нед'!W292</f>
        <v>0</v>
      </c>
      <c r="G44" s="33" t="str">
        <f>'[1]1нед'!X292</f>
        <v/>
      </c>
      <c r="H44" s="34"/>
      <c r="I44" s="27">
        <v>46276</v>
      </c>
      <c r="J44" s="35" t="s">
        <v>26</v>
      </c>
      <c r="K44" s="55" t="s">
        <v>16</v>
      </c>
      <c r="L44" s="30">
        <f>'[1]2нед'!S292</f>
        <v>0</v>
      </c>
      <c r="M44" s="31">
        <f>'[1]2нед'!T292</f>
        <v>0</v>
      </c>
      <c r="N44" s="32">
        <f>'[1]2нед'!W292</f>
        <v>0</v>
      </c>
      <c r="O44" s="33" t="str">
        <f>'[1]2нед'!X292</f>
        <v/>
      </c>
      <c r="P44" s="34"/>
    </row>
    <row r="45" ht="31.5" spans="1:16">
      <c r="A45" s="36"/>
      <c r="B45" s="37"/>
      <c r="C45" s="29" t="s">
        <v>17</v>
      </c>
      <c r="D45" s="38">
        <f>'[1]1нед'!S293</f>
        <v>0</v>
      </c>
      <c r="E45" s="39">
        <f>'[1]1нед'!T293</f>
        <v>0</v>
      </c>
      <c r="F45" s="40">
        <f>'[1]1нед'!W293</f>
        <v>0</v>
      </c>
      <c r="G45" s="41" t="str">
        <f>'[1]1нед'!X293</f>
        <v/>
      </c>
      <c r="H45" s="42"/>
      <c r="I45" s="43"/>
      <c r="J45" s="44"/>
      <c r="K45" s="29" t="s">
        <v>17</v>
      </c>
      <c r="L45" s="38">
        <f>'[1]2нед'!S293</f>
        <v>0</v>
      </c>
      <c r="M45" s="39">
        <f>'[1]2нед'!T293</f>
        <v>0</v>
      </c>
      <c r="N45" s="40">
        <f>'[1]2нед'!W293</f>
        <v>0</v>
      </c>
      <c r="O45" s="41" t="str">
        <f>'[1]2нед'!X293</f>
        <v/>
      </c>
      <c r="P45" s="42"/>
    </row>
    <row r="46" ht="31.5" spans="1:16">
      <c r="A46" s="36"/>
      <c r="B46" s="37"/>
      <c r="C46" s="29" t="s">
        <v>18</v>
      </c>
      <c r="D46" s="38">
        <f>'[1]1нед'!S294</f>
        <v>0</v>
      </c>
      <c r="E46" s="39">
        <f>'[1]1нед'!T294</f>
        <v>0</v>
      </c>
      <c r="F46" s="40">
        <f>'[1]1нед'!W294</f>
        <v>0</v>
      </c>
      <c r="G46" s="41" t="str">
        <f>'[1]1нед'!X294</f>
        <v/>
      </c>
      <c r="H46" s="42"/>
      <c r="I46" s="43"/>
      <c r="J46" s="44"/>
      <c r="K46" s="29" t="s">
        <v>18</v>
      </c>
      <c r="L46" s="38">
        <f>'[1]2нед'!S294</f>
        <v>0</v>
      </c>
      <c r="M46" s="39">
        <f>'[1]2нед'!T294</f>
        <v>0</v>
      </c>
      <c r="N46" s="40">
        <f>'[1]2нед'!W294</f>
        <v>0</v>
      </c>
      <c r="O46" s="41" t="str">
        <f>'[1]2нед'!X294</f>
        <v/>
      </c>
      <c r="P46" s="42"/>
    </row>
    <row r="47" ht="31.5" spans="1:16">
      <c r="A47" s="36"/>
      <c r="B47" s="37"/>
      <c r="C47" s="29" t="s">
        <v>19</v>
      </c>
      <c r="D47" s="38">
        <f>'[1]1нед'!S295</f>
        <v>0</v>
      </c>
      <c r="E47" s="39">
        <f>'[1]1нед'!T295</f>
        <v>0</v>
      </c>
      <c r="F47" s="40">
        <f>'[1]1нед'!W295</f>
        <v>0</v>
      </c>
      <c r="G47" s="41" t="str">
        <f>'[1]1нед'!X295</f>
        <v/>
      </c>
      <c r="H47" s="42"/>
      <c r="I47" s="43"/>
      <c r="J47" s="44"/>
      <c r="K47" s="29" t="s">
        <v>19</v>
      </c>
      <c r="L47" s="38">
        <f>'[1]2нед'!S295</f>
        <v>0</v>
      </c>
      <c r="M47" s="39">
        <f>'[1]2нед'!T295</f>
        <v>0</v>
      </c>
      <c r="N47" s="40">
        <f>'[1]2нед'!W295</f>
        <v>0</v>
      </c>
      <c r="O47" s="41" t="str">
        <f>'[1]2нед'!X295</f>
        <v/>
      </c>
      <c r="P47" s="42"/>
    </row>
    <row r="48" ht="31.5" spans="1:16">
      <c r="A48" s="36"/>
      <c r="B48" s="37"/>
      <c r="C48" s="29" t="s">
        <v>20</v>
      </c>
      <c r="D48" s="38">
        <f>'[1]1нед'!S296</f>
        <v>0</v>
      </c>
      <c r="E48" s="39">
        <f>'[1]1нед'!T296</f>
        <v>0</v>
      </c>
      <c r="F48" s="40">
        <f>'[1]1нед'!W296</f>
        <v>0</v>
      </c>
      <c r="G48" s="41" t="str">
        <f>'[1]1нед'!X296</f>
        <v/>
      </c>
      <c r="H48" s="42"/>
      <c r="I48" s="43"/>
      <c r="J48" s="44"/>
      <c r="K48" s="29" t="s">
        <v>20</v>
      </c>
      <c r="L48" s="38">
        <f>'[1]2нед'!S296</f>
        <v>0</v>
      </c>
      <c r="M48" s="39">
        <f>'[1]2нед'!T296</f>
        <v>0</v>
      </c>
      <c r="N48" s="40">
        <f>'[1]2нед'!W296</f>
        <v>0</v>
      </c>
      <c r="O48" s="41" t="str">
        <f>'[1]2нед'!X296</f>
        <v/>
      </c>
      <c r="P48" s="42"/>
    </row>
    <row r="49" ht="31.5" spans="1:16">
      <c r="A49" s="36"/>
      <c r="B49" s="37"/>
      <c r="C49" s="29" t="s">
        <v>21</v>
      </c>
      <c r="D49" s="38">
        <f>'[1]1нед'!S297</f>
        <v>0</v>
      </c>
      <c r="E49" s="39">
        <f>'[1]1нед'!T297</f>
        <v>0</v>
      </c>
      <c r="F49" s="40">
        <f>'[1]1нед'!W297</f>
        <v>0</v>
      </c>
      <c r="G49" s="41" t="str">
        <f>'[1]1нед'!X297</f>
        <v/>
      </c>
      <c r="H49" s="42"/>
      <c r="I49" s="43"/>
      <c r="J49" s="44"/>
      <c r="K49" s="29" t="s">
        <v>21</v>
      </c>
      <c r="L49" s="38">
        <f>'[1]2нед'!S297</f>
        <v>0</v>
      </c>
      <c r="M49" s="39">
        <f>'[1]2нед'!T297</f>
        <v>0</v>
      </c>
      <c r="N49" s="40">
        <f>'[1]2нед'!W297</f>
        <v>0</v>
      </c>
      <c r="O49" s="41" t="str">
        <f>'[1]2нед'!X297</f>
        <v/>
      </c>
      <c r="P49" s="42"/>
    </row>
    <row r="50" ht="32.25" spans="1:16">
      <c r="A50" s="36"/>
      <c r="B50" s="37"/>
      <c r="C50" s="29" t="s">
        <v>22</v>
      </c>
      <c r="D50" s="38">
        <f>'[1]1нед'!S298</f>
        <v>0</v>
      </c>
      <c r="E50" s="39">
        <f>'[1]1нед'!T298</f>
        <v>0</v>
      </c>
      <c r="F50" s="40">
        <f>'[1]1нед'!W298</f>
        <v>0</v>
      </c>
      <c r="G50" s="41" t="str">
        <f>'[1]1нед'!X298</f>
        <v/>
      </c>
      <c r="H50" s="42"/>
      <c r="I50" s="43"/>
      <c r="J50" s="44"/>
      <c r="K50" s="29" t="s">
        <v>22</v>
      </c>
      <c r="L50" s="38">
        <f>'[1]2нед'!S298</f>
        <v>0</v>
      </c>
      <c r="M50" s="39">
        <f>'[1]2нед'!T298</f>
        <v>0</v>
      </c>
      <c r="N50" s="40">
        <f>'[1]2нед'!W298</f>
        <v>0</v>
      </c>
      <c r="O50" s="41" t="str">
        <f>'[1]2нед'!X298</f>
        <v/>
      </c>
      <c r="P50" s="42"/>
    </row>
    <row r="51" ht="18.4" hidden="1" customHeight="1" spans="1:16">
      <c r="A51" s="45"/>
      <c r="B51" s="46"/>
      <c r="C51" s="47"/>
      <c r="D51" s="48">
        <f>'[1]1нед'!S299</f>
        <v>0</v>
      </c>
      <c r="E51" s="49">
        <f>'[1]1нед'!T299</f>
        <v>0</v>
      </c>
      <c r="F51" s="50">
        <f>'[1]1нед'!W299</f>
        <v>0</v>
      </c>
      <c r="G51" s="51" t="str">
        <f>'[1]1нед'!X299</f>
        <v/>
      </c>
      <c r="H51" s="52"/>
      <c r="I51" s="53"/>
      <c r="J51" s="54"/>
      <c r="K51" s="47"/>
      <c r="L51" s="48">
        <f>'[1]2нед'!S299</f>
        <v>0</v>
      </c>
      <c r="M51" s="49">
        <f>'[1]2нед'!T299</f>
        <v>0</v>
      </c>
      <c r="N51" s="50">
        <f>'[1]2нед'!W299</f>
        <v>0</v>
      </c>
      <c r="O51" s="51" t="str">
        <f>'[1]2нед'!X299</f>
        <v/>
      </c>
      <c r="P51" s="52"/>
    </row>
    <row r="52" ht="48" customHeight="1" spans="1:16">
      <c r="A52" s="27">
        <v>46270</v>
      </c>
      <c r="B52" s="28" t="s">
        <v>27</v>
      </c>
      <c r="C52" s="55" t="s">
        <v>16</v>
      </c>
      <c r="D52" s="30">
        <f>'[1]1нед'!S300</f>
        <v>0</v>
      </c>
      <c r="E52" s="31">
        <f>'[1]1нед'!T300</f>
        <v>0</v>
      </c>
      <c r="F52" s="32">
        <f>'[1]1нед'!W300</f>
        <v>0</v>
      </c>
      <c r="G52" s="33" t="str">
        <f>'[1]1нед'!X300</f>
        <v/>
      </c>
      <c r="H52" s="34"/>
      <c r="I52" s="27">
        <v>46277</v>
      </c>
      <c r="J52" s="35" t="s">
        <v>27</v>
      </c>
      <c r="K52" s="55" t="s">
        <v>16</v>
      </c>
      <c r="L52" s="30">
        <f>'[1]2нед'!S300</f>
        <v>0</v>
      </c>
      <c r="M52" s="31">
        <f>'[1]2нед'!T300</f>
        <v>0</v>
      </c>
      <c r="N52" s="32">
        <f>'[1]2нед'!W300</f>
        <v>0</v>
      </c>
      <c r="O52" s="33" t="str">
        <f>'[1]2нед'!X300</f>
        <v/>
      </c>
      <c r="P52" s="34"/>
    </row>
    <row r="53" ht="31.5" spans="1:16">
      <c r="A53" s="36"/>
      <c r="B53" s="37"/>
      <c r="C53" s="29" t="s">
        <v>17</v>
      </c>
      <c r="D53" s="38">
        <f>'[1]1нед'!S301</f>
        <v>0</v>
      </c>
      <c r="E53" s="39">
        <f>'[1]1нед'!T301</f>
        <v>0</v>
      </c>
      <c r="F53" s="40">
        <f>'[1]1нед'!W301</f>
        <v>0</v>
      </c>
      <c r="G53" s="41" t="str">
        <f>'[1]1нед'!X301</f>
        <v/>
      </c>
      <c r="H53" s="42"/>
      <c r="I53" s="43"/>
      <c r="J53" s="44"/>
      <c r="K53" s="29" t="s">
        <v>17</v>
      </c>
      <c r="L53" s="38">
        <f>'[1]2нед'!S301</f>
        <v>0</v>
      </c>
      <c r="M53" s="39">
        <f>'[1]2нед'!T301</f>
        <v>0</v>
      </c>
      <c r="N53" s="40">
        <f>'[1]2нед'!W301</f>
        <v>0</v>
      </c>
      <c r="O53" s="41" t="str">
        <f>'[1]2нед'!X301</f>
        <v/>
      </c>
      <c r="P53" s="42"/>
    </row>
    <row r="54" ht="31.5" spans="1:16">
      <c r="A54" s="36"/>
      <c r="B54" s="37"/>
      <c r="C54" s="29" t="s">
        <v>18</v>
      </c>
      <c r="D54" s="38">
        <f>'[1]1нед'!S302</f>
        <v>0</v>
      </c>
      <c r="E54" s="39">
        <f>'[1]1нед'!T302</f>
        <v>0</v>
      </c>
      <c r="F54" s="40">
        <f>'[1]1нед'!W302</f>
        <v>0</v>
      </c>
      <c r="G54" s="41" t="str">
        <f>'[1]1нед'!X302</f>
        <v/>
      </c>
      <c r="H54" s="63"/>
      <c r="I54" s="43"/>
      <c r="J54" s="44"/>
      <c r="K54" s="29" t="s">
        <v>18</v>
      </c>
      <c r="L54" s="38">
        <f>'[1]2нед'!S302</f>
        <v>0</v>
      </c>
      <c r="M54" s="39">
        <f>'[1]2нед'!T302</f>
        <v>0</v>
      </c>
      <c r="N54" s="40">
        <f>'[1]2нед'!W302</f>
        <v>0</v>
      </c>
      <c r="O54" s="41" t="str">
        <f>'[1]2нед'!X302</f>
        <v/>
      </c>
      <c r="P54" s="63"/>
    </row>
    <row r="55" ht="31.5" spans="1:16">
      <c r="A55" s="36"/>
      <c r="B55" s="37"/>
      <c r="C55" s="29" t="s">
        <v>19</v>
      </c>
      <c r="D55" s="38">
        <f>'[1]1нед'!S303</f>
        <v>0</v>
      </c>
      <c r="E55" s="39">
        <f>'[1]1нед'!T303</f>
        <v>0</v>
      </c>
      <c r="F55" s="40">
        <f>'[1]1нед'!W303</f>
        <v>0</v>
      </c>
      <c r="G55" s="41" t="str">
        <f>'[1]1нед'!X303</f>
        <v/>
      </c>
      <c r="H55" s="42"/>
      <c r="I55" s="43"/>
      <c r="J55" s="44"/>
      <c r="K55" s="29" t="s">
        <v>19</v>
      </c>
      <c r="L55" s="38">
        <f>'[1]2нед'!S303</f>
        <v>0</v>
      </c>
      <c r="M55" s="39">
        <f>'[1]2нед'!T303</f>
        <v>0</v>
      </c>
      <c r="N55" s="40">
        <f>'[1]2нед'!W303</f>
        <v>0</v>
      </c>
      <c r="O55" s="41" t="str">
        <f>'[1]2нед'!X303</f>
        <v/>
      </c>
      <c r="P55" s="42"/>
    </row>
    <row r="56" ht="31.5" spans="1:16">
      <c r="A56" s="36"/>
      <c r="B56" s="37"/>
      <c r="C56" s="29" t="s">
        <v>20</v>
      </c>
      <c r="D56" s="38">
        <f>'[1]1нед'!S304</f>
        <v>0</v>
      </c>
      <c r="E56" s="39">
        <f>'[1]1нед'!T304</f>
        <v>0</v>
      </c>
      <c r="F56" s="40">
        <f>'[1]1нед'!W304</f>
        <v>0</v>
      </c>
      <c r="G56" s="41" t="str">
        <f>'[1]1нед'!X304</f>
        <v/>
      </c>
      <c r="H56" s="42"/>
      <c r="I56" s="43"/>
      <c r="J56" s="44"/>
      <c r="K56" s="29" t="s">
        <v>20</v>
      </c>
      <c r="L56" s="38">
        <f>'[1]2нед'!S304</f>
        <v>0</v>
      </c>
      <c r="M56" s="39">
        <f>'[1]2нед'!T304</f>
        <v>0</v>
      </c>
      <c r="N56" s="40">
        <f>'[1]2нед'!W304</f>
        <v>0</v>
      </c>
      <c r="O56" s="41" t="str">
        <f>'[1]2нед'!X304</f>
        <v/>
      </c>
      <c r="P56" s="42"/>
    </row>
    <row r="57" ht="31.5" spans="1:16">
      <c r="A57" s="36"/>
      <c r="B57" s="37"/>
      <c r="C57" s="29" t="s">
        <v>21</v>
      </c>
      <c r="D57" s="38">
        <f>'[1]1нед'!S305</f>
        <v>0</v>
      </c>
      <c r="E57" s="39">
        <f>'[1]1нед'!T305</f>
        <v>0</v>
      </c>
      <c r="F57" s="40">
        <f>'[1]1нед'!W305</f>
        <v>0</v>
      </c>
      <c r="G57" s="41" t="str">
        <f>'[1]1нед'!X305</f>
        <v/>
      </c>
      <c r="H57" s="42"/>
      <c r="I57" s="43"/>
      <c r="J57" s="44"/>
      <c r="K57" s="29" t="s">
        <v>21</v>
      </c>
      <c r="L57" s="38">
        <f>'[1]2нед'!S305</f>
        <v>0</v>
      </c>
      <c r="M57" s="39">
        <f>'[1]2нед'!T305</f>
        <v>0</v>
      </c>
      <c r="N57" s="40">
        <f>'[1]2нед'!W305</f>
        <v>0</v>
      </c>
      <c r="O57" s="41" t="str">
        <f>'[1]2нед'!X305</f>
        <v/>
      </c>
      <c r="P57" s="42"/>
    </row>
    <row r="58" ht="32.25" spans="1:16">
      <c r="A58" s="36"/>
      <c r="B58" s="37"/>
      <c r="C58" s="29" t="s">
        <v>22</v>
      </c>
      <c r="D58" s="38">
        <f>'[1]1нед'!S306</f>
        <v>0</v>
      </c>
      <c r="E58" s="39">
        <f>'[1]1нед'!T306</f>
        <v>0</v>
      </c>
      <c r="F58" s="40">
        <f>'[1]1нед'!W306</f>
        <v>0</v>
      </c>
      <c r="G58" s="41" t="str">
        <f>'[1]1нед'!X306</f>
        <v/>
      </c>
      <c r="H58" s="42"/>
      <c r="I58" s="43"/>
      <c r="J58" s="44"/>
      <c r="K58" s="29" t="s">
        <v>22</v>
      </c>
      <c r="L58" s="38">
        <f>'[1]2нед'!S306</f>
        <v>0</v>
      </c>
      <c r="M58" s="39">
        <f>'[1]2нед'!T306</f>
        <v>0</v>
      </c>
      <c r="N58" s="40">
        <f>'[1]2нед'!W306</f>
        <v>0</v>
      </c>
      <c r="O58" s="41" t="str">
        <f>'[1]2нед'!X306</f>
        <v/>
      </c>
      <c r="P58" s="42"/>
    </row>
    <row r="59" ht="18.4" hidden="1" customHeight="1" spans="1:16">
      <c r="A59" s="45"/>
      <c r="B59" s="46"/>
      <c r="C59" s="47"/>
      <c r="D59" s="48">
        <f>'[1]1нед'!S59</f>
        <v>0</v>
      </c>
      <c r="E59" s="49">
        <f>'[1]1нед'!T59</f>
        <v>0</v>
      </c>
      <c r="F59" s="50">
        <f>'[1]1нед'!W59</f>
        <v>0</v>
      </c>
      <c r="G59" s="51" t="str">
        <f>'[1]1нед'!X59</f>
        <v/>
      </c>
      <c r="H59" s="52"/>
      <c r="I59" s="53"/>
      <c r="J59" s="54"/>
      <c r="K59" s="47"/>
      <c r="L59" s="48">
        <f>'[1]2нед'!S59</f>
        <v>0</v>
      </c>
      <c r="M59" s="49">
        <f>'[1]2нед'!T59</f>
        <v>0</v>
      </c>
      <c r="N59" s="50">
        <f>'[1]2нед'!W59</f>
        <v>0</v>
      </c>
      <c r="O59" s="51" t="str">
        <f>'[1]2нед'!X59</f>
        <v/>
      </c>
      <c r="P59" s="52"/>
    </row>
    <row r="60" ht="39" customHeight="1" spans="1:16">
      <c r="A60" s="64"/>
      <c r="B60" s="65"/>
      <c r="C60" s="66"/>
      <c r="D60" s="67"/>
      <c r="E60" s="67" t="s">
        <v>28</v>
      </c>
      <c r="F60" s="67"/>
      <c r="G60" s="68" t="s">
        <v>29</v>
      </c>
      <c r="H60" s="69"/>
      <c r="I60" s="64"/>
      <c r="J60" s="65"/>
      <c r="K60" s="66"/>
      <c r="L60" s="67"/>
      <c r="M60" s="67" t="s">
        <v>28</v>
      </c>
      <c r="N60" s="67"/>
      <c r="O60" s="68" t="s">
        <v>29</v>
      </c>
      <c r="P60" s="69"/>
    </row>
    <row r="61" ht="15.75" spans="1:16">
      <c r="A61" s="2"/>
      <c r="B61" s="3"/>
      <c r="C61" s="4"/>
      <c r="D61" s="5"/>
      <c r="E61" s="5"/>
      <c r="F61" s="5"/>
      <c r="G61" s="5"/>
      <c r="H61" s="6" t="s">
        <v>0</v>
      </c>
      <c r="I61" s="2"/>
      <c r="J61" s="3"/>
      <c r="K61" s="4"/>
      <c r="L61" s="5"/>
      <c r="M61" s="5"/>
      <c r="N61" s="5"/>
      <c r="O61" s="5"/>
      <c r="P61" s="6" t="s">
        <v>0</v>
      </c>
    </row>
    <row r="62" ht="15.75" spans="1:16">
      <c r="A62" s="2"/>
      <c r="B62" s="3"/>
      <c r="C62" s="4"/>
      <c r="D62" s="5"/>
      <c r="E62" s="5"/>
      <c r="F62" s="5"/>
      <c r="G62" s="5"/>
      <c r="H62" s="6" t="s">
        <v>1</v>
      </c>
      <c r="I62" s="2"/>
      <c r="J62" s="3"/>
      <c r="K62" s="4"/>
      <c r="L62" s="5"/>
      <c r="M62" s="5"/>
      <c r="N62" s="5"/>
      <c r="O62" s="5"/>
      <c r="P62" s="6" t="s">
        <v>1</v>
      </c>
    </row>
    <row r="63" ht="15.75" spans="1:16">
      <c r="A63" s="2"/>
      <c r="B63" s="3"/>
      <c r="C63" s="4"/>
      <c r="D63" s="5"/>
      <c r="E63" s="5"/>
      <c r="F63" s="5"/>
      <c r="G63" s="5"/>
      <c r="H63" s="6" t="s">
        <v>2</v>
      </c>
      <c r="I63" s="2"/>
      <c r="J63" s="3"/>
      <c r="K63" s="4"/>
      <c r="L63" s="5"/>
      <c r="M63" s="5"/>
      <c r="N63" s="5"/>
      <c r="O63" s="5"/>
      <c r="P63" s="6" t="s">
        <v>2</v>
      </c>
    </row>
    <row r="64" ht="15.75" spans="1:16">
      <c r="A64" s="2"/>
      <c r="B64" s="3"/>
      <c r="C64" s="4"/>
      <c r="D64" s="5"/>
      <c r="E64" s="5"/>
      <c r="F64" s="5"/>
      <c r="G64" s="5"/>
      <c r="H64" s="6" t="s">
        <v>3</v>
      </c>
      <c r="I64" s="2"/>
      <c r="J64" s="3"/>
      <c r="K64" s="4"/>
      <c r="L64" s="5"/>
      <c r="M64" s="5"/>
      <c r="N64" s="5"/>
      <c r="O64" s="5"/>
      <c r="P64" s="6" t="s">
        <v>3</v>
      </c>
    </row>
    <row r="65" ht="15.75" spans="1:16">
      <c r="A65" s="2"/>
      <c r="B65" s="7"/>
      <c r="C65" s="4"/>
      <c r="D65" s="5"/>
      <c r="E65" s="5"/>
      <c r="F65" s="5"/>
      <c r="G65" s="5"/>
      <c r="H65" s="5"/>
      <c r="I65" s="2"/>
      <c r="J65" s="7"/>
      <c r="K65" s="4"/>
      <c r="L65" s="5"/>
      <c r="M65" s="5"/>
      <c r="N65" s="5"/>
      <c r="O65" s="5"/>
      <c r="P65" s="5"/>
    </row>
    <row r="66" ht="15.75" spans="1:16">
      <c r="A66" s="2"/>
      <c r="B66" s="8" t="s">
        <v>4</v>
      </c>
      <c r="C66" s="8"/>
      <c r="D66" s="8"/>
      <c r="E66" s="8"/>
      <c r="F66" s="8"/>
      <c r="G66" s="8"/>
      <c r="H66" s="8"/>
      <c r="I66" s="2"/>
      <c r="J66" s="8" t="s">
        <v>4</v>
      </c>
      <c r="K66" s="8"/>
      <c r="L66" s="8"/>
      <c r="M66" s="8"/>
      <c r="N66" s="8"/>
      <c r="O66" s="8"/>
      <c r="P66" s="8"/>
    </row>
    <row r="67" ht="15.75" spans="1:16">
      <c r="A67" s="9"/>
      <c r="B67" s="10" t="str">
        <f>'[1]1нед'!$A$6</f>
        <v>Направление подготовки:</v>
      </c>
      <c r="C67" s="11"/>
      <c r="D67" s="12"/>
      <c r="E67" s="13" t="str">
        <f>E7</f>
        <v>00</v>
      </c>
      <c r="F67" s="12"/>
      <c r="G67" s="12"/>
      <c r="H67" s="14">
        <f>H7</f>
        <v>0</v>
      </c>
      <c r="I67" s="9"/>
      <c r="J67" s="10" t="str">
        <f>'[1]1нед'!$A$6</f>
        <v>Направление подготовки:</v>
      </c>
      <c r="K67" s="11"/>
      <c r="L67" s="12"/>
      <c r="M67" s="13" t="str">
        <f>E7</f>
        <v>00</v>
      </c>
      <c r="N67" s="12"/>
      <c r="O67" s="12"/>
      <c r="P67" s="14">
        <f>H7</f>
        <v>0</v>
      </c>
    </row>
    <row r="68" ht="15.75" spans="1:16">
      <c r="A68" s="2"/>
      <c r="B68" s="10" t="s">
        <v>5</v>
      </c>
      <c r="C68" s="10"/>
      <c r="D68" s="10"/>
      <c r="E68" s="10" t="str">
        <f>E8</f>
        <v>очно-заочная</v>
      </c>
      <c r="F68" s="10"/>
      <c r="G68" s="10"/>
      <c r="H68" s="10"/>
      <c r="I68" s="2"/>
      <c r="J68" s="10" t="s">
        <v>5</v>
      </c>
      <c r="K68" s="10"/>
      <c r="L68" s="10"/>
      <c r="M68" s="10" t="str">
        <f>E8</f>
        <v>очно-заочная</v>
      </c>
      <c r="N68" s="10"/>
      <c r="O68" s="10"/>
      <c r="P68" s="10"/>
    </row>
    <row r="69" ht="15.75" spans="1:16">
      <c r="A69" s="2"/>
      <c r="B69" s="10" t="s">
        <v>7</v>
      </c>
      <c r="C69" s="10"/>
      <c r="D69" s="10"/>
      <c r="E69" s="10">
        <f>E9</f>
        <v>3</v>
      </c>
      <c r="F69" s="10"/>
      <c r="G69" s="10"/>
      <c r="H69" s="15"/>
      <c r="I69" s="2"/>
      <c r="J69" s="10" t="s">
        <v>7</v>
      </c>
      <c r="K69" s="10"/>
      <c r="L69" s="10"/>
      <c r="M69" s="10">
        <f>E9</f>
        <v>3</v>
      </c>
      <c r="N69" s="10"/>
      <c r="O69" s="10"/>
      <c r="P69" s="15"/>
    </row>
    <row r="70" ht="16.5" spans="1:16">
      <c r="A70" s="2"/>
      <c r="B70" s="16" t="s">
        <v>8</v>
      </c>
      <c r="C70" s="16"/>
      <c r="D70" s="16"/>
      <c r="E70" s="16">
        <f>M10+1</f>
        <v>3</v>
      </c>
      <c r="F70" s="16"/>
      <c r="G70" s="16"/>
      <c r="H70" s="17"/>
      <c r="I70" s="2"/>
      <c r="J70" s="16" t="s">
        <v>8</v>
      </c>
      <c r="K70" s="16"/>
      <c r="L70" s="16"/>
      <c r="M70" s="16">
        <f>E70+1</f>
        <v>4</v>
      </c>
      <c r="N70" s="16"/>
      <c r="O70" s="16"/>
      <c r="P70" s="17"/>
    </row>
    <row r="71" ht="46.5" customHeight="1" spans="1:16">
      <c r="A71" s="19" t="s">
        <v>9</v>
      </c>
      <c r="B71" s="20"/>
      <c r="C71" s="21" t="s">
        <v>10</v>
      </c>
      <c r="D71" s="22" t="s">
        <v>11</v>
      </c>
      <c r="E71" s="23" t="s">
        <v>12</v>
      </c>
      <c r="F71" s="24" t="s">
        <v>13</v>
      </c>
      <c r="G71" s="25"/>
      <c r="H71" s="26" t="s">
        <v>14</v>
      </c>
      <c r="I71" s="19" t="s">
        <v>9</v>
      </c>
      <c r="J71" s="20"/>
      <c r="K71" s="21" t="s">
        <v>10</v>
      </c>
      <c r="L71" s="22" t="s">
        <v>11</v>
      </c>
      <c r="M71" s="23" t="s">
        <v>12</v>
      </c>
      <c r="N71" s="24" t="s">
        <v>13</v>
      </c>
      <c r="O71" s="25"/>
      <c r="P71" s="26" t="s">
        <v>14</v>
      </c>
    </row>
    <row r="72" ht="32.25" customHeight="1" spans="1:16">
      <c r="A72" s="27">
        <v>46279</v>
      </c>
      <c r="B72" s="28" t="s">
        <v>15</v>
      </c>
      <c r="C72" s="29" t="s">
        <v>16</v>
      </c>
      <c r="D72" s="30">
        <f>'[1]3нед'!S260</f>
        <v>0</v>
      </c>
      <c r="E72" s="31">
        <f>'[1]3нед'!T260</f>
        <v>0</v>
      </c>
      <c r="F72" s="32">
        <f>'[1]3нед'!W260</f>
        <v>0</v>
      </c>
      <c r="G72" s="33" t="str">
        <f>'[1]3нед'!X260</f>
        <v/>
      </c>
      <c r="H72" s="34"/>
      <c r="I72" s="27">
        <v>46286</v>
      </c>
      <c r="J72" s="35" t="s">
        <v>15</v>
      </c>
      <c r="K72" s="29" t="s">
        <v>16</v>
      </c>
      <c r="L72" s="30">
        <f>'[1]4нед'!S260</f>
        <v>0</v>
      </c>
      <c r="M72" s="31">
        <f>'[1]4нед'!T260</f>
        <v>0</v>
      </c>
      <c r="N72" s="32">
        <f>'[1]4нед'!W260</f>
        <v>0</v>
      </c>
      <c r="O72" s="33" t="str">
        <f>'[1]4нед'!X260</f>
        <v/>
      </c>
      <c r="P72" s="34"/>
    </row>
    <row r="73" ht="31.5" spans="1:16">
      <c r="A73" s="36"/>
      <c r="B73" s="37"/>
      <c r="C73" s="29" t="s">
        <v>17</v>
      </c>
      <c r="D73" s="38">
        <f>'[1]3нед'!S261</f>
        <v>0</v>
      </c>
      <c r="E73" s="39">
        <f>'[1]3нед'!T261</f>
        <v>0</v>
      </c>
      <c r="F73" s="40">
        <f>'[1]3нед'!W261</f>
        <v>0</v>
      </c>
      <c r="G73" s="41" t="str">
        <f>'[1]3нед'!X261</f>
        <v/>
      </c>
      <c r="H73" s="42"/>
      <c r="I73" s="43"/>
      <c r="J73" s="44"/>
      <c r="K73" s="29" t="s">
        <v>17</v>
      </c>
      <c r="L73" s="38">
        <f>'[1]4нед'!S261</f>
        <v>0</v>
      </c>
      <c r="M73" s="39">
        <f>'[1]4нед'!T261</f>
        <v>0</v>
      </c>
      <c r="N73" s="40">
        <f>'[1]4нед'!W261</f>
        <v>0</v>
      </c>
      <c r="O73" s="41" t="str">
        <f>'[1]4нед'!X261</f>
        <v/>
      </c>
      <c r="P73" s="42"/>
    </row>
    <row r="74" ht="31.5" spans="1:16">
      <c r="A74" s="36"/>
      <c r="B74" s="37"/>
      <c r="C74" s="29" t="s">
        <v>18</v>
      </c>
      <c r="D74" s="38">
        <f>'[1]3нед'!S262</f>
        <v>0</v>
      </c>
      <c r="E74" s="39">
        <f>'[1]3нед'!T262</f>
        <v>0</v>
      </c>
      <c r="F74" s="40">
        <f>'[1]3нед'!W262</f>
        <v>0</v>
      </c>
      <c r="G74" s="41" t="str">
        <f>'[1]3нед'!X262</f>
        <v/>
      </c>
      <c r="H74" s="42"/>
      <c r="I74" s="43"/>
      <c r="J74" s="44"/>
      <c r="K74" s="29" t="s">
        <v>18</v>
      </c>
      <c r="L74" s="38">
        <f>'[1]4нед'!S262</f>
        <v>0</v>
      </c>
      <c r="M74" s="39">
        <f>'[1]4нед'!T262</f>
        <v>0</v>
      </c>
      <c r="N74" s="40">
        <f>'[1]4нед'!W262</f>
        <v>0</v>
      </c>
      <c r="O74" s="41" t="str">
        <f>'[1]4нед'!X262</f>
        <v/>
      </c>
      <c r="P74" s="42"/>
    </row>
    <row r="75" ht="31.5" spans="1:16">
      <c r="A75" s="36"/>
      <c r="B75" s="37"/>
      <c r="C75" s="29" t="s">
        <v>19</v>
      </c>
      <c r="D75" s="38">
        <f>'[1]3нед'!S263</f>
        <v>0</v>
      </c>
      <c r="E75" s="39">
        <f>'[1]3нед'!T263</f>
        <v>0</v>
      </c>
      <c r="F75" s="40">
        <f>'[1]3нед'!W263</f>
        <v>0</v>
      </c>
      <c r="G75" s="41" t="str">
        <f>'[1]3нед'!X263</f>
        <v/>
      </c>
      <c r="H75" s="42"/>
      <c r="I75" s="43"/>
      <c r="J75" s="44"/>
      <c r="K75" s="29" t="s">
        <v>19</v>
      </c>
      <c r="L75" s="38">
        <f>'[1]4нед'!S263</f>
        <v>0</v>
      </c>
      <c r="M75" s="39">
        <f>'[1]4нед'!T263</f>
        <v>0</v>
      </c>
      <c r="N75" s="40">
        <f>'[1]4нед'!W263</f>
        <v>0</v>
      </c>
      <c r="O75" s="41" t="str">
        <f>'[1]4нед'!X263</f>
        <v/>
      </c>
      <c r="P75" s="42"/>
    </row>
    <row r="76" ht="31.5" spans="1:16">
      <c r="A76" s="36"/>
      <c r="B76" s="37"/>
      <c r="C76" s="29" t="s">
        <v>20</v>
      </c>
      <c r="D76" s="38">
        <f>'[1]3нед'!S264</f>
        <v>0</v>
      </c>
      <c r="E76" s="39">
        <f>'[1]3нед'!T264</f>
        <v>0</v>
      </c>
      <c r="F76" s="40">
        <f>'[1]3нед'!W264</f>
        <v>0</v>
      </c>
      <c r="G76" s="41" t="str">
        <f>'[1]3нед'!X264</f>
        <v/>
      </c>
      <c r="H76" s="42"/>
      <c r="I76" s="43"/>
      <c r="J76" s="44"/>
      <c r="K76" s="29" t="s">
        <v>20</v>
      </c>
      <c r="L76" s="38">
        <f>'[1]4нед'!S264</f>
        <v>0</v>
      </c>
      <c r="M76" s="39">
        <f>'[1]4нед'!T264</f>
        <v>0</v>
      </c>
      <c r="N76" s="40">
        <f>'[1]4нед'!W264</f>
        <v>0</v>
      </c>
      <c r="O76" s="41" t="str">
        <f>'[1]4нед'!X264</f>
        <v/>
      </c>
      <c r="P76" s="42"/>
    </row>
    <row r="77" ht="31.5" spans="1:16">
      <c r="A77" s="36"/>
      <c r="B77" s="37"/>
      <c r="C77" s="29" t="s">
        <v>21</v>
      </c>
      <c r="D77" s="38">
        <f>'[1]3нед'!S265</f>
        <v>0</v>
      </c>
      <c r="E77" s="39">
        <f>'[1]3нед'!T265</f>
        <v>0</v>
      </c>
      <c r="F77" s="40">
        <f>'[1]3нед'!W265</f>
        <v>0</v>
      </c>
      <c r="G77" s="41" t="str">
        <f>'[1]3нед'!X265</f>
        <v/>
      </c>
      <c r="H77" s="42"/>
      <c r="I77" s="43"/>
      <c r="J77" s="44"/>
      <c r="K77" s="29" t="s">
        <v>21</v>
      </c>
      <c r="L77" s="38">
        <f>'[1]4нед'!S265</f>
        <v>0</v>
      </c>
      <c r="M77" s="39">
        <f>'[1]4нед'!T265</f>
        <v>0</v>
      </c>
      <c r="N77" s="40">
        <f>'[1]4нед'!W265</f>
        <v>0</v>
      </c>
      <c r="O77" s="41" t="str">
        <f>'[1]4нед'!X265</f>
        <v/>
      </c>
      <c r="P77" s="42"/>
    </row>
    <row r="78" ht="32.25" spans="1:16">
      <c r="A78" s="36"/>
      <c r="B78" s="37"/>
      <c r="C78" s="29" t="s">
        <v>22</v>
      </c>
      <c r="D78" s="38">
        <f>'[1]3нед'!S266</f>
        <v>0</v>
      </c>
      <c r="E78" s="39">
        <f>'[1]3нед'!T266</f>
        <v>0</v>
      </c>
      <c r="F78" s="40">
        <f>'[1]3нед'!W266</f>
        <v>0</v>
      </c>
      <c r="G78" s="41" t="str">
        <f>'[1]3нед'!X266</f>
        <v/>
      </c>
      <c r="H78" s="42"/>
      <c r="I78" s="43"/>
      <c r="J78" s="44"/>
      <c r="K78" s="29" t="s">
        <v>22</v>
      </c>
      <c r="L78" s="38">
        <f>'[1]4нед'!S266</f>
        <v>0</v>
      </c>
      <c r="M78" s="39">
        <f>'[1]4нед'!T266</f>
        <v>0</v>
      </c>
      <c r="N78" s="40">
        <f>'[1]4нед'!W266</f>
        <v>0</v>
      </c>
      <c r="O78" s="41" t="str">
        <f>'[1]4нед'!X266</f>
        <v/>
      </c>
      <c r="P78" s="42"/>
    </row>
    <row r="79" ht="18.4" hidden="1" customHeight="1" spans="1:16">
      <c r="A79" s="45"/>
      <c r="B79" s="46"/>
      <c r="C79" s="47"/>
      <c r="D79" s="48">
        <f>'[1]3нед'!S267</f>
        <v>0</v>
      </c>
      <c r="E79" s="49">
        <f>'[1]3нед'!T267</f>
        <v>0</v>
      </c>
      <c r="F79" s="50">
        <f>'[1]3нед'!W267</f>
        <v>0</v>
      </c>
      <c r="G79" s="51" t="str">
        <f>'[1]3нед'!X267</f>
        <v/>
      </c>
      <c r="H79" s="52"/>
      <c r="I79" s="53"/>
      <c r="J79" s="54"/>
      <c r="K79" s="47"/>
      <c r="L79" s="48">
        <f>'[1]4нед'!S267</f>
        <v>0</v>
      </c>
      <c r="M79" s="49">
        <f>'[1]4нед'!T267</f>
        <v>0</v>
      </c>
      <c r="N79" s="50">
        <f>'[1]4нед'!W267</f>
        <v>0</v>
      </c>
      <c r="O79" s="51" t="str">
        <f>'[1]4нед'!X267</f>
        <v/>
      </c>
      <c r="P79" s="52"/>
    </row>
    <row r="80" ht="32.25" customHeight="1" spans="1:16">
      <c r="A80" s="27">
        <v>46280</v>
      </c>
      <c r="B80" s="28" t="s">
        <v>23</v>
      </c>
      <c r="C80" s="55" t="s">
        <v>16</v>
      </c>
      <c r="D80" s="30">
        <f>'[1]3нед'!S268</f>
        <v>0</v>
      </c>
      <c r="E80" s="31">
        <f>'[1]3нед'!T268</f>
        <v>0</v>
      </c>
      <c r="F80" s="32">
        <f>'[1]3нед'!W268</f>
        <v>0</v>
      </c>
      <c r="G80" s="33" t="str">
        <f>'[1]3нед'!X268</f>
        <v/>
      </c>
      <c r="H80" s="34"/>
      <c r="I80" s="27">
        <v>46287</v>
      </c>
      <c r="J80" s="35" t="s">
        <v>23</v>
      </c>
      <c r="K80" s="55" t="s">
        <v>16</v>
      </c>
      <c r="L80" s="30">
        <f>'[1]4нед'!S268</f>
        <v>0</v>
      </c>
      <c r="M80" s="31">
        <f>'[1]4нед'!T268</f>
        <v>0</v>
      </c>
      <c r="N80" s="32">
        <f>'[1]4нед'!W268</f>
        <v>0</v>
      </c>
      <c r="O80" s="33" t="str">
        <f>'[1]4нед'!X268</f>
        <v/>
      </c>
      <c r="P80" s="34"/>
    </row>
    <row r="81" ht="31.5" spans="1:16">
      <c r="A81" s="36"/>
      <c r="B81" s="37"/>
      <c r="C81" s="29" t="s">
        <v>17</v>
      </c>
      <c r="D81" s="38">
        <f>'[1]3нед'!S269</f>
        <v>0</v>
      </c>
      <c r="E81" s="39">
        <f>'[1]3нед'!T269</f>
        <v>0</v>
      </c>
      <c r="F81" s="40">
        <f>'[1]3нед'!W269</f>
        <v>0</v>
      </c>
      <c r="G81" s="41" t="str">
        <f>'[1]3нед'!X269</f>
        <v/>
      </c>
      <c r="H81" s="42"/>
      <c r="I81" s="43"/>
      <c r="J81" s="44"/>
      <c r="K81" s="29" t="s">
        <v>17</v>
      </c>
      <c r="L81" s="38">
        <f>'[1]4нед'!S269</f>
        <v>0</v>
      </c>
      <c r="M81" s="39">
        <f>'[1]4нед'!T269</f>
        <v>0</v>
      </c>
      <c r="N81" s="40">
        <f>'[1]4нед'!W269</f>
        <v>0</v>
      </c>
      <c r="O81" s="41" t="str">
        <f>'[1]4нед'!X269</f>
        <v/>
      </c>
      <c r="P81" s="42"/>
    </row>
    <row r="82" ht="31.5" spans="1:16">
      <c r="A82" s="36"/>
      <c r="B82" s="37"/>
      <c r="C82" s="29" t="s">
        <v>18</v>
      </c>
      <c r="D82" s="38">
        <f>'[1]3нед'!S270</f>
        <v>0</v>
      </c>
      <c r="E82" s="39">
        <f>'[1]3нед'!T270</f>
        <v>0</v>
      </c>
      <c r="F82" s="40">
        <f>'[1]3нед'!W270</f>
        <v>0</v>
      </c>
      <c r="G82" s="41" t="str">
        <f>'[1]3нед'!X270</f>
        <v/>
      </c>
      <c r="H82" s="42"/>
      <c r="I82" s="43"/>
      <c r="J82" s="44"/>
      <c r="K82" s="29" t="s">
        <v>18</v>
      </c>
      <c r="L82" s="38">
        <f>'[1]4нед'!S270</f>
        <v>0</v>
      </c>
      <c r="M82" s="39">
        <f>'[1]4нед'!T270</f>
        <v>0</v>
      </c>
      <c r="N82" s="40">
        <f>'[1]4нед'!W270</f>
        <v>0</v>
      </c>
      <c r="O82" s="41" t="str">
        <f>'[1]4нед'!X270</f>
        <v/>
      </c>
      <c r="P82" s="42"/>
    </row>
    <row r="83" ht="31.5" spans="1:16">
      <c r="A83" s="36"/>
      <c r="B83" s="37"/>
      <c r="C83" s="29" t="s">
        <v>19</v>
      </c>
      <c r="D83" s="38">
        <f>'[1]3нед'!S271</f>
        <v>0</v>
      </c>
      <c r="E83" s="39">
        <f>'[1]3нед'!T271</f>
        <v>0</v>
      </c>
      <c r="F83" s="40">
        <f>'[1]3нед'!W271</f>
        <v>0</v>
      </c>
      <c r="G83" s="41" t="str">
        <f>'[1]3нед'!X271</f>
        <v/>
      </c>
      <c r="H83" s="42"/>
      <c r="I83" s="43"/>
      <c r="J83" s="44"/>
      <c r="K83" s="29" t="s">
        <v>19</v>
      </c>
      <c r="L83" s="38">
        <f>'[1]4нед'!S271</f>
        <v>0</v>
      </c>
      <c r="M83" s="39">
        <f>'[1]4нед'!T271</f>
        <v>0</v>
      </c>
      <c r="N83" s="40">
        <f>'[1]4нед'!W271</f>
        <v>0</v>
      </c>
      <c r="O83" s="41" t="str">
        <f>'[1]4нед'!X271</f>
        <v/>
      </c>
      <c r="P83" s="42"/>
    </row>
    <row r="84" ht="31.5" spans="1:16">
      <c r="A84" s="36"/>
      <c r="B84" s="37"/>
      <c r="C84" s="29" t="s">
        <v>20</v>
      </c>
      <c r="D84" s="38">
        <f>'[1]3нед'!S272</f>
        <v>0</v>
      </c>
      <c r="E84" s="39">
        <f>'[1]3нед'!T272</f>
        <v>0</v>
      </c>
      <c r="F84" s="40">
        <f>'[1]3нед'!W272</f>
        <v>0</v>
      </c>
      <c r="G84" s="41" t="str">
        <f>'[1]3нед'!X272</f>
        <v/>
      </c>
      <c r="H84" s="42"/>
      <c r="I84" s="43"/>
      <c r="J84" s="44"/>
      <c r="K84" s="29" t="s">
        <v>20</v>
      </c>
      <c r="L84" s="38">
        <f>'[1]4нед'!S272</f>
        <v>0</v>
      </c>
      <c r="M84" s="39">
        <f>'[1]4нед'!T272</f>
        <v>0</v>
      </c>
      <c r="N84" s="40">
        <f>'[1]4нед'!W272</f>
        <v>0</v>
      </c>
      <c r="O84" s="41" t="str">
        <f>'[1]4нед'!X272</f>
        <v/>
      </c>
      <c r="P84" s="42"/>
    </row>
    <row r="85" ht="31.5" spans="1:16">
      <c r="A85" s="36"/>
      <c r="B85" s="37"/>
      <c r="C85" s="29" t="s">
        <v>21</v>
      </c>
      <c r="D85" s="38">
        <f>'[1]3нед'!S273</f>
        <v>0</v>
      </c>
      <c r="E85" s="39">
        <f>'[1]3нед'!T273</f>
        <v>0</v>
      </c>
      <c r="F85" s="40">
        <f>'[1]3нед'!W273</f>
        <v>0</v>
      </c>
      <c r="G85" s="41" t="str">
        <f>'[1]3нед'!X273</f>
        <v/>
      </c>
      <c r="H85" s="56"/>
      <c r="I85" s="43"/>
      <c r="J85" s="44"/>
      <c r="K85" s="29" t="s">
        <v>21</v>
      </c>
      <c r="L85" s="38">
        <f>'[1]4нед'!S273</f>
        <v>0</v>
      </c>
      <c r="M85" s="39">
        <f>'[1]4нед'!T273</f>
        <v>0</v>
      </c>
      <c r="N85" s="40">
        <f>'[1]4нед'!W273</f>
        <v>0</v>
      </c>
      <c r="O85" s="41" t="str">
        <f>'[1]4нед'!X273</f>
        <v/>
      </c>
      <c r="P85" s="56"/>
    </row>
    <row r="86" ht="32.25" spans="1:16">
      <c r="A86" s="36"/>
      <c r="B86" s="37"/>
      <c r="C86" s="29" t="s">
        <v>22</v>
      </c>
      <c r="D86" s="38">
        <f>'[1]3нед'!S274</f>
        <v>0</v>
      </c>
      <c r="E86" s="39">
        <f>'[1]3нед'!T274</f>
        <v>0</v>
      </c>
      <c r="F86" s="40">
        <f>'[1]3нед'!W274</f>
        <v>0</v>
      </c>
      <c r="G86" s="41" t="str">
        <f>'[1]3нед'!X274</f>
        <v/>
      </c>
      <c r="H86" s="56"/>
      <c r="I86" s="43"/>
      <c r="J86" s="44"/>
      <c r="K86" s="29" t="s">
        <v>22</v>
      </c>
      <c r="L86" s="38">
        <f>'[1]4нед'!S274</f>
        <v>0</v>
      </c>
      <c r="M86" s="39">
        <f>'[1]4нед'!T274</f>
        <v>0</v>
      </c>
      <c r="N86" s="40">
        <f>'[1]4нед'!W274</f>
        <v>0</v>
      </c>
      <c r="O86" s="41" t="str">
        <f>'[1]4нед'!X274</f>
        <v/>
      </c>
      <c r="P86" s="56"/>
    </row>
    <row r="87" ht="18.4" hidden="1" customHeight="1" spans="1:16">
      <c r="A87" s="45"/>
      <c r="B87" s="46"/>
      <c r="C87" s="47"/>
      <c r="D87" s="48">
        <f>'[1]3нед'!S275</f>
        <v>0</v>
      </c>
      <c r="E87" s="49">
        <f>'[1]3нед'!T275</f>
        <v>0</v>
      </c>
      <c r="F87" s="50">
        <f>'[1]3нед'!W275</f>
        <v>0</v>
      </c>
      <c r="G87" s="51" t="str">
        <f>'[1]3нед'!X275</f>
        <v/>
      </c>
      <c r="H87" s="52"/>
      <c r="I87" s="53"/>
      <c r="J87" s="54"/>
      <c r="K87" s="47"/>
      <c r="L87" s="48">
        <f>'[1]4нед'!S275</f>
        <v>0</v>
      </c>
      <c r="M87" s="49">
        <f>'[1]4нед'!T275</f>
        <v>0</v>
      </c>
      <c r="N87" s="50">
        <f>'[1]4нед'!W275</f>
        <v>0</v>
      </c>
      <c r="O87" s="51" t="str">
        <f>'[1]4нед'!X275</f>
        <v/>
      </c>
      <c r="P87" s="52"/>
    </row>
    <row r="88" ht="48" customHeight="1" spans="1:16">
      <c r="A88" s="27">
        <v>46281</v>
      </c>
      <c r="B88" s="57" t="s">
        <v>24</v>
      </c>
      <c r="C88" s="55" t="s">
        <v>16</v>
      </c>
      <c r="D88" s="30">
        <f>'[1]3нед'!S276</f>
        <v>0</v>
      </c>
      <c r="E88" s="31">
        <f>'[1]3нед'!T276</f>
        <v>0</v>
      </c>
      <c r="F88" s="32">
        <f>'[1]3нед'!W276</f>
        <v>0</v>
      </c>
      <c r="G88" s="33" t="str">
        <f>'[1]3нед'!X276</f>
        <v/>
      </c>
      <c r="H88" s="34"/>
      <c r="I88" s="27">
        <v>46288</v>
      </c>
      <c r="J88" s="58" t="s">
        <v>24</v>
      </c>
      <c r="K88" s="55" t="s">
        <v>16</v>
      </c>
      <c r="L88" s="30">
        <f>'[1]4нед'!S276</f>
        <v>0</v>
      </c>
      <c r="M88" s="31">
        <f>'[1]4нед'!T276</f>
        <v>0</v>
      </c>
      <c r="N88" s="32">
        <f>'[1]4нед'!W276</f>
        <v>0</v>
      </c>
      <c r="O88" s="33" t="str">
        <f>'[1]4нед'!X276</f>
        <v/>
      </c>
      <c r="P88" s="34"/>
    </row>
    <row r="89" ht="31.5" spans="1:16">
      <c r="A89" s="36"/>
      <c r="B89" s="59"/>
      <c r="C89" s="29" t="s">
        <v>17</v>
      </c>
      <c r="D89" s="38">
        <f>'[1]3нед'!S277</f>
        <v>0</v>
      </c>
      <c r="E89" s="39">
        <f>'[1]3нед'!T277</f>
        <v>0</v>
      </c>
      <c r="F89" s="40">
        <f>'[1]3нед'!W277</f>
        <v>0</v>
      </c>
      <c r="G89" s="41" t="str">
        <f>'[1]3нед'!X277</f>
        <v/>
      </c>
      <c r="H89" s="42"/>
      <c r="I89" s="43"/>
      <c r="J89" s="60"/>
      <c r="K89" s="29" t="s">
        <v>17</v>
      </c>
      <c r="L89" s="38">
        <f>'[1]4нед'!S277</f>
        <v>0</v>
      </c>
      <c r="M89" s="39">
        <f>'[1]4нед'!T277</f>
        <v>0</v>
      </c>
      <c r="N89" s="40">
        <f>'[1]4нед'!W277</f>
        <v>0</v>
      </c>
      <c r="O89" s="41" t="str">
        <f>'[1]4нед'!X277</f>
        <v/>
      </c>
      <c r="P89" s="42"/>
    </row>
    <row r="90" ht="31.5" spans="1:16">
      <c r="A90" s="36"/>
      <c r="B90" s="59"/>
      <c r="C90" s="29" t="s">
        <v>18</v>
      </c>
      <c r="D90" s="38">
        <f>'[1]3нед'!S278</f>
        <v>0</v>
      </c>
      <c r="E90" s="39">
        <f>'[1]3нед'!T278</f>
        <v>0</v>
      </c>
      <c r="F90" s="40">
        <f>'[1]3нед'!W278</f>
        <v>0</v>
      </c>
      <c r="G90" s="41" t="str">
        <f>'[1]3нед'!X278</f>
        <v/>
      </c>
      <c r="H90" s="42"/>
      <c r="I90" s="43"/>
      <c r="J90" s="60"/>
      <c r="K90" s="29" t="s">
        <v>18</v>
      </c>
      <c r="L90" s="38">
        <f>'[1]4нед'!S278</f>
        <v>0</v>
      </c>
      <c r="M90" s="39">
        <f>'[1]4нед'!T278</f>
        <v>0</v>
      </c>
      <c r="N90" s="40">
        <f>'[1]4нед'!W278</f>
        <v>0</v>
      </c>
      <c r="O90" s="41" t="str">
        <f>'[1]4нед'!X278</f>
        <v/>
      </c>
      <c r="P90" s="42"/>
    </row>
    <row r="91" ht="31.5" spans="1:16">
      <c r="A91" s="36"/>
      <c r="B91" s="59"/>
      <c r="C91" s="29" t="s">
        <v>19</v>
      </c>
      <c r="D91" s="38">
        <f>'[1]3нед'!S279</f>
        <v>0</v>
      </c>
      <c r="E91" s="39">
        <f>'[1]3нед'!T279</f>
        <v>0</v>
      </c>
      <c r="F91" s="40">
        <f>'[1]3нед'!W279</f>
        <v>0</v>
      </c>
      <c r="G91" s="41" t="str">
        <f>'[1]3нед'!X279</f>
        <v/>
      </c>
      <c r="H91" s="42"/>
      <c r="I91" s="43"/>
      <c r="J91" s="60"/>
      <c r="K91" s="29" t="s">
        <v>19</v>
      </c>
      <c r="L91" s="38">
        <f>'[1]4нед'!S279</f>
        <v>0</v>
      </c>
      <c r="M91" s="39">
        <f>'[1]4нед'!T279</f>
        <v>0</v>
      </c>
      <c r="N91" s="40">
        <f>'[1]4нед'!W279</f>
        <v>0</v>
      </c>
      <c r="O91" s="41" t="str">
        <f>'[1]4нед'!X279</f>
        <v/>
      </c>
      <c r="P91" s="42"/>
    </row>
    <row r="92" ht="31.5" spans="1:16">
      <c r="A92" s="36"/>
      <c r="B92" s="59"/>
      <c r="C92" s="29" t="s">
        <v>20</v>
      </c>
      <c r="D92" s="38">
        <f>'[1]3нед'!S280</f>
        <v>0</v>
      </c>
      <c r="E92" s="39">
        <f>'[1]3нед'!T280</f>
        <v>0</v>
      </c>
      <c r="F92" s="40">
        <f>'[1]3нед'!W280</f>
        <v>0</v>
      </c>
      <c r="G92" s="41" t="str">
        <f>'[1]3нед'!X280</f>
        <v/>
      </c>
      <c r="H92" s="42"/>
      <c r="I92" s="43"/>
      <c r="J92" s="60"/>
      <c r="K92" s="29" t="s">
        <v>20</v>
      </c>
      <c r="L92" s="38">
        <f>'[1]4нед'!S280</f>
        <v>0</v>
      </c>
      <c r="M92" s="39">
        <f>'[1]4нед'!T280</f>
        <v>0</v>
      </c>
      <c r="N92" s="40">
        <f>'[1]4нед'!W280</f>
        <v>0</v>
      </c>
      <c r="O92" s="41" t="str">
        <f>'[1]4нед'!X280</f>
        <v/>
      </c>
      <c r="P92" s="42"/>
    </row>
    <row r="93" ht="31.5" spans="1:16">
      <c r="A93" s="36"/>
      <c r="B93" s="59"/>
      <c r="C93" s="29" t="s">
        <v>21</v>
      </c>
      <c r="D93" s="38">
        <f>'[1]3нед'!S281</f>
        <v>0</v>
      </c>
      <c r="E93" s="39">
        <f>'[1]3нед'!T281</f>
        <v>0</v>
      </c>
      <c r="F93" s="40">
        <f>'[1]3нед'!W281</f>
        <v>0</v>
      </c>
      <c r="G93" s="41" t="str">
        <f>'[1]3нед'!X281</f>
        <v/>
      </c>
      <c r="H93" s="56"/>
      <c r="I93" s="43"/>
      <c r="J93" s="60"/>
      <c r="K93" s="29" t="s">
        <v>21</v>
      </c>
      <c r="L93" s="38">
        <f>'[1]4нед'!S281</f>
        <v>0</v>
      </c>
      <c r="M93" s="39">
        <f>'[1]4нед'!T281</f>
        <v>0</v>
      </c>
      <c r="N93" s="40">
        <f>'[1]4нед'!W281</f>
        <v>0</v>
      </c>
      <c r="O93" s="41" t="str">
        <f>'[1]4нед'!X281</f>
        <v/>
      </c>
      <c r="P93" s="56"/>
    </row>
    <row r="94" ht="32.25" spans="1:16">
      <c r="A94" s="36"/>
      <c r="B94" s="59"/>
      <c r="C94" s="29" t="s">
        <v>22</v>
      </c>
      <c r="D94" s="38">
        <f>'[1]3нед'!S282</f>
        <v>0</v>
      </c>
      <c r="E94" s="39">
        <f>'[1]3нед'!T282</f>
        <v>0</v>
      </c>
      <c r="F94" s="40">
        <f>'[1]3нед'!W282</f>
        <v>0</v>
      </c>
      <c r="G94" s="41" t="str">
        <f>'[1]3нед'!X282</f>
        <v/>
      </c>
      <c r="H94" s="56"/>
      <c r="I94" s="43"/>
      <c r="J94" s="60"/>
      <c r="K94" s="29" t="s">
        <v>22</v>
      </c>
      <c r="L94" s="38">
        <f>'[1]4нед'!S282</f>
        <v>0</v>
      </c>
      <c r="M94" s="39">
        <f>'[1]4нед'!T282</f>
        <v>0</v>
      </c>
      <c r="N94" s="40">
        <f>'[1]4нед'!W282</f>
        <v>0</v>
      </c>
      <c r="O94" s="41" t="str">
        <f>'[1]4нед'!X282</f>
        <v/>
      </c>
      <c r="P94" s="56"/>
    </row>
    <row r="95" ht="18.4" hidden="1" customHeight="1" spans="1:16">
      <c r="A95" s="45"/>
      <c r="B95" s="61"/>
      <c r="C95" s="47"/>
      <c r="D95" s="48">
        <f>'[1]3нед'!S283</f>
        <v>0</v>
      </c>
      <c r="E95" s="49">
        <f>'[1]3нед'!T283</f>
        <v>0</v>
      </c>
      <c r="F95" s="50">
        <f>'[1]3нед'!W283</f>
        <v>0</v>
      </c>
      <c r="G95" s="51" t="str">
        <f>'[1]3нед'!X283</f>
        <v/>
      </c>
      <c r="H95" s="52"/>
      <c r="I95" s="53"/>
      <c r="J95" s="62"/>
      <c r="K95" s="47"/>
      <c r="L95" s="48">
        <f>'[1]4нед'!S283</f>
        <v>0</v>
      </c>
      <c r="M95" s="49">
        <f>'[1]4нед'!T283</f>
        <v>0</v>
      </c>
      <c r="N95" s="50">
        <f>'[1]4нед'!W283</f>
        <v>0</v>
      </c>
      <c r="O95" s="51" t="str">
        <f>'[1]4нед'!X283</f>
        <v/>
      </c>
      <c r="P95" s="52"/>
    </row>
    <row r="96" ht="48" customHeight="1" spans="1:16">
      <c r="A96" s="27">
        <v>46282</v>
      </c>
      <c r="B96" s="28" t="s">
        <v>25</v>
      </c>
      <c r="C96" s="55" t="s">
        <v>16</v>
      </c>
      <c r="D96" s="30">
        <f>'[1]3нед'!S284</f>
        <v>0</v>
      </c>
      <c r="E96" s="31">
        <f>'[1]3нед'!T284</f>
        <v>0</v>
      </c>
      <c r="F96" s="32">
        <f>'[1]3нед'!W284</f>
        <v>0</v>
      </c>
      <c r="G96" s="33" t="str">
        <f>'[1]3нед'!X284</f>
        <v/>
      </c>
      <c r="H96" s="34"/>
      <c r="I96" s="27">
        <v>46289</v>
      </c>
      <c r="J96" s="35" t="s">
        <v>25</v>
      </c>
      <c r="K96" s="55" t="s">
        <v>16</v>
      </c>
      <c r="L96" s="30">
        <f>'[1]4нед'!S284</f>
        <v>0</v>
      </c>
      <c r="M96" s="31">
        <f>'[1]4нед'!T284</f>
        <v>0</v>
      </c>
      <c r="N96" s="32">
        <f>'[1]4нед'!W284</f>
        <v>0</v>
      </c>
      <c r="O96" s="33" t="str">
        <f>'[1]4нед'!X284</f>
        <v/>
      </c>
      <c r="P96" s="34"/>
    </row>
    <row r="97" ht="31.5" spans="1:16">
      <c r="A97" s="36"/>
      <c r="B97" s="37"/>
      <c r="C97" s="29" t="s">
        <v>17</v>
      </c>
      <c r="D97" s="38">
        <f>'[1]3нед'!S285</f>
        <v>0</v>
      </c>
      <c r="E97" s="39">
        <f>'[1]3нед'!T285</f>
        <v>0</v>
      </c>
      <c r="F97" s="40">
        <f>'[1]3нед'!W285</f>
        <v>0</v>
      </c>
      <c r="G97" s="41" t="str">
        <f>'[1]3нед'!X285</f>
        <v/>
      </c>
      <c r="H97" s="42"/>
      <c r="I97" s="43"/>
      <c r="J97" s="44"/>
      <c r="K97" s="29" t="s">
        <v>17</v>
      </c>
      <c r="L97" s="38">
        <f>'[1]4нед'!S285</f>
        <v>0</v>
      </c>
      <c r="M97" s="39">
        <f>'[1]4нед'!T285</f>
        <v>0</v>
      </c>
      <c r="N97" s="40">
        <f>'[1]4нед'!W285</f>
        <v>0</v>
      </c>
      <c r="O97" s="41" t="str">
        <f>'[1]4нед'!X285</f>
        <v/>
      </c>
      <c r="P97" s="42"/>
    </row>
    <row r="98" ht="31.5" spans="1:16">
      <c r="A98" s="36"/>
      <c r="B98" s="37"/>
      <c r="C98" s="29" t="s">
        <v>18</v>
      </c>
      <c r="D98" s="38">
        <f>'[1]3нед'!S286</f>
        <v>0</v>
      </c>
      <c r="E98" s="39">
        <f>'[1]3нед'!T286</f>
        <v>0</v>
      </c>
      <c r="F98" s="40">
        <f>'[1]3нед'!W286</f>
        <v>0</v>
      </c>
      <c r="G98" s="41" t="str">
        <f>'[1]3нед'!X286</f>
        <v/>
      </c>
      <c r="H98" s="42"/>
      <c r="I98" s="43"/>
      <c r="J98" s="44"/>
      <c r="K98" s="29" t="s">
        <v>18</v>
      </c>
      <c r="L98" s="38">
        <f>'[1]4нед'!S286</f>
        <v>0</v>
      </c>
      <c r="M98" s="39">
        <f>'[1]4нед'!T286</f>
        <v>0</v>
      </c>
      <c r="N98" s="40">
        <f>'[1]4нед'!W286</f>
        <v>0</v>
      </c>
      <c r="O98" s="41" t="str">
        <f>'[1]4нед'!X286</f>
        <v/>
      </c>
      <c r="P98" s="42"/>
    </row>
    <row r="99" ht="31.5" spans="1:16">
      <c r="A99" s="36"/>
      <c r="B99" s="37"/>
      <c r="C99" s="29" t="s">
        <v>19</v>
      </c>
      <c r="D99" s="38">
        <f>'[1]3нед'!S287</f>
        <v>0</v>
      </c>
      <c r="E99" s="39">
        <f>'[1]3нед'!T287</f>
        <v>0</v>
      </c>
      <c r="F99" s="40">
        <f>'[1]3нед'!W287</f>
        <v>0</v>
      </c>
      <c r="G99" s="41" t="str">
        <f>'[1]3нед'!X287</f>
        <v/>
      </c>
      <c r="H99" s="42"/>
      <c r="I99" s="43"/>
      <c r="J99" s="44"/>
      <c r="K99" s="29" t="s">
        <v>19</v>
      </c>
      <c r="L99" s="38">
        <f>'[1]4нед'!S287</f>
        <v>0</v>
      </c>
      <c r="M99" s="39">
        <f>'[1]4нед'!T287</f>
        <v>0</v>
      </c>
      <c r="N99" s="40">
        <f>'[1]4нед'!W287</f>
        <v>0</v>
      </c>
      <c r="O99" s="41" t="str">
        <f>'[1]4нед'!X287</f>
        <v/>
      </c>
      <c r="P99" s="42"/>
    </row>
    <row r="100" ht="31.5" spans="1:16">
      <c r="A100" s="36"/>
      <c r="B100" s="37"/>
      <c r="C100" s="29" t="s">
        <v>20</v>
      </c>
      <c r="D100" s="38">
        <f>'[1]3нед'!S288</f>
        <v>0</v>
      </c>
      <c r="E100" s="39">
        <f>'[1]3нед'!T288</f>
        <v>0</v>
      </c>
      <c r="F100" s="40">
        <f>'[1]3нед'!W288</f>
        <v>0</v>
      </c>
      <c r="G100" s="41" t="str">
        <f>'[1]3нед'!X288</f>
        <v/>
      </c>
      <c r="H100" s="42"/>
      <c r="I100" s="43"/>
      <c r="J100" s="44"/>
      <c r="K100" s="29" t="s">
        <v>20</v>
      </c>
      <c r="L100" s="38">
        <f>'[1]4нед'!S288</f>
        <v>0</v>
      </c>
      <c r="M100" s="39">
        <f>'[1]4нед'!T288</f>
        <v>0</v>
      </c>
      <c r="N100" s="40">
        <f>'[1]4нед'!W288</f>
        <v>0</v>
      </c>
      <c r="O100" s="41" t="str">
        <f>'[1]4нед'!X288</f>
        <v/>
      </c>
      <c r="P100" s="42"/>
    </row>
    <row r="101" ht="31.5" spans="1:16">
      <c r="A101" s="36"/>
      <c r="B101" s="37"/>
      <c r="C101" s="29" t="s">
        <v>21</v>
      </c>
      <c r="D101" s="38">
        <f>'[1]3нед'!S289</f>
        <v>0</v>
      </c>
      <c r="E101" s="39">
        <f>'[1]3нед'!T289</f>
        <v>0</v>
      </c>
      <c r="F101" s="40">
        <f>'[1]3нед'!W289</f>
        <v>0</v>
      </c>
      <c r="G101" s="41" t="str">
        <f>'[1]3нед'!X289</f>
        <v/>
      </c>
      <c r="H101" s="56"/>
      <c r="I101" s="43"/>
      <c r="J101" s="44"/>
      <c r="K101" s="29" t="s">
        <v>21</v>
      </c>
      <c r="L101" s="38">
        <f>'[1]4нед'!S289</f>
        <v>0</v>
      </c>
      <c r="M101" s="39">
        <f>'[1]4нед'!T289</f>
        <v>0</v>
      </c>
      <c r="N101" s="40">
        <f>'[1]4нед'!W289</f>
        <v>0</v>
      </c>
      <c r="O101" s="41" t="str">
        <f>'[1]4нед'!X289</f>
        <v/>
      </c>
      <c r="P101" s="56"/>
    </row>
    <row r="102" ht="32.25" spans="1:16">
      <c r="A102" s="36"/>
      <c r="B102" s="37"/>
      <c r="C102" s="29" t="s">
        <v>22</v>
      </c>
      <c r="D102" s="38">
        <f>'[1]3нед'!S290</f>
        <v>0</v>
      </c>
      <c r="E102" s="39">
        <f>'[1]3нед'!T290</f>
        <v>0</v>
      </c>
      <c r="F102" s="40">
        <f>'[1]3нед'!W290</f>
        <v>0</v>
      </c>
      <c r="G102" s="41" t="str">
        <f>'[1]3нед'!X290</f>
        <v/>
      </c>
      <c r="H102" s="56"/>
      <c r="I102" s="43"/>
      <c r="J102" s="44"/>
      <c r="K102" s="29" t="s">
        <v>22</v>
      </c>
      <c r="L102" s="38">
        <f>'[1]4нед'!S290</f>
        <v>0</v>
      </c>
      <c r="M102" s="39">
        <f>'[1]4нед'!T290</f>
        <v>0</v>
      </c>
      <c r="N102" s="40">
        <f>'[1]4нед'!W290</f>
        <v>0</v>
      </c>
      <c r="O102" s="41" t="str">
        <f>'[1]4нед'!X290</f>
        <v/>
      </c>
      <c r="P102" s="56"/>
    </row>
    <row r="103" ht="18.4" hidden="1" customHeight="1" spans="1:16">
      <c r="A103" s="45"/>
      <c r="B103" s="46"/>
      <c r="C103" s="47"/>
      <c r="D103" s="48">
        <f>'[1]3нед'!S291</f>
        <v>0</v>
      </c>
      <c r="E103" s="49">
        <f>'[1]3нед'!T291</f>
        <v>0</v>
      </c>
      <c r="F103" s="50">
        <f>'[1]3нед'!W291</f>
        <v>0</v>
      </c>
      <c r="G103" s="51" t="str">
        <f>'[1]3нед'!X291</f>
        <v/>
      </c>
      <c r="H103" s="52"/>
      <c r="I103" s="53"/>
      <c r="J103" s="54"/>
      <c r="K103" s="47"/>
      <c r="L103" s="48">
        <f>'[1]4нед'!S291</f>
        <v>0</v>
      </c>
      <c r="M103" s="49">
        <f>'[1]4нед'!T291</f>
        <v>0</v>
      </c>
      <c r="N103" s="50">
        <f>'[1]4нед'!W291</f>
        <v>0</v>
      </c>
      <c r="O103" s="51" t="str">
        <f>'[1]4нед'!X291</f>
        <v/>
      </c>
      <c r="P103" s="52"/>
    </row>
    <row r="104" ht="48" customHeight="1" spans="1:16">
      <c r="A104" s="27">
        <v>46283</v>
      </c>
      <c r="B104" s="28" t="s">
        <v>26</v>
      </c>
      <c r="C104" s="55" t="s">
        <v>16</v>
      </c>
      <c r="D104" s="30">
        <f>'[1]3нед'!S292</f>
        <v>0</v>
      </c>
      <c r="E104" s="31">
        <f>'[1]3нед'!T292</f>
        <v>0</v>
      </c>
      <c r="F104" s="32">
        <f>'[1]3нед'!W292</f>
        <v>0</v>
      </c>
      <c r="G104" s="33" t="str">
        <f>'[1]3нед'!X292</f>
        <v/>
      </c>
      <c r="H104" s="34"/>
      <c r="I104" s="27">
        <v>46290</v>
      </c>
      <c r="J104" s="35" t="s">
        <v>26</v>
      </c>
      <c r="K104" s="55" t="s">
        <v>16</v>
      </c>
      <c r="L104" s="30">
        <f>'[1]4нед'!S292</f>
        <v>0</v>
      </c>
      <c r="M104" s="31">
        <f>'[1]4нед'!T292</f>
        <v>0</v>
      </c>
      <c r="N104" s="32">
        <f>'[1]4нед'!W292</f>
        <v>0</v>
      </c>
      <c r="O104" s="33" t="str">
        <f>'[1]4нед'!X292</f>
        <v/>
      </c>
      <c r="P104" s="34"/>
    </row>
    <row r="105" ht="31.5" spans="1:16">
      <c r="A105" s="36"/>
      <c r="B105" s="37"/>
      <c r="C105" s="29" t="s">
        <v>17</v>
      </c>
      <c r="D105" s="38">
        <f>'[1]3нед'!S293</f>
        <v>0</v>
      </c>
      <c r="E105" s="39">
        <f>'[1]3нед'!T293</f>
        <v>0</v>
      </c>
      <c r="F105" s="40">
        <f>'[1]3нед'!W293</f>
        <v>0</v>
      </c>
      <c r="G105" s="41" t="str">
        <f>'[1]3нед'!X293</f>
        <v/>
      </c>
      <c r="H105" s="42"/>
      <c r="I105" s="43"/>
      <c r="J105" s="44"/>
      <c r="K105" s="29" t="s">
        <v>17</v>
      </c>
      <c r="L105" s="38">
        <f>'[1]4нед'!S293</f>
        <v>0</v>
      </c>
      <c r="M105" s="39">
        <f>'[1]4нед'!T293</f>
        <v>0</v>
      </c>
      <c r="N105" s="40">
        <f>'[1]4нед'!W293</f>
        <v>0</v>
      </c>
      <c r="O105" s="41" t="str">
        <f>'[1]4нед'!X293</f>
        <v/>
      </c>
      <c r="P105" s="42"/>
    </row>
    <row r="106" ht="31.5" spans="1:16">
      <c r="A106" s="36"/>
      <c r="B106" s="37"/>
      <c r="C106" s="29" t="s">
        <v>18</v>
      </c>
      <c r="D106" s="38">
        <f>'[1]3нед'!S294</f>
        <v>0</v>
      </c>
      <c r="E106" s="39">
        <f>'[1]3нед'!T294</f>
        <v>0</v>
      </c>
      <c r="F106" s="40">
        <f>'[1]3нед'!W294</f>
        <v>0</v>
      </c>
      <c r="G106" s="41" t="str">
        <f>'[1]3нед'!X294</f>
        <v/>
      </c>
      <c r="H106" s="42"/>
      <c r="I106" s="43"/>
      <c r="J106" s="44"/>
      <c r="K106" s="29" t="s">
        <v>18</v>
      </c>
      <c r="L106" s="38">
        <f>'[1]4нед'!S294</f>
        <v>0</v>
      </c>
      <c r="M106" s="39">
        <f>'[1]4нед'!T294</f>
        <v>0</v>
      </c>
      <c r="N106" s="40">
        <f>'[1]4нед'!W294</f>
        <v>0</v>
      </c>
      <c r="O106" s="41" t="str">
        <f>'[1]4нед'!X294</f>
        <v/>
      </c>
      <c r="P106" s="42"/>
    </row>
    <row r="107" ht="31.5" spans="1:16">
      <c r="A107" s="36"/>
      <c r="B107" s="37"/>
      <c r="C107" s="29" t="s">
        <v>19</v>
      </c>
      <c r="D107" s="38">
        <f>'[1]3нед'!S295</f>
        <v>0</v>
      </c>
      <c r="E107" s="39">
        <f>'[1]3нед'!T295</f>
        <v>0</v>
      </c>
      <c r="F107" s="40">
        <f>'[1]3нед'!W295</f>
        <v>0</v>
      </c>
      <c r="G107" s="41" t="str">
        <f>'[1]3нед'!X295</f>
        <v/>
      </c>
      <c r="H107" s="42"/>
      <c r="I107" s="43"/>
      <c r="J107" s="44"/>
      <c r="K107" s="29" t="s">
        <v>19</v>
      </c>
      <c r="L107" s="38">
        <f>'[1]4нед'!S295</f>
        <v>0</v>
      </c>
      <c r="M107" s="39">
        <f>'[1]4нед'!T295</f>
        <v>0</v>
      </c>
      <c r="N107" s="40">
        <f>'[1]4нед'!W295</f>
        <v>0</v>
      </c>
      <c r="O107" s="41" t="str">
        <f>'[1]4нед'!X295</f>
        <v/>
      </c>
      <c r="P107" s="42"/>
    </row>
    <row r="108" ht="31.5" spans="1:16">
      <c r="A108" s="36"/>
      <c r="B108" s="37"/>
      <c r="C108" s="29" t="s">
        <v>20</v>
      </c>
      <c r="D108" s="38">
        <f>'[1]3нед'!S296</f>
        <v>0</v>
      </c>
      <c r="E108" s="39">
        <f>'[1]3нед'!T296</f>
        <v>0</v>
      </c>
      <c r="F108" s="40">
        <f>'[1]3нед'!W296</f>
        <v>0</v>
      </c>
      <c r="G108" s="41" t="str">
        <f>'[1]3нед'!X296</f>
        <v/>
      </c>
      <c r="H108" s="42"/>
      <c r="I108" s="43"/>
      <c r="J108" s="44"/>
      <c r="K108" s="29" t="s">
        <v>20</v>
      </c>
      <c r="L108" s="38">
        <f>'[1]4нед'!S296</f>
        <v>0</v>
      </c>
      <c r="M108" s="39">
        <f>'[1]4нед'!T296</f>
        <v>0</v>
      </c>
      <c r="N108" s="40">
        <f>'[1]4нед'!W296</f>
        <v>0</v>
      </c>
      <c r="O108" s="41" t="str">
        <f>'[1]4нед'!X296</f>
        <v/>
      </c>
      <c r="P108" s="42"/>
    </row>
    <row r="109" ht="31.5" spans="1:16">
      <c r="A109" s="36"/>
      <c r="B109" s="37"/>
      <c r="C109" s="29" t="s">
        <v>21</v>
      </c>
      <c r="D109" s="38">
        <f>'[1]3нед'!S297</f>
        <v>0</v>
      </c>
      <c r="E109" s="39">
        <f>'[1]3нед'!T297</f>
        <v>0</v>
      </c>
      <c r="F109" s="40">
        <f>'[1]3нед'!W297</f>
        <v>0</v>
      </c>
      <c r="G109" s="41" t="str">
        <f>'[1]3нед'!X297</f>
        <v/>
      </c>
      <c r="H109" s="42"/>
      <c r="I109" s="43"/>
      <c r="J109" s="44"/>
      <c r="K109" s="29" t="s">
        <v>21</v>
      </c>
      <c r="L109" s="38">
        <f>'[1]4нед'!S297</f>
        <v>0</v>
      </c>
      <c r="M109" s="39">
        <f>'[1]4нед'!T297</f>
        <v>0</v>
      </c>
      <c r="N109" s="40">
        <f>'[1]4нед'!W297</f>
        <v>0</v>
      </c>
      <c r="O109" s="41" t="str">
        <f>'[1]4нед'!X297</f>
        <v/>
      </c>
      <c r="P109" s="42"/>
    </row>
    <row r="110" ht="32.25" spans="1:16">
      <c r="A110" s="36"/>
      <c r="B110" s="37"/>
      <c r="C110" s="29" t="s">
        <v>22</v>
      </c>
      <c r="D110" s="38">
        <f>'[1]3нед'!S298</f>
        <v>0</v>
      </c>
      <c r="E110" s="39">
        <f>'[1]3нед'!T298</f>
        <v>0</v>
      </c>
      <c r="F110" s="40">
        <f>'[1]3нед'!W298</f>
        <v>0</v>
      </c>
      <c r="G110" s="41" t="str">
        <f>'[1]3нед'!X298</f>
        <v/>
      </c>
      <c r="H110" s="42"/>
      <c r="I110" s="43"/>
      <c r="J110" s="44"/>
      <c r="K110" s="29" t="s">
        <v>22</v>
      </c>
      <c r="L110" s="38">
        <f>'[1]4нед'!S298</f>
        <v>0</v>
      </c>
      <c r="M110" s="39">
        <f>'[1]4нед'!T298</f>
        <v>0</v>
      </c>
      <c r="N110" s="40">
        <f>'[1]4нед'!W298</f>
        <v>0</v>
      </c>
      <c r="O110" s="41" t="str">
        <f>'[1]4нед'!X298</f>
        <v/>
      </c>
      <c r="P110" s="42"/>
    </row>
    <row r="111" ht="18.4" hidden="1" customHeight="1" spans="1:16">
      <c r="A111" s="45"/>
      <c r="B111" s="46"/>
      <c r="C111" s="47"/>
      <c r="D111" s="48">
        <f>'[1]3нед'!S299</f>
        <v>0</v>
      </c>
      <c r="E111" s="49">
        <f>'[1]3нед'!T299</f>
        <v>0</v>
      </c>
      <c r="F111" s="50">
        <f>'[1]3нед'!W299</f>
        <v>0</v>
      </c>
      <c r="G111" s="51" t="str">
        <f>'[1]3нед'!X299</f>
        <v/>
      </c>
      <c r="H111" s="52"/>
      <c r="I111" s="53"/>
      <c r="J111" s="54"/>
      <c r="K111" s="47"/>
      <c r="L111" s="48">
        <f>'[1]4нед'!S299</f>
        <v>0</v>
      </c>
      <c r="M111" s="49">
        <f>'[1]4нед'!T299</f>
        <v>0</v>
      </c>
      <c r="N111" s="50">
        <f>'[1]4нед'!W299</f>
        <v>0</v>
      </c>
      <c r="O111" s="51" t="str">
        <f>'[1]4нед'!X299</f>
        <v/>
      </c>
      <c r="P111" s="52"/>
    </row>
    <row r="112" ht="48" customHeight="1" spans="1:16">
      <c r="A112" s="27">
        <v>46284</v>
      </c>
      <c r="B112" s="28" t="s">
        <v>27</v>
      </c>
      <c r="C112" s="55" t="s">
        <v>16</v>
      </c>
      <c r="D112" s="30">
        <f>'[1]3нед'!S300</f>
        <v>0</v>
      </c>
      <c r="E112" s="31">
        <f>'[1]3нед'!T300</f>
        <v>0</v>
      </c>
      <c r="F112" s="32">
        <f>'[1]3нед'!W300</f>
        <v>0</v>
      </c>
      <c r="G112" s="33" t="str">
        <f>'[1]3нед'!X300</f>
        <v/>
      </c>
      <c r="H112" s="34"/>
      <c r="I112" s="27">
        <v>46291</v>
      </c>
      <c r="J112" s="35" t="s">
        <v>27</v>
      </c>
      <c r="K112" s="55" t="s">
        <v>16</v>
      </c>
      <c r="L112" s="30">
        <f>'[1]4нед'!S300</f>
        <v>0</v>
      </c>
      <c r="M112" s="31">
        <f>'[1]4нед'!T300</f>
        <v>0</v>
      </c>
      <c r="N112" s="32">
        <f>'[1]4нед'!W300</f>
        <v>0</v>
      </c>
      <c r="O112" s="33" t="str">
        <f>'[1]4нед'!X300</f>
        <v/>
      </c>
      <c r="P112" s="34"/>
    </row>
    <row r="113" ht="31.5" spans="1:16">
      <c r="A113" s="36"/>
      <c r="B113" s="37"/>
      <c r="C113" s="29" t="s">
        <v>17</v>
      </c>
      <c r="D113" s="38">
        <f>'[1]3нед'!S301</f>
        <v>0</v>
      </c>
      <c r="E113" s="39">
        <f>'[1]3нед'!T301</f>
        <v>0</v>
      </c>
      <c r="F113" s="40">
        <f>'[1]3нед'!W301</f>
        <v>0</v>
      </c>
      <c r="G113" s="41" t="str">
        <f>'[1]3нед'!X301</f>
        <v/>
      </c>
      <c r="H113" s="42"/>
      <c r="I113" s="43"/>
      <c r="J113" s="44"/>
      <c r="K113" s="29" t="s">
        <v>17</v>
      </c>
      <c r="L113" s="38">
        <f>'[1]4нед'!S301</f>
        <v>0</v>
      </c>
      <c r="M113" s="39">
        <f>'[1]4нед'!T301</f>
        <v>0</v>
      </c>
      <c r="N113" s="40">
        <f>'[1]4нед'!W301</f>
        <v>0</v>
      </c>
      <c r="O113" s="41" t="str">
        <f>'[1]4нед'!X301</f>
        <v/>
      </c>
      <c r="P113" s="42"/>
    </row>
    <row r="114" ht="31.5" spans="1:16">
      <c r="A114" s="36"/>
      <c r="B114" s="37"/>
      <c r="C114" s="29" t="s">
        <v>18</v>
      </c>
      <c r="D114" s="38">
        <f>'[1]3нед'!S302</f>
        <v>0</v>
      </c>
      <c r="E114" s="39">
        <f>'[1]3нед'!T302</f>
        <v>0</v>
      </c>
      <c r="F114" s="40">
        <f>'[1]3нед'!W302</f>
        <v>0</v>
      </c>
      <c r="G114" s="41" t="str">
        <f>'[1]3нед'!X302</f>
        <v/>
      </c>
      <c r="H114" s="63"/>
      <c r="I114" s="43"/>
      <c r="J114" s="44"/>
      <c r="K114" s="29" t="s">
        <v>18</v>
      </c>
      <c r="L114" s="38">
        <f>'[1]4нед'!S302</f>
        <v>0</v>
      </c>
      <c r="M114" s="39">
        <f>'[1]4нед'!T302</f>
        <v>0</v>
      </c>
      <c r="N114" s="40">
        <f>'[1]4нед'!W302</f>
        <v>0</v>
      </c>
      <c r="O114" s="41" t="str">
        <f>'[1]4нед'!X302</f>
        <v/>
      </c>
      <c r="P114" s="63"/>
    </row>
    <row r="115" ht="31.5" spans="1:16">
      <c r="A115" s="36"/>
      <c r="B115" s="37"/>
      <c r="C115" s="29" t="s">
        <v>19</v>
      </c>
      <c r="D115" s="38">
        <f>'[1]3нед'!S303</f>
        <v>0</v>
      </c>
      <c r="E115" s="39">
        <f>'[1]3нед'!T303</f>
        <v>0</v>
      </c>
      <c r="F115" s="40">
        <f>'[1]3нед'!W303</f>
        <v>0</v>
      </c>
      <c r="G115" s="41" t="str">
        <f>'[1]3нед'!X303</f>
        <v/>
      </c>
      <c r="H115" s="42"/>
      <c r="I115" s="43"/>
      <c r="J115" s="44"/>
      <c r="K115" s="29" t="s">
        <v>19</v>
      </c>
      <c r="L115" s="38">
        <f>'[1]4нед'!S303</f>
        <v>0</v>
      </c>
      <c r="M115" s="39">
        <f>'[1]4нед'!T303</f>
        <v>0</v>
      </c>
      <c r="N115" s="40">
        <f>'[1]4нед'!W303</f>
        <v>0</v>
      </c>
      <c r="O115" s="41" t="str">
        <f>'[1]4нед'!X303</f>
        <v/>
      </c>
      <c r="P115" s="42"/>
    </row>
    <row r="116" ht="31.5" spans="1:16">
      <c r="A116" s="36"/>
      <c r="B116" s="37"/>
      <c r="C116" s="29" t="s">
        <v>20</v>
      </c>
      <c r="D116" s="38">
        <f>'[1]3нед'!S304</f>
        <v>0</v>
      </c>
      <c r="E116" s="39">
        <f>'[1]3нед'!T304</f>
        <v>0</v>
      </c>
      <c r="F116" s="40">
        <f>'[1]3нед'!W304</f>
        <v>0</v>
      </c>
      <c r="G116" s="41" t="str">
        <f>'[1]3нед'!X304</f>
        <v/>
      </c>
      <c r="H116" s="42"/>
      <c r="I116" s="43"/>
      <c r="J116" s="44"/>
      <c r="K116" s="29" t="s">
        <v>20</v>
      </c>
      <c r="L116" s="38">
        <f>'[1]4нед'!S304</f>
        <v>0</v>
      </c>
      <c r="M116" s="39">
        <f>'[1]4нед'!T304</f>
        <v>0</v>
      </c>
      <c r="N116" s="40">
        <f>'[1]4нед'!W304</f>
        <v>0</v>
      </c>
      <c r="O116" s="41" t="str">
        <f>'[1]4нед'!X304</f>
        <v/>
      </c>
      <c r="P116" s="42"/>
    </row>
    <row r="117" ht="31.5" spans="1:16">
      <c r="A117" s="36"/>
      <c r="B117" s="37"/>
      <c r="C117" s="29" t="s">
        <v>21</v>
      </c>
      <c r="D117" s="38">
        <f>'[1]3нед'!S305</f>
        <v>0</v>
      </c>
      <c r="E117" s="39">
        <f>'[1]3нед'!T305</f>
        <v>0</v>
      </c>
      <c r="F117" s="40">
        <f>'[1]3нед'!W305</f>
        <v>0</v>
      </c>
      <c r="G117" s="41" t="str">
        <f>'[1]3нед'!X305</f>
        <v/>
      </c>
      <c r="H117" s="42"/>
      <c r="I117" s="43"/>
      <c r="J117" s="44"/>
      <c r="K117" s="29" t="s">
        <v>21</v>
      </c>
      <c r="L117" s="38">
        <f>'[1]4нед'!S305</f>
        <v>0</v>
      </c>
      <c r="M117" s="39">
        <f>'[1]4нед'!T305</f>
        <v>0</v>
      </c>
      <c r="N117" s="40">
        <f>'[1]4нед'!W305</f>
        <v>0</v>
      </c>
      <c r="O117" s="41" t="str">
        <f>'[1]4нед'!X305</f>
        <v/>
      </c>
      <c r="P117" s="42"/>
    </row>
    <row r="118" ht="32.25" spans="1:16">
      <c r="A118" s="36"/>
      <c r="B118" s="37"/>
      <c r="C118" s="29" t="s">
        <v>22</v>
      </c>
      <c r="D118" s="38">
        <f>'[1]3нед'!S306</f>
        <v>0</v>
      </c>
      <c r="E118" s="39">
        <f>'[1]3нед'!T306</f>
        <v>0</v>
      </c>
      <c r="F118" s="40">
        <f>'[1]3нед'!W306</f>
        <v>0</v>
      </c>
      <c r="G118" s="41" t="str">
        <f>'[1]3нед'!X306</f>
        <v/>
      </c>
      <c r="H118" s="42"/>
      <c r="I118" s="43"/>
      <c r="J118" s="44"/>
      <c r="K118" s="29" t="s">
        <v>22</v>
      </c>
      <c r="L118" s="38">
        <f>'[1]4нед'!S306</f>
        <v>0</v>
      </c>
      <c r="M118" s="39">
        <f>'[1]4нед'!T306</f>
        <v>0</v>
      </c>
      <c r="N118" s="40">
        <f>'[1]4нед'!W306</f>
        <v>0</v>
      </c>
      <c r="O118" s="41" t="str">
        <f>'[1]4нед'!X306</f>
        <v/>
      </c>
      <c r="P118" s="42"/>
    </row>
    <row r="119" ht="19.15" hidden="1" customHeight="1" spans="1:16">
      <c r="A119" s="45"/>
      <c r="B119" s="46"/>
      <c r="C119" s="47"/>
      <c r="D119" s="30">
        <f>'[1]3нед'!S307</f>
        <v>0</v>
      </c>
      <c r="E119" s="31">
        <f>'[1]3нед'!T307</f>
        <v>0</v>
      </c>
      <c r="F119" s="32">
        <f>'[1]3нед'!W307</f>
        <v>0</v>
      </c>
      <c r="G119" s="33" t="str">
        <f>'[1]3нед'!X307</f>
        <v/>
      </c>
      <c r="H119" s="52"/>
      <c r="I119" s="53"/>
      <c r="J119" s="54"/>
      <c r="K119" s="47"/>
      <c r="L119" s="30">
        <f>'[1]4нед'!S245</f>
        <v>0</v>
      </c>
      <c r="M119" s="31">
        <f>'[1]4нед'!T245</f>
        <v>0</v>
      </c>
      <c r="N119" s="32">
        <f>'[1]4нед'!W245</f>
        <v>0</v>
      </c>
      <c r="O119" s="33" t="str">
        <f>'[1]4нед'!X245</f>
        <v/>
      </c>
      <c r="P119" s="52"/>
    </row>
    <row r="120" ht="39" customHeight="1" spans="1:16">
      <c r="A120" s="64"/>
      <c r="B120" s="65"/>
      <c r="C120" s="66"/>
      <c r="D120" s="67"/>
      <c r="E120" s="67" t="s">
        <v>28</v>
      </c>
      <c r="F120" s="67"/>
      <c r="G120" s="68" t="s">
        <v>29</v>
      </c>
      <c r="H120" s="69"/>
      <c r="I120" s="64"/>
      <c r="J120" s="65"/>
      <c r="K120" s="66"/>
      <c r="L120" s="67"/>
      <c r="M120" s="67" t="s">
        <v>28</v>
      </c>
      <c r="N120" s="67"/>
      <c r="O120" s="68" t="s">
        <v>29</v>
      </c>
      <c r="P120" s="69"/>
    </row>
    <row r="121" ht="15.75" spans="1:16">
      <c r="A121" s="2"/>
      <c r="B121" s="3"/>
      <c r="C121" s="4"/>
      <c r="D121" s="5"/>
      <c r="E121" s="5"/>
      <c r="F121" s="5"/>
      <c r="G121" s="5"/>
      <c r="H121" s="6" t="s">
        <v>0</v>
      </c>
      <c r="I121" s="2"/>
      <c r="J121" s="3"/>
      <c r="K121" s="4"/>
      <c r="L121" s="5"/>
      <c r="M121" s="5"/>
      <c r="N121" s="5"/>
      <c r="O121" s="5"/>
      <c r="P121" s="6" t="s">
        <v>0</v>
      </c>
    </row>
    <row r="122" ht="15.75" spans="1:16">
      <c r="A122" s="2"/>
      <c r="B122" s="3"/>
      <c r="C122" s="4"/>
      <c r="D122" s="5"/>
      <c r="E122" s="5"/>
      <c r="F122" s="5"/>
      <c r="G122" s="5"/>
      <c r="H122" s="6" t="s">
        <v>1</v>
      </c>
      <c r="I122" s="2"/>
      <c r="J122" s="3"/>
      <c r="K122" s="4"/>
      <c r="L122" s="5"/>
      <c r="M122" s="5"/>
      <c r="N122" s="5"/>
      <c r="O122" s="5"/>
      <c r="P122" s="6" t="s">
        <v>1</v>
      </c>
    </row>
    <row r="123" ht="15.75" spans="1:16">
      <c r="A123" s="2"/>
      <c r="B123" s="3"/>
      <c r="C123" s="4"/>
      <c r="D123" s="5"/>
      <c r="E123" s="5"/>
      <c r="F123" s="5"/>
      <c r="G123" s="5"/>
      <c r="H123" s="6" t="s">
        <v>2</v>
      </c>
      <c r="I123" s="2"/>
      <c r="J123" s="3"/>
      <c r="K123" s="4"/>
      <c r="L123" s="5"/>
      <c r="M123" s="5"/>
      <c r="N123" s="5"/>
      <c r="O123" s="5"/>
      <c r="P123" s="6" t="s">
        <v>2</v>
      </c>
    </row>
    <row r="124" ht="15.75" spans="1:16">
      <c r="A124" s="2"/>
      <c r="B124" s="3"/>
      <c r="C124" s="4"/>
      <c r="D124" s="5"/>
      <c r="E124" s="5"/>
      <c r="F124" s="5"/>
      <c r="G124" s="5"/>
      <c r="H124" s="6" t="s">
        <v>3</v>
      </c>
      <c r="I124" s="2"/>
      <c r="J124" s="3"/>
      <c r="K124" s="4"/>
      <c r="L124" s="5"/>
      <c r="M124" s="5"/>
      <c r="N124" s="5"/>
      <c r="O124" s="5"/>
      <c r="P124" s="6" t="s">
        <v>3</v>
      </c>
    </row>
    <row r="125" ht="15.75" spans="1:16">
      <c r="A125" s="2"/>
      <c r="B125" s="7"/>
      <c r="C125" s="4"/>
      <c r="D125" s="5"/>
      <c r="E125" s="5"/>
      <c r="F125" s="5"/>
      <c r="G125" s="5"/>
      <c r="H125" s="5"/>
      <c r="I125" s="2"/>
      <c r="J125" s="7"/>
      <c r="K125" s="4"/>
      <c r="L125" s="5"/>
      <c r="M125" s="5"/>
      <c r="N125" s="5"/>
      <c r="O125" s="5"/>
      <c r="P125" s="5"/>
    </row>
    <row r="126" ht="15.75" spans="1:16">
      <c r="A126" s="2"/>
      <c r="B126" s="8" t="s">
        <v>4</v>
      </c>
      <c r="C126" s="8"/>
      <c r="D126" s="8"/>
      <c r="E126" s="8"/>
      <c r="F126" s="8"/>
      <c r="G126" s="8"/>
      <c r="H126" s="8"/>
      <c r="I126" s="2"/>
      <c r="J126" s="8" t="s">
        <v>4</v>
      </c>
      <c r="K126" s="8"/>
      <c r="L126" s="8"/>
      <c r="M126" s="8"/>
      <c r="N126" s="8"/>
      <c r="O126" s="8"/>
      <c r="P126" s="8"/>
    </row>
    <row r="127" ht="15.75" spans="1:16">
      <c r="A127" s="9"/>
      <c r="B127" s="10" t="str">
        <f>'[1]1нед'!$A$6</f>
        <v>Направление подготовки:</v>
      </c>
      <c r="C127" s="11"/>
      <c r="D127" s="12"/>
      <c r="E127" s="13" t="str">
        <f>E7</f>
        <v>00</v>
      </c>
      <c r="F127" s="12"/>
      <c r="G127" s="12"/>
      <c r="H127" s="14">
        <f>H7</f>
        <v>0</v>
      </c>
      <c r="I127" s="9"/>
      <c r="J127" s="10" t="str">
        <f>'[1]1нед'!$A$6</f>
        <v>Направление подготовки:</v>
      </c>
      <c r="K127" s="11"/>
      <c r="L127" s="12"/>
      <c r="M127" s="13" t="str">
        <f>E7</f>
        <v>00</v>
      </c>
      <c r="N127" s="12"/>
      <c r="O127" s="12"/>
      <c r="P127" s="14">
        <f>H7</f>
        <v>0</v>
      </c>
    </row>
    <row r="128" ht="15.75" spans="1:16">
      <c r="A128" s="2"/>
      <c r="B128" s="10" t="s">
        <v>5</v>
      </c>
      <c r="C128" s="10"/>
      <c r="D128" s="10"/>
      <c r="E128" s="10" t="str">
        <f>E8</f>
        <v>очно-заочная</v>
      </c>
      <c r="F128" s="10"/>
      <c r="G128" s="10"/>
      <c r="H128" s="10"/>
      <c r="I128" s="2"/>
      <c r="J128" s="10" t="s">
        <v>5</v>
      </c>
      <c r="K128" s="10"/>
      <c r="L128" s="10"/>
      <c r="M128" s="10" t="str">
        <f t="shared" ref="M128:M129" si="1">E8</f>
        <v>очно-заочная</v>
      </c>
      <c r="N128" s="10"/>
      <c r="O128" s="10"/>
      <c r="P128" s="10"/>
    </row>
    <row r="129" ht="15.75" spans="1:16">
      <c r="A129" s="2"/>
      <c r="B129" s="10" t="s">
        <v>7</v>
      </c>
      <c r="C129" s="10"/>
      <c r="D129" s="10"/>
      <c r="E129" s="10">
        <f>E9</f>
        <v>3</v>
      </c>
      <c r="F129" s="10"/>
      <c r="G129" s="10"/>
      <c r="H129" s="15"/>
      <c r="I129" s="2"/>
      <c r="J129" s="10" t="s">
        <v>7</v>
      </c>
      <c r="K129" s="10"/>
      <c r="L129" s="10"/>
      <c r="M129" s="10">
        <f t="shared" si="1"/>
        <v>3</v>
      </c>
      <c r="N129" s="10"/>
      <c r="O129" s="10"/>
      <c r="P129" s="15"/>
    </row>
    <row r="130" ht="16.5" spans="1:16">
      <c r="A130" s="2"/>
      <c r="B130" s="16" t="s">
        <v>8</v>
      </c>
      <c r="C130" s="16"/>
      <c r="D130" s="16"/>
      <c r="E130" s="16">
        <f>M70+1</f>
        <v>5</v>
      </c>
      <c r="F130" s="16"/>
      <c r="G130" s="16"/>
      <c r="H130" s="17"/>
      <c r="I130" s="2"/>
      <c r="J130" s="16" t="s">
        <v>8</v>
      </c>
      <c r="K130" s="16"/>
      <c r="L130" s="16"/>
      <c r="M130" s="16">
        <f>E130+1</f>
        <v>6</v>
      </c>
      <c r="N130" s="16"/>
      <c r="O130" s="16"/>
      <c r="P130" s="17"/>
    </row>
    <row r="131" ht="46.5" customHeight="1" spans="1:16">
      <c r="A131" s="19" t="s">
        <v>9</v>
      </c>
      <c r="B131" s="20"/>
      <c r="C131" s="21" t="s">
        <v>10</v>
      </c>
      <c r="D131" s="22" t="s">
        <v>11</v>
      </c>
      <c r="E131" s="23" t="s">
        <v>12</v>
      </c>
      <c r="F131" s="24" t="s">
        <v>13</v>
      </c>
      <c r="G131" s="25"/>
      <c r="H131" s="26" t="s">
        <v>14</v>
      </c>
      <c r="I131" s="19" t="s">
        <v>9</v>
      </c>
      <c r="J131" s="20"/>
      <c r="K131" s="21" t="s">
        <v>10</v>
      </c>
      <c r="L131" s="22" t="s">
        <v>11</v>
      </c>
      <c r="M131" s="23" t="s">
        <v>12</v>
      </c>
      <c r="N131" s="24" t="s">
        <v>13</v>
      </c>
      <c r="O131" s="25"/>
      <c r="P131" s="26" t="s">
        <v>14</v>
      </c>
    </row>
    <row r="132" ht="35.1" customHeight="1" spans="1:16">
      <c r="A132" s="27">
        <v>46293</v>
      </c>
      <c r="B132" s="28" t="s">
        <v>15</v>
      </c>
      <c r="C132" s="29" t="s">
        <v>16</v>
      </c>
      <c r="D132" s="30">
        <f>'[2]5нед'!S260</f>
        <v>0</v>
      </c>
      <c r="E132" s="31">
        <f>'[2]5нед'!T260</f>
        <v>0</v>
      </c>
      <c r="F132" s="32">
        <f>'[2]5нед'!W260</f>
        <v>0</v>
      </c>
      <c r="G132" s="33" t="str">
        <f>'[2]5нед'!X260</f>
        <v/>
      </c>
      <c r="H132" s="34"/>
      <c r="I132" s="27">
        <v>46300</v>
      </c>
      <c r="J132" s="35" t="s">
        <v>15</v>
      </c>
      <c r="K132" s="29" t="s">
        <v>16</v>
      </c>
      <c r="L132" s="30">
        <f>'[2]6нед'!S260</f>
        <v>0</v>
      </c>
      <c r="M132" s="31">
        <f>'[2]6нед'!T260</f>
        <v>0</v>
      </c>
      <c r="N132" s="32">
        <f>'[2]6нед'!W260</f>
        <v>0</v>
      </c>
      <c r="O132" s="33" t="str">
        <f>'[2]6нед'!X260</f>
        <v/>
      </c>
      <c r="P132" s="34"/>
    </row>
    <row r="133" ht="31.5" spans="1:16">
      <c r="A133" s="36"/>
      <c r="B133" s="37"/>
      <c r="C133" s="29" t="s">
        <v>17</v>
      </c>
      <c r="D133" s="38">
        <f>'[2]5нед'!S261</f>
        <v>0</v>
      </c>
      <c r="E133" s="39">
        <f>'[2]5нед'!T261</f>
        <v>0</v>
      </c>
      <c r="F133" s="40">
        <f>'[2]5нед'!W261</f>
        <v>0</v>
      </c>
      <c r="G133" s="41" t="str">
        <f>'[2]5нед'!X261</f>
        <v/>
      </c>
      <c r="H133" s="42"/>
      <c r="I133" s="43"/>
      <c r="J133" s="44"/>
      <c r="K133" s="29" t="s">
        <v>17</v>
      </c>
      <c r="L133" s="38">
        <f>'[2]6нед'!S261</f>
        <v>0</v>
      </c>
      <c r="M133" s="39">
        <f>'[2]6нед'!T261</f>
        <v>0</v>
      </c>
      <c r="N133" s="40">
        <f>'[2]6нед'!W261</f>
        <v>0</v>
      </c>
      <c r="O133" s="41" t="str">
        <f>'[2]6нед'!X261</f>
        <v/>
      </c>
      <c r="P133" s="42"/>
    </row>
    <row r="134" ht="31.5" spans="1:16">
      <c r="A134" s="36"/>
      <c r="B134" s="37"/>
      <c r="C134" s="29" t="s">
        <v>18</v>
      </c>
      <c r="D134" s="38">
        <f>'[2]5нед'!S262</f>
        <v>0</v>
      </c>
      <c r="E134" s="39">
        <f>'[2]5нед'!T262</f>
        <v>0</v>
      </c>
      <c r="F134" s="40">
        <f>'[2]5нед'!W262</f>
        <v>0</v>
      </c>
      <c r="G134" s="41" t="str">
        <f>'[2]5нед'!X262</f>
        <v/>
      </c>
      <c r="H134" s="42"/>
      <c r="I134" s="43"/>
      <c r="J134" s="44"/>
      <c r="K134" s="29" t="s">
        <v>18</v>
      </c>
      <c r="L134" s="38">
        <f>'[2]6нед'!S262</f>
        <v>0</v>
      </c>
      <c r="M134" s="39">
        <f>'[2]6нед'!T262</f>
        <v>0</v>
      </c>
      <c r="N134" s="40">
        <f>'[2]6нед'!W262</f>
        <v>0</v>
      </c>
      <c r="O134" s="41" t="str">
        <f>'[2]6нед'!X262</f>
        <v/>
      </c>
      <c r="P134" s="42"/>
    </row>
    <row r="135" ht="31.5" spans="1:16">
      <c r="A135" s="36"/>
      <c r="B135" s="37"/>
      <c r="C135" s="29" t="s">
        <v>19</v>
      </c>
      <c r="D135" s="38">
        <f>'[2]5нед'!S263</f>
        <v>0</v>
      </c>
      <c r="E135" s="39">
        <f>'[2]5нед'!T263</f>
        <v>0</v>
      </c>
      <c r="F135" s="40">
        <f>'[2]5нед'!W263</f>
        <v>0</v>
      </c>
      <c r="G135" s="41" t="str">
        <f>'[2]5нед'!X263</f>
        <v/>
      </c>
      <c r="H135" s="42"/>
      <c r="I135" s="43"/>
      <c r="J135" s="44"/>
      <c r="K135" s="29" t="s">
        <v>19</v>
      </c>
      <c r="L135" s="38">
        <f>'[2]6нед'!S263</f>
        <v>0</v>
      </c>
      <c r="M135" s="39">
        <f>'[2]6нед'!T263</f>
        <v>0</v>
      </c>
      <c r="N135" s="40">
        <f>'[2]6нед'!W263</f>
        <v>0</v>
      </c>
      <c r="O135" s="41" t="str">
        <f>'[2]6нед'!X263</f>
        <v/>
      </c>
      <c r="P135" s="42"/>
    </row>
    <row r="136" ht="31.5" spans="1:16">
      <c r="A136" s="36"/>
      <c r="B136" s="37"/>
      <c r="C136" s="29" t="s">
        <v>20</v>
      </c>
      <c r="D136" s="38">
        <f>'[2]5нед'!S264</f>
        <v>0</v>
      </c>
      <c r="E136" s="39">
        <f>'[2]5нед'!T264</f>
        <v>0</v>
      </c>
      <c r="F136" s="40">
        <f>'[2]5нед'!W264</f>
        <v>0</v>
      </c>
      <c r="G136" s="41" t="str">
        <f>'[2]5нед'!X264</f>
        <v/>
      </c>
      <c r="H136" s="42"/>
      <c r="I136" s="43"/>
      <c r="J136" s="44"/>
      <c r="K136" s="29" t="s">
        <v>20</v>
      </c>
      <c r="L136" s="38">
        <f>'[2]6нед'!S264</f>
        <v>0</v>
      </c>
      <c r="M136" s="39">
        <f>'[2]6нед'!T264</f>
        <v>0</v>
      </c>
      <c r="N136" s="40">
        <f>'[2]6нед'!W264</f>
        <v>0</v>
      </c>
      <c r="O136" s="41" t="str">
        <f>'[2]6нед'!X264</f>
        <v/>
      </c>
      <c r="P136" s="42"/>
    </row>
    <row r="137" ht="31.5" spans="1:16">
      <c r="A137" s="36"/>
      <c r="B137" s="37"/>
      <c r="C137" s="29" t="s">
        <v>21</v>
      </c>
      <c r="D137" s="38">
        <f>'[2]5нед'!S265</f>
        <v>0</v>
      </c>
      <c r="E137" s="39">
        <f>'[2]5нед'!T265</f>
        <v>0</v>
      </c>
      <c r="F137" s="40">
        <f>'[2]5нед'!W265</f>
        <v>0</v>
      </c>
      <c r="G137" s="41" t="str">
        <f>'[2]5нед'!X265</f>
        <v/>
      </c>
      <c r="H137" s="42"/>
      <c r="I137" s="43"/>
      <c r="J137" s="44"/>
      <c r="K137" s="29" t="s">
        <v>21</v>
      </c>
      <c r="L137" s="38">
        <f>'[2]6нед'!S265</f>
        <v>0</v>
      </c>
      <c r="M137" s="39">
        <f>'[2]6нед'!T265</f>
        <v>0</v>
      </c>
      <c r="N137" s="40">
        <f>'[2]6нед'!W265</f>
        <v>0</v>
      </c>
      <c r="O137" s="41" t="str">
        <f>'[2]6нед'!X265</f>
        <v/>
      </c>
      <c r="P137" s="42"/>
    </row>
    <row r="138" ht="32.25" spans="1:16">
      <c r="A138" s="36"/>
      <c r="B138" s="37"/>
      <c r="C138" s="29" t="s">
        <v>22</v>
      </c>
      <c r="D138" s="38">
        <f>'[2]5нед'!S266</f>
        <v>0</v>
      </c>
      <c r="E138" s="39">
        <f>'[2]5нед'!T266</f>
        <v>0</v>
      </c>
      <c r="F138" s="40">
        <f>'[2]5нед'!W266</f>
        <v>0</v>
      </c>
      <c r="G138" s="41" t="str">
        <f>'[2]5нед'!X266</f>
        <v/>
      </c>
      <c r="H138" s="42"/>
      <c r="I138" s="43"/>
      <c r="J138" s="44"/>
      <c r="K138" s="29" t="s">
        <v>22</v>
      </c>
      <c r="L138" s="38">
        <f>'[2]6нед'!S266</f>
        <v>0</v>
      </c>
      <c r="M138" s="39">
        <f>'[2]6нед'!T266</f>
        <v>0</v>
      </c>
      <c r="N138" s="40">
        <f>'[2]6нед'!W266</f>
        <v>0</v>
      </c>
      <c r="O138" s="41" t="str">
        <f>'[2]6нед'!X266</f>
        <v/>
      </c>
      <c r="P138" s="42"/>
    </row>
    <row r="139" ht="18.4" hidden="1" customHeight="1" spans="1:16">
      <c r="A139" s="45"/>
      <c r="B139" s="46"/>
      <c r="C139" s="47"/>
      <c r="D139" s="48">
        <f>'[2]5нед'!S267</f>
        <v>0</v>
      </c>
      <c r="E139" s="49">
        <f>'[2]5нед'!T267</f>
        <v>0</v>
      </c>
      <c r="F139" s="50">
        <f>'[2]5нед'!W267</f>
        <v>0</v>
      </c>
      <c r="G139" s="51" t="str">
        <f>'[2]5нед'!X267</f>
        <v/>
      </c>
      <c r="H139" s="52"/>
      <c r="I139" s="53"/>
      <c r="J139" s="54"/>
      <c r="K139" s="47"/>
      <c r="L139" s="48">
        <f>'[2]6нед'!S267</f>
        <v>0</v>
      </c>
      <c r="M139" s="49">
        <f>'[2]6нед'!T267</f>
        <v>0</v>
      </c>
      <c r="N139" s="50">
        <f>'[2]6нед'!W267</f>
        <v>0</v>
      </c>
      <c r="O139" s="51" t="str">
        <f>'[2]6нед'!X267</f>
        <v/>
      </c>
      <c r="P139" s="52"/>
    </row>
    <row r="140" ht="32.25" customHeight="1" spans="1:16">
      <c r="A140" s="27">
        <v>46294</v>
      </c>
      <c r="B140" s="28" t="s">
        <v>23</v>
      </c>
      <c r="C140" s="55" t="s">
        <v>16</v>
      </c>
      <c r="D140" s="30">
        <f>'[2]5нед'!S268</f>
        <v>0</v>
      </c>
      <c r="E140" s="31">
        <f>'[2]5нед'!T268</f>
        <v>0</v>
      </c>
      <c r="F140" s="32">
        <f>'[2]5нед'!W268</f>
        <v>0</v>
      </c>
      <c r="G140" s="33" t="str">
        <f>'[2]5нед'!X268</f>
        <v/>
      </c>
      <c r="H140" s="34"/>
      <c r="I140" s="27">
        <v>46301</v>
      </c>
      <c r="J140" s="35" t="s">
        <v>23</v>
      </c>
      <c r="K140" s="55" t="s">
        <v>16</v>
      </c>
      <c r="L140" s="30">
        <f>'[2]6нед'!S268</f>
        <v>0</v>
      </c>
      <c r="M140" s="31">
        <f>'[2]6нед'!T268</f>
        <v>0</v>
      </c>
      <c r="N140" s="32">
        <f>'[2]6нед'!W268</f>
        <v>0</v>
      </c>
      <c r="O140" s="33" t="str">
        <f>'[2]6нед'!X268</f>
        <v/>
      </c>
      <c r="P140" s="34"/>
    </row>
    <row r="141" ht="31.5" spans="1:16">
      <c r="A141" s="36"/>
      <c r="B141" s="37"/>
      <c r="C141" s="29" t="s">
        <v>17</v>
      </c>
      <c r="D141" s="38">
        <f>'[2]5нед'!S269</f>
        <v>0</v>
      </c>
      <c r="E141" s="39">
        <f>'[2]5нед'!T269</f>
        <v>0</v>
      </c>
      <c r="F141" s="40">
        <f>'[2]5нед'!W269</f>
        <v>0</v>
      </c>
      <c r="G141" s="41" t="str">
        <f>'[2]5нед'!X269</f>
        <v/>
      </c>
      <c r="H141" s="42"/>
      <c r="I141" s="43"/>
      <c r="J141" s="44"/>
      <c r="K141" s="29" t="s">
        <v>17</v>
      </c>
      <c r="L141" s="38">
        <f>'[2]6нед'!S269</f>
        <v>0</v>
      </c>
      <c r="M141" s="39">
        <f>'[2]6нед'!T269</f>
        <v>0</v>
      </c>
      <c r="N141" s="40">
        <f>'[2]6нед'!W269</f>
        <v>0</v>
      </c>
      <c r="O141" s="41" t="str">
        <f>'[2]6нед'!X269</f>
        <v/>
      </c>
      <c r="P141" s="42"/>
    </row>
    <row r="142" ht="31.5" spans="1:16">
      <c r="A142" s="36"/>
      <c r="B142" s="37"/>
      <c r="C142" s="29" t="s">
        <v>18</v>
      </c>
      <c r="D142" s="38">
        <f>'[2]5нед'!S270</f>
        <v>0</v>
      </c>
      <c r="E142" s="39">
        <f>'[2]5нед'!T270</f>
        <v>0</v>
      </c>
      <c r="F142" s="40">
        <f>'[2]5нед'!W270</f>
        <v>0</v>
      </c>
      <c r="G142" s="41" t="str">
        <f>'[2]5нед'!X270</f>
        <v/>
      </c>
      <c r="H142" s="42"/>
      <c r="I142" s="43"/>
      <c r="J142" s="44"/>
      <c r="K142" s="29" t="s">
        <v>18</v>
      </c>
      <c r="L142" s="38">
        <f>'[2]6нед'!S270</f>
        <v>0</v>
      </c>
      <c r="M142" s="39">
        <f>'[2]6нед'!T270</f>
        <v>0</v>
      </c>
      <c r="N142" s="40">
        <f>'[2]6нед'!W270</f>
        <v>0</v>
      </c>
      <c r="O142" s="41" t="str">
        <f>'[2]6нед'!X270</f>
        <v/>
      </c>
      <c r="P142" s="42"/>
    </row>
    <row r="143" ht="31.5" spans="1:16">
      <c r="A143" s="36"/>
      <c r="B143" s="37"/>
      <c r="C143" s="29" t="s">
        <v>19</v>
      </c>
      <c r="D143" s="38">
        <f>'[2]5нед'!S271</f>
        <v>0</v>
      </c>
      <c r="E143" s="39">
        <f>'[2]5нед'!T271</f>
        <v>0</v>
      </c>
      <c r="F143" s="40">
        <f>'[2]5нед'!W271</f>
        <v>0</v>
      </c>
      <c r="G143" s="41" t="str">
        <f>'[2]5нед'!X271</f>
        <v/>
      </c>
      <c r="H143" s="42"/>
      <c r="I143" s="43"/>
      <c r="J143" s="44"/>
      <c r="K143" s="29" t="s">
        <v>19</v>
      </c>
      <c r="L143" s="38">
        <f>'[2]6нед'!S271</f>
        <v>0</v>
      </c>
      <c r="M143" s="39">
        <f>'[2]6нед'!T271</f>
        <v>0</v>
      </c>
      <c r="N143" s="40">
        <f>'[2]6нед'!W271</f>
        <v>0</v>
      </c>
      <c r="O143" s="41" t="str">
        <f>'[2]6нед'!X271</f>
        <v/>
      </c>
      <c r="P143" s="42"/>
    </row>
    <row r="144" ht="31.5" spans="1:16">
      <c r="A144" s="36"/>
      <c r="B144" s="37"/>
      <c r="C144" s="29" t="s">
        <v>20</v>
      </c>
      <c r="D144" s="38">
        <f>'[2]5нед'!S272</f>
        <v>0</v>
      </c>
      <c r="E144" s="39">
        <f>'[2]5нед'!T272</f>
        <v>0</v>
      </c>
      <c r="F144" s="40">
        <f>'[2]5нед'!W272</f>
        <v>0</v>
      </c>
      <c r="G144" s="41" t="str">
        <f>'[2]5нед'!X272</f>
        <v/>
      </c>
      <c r="H144" s="42"/>
      <c r="I144" s="43"/>
      <c r="J144" s="44"/>
      <c r="K144" s="29" t="s">
        <v>20</v>
      </c>
      <c r="L144" s="38">
        <f>'[2]6нед'!S272</f>
        <v>0</v>
      </c>
      <c r="M144" s="39">
        <f>'[2]6нед'!T272</f>
        <v>0</v>
      </c>
      <c r="N144" s="40">
        <f>'[2]6нед'!W272</f>
        <v>0</v>
      </c>
      <c r="O144" s="41" t="str">
        <f>'[2]6нед'!X272</f>
        <v/>
      </c>
      <c r="P144" s="42"/>
    </row>
    <row r="145" ht="31.5" spans="1:16">
      <c r="A145" s="36"/>
      <c r="B145" s="37"/>
      <c r="C145" s="29" t="s">
        <v>21</v>
      </c>
      <c r="D145" s="38">
        <f>'[2]5нед'!S273</f>
        <v>0</v>
      </c>
      <c r="E145" s="39">
        <f>'[2]5нед'!T273</f>
        <v>0</v>
      </c>
      <c r="F145" s="40">
        <f>'[2]5нед'!W273</f>
        <v>0</v>
      </c>
      <c r="G145" s="41" t="str">
        <f>'[2]5нед'!X273</f>
        <v/>
      </c>
      <c r="H145" s="56"/>
      <c r="I145" s="43"/>
      <c r="J145" s="44"/>
      <c r="K145" s="29" t="s">
        <v>21</v>
      </c>
      <c r="L145" s="38">
        <f>'[2]6нед'!S273</f>
        <v>0</v>
      </c>
      <c r="M145" s="39">
        <f>'[2]6нед'!T273</f>
        <v>0</v>
      </c>
      <c r="N145" s="40">
        <f>'[2]6нед'!W273</f>
        <v>0</v>
      </c>
      <c r="O145" s="41" t="str">
        <f>'[2]6нед'!X273</f>
        <v/>
      </c>
      <c r="P145" s="56"/>
    </row>
    <row r="146" ht="32.25" spans="1:16">
      <c r="A146" s="36"/>
      <c r="B146" s="37"/>
      <c r="C146" s="29" t="s">
        <v>22</v>
      </c>
      <c r="D146" s="38">
        <f>'[2]5нед'!S274</f>
        <v>0</v>
      </c>
      <c r="E146" s="39">
        <f>'[2]5нед'!T274</f>
        <v>0</v>
      </c>
      <c r="F146" s="40">
        <f>'[2]5нед'!W274</f>
        <v>0</v>
      </c>
      <c r="G146" s="41" t="str">
        <f>'[2]5нед'!X274</f>
        <v/>
      </c>
      <c r="H146" s="56"/>
      <c r="I146" s="43"/>
      <c r="J146" s="44"/>
      <c r="K146" s="29" t="s">
        <v>22</v>
      </c>
      <c r="L146" s="38">
        <f>'[2]6нед'!S274</f>
        <v>0</v>
      </c>
      <c r="M146" s="39">
        <f>'[2]6нед'!T274</f>
        <v>0</v>
      </c>
      <c r="N146" s="40">
        <f>'[2]6нед'!W274</f>
        <v>0</v>
      </c>
      <c r="O146" s="41" t="str">
        <f>'[2]6нед'!X274</f>
        <v/>
      </c>
      <c r="P146" s="56"/>
    </row>
    <row r="147" ht="18.4" hidden="1" customHeight="1" spans="1:16">
      <c r="A147" s="45"/>
      <c r="B147" s="46"/>
      <c r="C147" s="47"/>
      <c r="D147" s="48">
        <f>'[2]5нед'!S275</f>
        <v>0</v>
      </c>
      <c r="E147" s="49">
        <f>'[2]5нед'!T275</f>
        <v>0</v>
      </c>
      <c r="F147" s="50">
        <f>'[2]5нед'!W275</f>
        <v>0</v>
      </c>
      <c r="G147" s="51" t="str">
        <f>'[2]5нед'!X275</f>
        <v/>
      </c>
      <c r="H147" s="52"/>
      <c r="I147" s="53"/>
      <c r="J147" s="54"/>
      <c r="K147" s="47"/>
      <c r="L147" s="48">
        <f>'[2]6нед'!S275</f>
        <v>0</v>
      </c>
      <c r="M147" s="49">
        <f>'[2]6нед'!T275</f>
        <v>0</v>
      </c>
      <c r="N147" s="50">
        <f>'[2]6нед'!W275</f>
        <v>0</v>
      </c>
      <c r="O147" s="51" t="str">
        <f>'[2]6нед'!X275</f>
        <v/>
      </c>
      <c r="P147" s="52"/>
    </row>
    <row r="148" ht="48" customHeight="1" spans="1:16">
      <c r="A148" s="27">
        <v>46295</v>
      </c>
      <c r="B148" s="57" t="s">
        <v>24</v>
      </c>
      <c r="C148" s="55" t="s">
        <v>16</v>
      </c>
      <c r="D148" s="30">
        <f>'[2]5нед'!S276</f>
        <v>0</v>
      </c>
      <c r="E148" s="31">
        <f>'[2]5нед'!T276</f>
        <v>0</v>
      </c>
      <c r="F148" s="32">
        <f>'[2]5нед'!W276</f>
        <v>0</v>
      </c>
      <c r="G148" s="33" t="str">
        <f>'[2]5нед'!X276</f>
        <v/>
      </c>
      <c r="H148" s="34"/>
      <c r="I148" s="27">
        <v>46302</v>
      </c>
      <c r="J148" s="58" t="s">
        <v>24</v>
      </c>
      <c r="K148" s="55" t="s">
        <v>16</v>
      </c>
      <c r="L148" s="30">
        <f>'[2]6нед'!S276</f>
        <v>0</v>
      </c>
      <c r="M148" s="31">
        <f>'[2]6нед'!T276</f>
        <v>0</v>
      </c>
      <c r="N148" s="32">
        <f>'[2]6нед'!W276</f>
        <v>0</v>
      </c>
      <c r="O148" s="33" t="str">
        <f>'[2]6нед'!X276</f>
        <v/>
      </c>
      <c r="P148" s="34"/>
    </row>
    <row r="149" ht="31.5" spans="1:16">
      <c r="A149" s="36"/>
      <c r="B149" s="59"/>
      <c r="C149" s="29" t="s">
        <v>17</v>
      </c>
      <c r="D149" s="38">
        <f>'[2]5нед'!S277</f>
        <v>0</v>
      </c>
      <c r="E149" s="39">
        <f>'[2]5нед'!T277</f>
        <v>0</v>
      </c>
      <c r="F149" s="40">
        <f>'[2]5нед'!W277</f>
        <v>0</v>
      </c>
      <c r="G149" s="41" t="str">
        <f>'[2]5нед'!X277</f>
        <v/>
      </c>
      <c r="H149" s="42"/>
      <c r="I149" s="43"/>
      <c r="J149" s="60"/>
      <c r="K149" s="29" t="s">
        <v>17</v>
      </c>
      <c r="L149" s="38">
        <f>'[2]6нед'!S277</f>
        <v>0</v>
      </c>
      <c r="M149" s="39">
        <f>'[2]6нед'!T277</f>
        <v>0</v>
      </c>
      <c r="N149" s="40">
        <f>'[2]6нед'!W277</f>
        <v>0</v>
      </c>
      <c r="O149" s="41" t="str">
        <f>'[2]6нед'!X277</f>
        <v/>
      </c>
      <c r="P149" s="42"/>
    </row>
    <row r="150" ht="31.5" spans="1:16">
      <c r="A150" s="36"/>
      <c r="B150" s="59"/>
      <c r="C150" s="29" t="s">
        <v>18</v>
      </c>
      <c r="D150" s="38">
        <f>'[2]5нед'!S278</f>
        <v>0</v>
      </c>
      <c r="E150" s="39">
        <f>'[2]5нед'!T278</f>
        <v>0</v>
      </c>
      <c r="F150" s="40">
        <f>'[2]5нед'!W278</f>
        <v>0</v>
      </c>
      <c r="G150" s="41" t="str">
        <f>'[2]5нед'!X278</f>
        <v/>
      </c>
      <c r="H150" s="42"/>
      <c r="I150" s="43"/>
      <c r="J150" s="60"/>
      <c r="K150" s="29" t="s">
        <v>18</v>
      </c>
      <c r="L150" s="38">
        <f>'[2]6нед'!S278</f>
        <v>0</v>
      </c>
      <c r="M150" s="39">
        <f>'[2]6нед'!T278</f>
        <v>0</v>
      </c>
      <c r="N150" s="40">
        <f>'[2]6нед'!W278</f>
        <v>0</v>
      </c>
      <c r="O150" s="41" t="str">
        <f>'[2]6нед'!X278</f>
        <v/>
      </c>
      <c r="P150" s="42"/>
    </row>
    <row r="151" ht="31.5" spans="1:16">
      <c r="A151" s="36"/>
      <c r="B151" s="59"/>
      <c r="C151" s="29" t="s">
        <v>19</v>
      </c>
      <c r="D151" s="38">
        <f>'[2]5нед'!S279</f>
        <v>0</v>
      </c>
      <c r="E151" s="39">
        <f>'[2]5нед'!T279</f>
        <v>0</v>
      </c>
      <c r="F151" s="40">
        <f>'[2]5нед'!W279</f>
        <v>0</v>
      </c>
      <c r="G151" s="41" t="str">
        <f>'[2]5нед'!X279</f>
        <v/>
      </c>
      <c r="H151" s="42"/>
      <c r="I151" s="43"/>
      <c r="J151" s="60"/>
      <c r="K151" s="29" t="s">
        <v>19</v>
      </c>
      <c r="L151" s="38">
        <f>'[2]6нед'!S279</f>
        <v>0</v>
      </c>
      <c r="M151" s="39">
        <f>'[2]6нед'!T279</f>
        <v>0</v>
      </c>
      <c r="N151" s="40">
        <f>'[2]6нед'!W279</f>
        <v>0</v>
      </c>
      <c r="O151" s="41" t="str">
        <f>'[2]6нед'!X279</f>
        <v/>
      </c>
      <c r="P151" s="42"/>
    </row>
    <row r="152" ht="31.5" spans="1:16">
      <c r="A152" s="36"/>
      <c r="B152" s="59"/>
      <c r="C152" s="29" t="s">
        <v>20</v>
      </c>
      <c r="D152" s="38">
        <f>'[2]5нед'!S280</f>
        <v>0</v>
      </c>
      <c r="E152" s="39">
        <f>'[2]5нед'!T280</f>
        <v>0</v>
      </c>
      <c r="F152" s="40">
        <f>'[2]5нед'!W280</f>
        <v>0</v>
      </c>
      <c r="G152" s="41" t="str">
        <f>'[2]5нед'!X280</f>
        <v/>
      </c>
      <c r="H152" s="42"/>
      <c r="I152" s="43"/>
      <c r="J152" s="60"/>
      <c r="K152" s="29" t="s">
        <v>20</v>
      </c>
      <c r="L152" s="38">
        <f>'[2]6нед'!S280</f>
        <v>0</v>
      </c>
      <c r="M152" s="39">
        <f>'[2]6нед'!T280</f>
        <v>0</v>
      </c>
      <c r="N152" s="40">
        <f>'[2]6нед'!W280</f>
        <v>0</v>
      </c>
      <c r="O152" s="41" t="str">
        <f>'[2]6нед'!X280</f>
        <v/>
      </c>
      <c r="P152" s="42"/>
    </row>
    <row r="153" ht="31.5" spans="1:16">
      <c r="A153" s="36"/>
      <c r="B153" s="59"/>
      <c r="C153" s="29" t="s">
        <v>21</v>
      </c>
      <c r="D153" s="38">
        <f>'[2]5нед'!S281</f>
        <v>0</v>
      </c>
      <c r="E153" s="39">
        <f>'[2]5нед'!T281</f>
        <v>0</v>
      </c>
      <c r="F153" s="40">
        <f>'[2]5нед'!W281</f>
        <v>0</v>
      </c>
      <c r="G153" s="41" t="str">
        <f>'[2]5нед'!X281</f>
        <v/>
      </c>
      <c r="H153" s="56"/>
      <c r="I153" s="43"/>
      <c r="J153" s="60"/>
      <c r="K153" s="29" t="s">
        <v>21</v>
      </c>
      <c r="L153" s="38">
        <f>'[2]6нед'!S281</f>
        <v>0</v>
      </c>
      <c r="M153" s="39">
        <f>'[2]6нед'!T281</f>
        <v>0</v>
      </c>
      <c r="N153" s="40">
        <f>'[2]6нед'!W281</f>
        <v>0</v>
      </c>
      <c r="O153" s="41" t="str">
        <f>'[2]6нед'!X281</f>
        <v/>
      </c>
      <c r="P153" s="56"/>
    </row>
    <row r="154" ht="32.25" spans="1:16">
      <c r="A154" s="36"/>
      <c r="B154" s="59"/>
      <c r="C154" s="29" t="s">
        <v>22</v>
      </c>
      <c r="D154" s="38">
        <f>'[2]5нед'!S282</f>
        <v>0</v>
      </c>
      <c r="E154" s="39">
        <f>'[2]5нед'!T282</f>
        <v>0</v>
      </c>
      <c r="F154" s="40">
        <f>'[2]5нед'!W282</f>
        <v>0</v>
      </c>
      <c r="G154" s="41" t="str">
        <f>'[2]5нед'!X282</f>
        <v/>
      </c>
      <c r="H154" s="56"/>
      <c r="I154" s="43"/>
      <c r="J154" s="60"/>
      <c r="K154" s="29" t="s">
        <v>22</v>
      </c>
      <c r="L154" s="38">
        <f>'[2]6нед'!S282</f>
        <v>0</v>
      </c>
      <c r="M154" s="39">
        <f>'[2]6нед'!T282</f>
        <v>0</v>
      </c>
      <c r="N154" s="40">
        <f>'[2]6нед'!W282</f>
        <v>0</v>
      </c>
      <c r="O154" s="41" t="str">
        <f>'[2]6нед'!X282</f>
        <v/>
      </c>
      <c r="P154" s="56"/>
    </row>
    <row r="155" ht="18.4" hidden="1" customHeight="1" spans="1:16">
      <c r="A155" s="45"/>
      <c r="B155" s="61"/>
      <c r="C155" s="47"/>
      <c r="D155" s="48">
        <f>'[2]5нед'!S283</f>
        <v>0</v>
      </c>
      <c r="E155" s="49">
        <f>'[2]5нед'!T283</f>
        <v>0</v>
      </c>
      <c r="F155" s="50">
        <f>'[2]5нед'!W283</f>
        <v>0</v>
      </c>
      <c r="G155" s="51" t="str">
        <f>'[2]5нед'!X283</f>
        <v/>
      </c>
      <c r="H155" s="52"/>
      <c r="I155" s="53"/>
      <c r="J155" s="62"/>
      <c r="K155" s="47"/>
      <c r="L155" s="48">
        <f>'[2]6нед'!S283</f>
        <v>0</v>
      </c>
      <c r="M155" s="49">
        <f>'[2]6нед'!T283</f>
        <v>0</v>
      </c>
      <c r="N155" s="50">
        <f>'[2]6нед'!W283</f>
        <v>0</v>
      </c>
      <c r="O155" s="51" t="str">
        <f>'[2]6нед'!X283</f>
        <v/>
      </c>
      <c r="P155" s="52"/>
    </row>
    <row r="156" ht="48" customHeight="1" spans="1:16">
      <c r="A156" s="27">
        <v>46296</v>
      </c>
      <c r="B156" s="28" t="s">
        <v>25</v>
      </c>
      <c r="C156" s="55" t="s">
        <v>16</v>
      </c>
      <c r="D156" s="30">
        <f>'[2]5нед'!S284</f>
        <v>0</v>
      </c>
      <c r="E156" s="31">
        <f>'[2]5нед'!T284</f>
        <v>0</v>
      </c>
      <c r="F156" s="32">
        <f>'[2]5нед'!W284</f>
        <v>0</v>
      </c>
      <c r="G156" s="33" t="str">
        <f>'[2]5нед'!X284</f>
        <v/>
      </c>
      <c r="H156" s="34"/>
      <c r="I156" s="27">
        <v>46303</v>
      </c>
      <c r="J156" s="35" t="s">
        <v>25</v>
      </c>
      <c r="K156" s="55" t="s">
        <v>16</v>
      </c>
      <c r="L156" s="30">
        <f>'[2]6нед'!S284</f>
        <v>0</v>
      </c>
      <c r="M156" s="31">
        <f>'[2]6нед'!T284</f>
        <v>0</v>
      </c>
      <c r="N156" s="32">
        <f>'[2]6нед'!W284</f>
        <v>0</v>
      </c>
      <c r="O156" s="33" t="str">
        <f>'[2]6нед'!X284</f>
        <v/>
      </c>
      <c r="P156" s="34"/>
    </row>
    <row r="157" ht="31.5" spans="1:16">
      <c r="A157" s="36"/>
      <c r="B157" s="37"/>
      <c r="C157" s="29" t="s">
        <v>17</v>
      </c>
      <c r="D157" s="38">
        <f>'[2]5нед'!S285</f>
        <v>0</v>
      </c>
      <c r="E157" s="39">
        <f>'[2]5нед'!T285</f>
        <v>0</v>
      </c>
      <c r="F157" s="40">
        <f>'[2]5нед'!W285</f>
        <v>0</v>
      </c>
      <c r="G157" s="41" t="str">
        <f>'[2]5нед'!X285</f>
        <v/>
      </c>
      <c r="H157" s="42"/>
      <c r="I157" s="43"/>
      <c r="J157" s="44"/>
      <c r="K157" s="29" t="s">
        <v>17</v>
      </c>
      <c r="L157" s="38">
        <f>'[2]6нед'!S285</f>
        <v>0</v>
      </c>
      <c r="M157" s="39">
        <f>'[2]6нед'!T285</f>
        <v>0</v>
      </c>
      <c r="N157" s="40">
        <f>'[2]6нед'!W285</f>
        <v>0</v>
      </c>
      <c r="O157" s="41" t="str">
        <f>'[2]6нед'!X285</f>
        <v/>
      </c>
      <c r="P157" s="42"/>
    </row>
    <row r="158" ht="31.5" spans="1:16">
      <c r="A158" s="36"/>
      <c r="B158" s="37"/>
      <c r="C158" s="29" t="s">
        <v>18</v>
      </c>
      <c r="D158" s="38">
        <f>'[2]5нед'!S286</f>
        <v>0</v>
      </c>
      <c r="E158" s="39">
        <f>'[2]5нед'!T286</f>
        <v>0</v>
      </c>
      <c r="F158" s="40">
        <f>'[2]5нед'!W286</f>
        <v>0</v>
      </c>
      <c r="G158" s="41" t="str">
        <f>'[2]5нед'!X286</f>
        <v/>
      </c>
      <c r="H158" s="42"/>
      <c r="I158" s="43"/>
      <c r="J158" s="44"/>
      <c r="K158" s="29" t="s">
        <v>18</v>
      </c>
      <c r="L158" s="38">
        <f>'[2]6нед'!S286</f>
        <v>0</v>
      </c>
      <c r="M158" s="39">
        <f>'[2]6нед'!T286</f>
        <v>0</v>
      </c>
      <c r="N158" s="40">
        <f>'[2]6нед'!W286</f>
        <v>0</v>
      </c>
      <c r="O158" s="41" t="str">
        <f>'[2]6нед'!X286</f>
        <v/>
      </c>
      <c r="P158" s="42"/>
    </row>
    <row r="159" ht="31.5" spans="1:16">
      <c r="A159" s="36"/>
      <c r="B159" s="37"/>
      <c r="C159" s="29" t="s">
        <v>19</v>
      </c>
      <c r="D159" s="38">
        <f>'[2]5нед'!S287</f>
        <v>0</v>
      </c>
      <c r="E159" s="39">
        <f>'[2]5нед'!T287</f>
        <v>0</v>
      </c>
      <c r="F159" s="40">
        <f>'[2]5нед'!W287</f>
        <v>0</v>
      </c>
      <c r="G159" s="41" t="str">
        <f>'[2]5нед'!X287</f>
        <v/>
      </c>
      <c r="H159" s="42"/>
      <c r="I159" s="43"/>
      <c r="J159" s="44"/>
      <c r="K159" s="29" t="s">
        <v>19</v>
      </c>
      <c r="L159" s="38">
        <f>'[2]6нед'!S287</f>
        <v>0</v>
      </c>
      <c r="M159" s="39">
        <f>'[2]6нед'!T287</f>
        <v>0</v>
      </c>
      <c r="N159" s="40">
        <f>'[2]6нед'!W287</f>
        <v>0</v>
      </c>
      <c r="O159" s="41" t="str">
        <f>'[2]6нед'!X287</f>
        <v/>
      </c>
      <c r="P159" s="42"/>
    </row>
    <row r="160" ht="31.5" spans="1:16">
      <c r="A160" s="36"/>
      <c r="B160" s="37"/>
      <c r="C160" s="29" t="s">
        <v>20</v>
      </c>
      <c r="D160" s="38">
        <f>'[2]5нед'!S288</f>
        <v>0</v>
      </c>
      <c r="E160" s="39">
        <f>'[2]5нед'!T288</f>
        <v>0</v>
      </c>
      <c r="F160" s="40">
        <f>'[2]5нед'!W288</f>
        <v>0</v>
      </c>
      <c r="G160" s="41" t="str">
        <f>'[2]5нед'!X288</f>
        <v/>
      </c>
      <c r="H160" s="42"/>
      <c r="I160" s="43"/>
      <c r="J160" s="44"/>
      <c r="K160" s="29" t="s">
        <v>20</v>
      </c>
      <c r="L160" s="38">
        <f>'[2]6нед'!S288</f>
        <v>0</v>
      </c>
      <c r="M160" s="39">
        <f>'[2]6нед'!T288</f>
        <v>0</v>
      </c>
      <c r="N160" s="40">
        <f>'[2]6нед'!W288</f>
        <v>0</v>
      </c>
      <c r="O160" s="41" t="str">
        <f>'[2]6нед'!X288</f>
        <v/>
      </c>
      <c r="P160" s="42"/>
    </row>
    <row r="161" ht="31.5" spans="1:16">
      <c r="A161" s="36"/>
      <c r="B161" s="37"/>
      <c r="C161" s="29" t="s">
        <v>21</v>
      </c>
      <c r="D161" s="38">
        <f>'[2]5нед'!S289</f>
        <v>0</v>
      </c>
      <c r="E161" s="39">
        <f>'[2]5нед'!T289</f>
        <v>0</v>
      </c>
      <c r="F161" s="40">
        <f>'[2]5нед'!W289</f>
        <v>0</v>
      </c>
      <c r="G161" s="41" t="str">
        <f>'[2]5нед'!X289</f>
        <v/>
      </c>
      <c r="H161" s="56"/>
      <c r="I161" s="43"/>
      <c r="J161" s="44"/>
      <c r="K161" s="29" t="s">
        <v>21</v>
      </c>
      <c r="L161" s="38">
        <f>'[2]6нед'!S289</f>
        <v>0</v>
      </c>
      <c r="M161" s="39">
        <f>'[2]6нед'!T289</f>
        <v>0</v>
      </c>
      <c r="N161" s="40">
        <f>'[2]6нед'!W289</f>
        <v>0</v>
      </c>
      <c r="O161" s="41" t="str">
        <f>'[2]6нед'!X289</f>
        <v/>
      </c>
      <c r="P161" s="56"/>
    </row>
    <row r="162" ht="32.25" spans="1:16">
      <c r="A162" s="36"/>
      <c r="B162" s="37"/>
      <c r="C162" s="29" t="s">
        <v>22</v>
      </c>
      <c r="D162" s="38">
        <f>'[2]5нед'!S290</f>
        <v>0</v>
      </c>
      <c r="E162" s="39">
        <f>'[2]5нед'!T290</f>
        <v>0</v>
      </c>
      <c r="F162" s="40">
        <f>'[2]5нед'!W290</f>
        <v>0</v>
      </c>
      <c r="G162" s="41" t="str">
        <f>'[2]5нед'!X290</f>
        <v/>
      </c>
      <c r="H162" s="56"/>
      <c r="I162" s="43"/>
      <c r="J162" s="44"/>
      <c r="K162" s="29" t="s">
        <v>22</v>
      </c>
      <c r="L162" s="38">
        <f>'[2]6нед'!S290</f>
        <v>0</v>
      </c>
      <c r="M162" s="39">
        <f>'[2]6нед'!T290</f>
        <v>0</v>
      </c>
      <c r="N162" s="40">
        <f>'[2]6нед'!W290</f>
        <v>0</v>
      </c>
      <c r="O162" s="41" t="str">
        <f>'[2]6нед'!X290</f>
        <v/>
      </c>
      <c r="P162" s="56"/>
    </row>
    <row r="163" ht="18.4" hidden="1" customHeight="1" spans="1:16">
      <c r="A163" s="45"/>
      <c r="B163" s="46"/>
      <c r="C163" s="47"/>
      <c r="D163" s="48">
        <f>'[2]5нед'!S291</f>
        <v>0</v>
      </c>
      <c r="E163" s="49">
        <f>'[2]5нед'!T291</f>
        <v>0</v>
      </c>
      <c r="F163" s="50">
        <f>'[2]5нед'!W291</f>
        <v>0</v>
      </c>
      <c r="G163" s="51" t="str">
        <f>'[2]5нед'!X291</f>
        <v/>
      </c>
      <c r="H163" s="52"/>
      <c r="I163" s="53"/>
      <c r="J163" s="54"/>
      <c r="K163" s="47"/>
      <c r="L163" s="48">
        <f>'[2]6нед'!S291</f>
        <v>0</v>
      </c>
      <c r="M163" s="49">
        <f>'[2]6нед'!T291</f>
        <v>0</v>
      </c>
      <c r="N163" s="50">
        <f>'[2]6нед'!W291</f>
        <v>0</v>
      </c>
      <c r="O163" s="51" t="str">
        <f>'[2]6нед'!X291</f>
        <v/>
      </c>
      <c r="P163" s="52"/>
    </row>
    <row r="164" ht="48" customHeight="1" spans="1:16">
      <c r="A164" s="27">
        <v>46297</v>
      </c>
      <c r="B164" s="28" t="s">
        <v>26</v>
      </c>
      <c r="C164" s="55" t="s">
        <v>16</v>
      </c>
      <c r="D164" s="30">
        <f>'[2]5нед'!S292</f>
        <v>0</v>
      </c>
      <c r="E164" s="31">
        <f>'[2]5нед'!T292</f>
        <v>0</v>
      </c>
      <c r="F164" s="32">
        <f>'[2]5нед'!W292</f>
        <v>0</v>
      </c>
      <c r="G164" s="33" t="str">
        <f>'[2]5нед'!X292</f>
        <v/>
      </c>
      <c r="H164" s="34"/>
      <c r="I164" s="27">
        <v>46304</v>
      </c>
      <c r="J164" s="35" t="s">
        <v>26</v>
      </c>
      <c r="K164" s="55" t="s">
        <v>16</v>
      </c>
      <c r="L164" s="30">
        <f>'[2]6нед'!S292</f>
        <v>0</v>
      </c>
      <c r="M164" s="31">
        <f>'[2]6нед'!T292</f>
        <v>0</v>
      </c>
      <c r="N164" s="32">
        <f>'[2]6нед'!W292</f>
        <v>0</v>
      </c>
      <c r="O164" s="33" t="str">
        <f>'[2]6нед'!X292</f>
        <v/>
      </c>
      <c r="P164" s="34"/>
    </row>
    <row r="165" ht="31.5" spans="1:16">
      <c r="A165" s="36"/>
      <c r="B165" s="37"/>
      <c r="C165" s="29" t="s">
        <v>17</v>
      </c>
      <c r="D165" s="38">
        <f>'[2]5нед'!S293</f>
        <v>0</v>
      </c>
      <c r="E165" s="39">
        <f>'[2]5нед'!T293</f>
        <v>0</v>
      </c>
      <c r="F165" s="40">
        <f>'[2]5нед'!W293</f>
        <v>0</v>
      </c>
      <c r="G165" s="41" t="str">
        <f>'[2]5нед'!X293</f>
        <v/>
      </c>
      <c r="H165" s="42"/>
      <c r="I165" s="43"/>
      <c r="J165" s="44"/>
      <c r="K165" s="29" t="s">
        <v>17</v>
      </c>
      <c r="L165" s="38">
        <f>'[2]6нед'!S293</f>
        <v>0</v>
      </c>
      <c r="M165" s="39">
        <f>'[2]6нед'!T293</f>
        <v>0</v>
      </c>
      <c r="N165" s="40">
        <f>'[2]6нед'!W293</f>
        <v>0</v>
      </c>
      <c r="O165" s="41" t="str">
        <f>'[2]6нед'!X293</f>
        <v/>
      </c>
      <c r="P165" s="42"/>
    </row>
    <row r="166" ht="31.5" spans="1:16">
      <c r="A166" s="36"/>
      <c r="B166" s="37"/>
      <c r="C166" s="29" t="s">
        <v>18</v>
      </c>
      <c r="D166" s="38">
        <f>'[2]5нед'!S294</f>
        <v>0</v>
      </c>
      <c r="E166" s="39">
        <f>'[2]5нед'!T294</f>
        <v>0</v>
      </c>
      <c r="F166" s="40">
        <f>'[2]5нед'!W294</f>
        <v>0</v>
      </c>
      <c r="G166" s="41" t="str">
        <f>'[2]5нед'!X294</f>
        <v/>
      </c>
      <c r="H166" s="42"/>
      <c r="I166" s="43"/>
      <c r="J166" s="44"/>
      <c r="K166" s="29" t="s">
        <v>18</v>
      </c>
      <c r="L166" s="38">
        <f>'[2]6нед'!S294</f>
        <v>0</v>
      </c>
      <c r="M166" s="39">
        <f>'[2]6нед'!T294</f>
        <v>0</v>
      </c>
      <c r="N166" s="40">
        <f>'[2]6нед'!W294</f>
        <v>0</v>
      </c>
      <c r="O166" s="41" t="str">
        <f>'[2]6нед'!X294</f>
        <v/>
      </c>
      <c r="P166" s="42"/>
    </row>
    <row r="167" ht="31.5" spans="1:16">
      <c r="A167" s="36"/>
      <c r="B167" s="37"/>
      <c r="C167" s="29" t="s">
        <v>19</v>
      </c>
      <c r="D167" s="38">
        <f>'[2]5нед'!S295</f>
        <v>0</v>
      </c>
      <c r="E167" s="39">
        <f>'[2]5нед'!T295</f>
        <v>0</v>
      </c>
      <c r="F167" s="40">
        <f>'[2]5нед'!W295</f>
        <v>0</v>
      </c>
      <c r="G167" s="41" t="str">
        <f>'[2]5нед'!X295</f>
        <v/>
      </c>
      <c r="H167" s="42"/>
      <c r="I167" s="43"/>
      <c r="J167" s="44"/>
      <c r="K167" s="29" t="s">
        <v>19</v>
      </c>
      <c r="L167" s="38">
        <f>'[2]6нед'!S295</f>
        <v>0</v>
      </c>
      <c r="M167" s="39">
        <f>'[2]6нед'!T295</f>
        <v>0</v>
      </c>
      <c r="N167" s="40">
        <f>'[2]6нед'!W295</f>
        <v>0</v>
      </c>
      <c r="O167" s="41" t="str">
        <f>'[2]6нед'!X295</f>
        <v/>
      </c>
      <c r="P167" s="42"/>
    </row>
    <row r="168" ht="31.5" spans="1:16">
      <c r="A168" s="36"/>
      <c r="B168" s="37"/>
      <c r="C168" s="29" t="s">
        <v>20</v>
      </c>
      <c r="D168" s="38">
        <f>'[2]5нед'!S296</f>
        <v>0</v>
      </c>
      <c r="E168" s="39">
        <f>'[2]5нед'!T296</f>
        <v>0</v>
      </c>
      <c r="F168" s="40">
        <f>'[2]5нед'!W296</f>
        <v>0</v>
      </c>
      <c r="G168" s="41" t="str">
        <f>'[2]5нед'!X296</f>
        <v/>
      </c>
      <c r="H168" s="42"/>
      <c r="I168" s="43"/>
      <c r="J168" s="44"/>
      <c r="K168" s="29" t="s">
        <v>20</v>
      </c>
      <c r="L168" s="38">
        <f>'[2]6нед'!S296</f>
        <v>0</v>
      </c>
      <c r="M168" s="39">
        <f>'[2]6нед'!T296</f>
        <v>0</v>
      </c>
      <c r="N168" s="40">
        <f>'[2]6нед'!W296</f>
        <v>0</v>
      </c>
      <c r="O168" s="41" t="str">
        <f>'[2]6нед'!X296</f>
        <v/>
      </c>
      <c r="P168" s="42"/>
    </row>
    <row r="169" ht="31.5" spans="1:16">
      <c r="A169" s="36"/>
      <c r="B169" s="37"/>
      <c r="C169" s="29" t="s">
        <v>21</v>
      </c>
      <c r="D169" s="38">
        <f>'[2]5нед'!S297</f>
        <v>0</v>
      </c>
      <c r="E169" s="39">
        <f>'[2]5нед'!T297</f>
        <v>0</v>
      </c>
      <c r="F169" s="40">
        <f>'[2]5нед'!W297</f>
        <v>0</v>
      </c>
      <c r="G169" s="41" t="str">
        <f>'[2]5нед'!X297</f>
        <v/>
      </c>
      <c r="H169" s="42"/>
      <c r="I169" s="43"/>
      <c r="J169" s="44"/>
      <c r="K169" s="29" t="s">
        <v>21</v>
      </c>
      <c r="L169" s="38">
        <f>'[2]6нед'!S297</f>
        <v>0</v>
      </c>
      <c r="M169" s="39">
        <f>'[2]6нед'!T297</f>
        <v>0</v>
      </c>
      <c r="N169" s="40">
        <f>'[2]6нед'!W297</f>
        <v>0</v>
      </c>
      <c r="O169" s="41" t="str">
        <f>'[2]6нед'!X297</f>
        <v/>
      </c>
      <c r="P169" s="42"/>
    </row>
    <row r="170" ht="32.25" spans="1:16">
      <c r="A170" s="36"/>
      <c r="B170" s="37"/>
      <c r="C170" s="29" t="s">
        <v>22</v>
      </c>
      <c r="D170" s="38">
        <f>'[2]5нед'!S298</f>
        <v>0</v>
      </c>
      <c r="E170" s="39">
        <f>'[2]5нед'!T298</f>
        <v>0</v>
      </c>
      <c r="F170" s="40">
        <f>'[2]5нед'!W298</f>
        <v>0</v>
      </c>
      <c r="G170" s="41" t="str">
        <f>'[2]5нед'!X298</f>
        <v/>
      </c>
      <c r="H170" s="42"/>
      <c r="I170" s="43"/>
      <c r="J170" s="44"/>
      <c r="K170" s="29" t="s">
        <v>22</v>
      </c>
      <c r="L170" s="38">
        <f>'[2]6нед'!S298</f>
        <v>0</v>
      </c>
      <c r="M170" s="39">
        <f>'[2]6нед'!T298</f>
        <v>0</v>
      </c>
      <c r="N170" s="40">
        <f>'[2]6нед'!W298</f>
        <v>0</v>
      </c>
      <c r="O170" s="41" t="str">
        <f>'[2]6нед'!X298</f>
        <v/>
      </c>
      <c r="P170" s="42"/>
    </row>
    <row r="171" ht="18.4" hidden="1" customHeight="1" spans="1:16">
      <c r="A171" s="45"/>
      <c r="B171" s="46"/>
      <c r="C171" s="47"/>
      <c r="D171" s="48">
        <f>'[2]5нед'!S299</f>
        <v>0</v>
      </c>
      <c r="E171" s="49">
        <f>'[2]5нед'!T299</f>
        <v>0</v>
      </c>
      <c r="F171" s="50">
        <f>'[2]5нед'!W299</f>
        <v>0</v>
      </c>
      <c r="G171" s="51" t="str">
        <f>'[2]5нед'!X299</f>
        <v/>
      </c>
      <c r="H171" s="52"/>
      <c r="I171" s="53"/>
      <c r="J171" s="54"/>
      <c r="K171" s="47"/>
      <c r="L171" s="48">
        <f>'[2]6нед'!S299</f>
        <v>0</v>
      </c>
      <c r="M171" s="49">
        <f>'[2]6нед'!T299</f>
        <v>0</v>
      </c>
      <c r="N171" s="50">
        <f>'[2]6нед'!W299</f>
        <v>0</v>
      </c>
      <c r="O171" s="51" t="str">
        <f>'[2]6нед'!X299</f>
        <v/>
      </c>
      <c r="P171" s="52"/>
    </row>
    <row r="172" ht="48" customHeight="1" spans="1:16">
      <c r="A172" s="27">
        <v>46298</v>
      </c>
      <c r="B172" s="28" t="s">
        <v>27</v>
      </c>
      <c r="C172" s="55" t="s">
        <v>16</v>
      </c>
      <c r="D172" s="30">
        <f>'[2]5нед'!S300</f>
        <v>0</v>
      </c>
      <c r="E172" s="31">
        <f>'[2]5нед'!T300</f>
        <v>0</v>
      </c>
      <c r="F172" s="32">
        <f>'[2]5нед'!W300</f>
        <v>0</v>
      </c>
      <c r="G172" s="33" t="str">
        <f>'[2]5нед'!X300</f>
        <v/>
      </c>
      <c r="H172" s="34"/>
      <c r="I172" s="27">
        <v>46305</v>
      </c>
      <c r="J172" s="35" t="s">
        <v>27</v>
      </c>
      <c r="K172" s="55" t="s">
        <v>16</v>
      </c>
      <c r="L172" s="30">
        <f>'[2]6нед'!S300</f>
        <v>0</v>
      </c>
      <c r="M172" s="31">
        <f>'[2]6нед'!T300</f>
        <v>0</v>
      </c>
      <c r="N172" s="32">
        <f>'[2]6нед'!W300</f>
        <v>0</v>
      </c>
      <c r="O172" s="33" t="str">
        <f>'[2]6нед'!X300</f>
        <v/>
      </c>
      <c r="P172" s="34"/>
    </row>
    <row r="173" ht="31.5" spans="1:16">
      <c r="A173" s="36"/>
      <c r="B173" s="37"/>
      <c r="C173" s="29" t="s">
        <v>17</v>
      </c>
      <c r="D173" s="38">
        <f>'[2]5нед'!S301</f>
        <v>0</v>
      </c>
      <c r="E173" s="39">
        <f>'[2]5нед'!T301</f>
        <v>0</v>
      </c>
      <c r="F173" s="40">
        <f>'[2]5нед'!W301</f>
        <v>0</v>
      </c>
      <c r="G173" s="41" t="str">
        <f>'[2]5нед'!X301</f>
        <v/>
      </c>
      <c r="H173" s="42"/>
      <c r="I173" s="43"/>
      <c r="J173" s="44"/>
      <c r="K173" s="29" t="s">
        <v>17</v>
      </c>
      <c r="L173" s="38">
        <f>'[2]6нед'!S301</f>
        <v>0</v>
      </c>
      <c r="M173" s="39">
        <f>'[2]6нед'!T301</f>
        <v>0</v>
      </c>
      <c r="N173" s="40">
        <f>'[2]6нед'!W301</f>
        <v>0</v>
      </c>
      <c r="O173" s="41" t="str">
        <f>'[2]6нед'!X301</f>
        <v/>
      </c>
      <c r="P173" s="42"/>
    </row>
    <row r="174" ht="31.5" spans="1:16">
      <c r="A174" s="36"/>
      <c r="B174" s="37"/>
      <c r="C174" s="29" t="s">
        <v>18</v>
      </c>
      <c r="D174" s="38">
        <f>'[2]5нед'!S302</f>
        <v>0</v>
      </c>
      <c r="E174" s="39">
        <f>'[2]5нед'!T302</f>
        <v>0</v>
      </c>
      <c r="F174" s="40">
        <f>'[2]5нед'!W302</f>
        <v>0</v>
      </c>
      <c r="G174" s="41" t="str">
        <f>'[2]5нед'!X302</f>
        <v/>
      </c>
      <c r="H174" s="63"/>
      <c r="I174" s="43"/>
      <c r="J174" s="44"/>
      <c r="K174" s="29" t="s">
        <v>18</v>
      </c>
      <c r="L174" s="38">
        <f>'[2]6нед'!S302</f>
        <v>0</v>
      </c>
      <c r="M174" s="39">
        <f>'[2]6нед'!T302</f>
        <v>0</v>
      </c>
      <c r="N174" s="40">
        <f>'[2]6нед'!W302</f>
        <v>0</v>
      </c>
      <c r="O174" s="41" t="str">
        <f>'[2]6нед'!X302</f>
        <v/>
      </c>
      <c r="P174" s="63"/>
    </row>
    <row r="175" ht="31.5" spans="1:16">
      <c r="A175" s="36"/>
      <c r="B175" s="37"/>
      <c r="C175" s="29" t="s">
        <v>19</v>
      </c>
      <c r="D175" s="38">
        <f>'[2]5нед'!S303</f>
        <v>0</v>
      </c>
      <c r="E175" s="39">
        <f>'[2]5нед'!T303</f>
        <v>0</v>
      </c>
      <c r="F175" s="40">
        <f>'[2]5нед'!W303</f>
        <v>0</v>
      </c>
      <c r="G175" s="41" t="str">
        <f>'[2]5нед'!X303</f>
        <v/>
      </c>
      <c r="H175" s="42"/>
      <c r="I175" s="43"/>
      <c r="J175" s="44"/>
      <c r="K175" s="29" t="s">
        <v>19</v>
      </c>
      <c r="L175" s="38">
        <f>'[2]6нед'!S303</f>
        <v>0</v>
      </c>
      <c r="M175" s="39">
        <f>'[2]6нед'!T303</f>
        <v>0</v>
      </c>
      <c r="N175" s="40">
        <f>'[2]6нед'!W303</f>
        <v>0</v>
      </c>
      <c r="O175" s="41" t="str">
        <f>'[2]6нед'!X303</f>
        <v/>
      </c>
      <c r="P175" s="42"/>
    </row>
    <row r="176" ht="31.5" spans="1:16">
      <c r="A176" s="36"/>
      <c r="B176" s="37"/>
      <c r="C176" s="29" t="s">
        <v>20</v>
      </c>
      <c r="D176" s="38">
        <f>'[2]5нед'!S304</f>
        <v>0</v>
      </c>
      <c r="E176" s="39">
        <f>'[2]5нед'!T304</f>
        <v>0</v>
      </c>
      <c r="F176" s="40">
        <f>'[2]5нед'!W304</f>
        <v>0</v>
      </c>
      <c r="G176" s="41" t="str">
        <f>'[2]5нед'!X304</f>
        <v/>
      </c>
      <c r="H176" s="42"/>
      <c r="I176" s="43"/>
      <c r="J176" s="44"/>
      <c r="K176" s="29" t="s">
        <v>20</v>
      </c>
      <c r="L176" s="38">
        <f>'[2]6нед'!S304</f>
        <v>0</v>
      </c>
      <c r="M176" s="39">
        <f>'[2]6нед'!T304</f>
        <v>0</v>
      </c>
      <c r="N176" s="40">
        <f>'[2]6нед'!W304</f>
        <v>0</v>
      </c>
      <c r="O176" s="41" t="str">
        <f>'[2]6нед'!X304</f>
        <v/>
      </c>
      <c r="P176" s="42"/>
    </row>
    <row r="177" ht="31.5" spans="1:16">
      <c r="A177" s="36"/>
      <c r="B177" s="37"/>
      <c r="C177" s="29" t="s">
        <v>21</v>
      </c>
      <c r="D177" s="38">
        <f>'[2]5нед'!S305</f>
        <v>0</v>
      </c>
      <c r="E177" s="39">
        <f>'[2]5нед'!T305</f>
        <v>0</v>
      </c>
      <c r="F177" s="40">
        <f>'[2]5нед'!W305</f>
        <v>0</v>
      </c>
      <c r="G177" s="41" t="str">
        <f>'[2]5нед'!X305</f>
        <v/>
      </c>
      <c r="H177" s="42"/>
      <c r="I177" s="43"/>
      <c r="J177" s="44"/>
      <c r="K177" s="29" t="s">
        <v>21</v>
      </c>
      <c r="L177" s="38">
        <f>'[2]6нед'!S305</f>
        <v>0</v>
      </c>
      <c r="M177" s="39">
        <f>'[2]6нед'!T305</f>
        <v>0</v>
      </c>
      <c r="N177" s="40">
        <f>'[2]6нед'!W305</f>
        <v>0</v>
      </c>
      <c r="O177" s="41" t="str">
        <f>'[2]6нед'!X305</f>
        <v/>
      </c>
      <c r="P177" s="42"/>
    </row>
    <row r="178" ht="32.25" spans="1:16">
      <c r="A178" s="36"/>
      <c r="B178" s="37"/>
      <c r="C178" s="29" t="s">
        <v>22</v>
      </c>
      <c r="D178" s="38">
        <f>'[2]5нед'!S306</f>
        <v>0</v>
      </c>
      <c r="E178" s="39">
        <f>'[2]5нед'!T306</f>
        <v>0</v>
      </c>
      <c r="F178" s="40">
        <f>'[2]5нед'!W306</f>
        <v>0</v>
      </c>
      <c r="G178" s="41" t="str">
        <f>'[2]5нед'!X306</f>
        <v/>
      </c>
      <c r="H178" s="42"/>
      <c r="I178" s="43"/>
      <c r="J178" s="44"/>
      <c r="K178" s="29" t="s">
        <v>22</v>
      </c>
      <c r="L178" s="38">
        <f>'[2]6нед'!S306</f>
        <v>0</v>
      </c>
      <c r="M178" s="39">
        <f>'[2]6нед'!T306</f>
        <v>0</v>
      </c>
      <c r="N178" s="40">
        <f>'[2]6нед'!W306</f>
        <v>0</v>
      </c>
      <c r="O178" s="41" t="str">
        <f>'[2]6нед'!X306</f>
        <v/>
      </c>
      <c r="P178" s="42"/>
    </row>
    <row r="179" ht="18.4" hidden="1" customHeight="1" spans="1:16">
      <c r="A179" s="45"/>
      <c r="B179" s="46"/>
      <c r="C179" s="47"/>
      <c r="D179" s="48">
        <f>'[2]5нед'!S183</f>
        <v>0</v>
      </c>
      <c r="E179" s="49">
        <f>'[2]5нед'!T183</f>
        <v>0</v>
      </c>
      <c r="F179" s="50">
        <f>'[2]5нед'!W183</f>
        <v>0</v>
      </c>
      <c r="G179" s="51" t="str">
        <f>'[2]5нед'!X183</f>
        <v/>
      </c>
      <c r="H179" s="52"/>
      <c r="I179" s="53"/>
      <c r="J179" s="54"/>
      <c r="K179" s="47"/>
      <c r="L179" s="48">
        <f>'[2]6нед'!S59</f>
        <v>0</v>
      </c>
      <c r="M179" s="49">
        <f>'[2]6нед'!T59</f>
        <v>0</v>
      </c>
      <c r="N179" s="50">
        <f>'[2]6нед'!W59</f>
        <v>0</v>
      </c>
      <c r="O179" s="51" t="str">
        <f>'[2]6нед'!X59</f>
        <v/>
      </c>
      <c r="P179" s="52"/>
    </row>
    <row r="180" ht="39" customHeight="1" spans="1:16">
      <c r="A180" s="64"/>
      <c r="B180" s="65"/>
      <c r="C180" s="66"/>
      <c r="D180" s="67"/>
      <c r="E180" s="67" t="s">
        <v>28</v>
      </c>
      <c r="F180" s="67"/>
      <c r="G180" s="68" t="s">
        <v>29</v>
      </c>
      <c r="H180" s="69"/>
      <c r="I180" s="64"/>
      <c r="J180" s="65"/>
      <c r="K180" s="66"/>
      <c r="L180" s="67"/>
      <c r="M180" s="67" t="s">
        <v>28</v>
      </c>
      <c r="N180" s="67"/>
      <c r="O180" s="68" t="s">
        <v>29</v>
      </c>
      <c r="P180" s="69"/>
    </row>
    <row r="181" ht="15.75" spans="1:16">
      <c r="A181" s="2"/>
      <c r="B181" s="3"/>
      <c r="C181" s="4"/>
      <c r="D181" s="5"/>
      <c r="E181" s="5"/>
      <c r="F181" s="5"/>
      <c r="G181" s="5"/>
      <c r="H181" s="6" t="s">
        <v>0</v>
      </c>
      <c r="I181" s="2"/>
      <c r="J181" s="3"/>
      <c r="K181" s="4"/>
      <c r="L181" s="5"/>
      <c r="M181" s="5"/>
      <c r="N181" s="5"/>
      <c r="O181" s="5"/>
      <c r="P181" s="6" t="s">
        <v>0</v>
      </c>
    </row>
    <row r="182" ht="15.75" spans="1:16">
      <c r="A182" s="2"/>
      <c r="B182" s="3"/>
      <c r="C182" s="4"/>
      <c r="D182" s="5"/>
      <c r="E182" s="5"/>
      <c r="F182" s="5"/>
      <c r="G182" s="5"/>
      <c r="H182" s="6" t="s">
        <v>1</v>
      </c>
      <c r="I182" s="2"/>
      <c r="J182" s="3"/>
      <c r="K182" s="4"/>
      <c r="L182" s="5"/>
      <c r="M182" s="5"/>
      <c r="N182" s="5"/>
      <c r="O182" s="5"/>
      <c r="P182" s="6" t="s">
        <v>1</v>
      </c>
    </row>
    <row r="183" ht="15.75" spans="1:16">
      <c r="A183" s="2"/>
      <c r="B183" s="3"/>
      <c r="C183" s="4"/>
      <c r="D183" s="5"/>
      <c r="E183" s="5"/>
      <c r="F183" s="5"/>
      <c r="G183" s="5"/>
      <c r="H183" s="6" t="s">
        <v>2</v>
      </c>
      <c r="I183" s="2"/>
      <c r="J183" s="3"/>
      <c r="K183" s="4"/>
      <c r="L183" s="5"/>
      <c r="M183" s="5"/>
      <c r="N183" s="5"/>
      <c r="O183" s="5"/>
      <c r="P183" s="6" t="s">
        <v>2</v>
      </c>
    </row>
    <row r="184" ht="15.75" spans="1:16">
      <c r="A184" s="2"/>
      <c r="B184" s="3"/>
      <c r="C184" s="4"/>
      <c r="D184" s="5"/>
      <c r="E184" s="5"/>
      <c r="F184" s="5"/>
      <c r="G184" s="5"/>
      <c r="H184" s="6" t="s">
        <v>3</v>
      </c>
      <c r="I184" s="2"/>
      <c r="J184" s="3"/>
      <c r="K184" s="4"/>
      <c r="L184" s="5"/>
      <c r="M184" s="5"/>
      <c r="N184" s="5"/>
      <c r="O184" s="5"/>
      <c r="P184" s="6" t="s">
        <v>3</v>
      </c>
    </row>
    <row r="185" ht="15.75" spans="1:16">
      <c r="A185" s="2"/>
      <c r="B185" s="7"/>
      <c r="C185" s="4"/>
      <c r="D185" s="5"/>
      <c r="E185" s="5"/>
      <c r="F185" s="5"/>
      <c r="G185" s="5"/>
      <c r="H185" s="5"/>
      <c r="I185" s="2"/>
      <c r="J185" s="7"/>
      <c r="K185" s="4"/>
      <c r="L185" s="5"/>
      <c r="M185" s="5"/>
      <c r="N185" s="5"/>
      <c r="O185" s="5"/>
      <c r="P185" s="5"/>
    </row>
    <row r="186" ht="15.75" spans="1:16">
      <c r="A186" s="2"/>
      <c r="B186" s="8" t="s">
        <v>4</v>
      </c>
      <c r="C186" s="8"/>
      <c r="D186" s="8"/>
      <c r="E186" s="8"/>
      <c r="F186" s="8"/>
      <c r="G186" s="8"/>
      <c r="H186" s="8"/>
      <c r="I186" s="2"/>
      <c r="J186" s="8" t="s">
        <v>4</v>
      </c>
      <c r="K186" s="8"/>
      <c r="L186" s="8"/>
      <c r="M186" s="8"/>
      <c r="N186" s="8"/>
      <c r="O186" s="8"/>
      <c r="P186" s="8"/>
    </row>
    <row r="187" ht="15.75" spans="1:16">
      <c r="A187" s="9"/>
      <c r="B187" s="10" t="str">
        <f>'[1]1нед'!$A$6</f>
        <v>Направление подготовки:</v>
      </c>
      <c r="C187" s="11"/>
      <c r="D187" s="12"/>
      <c r="E187" s="13" t="str">
        <f>E7</f>
        <v>00</v>
      </c>
      <c r="F187" s="12"/>
      <c r="G187" s="12"/>
      <c r="H187" s="14">
        <f>H7</f>
        <v>0</v>
      </c>
      <c r="I187" s="9"/>
      <c r="J187" s="10" t="str">
        <f>'[1]1нед'!$A$6</f>
        <v>Направление подготовки:</v>
      </c>
      <c r="K187" s="11"/>
      <c r="L187" s="12"/>
      <c r="M187" s="13" t="str">
        <f>E7</f>
        <v>00</v>
      </c>
      <c r="N187" s="12"/>
      <c r="O187" s="12"/>
      <c r="P187" s="14">
        <f>H7</f>
        <v>0</v>
      </c>
    </row>
    <row r="188" ht="15.75" spans="1:16">
      <c r="A188" s="2"/>
      <c r="B188" s="10" t="s">
        <v>5</v>
      </c>
      <c r="C188" s="10"/>
      <c r="D188" s="10"/>
      <c r="E188" s="10" t="str">
        <f>E8</f>
        <v>очно-заочная</v>
      </c>
      <c r="F188" s="10"/>
      <c r="G188" s="10"/>
      <c r="H188" s="10"/>
      <c r="I188" s="2"/>
      <c r="J188" s="10" t="s">
        <v>5</v>
      </c>
      <c r="K188" s="10"/>
      <c r="L188" s="10"/>
      <c r="M188" s="10" t="str">
        <f>E8</f>
        <v>очно-заочная</v>
      </c>
      <c r="N188" s="10"/>
      <c r="O188" s="10"/>
      <c r="P188" s="10"/>
    </row>
    <row r="189" ht="15.75" spans="1:16">
      <c r="A189" s="2"/>
      <c r="B189" s="10" t="s">
        <v>7</v>
      </c>
      <c r="C189" s="10"/>
      <c r="D189" s="10"/>
      <c r="E189" s="10">
        <f>E9</f>
        <v>3</v>
      </c>
      <c r="F189" s="10"/>
      <c r="G189" s="10"/>
      <c r="H189" s="15"/>
      <c r="I189" s="2"/>
      <c r="J189" s="10" t="s">
        <v>7</v>
      </c>
      <c r="K189" s="10"/>
      <c r="L189" s="10"/>
      <c r="M189" s="10">
        <f>E9</f>
        <v>3</v>
      </c>
      <c r="N189" s="10"/>
      <c r="O189" s="10"/>
      <c r="P189" s="15"/>
    </row>
    <row r="190" ht="16.5" spans="1:16">
      <c r="A190" s="2"/>
      <c r="B190" s="16" t="s">
        <v>8</v>
      </c>
      <c r="C190" s="16"/>
      <c r="D190" s="16"/>
      <c r="E190" s="16">
        <f>M130+1</f>
        <v>7</v>
      </c>
      <c r="F190" s="16"/>
      <c r="G190" s="16"/>
      <c r="H190" s="17"/>
      <c r="I190" s="2"/>
      <c r="J190" s="16" t="s">
        <v>8</v>
      </c>
      <c r="K190" s="16"/>
      <c r="L190" s="16"/>
      <c r="M190" s="16">
        <f>E190+1</f>
        <v>8</v>
      </c>
      <c r="N190" s="16"/>
      <c r="O190" s="16"/>
      <c r="P190" s="17"/>
    </row>
    <row r="191" ht="46.5" customHeight="1" spans="1:16">
      <c r="A191" s="19" t="s">
        <v>9</v>
      </c>
      <c r="B191" s="20"/>
      <c r="C191" s="21" t="s">
        <v>10</v>
      </c>
      <c r="D191" s="22" t="s">
        <v>11</v>
      </c>
      <c r="E191" s="23" t="s">
        <v>12</v>
      </c>
      <c r="F191" s="24" t="s">
        <v>13</v>
      </c>
      <c r="G191" s="25"/>
      <c r="H191" s="26" t="s">
        <v>14</v>
      </c>
      <c r="I191" s="19" t="s">
        <v>9</v>
      </c>
      <c r="J191" s="20"/>
      <c r="K191" s="21" t="s">
        <v>10</v>
      </c>
      <c r="L191" s="22" t="s">
        <v>11</v>
      </c>
      <c r="M191" s="23" t="s">
        <v>12</v>
      </c>
      <c r="N191" s="24" t="s">
        <v>13</v>
      </c>
      <c r="O191" s="25"/>
      <c r="P191" s="26" t="s">
        <v>14</v>
      </c>
    </row>
    <row r="192" ht="32.25" customHeight="1" spans="1:16">
      <c r="A192" s="27">
        <v>46307</v>
      </c>
      <c r="B192" s="28" t="s">
        <v>15</v>
      </c>
      <c r="C192" s="29" t="s">
        <v>16</v>
      </c>
      <c r="D192" s="30">
        <f>'[2]7нед'!S260</f>
        <v>0</v>
      </c>
      <c r="E192" s="31">
        <f>'[2]7нед'!T260</f>
        <v>0</v>
      </c>
      <c r="F192" s="32">
        <f>'[2]7нед'!W260</f>
        <v>0</v>
      </c>
      <c r="G192" s="33" t="str">
        <f>'[2]7нед'!X260</f>
        <v/>
      </c>
      <c r="H192" s="34"/>
      <c r="I192" s="27">
        <v>46314</v>
      </c>
      <c r="J192" s="35" t="s">
        <v>15</v>
      </c>
      <c r="K192" s="29" t="s">
        <v>16</v>
      </c>
      <c r="L192" s="30">
        <f>'[2]8нед'!S260</f>
        <v>0</v>
      </c>
      <c r="M192" s="31">
        <f>'[2]8нед'!T260</f>
        <v>0</v>
      </c>
      <c r="N192" s="32">
        <f>'[2]8нед'!W260</f>
        <v>0</v>
      </c>
      <c r="O192" s="33" t="str">
        <f>'[2]8нед'!X260</f>
        <v/>
      </c>
      <c r="P192" s="34"/>
    </row>
    <row r="193" ht="31.5" spans="1:16">
      <c r="A193" s="36"/>
      <c r="B193" s="37"/>
      <c r="C193" s="29" t="s">
        <v>17</v>
      </c>
      <c r="D193" s="38">
        <f>'[2]7нед'!S261</f>
        <v>0</v>
      </c>
      <c r="E193" s="39">
        <f>'[2]7нед'!T261</f>
        <v>0</v>
      </c>
      <c r="F193" s="40">
        <f>'[2]7нед'!W261</f>
        <v>0</v>
      </c>
      <c r="G193" s="41" t="str">
        <f>'[2]7нед'!X261</f>
        <v/>
      </c>
      <c r="H193" s="42"/>
      <c r="I193" s="43"/>
      <c r="J193" s="44"/>
      <c r="K193" s="29" t="s">
        <v>17</v>
      </c>
      <c r="L193" s="38">
        <f>'[2]8нед'!S261</f>
        <v>0</v>
      </c>
      <c r="M193" s="39">
        <f>'[2]8нед'!T261</f>
        <v>0</v>
      </c>
      <c r="N193" s="40">
        <f>'[2]8нед'!W261</f>
        <v>0</v>
      </c>
      <c r="O193" s="41" t="str">
        <f>'[2]8нед'!X261</f>
        <v/>
      </c>
      <c r="P193" s="42"/>
    </row>
    <row r="194" ht="31.5" spans="1:16">
      <c r="A194" s="36"/>
      <c r="B194" s="37"/>
      <c r="C194" s="29" t="s">
        <v>18</v>
      </c>
      <c r="D194" s="38">
        <f>'[2]7нед'!S262</f>
        <v>0</v>
      </c>
      <c r="E194" s="39">
        <f>'[2]7нед'!T262</f>
        <v>0</v>
      </c>
      <c r="F194" s="40">
        <f>'[2]7нед'!W262</f>
        <v>0</v>
      </c>
      <c r="G194" s="41" t="str">
        <f>'[2]7нед'!X262</f>
        <v/>
      </c>
      <c r="H194" s="42"/>
      <c r="I194" s="43"/>
      <c r="J194" s="44"/>
      <c r="K194" s="29" t="s">
        <v>18</v>
      </c>
      <c r="L194" s="38">
        <f>'[2]8нед'!S262</f>
        <v>0</v>
      </c>
      <c r="M194" s="39">
        <f>'[2]8нед'!T262</f>
        <v>0</v>
      </c>
      <c r="N194" s="40">
        <f>'[2]8нед'!W262</f>
        <v>0</v>
      </c>
      <c r="O194" s="41" t="str">
        <f>'[2]8нед'!X262</f>
        <v/>
      </c>
      <c r="P194" s="42"/>
    </row>
    <row r="195" ht="31.5" spans="1:16">
      <c r="A195" s="36"/>
      <c r="B195" s="37"/>
      <c r="C195" s="29" t="s">
        <v>19</v>
      </c>
      <c r="D195" s="38">
        <f>'[2]7нед'!S263</f>
        <v>0</v>
      </c>
      <c r="E195" s="39">
        <f>'[2]7нед'!T263</f>
        <v>0</v>
      </c>
      <c r="F195" s="40">
        <f>'[2]7нед'!W263</f>
        <v>0</v>
      </c>
      <c r="G195" s="41" t="str">
        <f>'[2]7нед'!X263</f>
        <v/>
      </c>
      <c r="H195" s="42"/>
      <c r="I195" s="43"/>
      <c r="J195" s="44"/>
      <c r="K195" s="29" t="s">
        <v>19</v>
      </c>
      <c r="L195" s="38">
        <f>'[2]8нед'!S263</f>
        <v>0</v>
      </c>
      <c r="M195" s="39">
        <f>'[2]8нед'!T263</f>
        <v>0</v>
      </c>
      <c r="N195" s="40">
        <f>'[2]8нед'!W263</f>
        <v>0</v>
      </c>
      <c r="O195" s="41" t="str">
        <f>'[2]8нед'!X263</f>
        <v/>
      </c>
      <c r="P195" s="42"/>
    </row>
    <row r="196" ht="31.5" spans="1:16">
      <c r="A196" s="36"/>
      <c r="B196" s="37"/>
      <c r="C196" s="29" t="s">
        <v>20</v>
      </c>
      <c r="D196" s="38">
        <f>'[2]7нед'!S264</f>
        <v>0</v>
      </c>
      <c r="E196" s="39">
        <f>'[2]7нед'!T264</f>
        <v>0</v>
      </c>
      <c r="F196" s="40">
        <f>'[2]7нед'!W264</f>
        <v>0</v>
      </c>
      <c r="G196" s="41" t="str">
        <f>'[2]7нед'!X264</f>
        <v/>
      </c>
      <c r="H196" s="42"/>
      <c r="I196" s="43"/>
      <c r="J196" s="44"/>
      <c r="K196" s="29" t="s">
        <v>20</v>
      </c>
      <c r="L196" s="38">
        <f>'[2]8нед'!S264</f>
        <v>0</v>
      </c>
      <c r="M196" s="39">
        <f>'[2]8нед'!T264</f>
        <v>0</v>
      </c>
      <c r="N196" s="40">
        <f>'[2]8нед'!W264</f>
        <v>0</v>
      </c>
      <c r="O196" s="41" t="str">
        <f>'[2]8нед'!X264</f>
        <v/>
      </c>
      <c r="P196" s="42"/>
    </row>
    <row r="197" ht="31.5" spans="1:16">
      <c r="A197" s="36"/>
      <c r="B197" s="37"/>
      <c r="C197" s="29" t="s">
        <v>21</v>
      </c>
      <c r="D197" s="38">
        <f>'[2]7нед'!S265</f>
        <v>0</v>
      </c>
      <c r="E197" s="39">
        <f>'[2]7нед'!T265</f>
        <v>0</v>
      </c>
      <c r="F197" s="40">
        <f>'[2]7нед'!W265</f>
        <v>0</v>
      </c>
      <c r="G197" s="41" t="str">
        <f>'[2]7нед'!X265</f>
        <v/>
      </c>
      <c r="H197" s="42"/>
      <c r="I197" s="43"/>
      <c r="J197" s="44"/>
      <c r="K197" s="29" t="s">
        <v>21</v>
      </c>
      <c r="L197" s="38">
        <f>'[2]8нед'!S265</f>
        <v>0</v>
      </c>
      <c r="M197" s="39">
        <f>'[2]8нед'!T265</f>
        <v>0</v>
      </c>
      <c r="N197" s="40">
        <f>'[2]8нед'!W265</f>
        <v>0</v>
      </c>
      <c r="O197" s="41" t="str">
        <f>'[2]8нед'!X265</f>
        <v/>
      </c>
      <c r="P197" s="42"/>
    </row>
    <row r="198" ht="32.25" spans="1:16">
      <c r="A198" s="36"/>
      <c r="B198" s="37"/>
      <c r="C198" s="29" t="s">
        <v>22</v>
      </c>
      <c r="D198" s="38">
        <f>'[2]7нед'!S266</f>
        <v>0</v>
      </c>
      <c r="E198" s="39">
        <f>'[2]7нед'!T266</f>
        <v>0</v>
      </c>
      <c r="F198" s="40">
        <f>'[2]7нед'!W266</f>
        <v>0</v>
      </c>
      <c r="G198" s="41" t="str">
        <f>'[2]7нед'!X266</f>
        <v/>
      </c>
      <c r="H198" s="42"/>
      <c r="I198" s="43"/>
      <c r="J198" s="44"/>
      <c r="K198" s="29" t="s">
        <v>22</v>
      </c>
      <c r="L198" s="38">
        <f>'[2]8нед'!S266</f>
        <v>0</v>
      </c>
      <c r="M198" s="39">
        <f>'[2]8нед'!T266</f>
        <v>0</v>
      </c>
      <c r="N198" s="40">
        <f>'[2]8нед'!W266</f>
        <v>0</v>
      </c>
      <c r="O198" s="41" t="str">
        <f>'[2]8нед'!X266</f>
        <v/>
      </c>
      <c r="P198" s="42"/>
    </row>
    <row r="199" ht="18.4" hidden="1" customHeight="1" spans="1:16">
      <c r="A199" s="45"/>
      <c r="B199" s="46"/>
      <c r="C199" s="47"/>
      <c r="D199" s="48">
        <f>'[2]7нед'!S267</f>
        <v>0</v>
      </c>
      <c r="E199" s="49">
        <f>'[2]7нед'!T267</f>
        <v>0</v>
      </c>
      <c r="F199" s="50">
        <f>'[2]7нед'!W267</f>
        <v>0</v>
      </c>
      <c r="G199" s="51" t="str">
        <f>'[2]7нед'!X267</f>
        <v/>
      </c>
      <c r="H199" s="52"/>
      <c r="I199" s="53"/>
      <c r="J199" s="54"/>
      <c r="K199" s="47"/>
      <c r="L199" s="48">
        <f>'[2]8нед'!S267</f>
        <v>0</v>
      </c>
      <c r="M199" s="49">
        <f>'[2]8нед'!T267</f>
        <v>0</v>
      </c>
      <c r="N199" s="50">
        <f>'[2]8нед'!W267</f>
        <v>0</v>
      </c>
      <c r="O199" s="51" t="str">
        <f>'[2]8нед'!X267</f>
        <v/>
      </c>
      <c r="P199" s="52"/>
    </row>
    <row r="200" ht="32.25" customHeight="1" spans="1:16">
      <c r="A200" s="27">
        <v>46308</v>
      </c>
      <c r="B200" s="28" t="s">
        <v>23</v>
      </c>
      <c r="C200" s="55" t="s">
        <v>16</v>
      </c>
      <c r="D200" s="30">
        <f>'[2]7нед'!S268</f>
        <v>0</v>
      </c>
      <c r="E200" s="31">
        <f>'[2]7нед'!T268</f>
        <v>0</v>
      </c>
      <c r="F200" s="32">
        <f>'[2]7нед'!W268</f>
        <v>0</v>
      </c>
      <c r="G200" s="33" t="str">
        <f>'[2]7нед'!X268</f>
        <v/>
      </c>
      <c r="H200" s="34"/>
      <c r="I200" s="27">
        <v>46315</v>
      </c>
      <c r="J200" s="35" t="s">
        <v>23</v>
      </c>
      <c r="K200" s="55" t="s">
        <v>16</v>
      </c>
      <c r="L200" s="30">
        <f>'[2]8нед'!S268</f>
        <v>0</v>
      </c>
      <c r="M200" s="31">
        <f>'[2]8нед'!T268</f>
        <v>0</v>
      </c>
      <c r="N200" s="32">
        <f>'[2]8нед'!W268</f>
        <v>0</v>
      </c>
      <c r="O200" s="33" t="str">
        <f>'[2]8нед'!X268</f>
        <v/>
      </c>
      <c r="P200" s="34"/>
    </row>
    <row r="201" ht="31.5" spans="1:16">
      <c r="A201" s="36"/>
      <c r="B201" s="37"/>
      <c r="C201" s="29" t="s">
        <v>17</v>
      </c>
      <c r="D201" s="38">
        <f>'[2]7нед'!S269</f>
        <v>0</v>
      </c>
      <c r="E201" s="39">
        <f>'[2]7нед'!T269</f>
        <v>0</v>
      </c>
      <c r="F201" s="40">
        <f>'[2]7нед'!W269</f>
        <v>0</v>
      </c>
      <c r="G201" s="41" t="str">
        <f>'[2]7нед'!X269</f>
        <v/>
      </c>
      <c r="H201" s="42"/>
      <c r="I201" s="43"/>
      <c r="J201" s="44"/>
      <c r="K201" s="29" t="s">
        <v>17</v>
      </c>
      <c r="L201" s="38">
        <f>'[2]8нед'!S269</f>
        <v>0</v>
      </c>
      <c r="M201" s="39">
        <f>'[2]8нед'!T269</f>
        <v>0</v>
      </c>
      <c r="N201" s="40">
        <f>'[2]8нед'!W269</f>
        <v>0</v>
      </c>
      <c r="O201" s="41" t="str">
        <f>'[2]8нед'!X269</f>
        <v/>
      </c>
      <c r="P201" s="42"/>
    </row>
    <row r="202" ht="31.5" spans="1:16">
      <c r="A202" s="36"/>
      <c r="B202" s="37"/>
      <c r="C202" s="29" t="s">
        <v>18</v>
      </c>
      <c r="D202" s="38">
        <f>'[2]7нед'!S270</f>
        <v>0</v>
      </c>
      <c r="E202" s="39">
        <f>'[2]7нед'!T270</f>
        <v>0</v>
      </c>
      <c r="F202" s="40">
        <f>'[2]7нед'!W270</f>
        <v>0</v>
      </c>
      <c r="G202" s="41" t="str">
        <f>'[2]7нед'!X270</f>
        <v/>
      </c>
      <c r="H202" s="42"/>
      <c r="I202" s="43"/>
      <c r="J202" s="44"/>
      <c r="K202" s="29" t="s">
        <v>18</v>
      </c>
      <c r="L202" s="38">
        <f>'[2]8нед'!S270</f>
        <v>0</v>
      </c>
      <c r="M202" s="39">
        <f>'[2]8нед'!T270</f>
        <v>0</v>
      </c>
      <c r="N202" s="40">
        <f>'[2]8нед'!W270</f>
        <v>0</v>
      </c>
      <c r="O202" s="41" t="str">
        <f>'[2]8нед'!X270</f>
        <v/>
      </c>
      <c r="P202" s="42"/>
    </row>
    <row r="203" ht="31.5" spans="1:16">
      <c r="A203" s="36"/>
      <c r="B203" s="37"/>
      <c r="C203" s="29" t="s">
        <v>19</v>
      </c>
      <c r="D203" s="38">
        <f>'[2]7нед'!S271</f>
        <v>0</v>
      </c>
      <c r="E203" s="39">
        <f>'[2]7нед'!T271</f>
        <v>0</v>
      </c>
      <c r="F203" s="40">
        <f>'[2]7нед'!W271</f>
        <v>0</v>
      </c>
      <c r="G203" s="41" t="str">
        <f>'[2]7нед'!X271</f>
        <v/>
      </c>
      <c r="H203" s="42"/>
      <c r="I203" s="43"/>
      <c r="J203" s="44"/>
      <c r="K203" s="29" t="s">
        <v>19</v>
      </c>
      <c r="L203" s="38">
        <f>'[2]8нед'!S271</f>
        <v>0</v>
      </c>
      <c r="M203" s="39">
        <f>'[2]8нед'!T271</f>
        <v>0</v>
      </c>
      <c r="N203" s="40">
        <f>'[2]8нед'!W271</f>
        <v>0</v>
      </c>
      <c r="O203" s="41" t="str">
        <f>'[2]8нед'!X271</f>
        <v/>
      </c>
      <c r="P203" s="42"/>
    </row>
    <row r="204" ht="31.5" spans="1:16">
      <c r="A204" s="36"/>
      <c r="B204" s="37"/>
      <c r="C204" s="29" t="s">
        <v>20</v>
      </c>
      <c r="D204" s="38">
        <f>'[2]7нед'!S272</f>
        <v>0</v>
      </c>
      <c r="E204" s="39">
        <f>'[2]7нед'!T272</f>
        <v>0</v>
      </c>
      <c r="F204" s="40">
        <f>'[2]7нед'!W272</f>
        <v>0</v>
      </c>
      <c r="G204" s="41" t="str">
        <f>'[2]7нед'!X272</f>
        <v/>
      </c>
      <c r="H204" s="42"/>
      <c r="I204" s="43"/>
      <c r="J204" s="44"/>
      <c r="K204" s="29" t="s">
        <v>20</v>
      </c>
      <c r="L204" s="38">
        <f>'[2]8нед'!S272</f>
        <v>0</v>
      </c>
      <c r="M204" s="39">
        <f>'[2]8нед'!T272</f>
        <v>0</v>
      </c>
      <c r="N204" s="40">
        <f>'[2]8нед'!W272</f>
        <v>0</v>
      </c>
      <c r="O204" s="41" t="str">
        <f>'[2]8нед'!X272</f>
        <v/>
      </c>
      <c r="P204" s="42"/>
    </row>
    <row r="205" ht="31.5" spans="1:16">
      <c r="A205" s="36"/>
      <c r="B205" s="37"/>
      <c r="C205" s="29" t="s">
        <v>21</v>
      </c>
      <c r="D205" s="38">
        <f>'[2]7нед'!S273</f>
        <v>0</v>
      </c>
      <c r="E205" s="39">
        <f>'[2]7нед'!T273</f>
        <v>0</v>
      </c>
      <c r="F205" s="40">
        <f>'[2]7нед'!W273</f>
        <v>0</v>
      </c>
      <c r="G205" s="41" t="str">
        <f>'[2]7нед'!X273</f>
        <v/>
      </c>
      <c r="H205" s="56"/>
      <c r="I205" s="43"/>
      <c r="J205" s="44"/>
      <c r="K205" s="29" t="s">
        <v>21</v>
      </c>
      <c r="L205" s="38">
        <f>'[2]8нед'!S273</f>
        <v>0</v>
      </c>
      <c r="M205" s="39">
        <f>'[2]8нед'!T273</f>
        <v>0</v>
      </c>
      <c r="N205" s="40">
        <f>'[2]8нед'!W273</f>
        <v>0</v>
      </c>
      <c r="O205" s="41" t="str">
        <f>'[2]8нед'!X273</f>
        <v/>
      </c>
      <c r="P205" s="56"/>
    </row>
    <row r="206" ht="32.25" spans="1:16">
      <c r="A206" s="36"/>
      <c r="B206" s="37"/>
      <c r="C206" s="29" t="s">
        <v>22</v>
      </c>
      <c r="D206" s="38">
        <f>'[2]7нед'!S274</f>
        <v>0</v>
      </c>
      <c r="E206" s="39">
        <f>'[2]7нед'!T274</f>
        <v>0</v>
      </c>
      <c r="F206" s="40">
        <f>'[2]7нед'!W274</f>
        <v>0</v>
      </c>
      <c r="G206" s="41" t="str">
        <f>'[2]7нед'!X274</f>
        <v/>
      </c>
      <c r="H206" s="56"/>
      <c r="I206" s="43"/>
      <c r="J206" s="44"/>
      <c r="K206" s="29" t="s">
        <v>22</v>
      </c>
      <c r="L206" s="38">
        <f>'[2]8нед'!S274</f>
        <v>0</v>
      </c>
      <c r="M206" s="39">
        <f>'[2]8нед'!T274</f>
        <v>0</v>
      </c>
      <c r="N206" s="40">
        <f>'[2]8нед'!W274</f>
        <v>0</v>
      </c>
      <c r="O206" s="41" t="str">
        <f>'[2]8нед'!X274</f>
        <v/>
      </c>
      <c r="P206" s="56"/>
    </row>
    <row r="207" ht="18.4" hidden="1" customHeight="1" spans="1:16">
      <c r="A207" s="45"/>
      <c r="B207" s="46"/>
      <c r="C207" s="47"/>
      <c r="D207" s="48">
        <f>'[2]7нед'!S275</f>
        <v>0</v>
      </c>
      <c r="E207" s="49">
        <f>'[2]7нед'!T275</f>
        <v>0</v>
      </c>
      <c r="F207" s="50">
        <f>'[2]7нед'!W275</f>
        <v>0</v>
      </c>
      <c r="G207" s="51" t="str">
        <f>'[2]7нед'!X275</f>
        <v/>
      </c>
      <c r="H207" s="52"/>
      <c r="I207" s="53"/>
      <c r="J207" s="54"/>
      <c r="K207" s="47"/>
      <c r="L207" s="48">
        <f>'[2]8нед'!S275</f>
        <v>0</v>
      </c>
      <c r="M207" s="49">
        <f>'[2]8нед'!T275</f>
        <v>0</v>
      </c>
      <c r="N207" s="50">
        <f>'[2]8нед'!W275</f>
        <v>0</v>
      </c>
      <c r="O207" s="51" t="str">
        <f>'[2]8нед'!X275</f>
        <v/>
      </c>
      <c r="P207" s="52"/>
    </row>
    <row r="208" ht="48" customHeight="1" spans="1:16">
      <c r="A208" s="27">
        <v>46309</v>
      </c>
      <c r="B208" s="57" t="s">
        <v>24</v>
      </c>
      <c r="C208" s="55" t="s">
        <v>16</v>
      </c>
      <c r="D208" s="30">
        <f>'[2]7нед'!S276</f>
        <v>0</v>
      </c>
      <c r="E208" s="31">
        <f>'[2]7нед'!T276</f>
        <v>0</v>
      </c>
      <c r="F208" s="32">
        <f>'[2]7нед'!W276</f>
        <v>0</v>
      </c>
      <c r="G208" s="33" t="str">
        <f>'[2]7нед'!X276</f>
        <v/>
      </c>
      <c r="H208" s="34"/>
      <c r="I208" s="27">
        <v>46316</v>
      </c>
      <c r="J208" s="58" t="s">
        <v>24</v>
      </c>
      <c r="K208" s="55" t="s">
        <v>16</v>
      </c>
      <c r="L208" s="30">
        <f>'[2]8нед'!S276</f>
        <v>0</v>
      </c>
      <c r="M208" s="31">
        <f>'[2]8нед'!T276</f>
        <v>0</v>
      </c>
      <c r="N208" s="32">
        <f>'[2]8нед'!W276</f>
        <v>0</v>
      </c>
      <c r="O208" s="33" t="str">
        <f>'[2]8нед'!X276</f>
        <v/>
      </c>
      <c r="P208" s="34"/>
    </row>
    <row r="209" ht="31.5" spans="1:16">
      <c r="A209" s="36"/>
      <c r="B209" s="59"/>
      <c r="C209" s="29" t="s">
        <v>17</v>
      </c>
      <c r="D209" s="38">
        <f>'[2]7нед'!S277</f>
        <v>0</v>
      </c>
      <c r="E209" s="39">
        <f>'[2]7нед'!T277</f>
        <v>0</v>
      </c>
      <c r="F209" s="40">
        <f>'[2]7нед'!W277</f>
        <v>0</v>
      </c>
      <c r="G209" s="41" t="str">
        <f>'[2]7нед'!X277</f>
        <v/>
      </c>
      <c r="H209" s="42"/>
      <c r="I209" s="43"/>
      <c r="J209" s="60"/>
      <c r="K209" s="29" t="s">
        <v>17</v>
      </c>
      <c r="L209" s="38">
        <f>'[2]8нед'!S277</f>
        <v>0</v>
      </c>
      <c r="M209" s="39">
        <f>'[2]8нед'!T277</f>
        <v>0</v>
      </c>
      <c r="N209" s="40">
        <f>'[2]8нед'!W277</f>
        <v>0</v>
      </c>
      <c r="O209" s="41" t="str">
        <f>'[2]8нед'!X277</f>
        <v/>
      </c>
      <c r="P209" s="42"/>
    </row>
    <row r="210" ht="31.5" spans="1:16">
      <c r="A210" s="36"/>
      <c r="B210" s="59"/>
      <c r="C210" s="29" t="s">
        <v>18</v>
      </c>
      <c r="D210" s="38">
        <f>'[2]7нед'!S278</f>
        <v>0</v>
      </c>
      <c r="E210" s="39">
        <f>'[2]7нед'!T278</f>
        <v>0</v>
      </c>
      <c r="F210" s="40">
        <f>'[2]7нед'!W278</f>
        <v>0</v>
      </c>
      <c r="G210" s="41" t="str">
        <f>'[2]7нед'!X278</f>
        <v/>
      </c>
      <c r="H210" s="42"/>
      <c r="I210" s="43"/>
      <c r="J210" s="60"/>
      <c r="K210" s="29" t="s">
        <v>18</v>
      </c>
      <c r="L210" s="38">
        <f>'[2]8нед'!S278</f>
        <v>0</v>
      </c>
      <c r="M210" s="39">
        <f>'[2]8нед'!T278</f>
        <v>0</v>
      </c>
      <c r="N210" s="40">
        <f>'[2]8нед'!W278</f>
        <v>0</v>
      </c>
      <c r="O210" s="41" t="str">
        <f>'[2]8нед'!X278</f>
        <v/>
      </c>
      <c r="P210" s="42"/>
    </row>
    <row r="211" ht="31.5" spans="1:16">
      <c r="A211" s="36"/>
      <c r="B211" s="59"/>
      <c r="C211" s="29" t="s">
        <v>19</v>
      </c>
      <c r="D211" s="38">
        <f>'[2]7нед'!S279</f>
        <v>0</v>
      </c>
      <c r="E211" s="39">
        <f>'[2]7нед'!T279</f>
        <v>0</v>
      </c>
      <c r="F211" s="40">
        <f>'[2]7нед'!W279</f>
        <v>0</v>
      </c>
      <c r="G211" s="41" t="str">
        <f>'[2]7нед'!X279</f>
        <v/>
      </c>
      <c r="H211" s="42"/>
      <c r="I211" s="43"/>
      <c r="J211" s="60"/>
      <c r="K211" s="29" t="s">
        <v>19</v>
      </c>
      <c r="L211" s="38">
        <f>'[2]8нед'!S279</f>
        <v>0</v>
      </c>
      <c r="M211" s="39">
        <f>'[2]8нед'!T279</f>
        <v>0</v>
      </c>
      <c r="N211" s="40">
        <f>'[2]8нед'!W279</f>
        <v>0</v>
      </c>
      <c r="O211" s="41" t="str">
        <f>'[2]8нед'!X279</f>
        <v/>
      </c>
      <c r="P211" s="42"/>
    </row>
    <row r="212" ht="31.5" spans="1:16">
      <c r="A212" s="36"/>
      <c r="B212" s="59"/>
      <c r="C212" s="29" t="s">
        <v>20</v>
      </c>
      <c r="D212" s="38">
        <f>'[2]7нед'!S280</f>
        <v>0</v>
      </c>
      <c r="E212" s="39">
        <f>'[2]7нед'!T280</f>
        <v>0</v>
      </c>
      <c r="F212" s="40">
        <f>'[2]7нед'!W280</f>
        <v>0</v>
      </c>
      <c r="G212" s="41" t="str">
        <f>'[2]7нед'!X280</f>
        <v/>
      </c>
      <c r="H212" s="42"/>
      <c r="I212" s="43"/>
      <c r="J212" s="60"/>
      <c r="K212" s="29" t="s">
        <v>20</v>
      </c>
      <c r="L212" s="38">
        <f>'[2]8нед'!S280</f>
        <v>0</v>
      </c>
      <c r="M212" s="39">
        <f>'[2]8нед'!T280</f>
        <v>0</v>
      </c>
      <c r="N212" s="40">
        <f>'[2]8нед'!W280</f>
        <v>0</v>
      </c>
      <c r="O212" s="41" t="str">
        <f>'[2]8нед'!X280</f>
        <v/>
      </c>
      <c r="P212" s="42"/>
    </row>
    <row r="213" ht="31.5" spans="1:16">
      <c r="A213" s="36"/>
      <c r="B213" s="59"/>
      <c r="C213" s="29" t="s">
        <v>21</v>
      </c>
      <c r="D213" s="38">
        <f>'[2]7нед'!S281</f>
        <v>0</v>
      </c>
      <c r="E213" s="39">
        <f>'[2]7нед'!T281</f>
        <v>0</v>
      </c>
      <c r="F213" s="40">
        <f>'[2]7нед'!W281</f>
        <v>0</v>
      </c>
      <c r="G213" s="41" t="str">
        <f>'[2]7нед'!X281</f>
        <v/>
      </c>
      <c r="H213" s="56"/>
      <c r="I213" s="43"/>
      <c r="J213" s="60"/>
      <c r="K213" s="29" t="s">
        <v>21</v>
      </c>
      <c r="L213" s="38">
        <f>'[2]8нед'!S281</f>
        <v>0</v>
      </c>
      <c r="M213" s="39">
        <f>'[2]8нед'!T281</f>
        <v>0</v>
      </c>
      <c r="N213" s="40">
        <f>'[2]8нед'!W281</f>
        <v>0</v>
      </c>
      <c r="O213" s="41" t="str">
        <f>'[2]8нед'!X281</f>
        <v/>
      </c>
      <c r="P213" s="56"/>
    </row>
    <row r="214" ht="32.25" spans="1:16">
      <c r="A214" s="36"/>
      <c r="B214" s="59"/>
      <c r="C214" s="29" t="s">
        <v>22</v>
      </c>
      <c r="D214" s="38">
        <f>'[2]7нед'!S282</f>
        <v>0</v>
      </c>
      <c r="E214" s="39">
        <f>'[2]7нед'!T282</f>
        <v>0</v>
      </c>
      <c r="F214" s="40">
        <f>'[2]7нед'!W282</f>
        <v>0</v>
      </c>
      <c r="G214" s="41" t="str">
        <f>'[2]7нед'!X282</f>
        <v/>
      </c>
      <c r="H214" s="56"/>
      <c r="I214" s="43"/>
      <c r="J214" s="60"/>
      <c r="K214" s="29" t="s">
        <v>22</v>
      </c>
      <c r="L214" s="38">
        <f>'[2]8нед'!S282</f>
        <v>0</v>
      </c>
      <c r="M214" s="39">
        <f>'[2]8нед'!T282</f>
        <v>0</v>
      </c>
      <c r="N214" s="40">
        <f>'[2]8нед'!W282</f>
        <v>0</v>
      </c>
      <c r="O214" s="41" t="str">
        <f>'[2]8нед'!X282</f>
        <v/>
      </c>
      <c r="P214" s="56"/>
    </row>
    <row r="215" ht="18.4" hidden="1" customHeight="1" spans="1:16">
      <c r="A215" s="45"/>
      <c r="B215" s="61"/>
      <c r="C215" s="47"/>
      <c r="D215" s="48">
        <f>'[2]7нед'!S283</f>
        <v>0</v>
      </c>
      <c r="E215" s="49">
        <f>'[2]7нед'!T283</f>
        <v>0</v>
      </c>
      <c r="F215" s="50">
        <f>'[2]7нед'!W283</f>
        <v>0</v>
      </c>
      <c r="G215" s="51" t="str">
        <f>'[2]7нед'!X283</f>
        <v/>
      </c>
      <c r="H215" s="52"/>
      <c r="I215" s="53"/>
      <c r="J215" s="62"/>
      <c r="K215" s="47"/>
      <c r="L215" s="48">
        <f>'[2]8нед'!S283</f>
        <v>0</v>
      </c>
      <c r="M215" s="49">
        <f>'[2]8нед'!T283</f>
        <v>0</v>
      </c>
      <c r="N215" s="50">
        <f>'[2]8нед'!W283</f>
        <v>0</v>
      </c>
      <c r="O215" s="51" t="str">
        <f>'[2]8нед'!X283</f>
        <v/>
      </c>
      <c r="P215" s="52"/>
    </row>
    <row r="216" ht="48" customHeight="1" spans="1:16">
      <c r="A216" s="27">
        <v>46310</v>
      </c>
      <c r="B216" s="28" t="s">
        <v>25</v>
      </c>
      <c r="C216" s="55" t="s">
        <v>16</v>
      </c>
      <c r="D216" s="30">
        <f>'[2]7нед'!S284</f>
        <v>0</v>
      </c>
      <c r="E216" s="31">
        <f>'[2]7нед'!T284</f>
        <v>0</v>
      </c>
      <c r="F216" s="32">
        <f>'[2]7нед'!W284</f>
        <v>0</v>
      </c>
      <c r="G216" s="33" t="str">
        <f>'[2]7нед'!X284</f>
        <v/>
      </c>
      <c r="H216" s="34"/>
      <c r="I216" s="27">
        <v>46317</v>
      </c>
      <c r="J216" s="35" t="s">
        <v>25</v>
      </c>
      <c r="K216" s="55" t="s">
        <v>16</v>
      </c>
      <c r="L216" s="30">
        <f>'[2]8нед'!S284</f>
        <v>0</v>
      </c>
      <c r="M216" s="31">
        <f>'[2]8нед'!T284</f>
        <v>0</v>
      </c>
      <c r="N216" s="32">
        <f>'[2]8нед'!W284</f>
        <v>0</v>
      </c>
      <c r="O216" s="33" t="str">
        <f>'[2]8нед'!X284</f>
        <v/>
      </c>
      <c r="P216" s="34"/>
    </row>
    <row r="217" ht="31.5" spans="1:16">
      <c r="A217" s="36"/>
      <c r="B217" s="37"/>
      <c r="C217" s="29" t="s">
        <v>17</v>
      </c>
      <c r="D217" s="38">
        <f>'[2]7нед'!S285</f>
        <v>0</v>
      </c>
      <c r="E217" s="39">
        <f>'[2]7нед'!T285</f>
        <v>0</v>
      </c>
      <c r="F217" s="40">
        <f>'[2]7нед'!W285</f>
        <v>0</v>
      </c>
      <c r="G217" s="41" t="str">
        <f>'[2]7нед'!X285</f>
        <v/>
      </c>
      <c r="H217" s="42"/>
      <c r="I217" s="43"/>
      <c r="J217" s="44"/>
      <c r="K217" s="29" t="s">
        <v>17</v>
      </c>
      <c r="L217" s="38">
        <f>'[2]8нед'!S285</f>
        <v>0</v>
      </c>
      <c r="M217" s="39">
        <f>'[2]8нед'!T285</f>
        <v>0</v>
      </c>
      <c r="N217" s="40">
        <f>'[2]8нед'!W285</f>
        <v>0</v>
      </c>
      <c r="O217" s="41" t="str">
        <f>'[2]8нед'!X285</f>
        <v/>
      </c>
      <c r="P217" s="42"/>
    </row>
    <row r="218" ht="31.5" spans="1:16">
      <c r="A218" s="36"/>
      <c r="B218" s="37"/>
      <c r="C218" s="29" t="s">
        <v>18</v>
      </c>
      <c r="D218" s="38">
        <f>'[2]7нед'!S286</f>
        <v>0</v>
      </c>
      <c r="E218" s="39">
        <f>'[2]7нед'!T286</f>
        <v>0</v>
      </c>
      <c r="F218" s="40">
        <f>'[2]7нед'!W286</f>
        <v>0</v>
      </c>
      <c r="G218" s="41" t="str">
        <f>'[2]7нед'!X286</f>
        <v/>
      </c>
      <c r="H218" s="42"/>
      <c r="I218" s="43"/>
      <c r="J218" s="44"/>
      <c r="K218" s="29" t="s">
        <v>18</v>
      </c>
      <c r="L218" s="38">
        <f>'[2]8нед'!S286</f>
        <v>0</v>
      </c>
      <c r="M218" s="39">
        <f>'[2]8нед'!T286</f>
        <v>0</v>
      </c>
      <c r="N218" s="40">
        <f>'[2]8нед'!W286</f>
        <v>0</v>
      </c>
      <c r="O218" s="41" t="str">
        <f>'[2]8нед'!X286</f>
        <v/>
      </c>
      <c r="P218" s="42"/>
    </row>
    <row r="219" ht="31.5" spans="1:16">
      <c r="A219" s="36"/>
      <c r="B219" s="37"/>
      <c r="C219" s="29" t="s">
        <v>19</v>
      </c>
      <c r="D219" s="38">
        <f>'[2]7нед'!S287</f>
        <v>0</v>
      </c>
      <c r="E219" s="39">
        <f>'[2]7нед'!T287</f>
        <v>0</v>
      </c>
      <c r="F219" s="40">
        <f>'[2]7нед'!W287</f>
        <v>0</v>
      </c>
      <c r="G219" s="41" t="str">
        <f>'[2]7нед'!X287</f>
        <v/>
      </c>
      <c r="H219" s="42"/>
      <c r="I219" s="43"/>
      <c r="J219" s="44"/>
      <c r="K219" s="29" t="s">
        <v>19</v>
      </c>
      <c r="L219" s="38">
        <f>'[2]8нед'!S287</f>
        <v>0</v>
      </c>
      <c r="M219" s="39">
        <f>'[2]8нед'!T287</f>
        <v>0</v>
      </c>
      <c r="N219" s="40">
        <f>'[2]8нед'!W287</f>
        <v>0</v>
      </c>
      <c r="O219" s="41" t="str">
        <f>'[2]8нед'!X287</f>
        <v/>
      </c>
      <c r="P219" s="42"/>
    </row>
    <row r="220" ht="31.5" spans="1:16">
      <c r="A220" s="36"/>
      <c r="B220" s="37"/>
      <c r="C220" s="29" t="s">
        <v>20</v>
      </c>
      <c r="D220" s="38">
        <f>'[2]7нед'!S288</f>
        <v>0</v>
      </c>
      <c r="E220" s="39">
        <f>'[2]7нед'!T288</f>
        <v>0</v>
      </c>
      <c r="F220" s="40">
        <f>'[2]7нед'!W288</f>
        <v>0</v>
      </c>
      <c r="G220" s="41" t="str">
        <f>'[2]7нед'!X288</f>
        <v/>
      </c>
      <c r="H220" s="42"/>
      <c r="I220" s="43"/>
      <c r="J220" s="44"/>
      <c r="K220" s="29" t="s">
        <v>20</v>
      </c>
      <c r="L220" s="38">
        <f>'[2]8нед'!S288</f>
        <v>0</v>
      </c>
      <c r="M220" s="39">
        <f>'[2]8нед'!T288</f>
        <v>0</v>
      </c>
      <c r="N220" s="40">
        <f>'[2]8нед'!W288</f>
        <v>0</v>
      </c>
      <c r="O220" s="41" t="str">
        <f>'[2]8нед'!X288</f>
        <v/>
      </c>
      <c r="P220" s="42"/>
    </row>
    <row r="221" ht="31.5" spans="1:16">
      <c r="A221" s="36"/>
      <c r="B221" s="37"/>
      <c r="C221" s="29" t="s">
        <v>21</v>
      </c>
      <c r="D221" s="38">
        <f>'[2]7нед'!S289</f>
        <v>0</v>
      </c>
      <c r="E221" s="39">
        <f>'[2]7нед'!T289</f>
        <v>0</v>
      </c>
      <c r="F221" s="40">
        <f>'[2]7нед'!W289</f>
        <v>0</v>
      </c>
      <c r="G221" s="41" t="str">
        <f>'[2]7нед'!X289</f>
        <v/>
      </c>
      <c r="H221" s="56"/>
      <c r="I221" s="43"/>
      <c r="J221" s="44"/>
      <c r="K221" s="29" t="s">
        <v>21</v>
      </c>
      <c r="L221" s="38">
        <f>'[2]8нед'!S289</f>
        <v>0</v>
      </c>
      <c r="M221" s="39">
        <f>'[2]8нед'!T289</f>
        <v>0</v>
      </c>
      <c r="N221" s="40">
        <f>'[2]8нед'!W289</f>
        <v>0</v>
      </c>
      <c r="O221" s="41" t="str">
        <f>'[2]8нед'!X289</f>
        <v/>
      </c>
      <c r="P221" s="56"/>
    </row>
    <row r="222" ht="32.25" spans="1:16">
      <c r="A222" s="36"/>
      <c r="B222" s="37"/>
      <c r="C222" s="29" t="s">
        <v>22</v>
      </c>
      <c r="D222" s="38">
        <f>'[2]7нед'!S290</f>
        <v>0</v>
      </c>
      <c r="E222" s="39">
        <f>'[2]7нед'!T290</f>
        <v>0</v>
      </c>
      <c r="F222" s="40">
        <f>'[2]7нед'!W290</f>
        <v>0</v>
      </c>
      <c r="G222" s="41" t="str">
        <f>'[2]7нед'!X290</f>
        <v/>
      </c>
      <c r="H222" s="56"/>
      <c r="I222" s="43"/>
      <c r="J222" s="44"/>
      <c r="K222" s="29" t="s">
        <v>22</v>
      </c>
      <c r="L222" s="38">
        <f>'[2]8нед'!S290</f>
        <v>0</v>
      </c>
      <c r="M222" s="39">
        <f>'[2]8нед'!T290</f>
        <v>0</v>
      </c>
      <c r="N222" s="40">
        <f>'[2]8нед'!W290</f>
        <v>0</v>
      </c>
      <c r="O222" s="41" t="str">
        <f>'[2]8нед'!X290</f>
        <v/>
      </c>
      <c r="P222" s="56"/>
    </row>
    <row r="223" ht="18.4" hidden="1" customHeight="1" spans="1:16">
      <c r="A223" s="45"/>
      <c r="B223" s="46"/>
      <c r="C223" s="47"/>
      <c r="D223" s="48">
        <f>'[2]7нед'!S291</f>
        <v>0</v>
      </c>
      <c r="E223" s="49">
        <f>'[2]7нед'!T291</f>
        <v>0</v>
      </c>
      <c r="F223" s="50">
        <f>'[2]7нед'!W291</f>
        <v>0</v>
      </c>
      <c r="G223" s="51" t="str">
        <f>'[2]7нед'!X291</f>
        <v/>
      </c>
      <c r="H223" s="52"/>
      <c r="I223" s="53"/>
      <c r="J223" s="54"/>
      <c r="K223" s="47"/>
      <c r="L223" s="48">
        <f>'[2]8нед'!S291</f>
        <v>0</v>
      </c>
      <c r="M223" s="49">
        <f>'[2]8нед'!T291</f>
        <v>0</v>
      </c>
      <c r="N223" s="50">
        <f>'[2]8нед'!W291</f>
        <v>0</v>
      </c>
      <c r="O223" s="51" t="str">
        <f>'[2]8нед'!X291</f>
        <v/>
      </c>
      <c r="P223" s="52"/>
    </row>
    <row r="224" ht="48" customHeight="1" spans="1:16">
      <c r="A224" s="27">
        <v>46311</v>
      </c>
      <c r="B224" s="28" t="s">
        <v>26</v>
      </c>
      <c r="C224" s="55" t="s">
        <v>16</v>
      </c>
      <c r="D224" s="30">
        <f>'[2]7нед'!S292</f>
        <v>0</v>
      </c>
      <c r="E224" s="31">
        <f>'[2]7нед'!T292</f>
        <v>0</v>
      </c>
      <c r="F224" s="32">
        <f>'[2]7нед'!W292</f>
        <v>0</v>
      </c>
      <c r="G224" s="33" t="str">
        <f>'[2]7нед'!X292</f>
        <v/>
      </c>
      <c r="H224" s="34"/>
      <c r="I224" s="27">
        <v>46318</v>
      </c>
      <c r="J224" s="35" t="s">
        <v>26</v>
      </c>
      <c r="K224" s="55" t="s">
        <v>16</v>
      </c>
      <c r="L224" s="30">
        <f>'[2]8нед'!S292</f>
        <v>0</v>
      </c>
      <c r="M224" s="31">
        <f>'[2]8нед'!T292</f>
        <v>0</v>
      </c>
      <c r="N224" s="32">
        <f>'[2]8нед'!W292</f>
        <v>0</v>
      </c>
      <c r="O224" s="33" t="str">
        <f>'[2]8нед'!X292</f>
        <v/>
      </c>
      <c r="P224" s="34"/>
    </row>
    <row r="225" ht="31.5" spans="1:16">
      <c r="A225" s="36"/>
      <c r="B225" s="37"/>
      <c r="C225" s="29" t="s">
        <v>17</v>
      </c>
      <c r="D225" s="38">
        <f>'[2]7нед'!S293</f>
        <v>0</v>
      </c>
      <c r="E225" s="39">
        <f>'[2]7нед'!T293</f>
        <v>0</v>
      </c>
      <c r="F225" s="40">
        <f>'[2]7нед'!W293</f>
        <v>0</v>
      </c>
      <c r="G225" s="41" t="str">
        <f>'[2]7нед'!X293</f>
        <v/>
      </c>
      <c r="H225" s="42"/>
      <c r="I225" s="43"/>
      <c r="J225" s="44"/>
      <c r="K225" s="29" t="s">
        <v>17</v>
      </c>
      <c r="L225" s="38">
        <f>'[2]8нед'!S293</f>
        <v>0</v>
      </c>
      <c r="M225" s="39">
        <f>'[2]8нед'!T293</f>
        <v>0</v>
      </c>
      <c r="N225" s="40">
        <f>'[2]8нед'!W293</f>
        <v>0</v>
      </c>
      <c r="O225" s="41" t="str">
        <f>'[2]8нед'!X293</f>
        <v/>
      </c>
      <c r="P225" s="42"/>
    </row>
    <row r="226" ht="31.5" spans="1:16">
      <c r="A226" s="36"/>
      <c r="B226" s="37"/>
      <c r="C226" s="29" t="s">
        <v>18</v>
      </c>
      <c r="D226" s="38">
        <f>'[2]7нед'!S294</f>
        <v>0</v>
      </c>
      <c r="E226" s="39">
        <f>'[2]7нед'!T294</f>
        <v>0</v>
      </c>
      <c r="F226" s="40">
        <f>'[2]7нед'!W294</f>
        <v>0</v>
      </c>
      <c r="G226" s="41" t="str">
        <f>'[2]7нед'!X294</f>
        <v/>
      </c>
      <c r="H226" s="42"/>
      <c r="I226" s="43"/>
      <c r="J226" s="44"/>
      <c r="K226" s="29" t="s">
        <v>18</v>
      </c>
      <c r="L226" s="38">
        <f>'[2]8нед'!S294</f>
        <v>0</v>
      </c>
      <c r="M226" s="39">
        <f>'[2]8нед'!T294</f>
        <v>0</v>
      </c>
      <c r="N226" s="40">
        <f>'[2]8нед'!W294</f>
        <v>0</v>
      </c>
      <c r="O226" s="41" t="str">
        <f>'[2]8нед'!X294</f>
        <v/>
      </c>
      <c r="P226" s="42"/>
    </row>
    <row r="227" ht="31.5" spans="1:16">
      <c r="A227" s="36"/>
      <c r="B227" s="37"/>
      <c r="C227" s="29" t="s">
        <v>19</v>
      </c>
      <c r="D227" s="38">
        <f>'[2]7нед'!S295</f>
        <v>0</v>
      </c>
      <c r="E227" s="39">
        <f>'[2]7нед'!T295</f>
        <v>0</v>
      </c>
      <c r="F227" s="40">
        <f>'[2]7нед'!W295</f>
        <v>0</v>
      </c>
      <c r="G227" s="41" t="str">
        <f>'[2]7нед'!X295</f>
        <v/>
      </c>
      <c r="H227" s="42"/>
      <c r="I227" s="43"/>
      <c r="J227" s="44"/>
      <c r="K227" s="29" t="s">
        <v>19</v>
      </c>
      <c r="L227" s="38">
        <f>'[2]8нед'!S295</f>
        <v>0</v>
      </c>
      <c r="M227" s="39">
        <f>'[2]8нед'!T295</f>
        <v>0</v>
      </c>
      <c r="N227" s="40">
        <f>'[2]8нед'!W295</f>
        <v>0</v>
      </c>
      <c r="O227" s="41" t="str">
        <f>'[2]8нед'!X295</f>
        <v/>
      </c>
      <c r="P227" s="42"/>
    </row>
    <row r="228" ht="31.5" spans="1:16">
      <c r="A228" s="36"/>
      <c r="B228" s="37"/>
      <c r="C228" s="29" t="s">
        <v>20</v>
      </c>
      <c r="D228" s="38">
        <f>'[2]7нед'!S296</f>
        <v>0</v>
      </c>
      <c r="E228" s="39">
        <f>'[2]7нед'!T296</f>
        <v>0</v>
      </c>
      <c r="F228" s="40">
        <f>'[2]7нед'!W296</f>
        <v>0</v>
      </c>
      <c r="G228" s="41" t="str">
        <f>'[2]7нед'!X296</f>
        <v/>
      </c>
      <c r="H228" s="42"/>
      <c r="I228" s="43"/>
      <c r="J228" s="44"/>
      <c r="K228" s="29" t="s">
        <v>20</v>
      </c>
      <c r="L228" s="38">
        <f>'[2]8нед'!S296</f>
        <v>0</v>
      </c>
      <c r="M228" s="39">
        <f>'[2]8нед'!T296</f>
        <v>0</v>
      </c>
      <c r="N228" s="40">
        <f>'[2]8нед'!W296</f>
        <v>0</v>
      </c>
      <c r="O228" s="41" t="str">
        <f>'[2]8нед'!X296</f>
        <v/>
      </c>
      <c r="P228" s="42"/>
    </row>
    <row r="229" ht="31.5" spans="1:16">
      <c r="A229" s="36"/>
      <c r="B229" s="37"/>
      <c r="C229" s="29" t="s">
        <v>21</v>
      </c>
      <c r="D229" s="38">
        <f>'[2]7нед'!S297</f>
        <v>0</v>
      </c>
      <c r="E229" s="39">
        <f>'[2]7нед'!T297</f>
        <v>0</v>
      </c>
      <c r="F229" s="40">
        <f>'[2]7нед'!W297</f>
        <v>0</v>
      </c>
      <c r="G229" s="41" t="str">
        <f>'[2]7нед'!X297</f>
        <v/>
      </c>
      <c r="H229" s="42"/>
      <c r="I229" s="43"/>
      <c r="J229" s="44"/>
      <c r="K229" s="29" t="s">
        <v>21</v>
      </c>
      <c r="L229" s="38">
        <f>'[2]8нед'!S297</f>
        <v>0</v>
      </c>
      <c r="M229" s="39">
        <f>'[2]8нед'!T297</f>
        <v>0</v>
      </c>
      <c r="N229" s="40">
        <f>'[2]8нед'!W297</f>
        <v>0</v>
      </c>
      <c r="O229" s="41" t="str">
        <f>'[2]8нед'!X297</f>
        <v/>
      </c>
      <c r="P229" s="42"/>
    </row>
    <row r="230" ht="32.25" spans="1:16">
      <c r="A230" s="36"/>
      <c r="B230" s="37"/>
      <c r="C230" s="29" t="s">
        <v>22</v>
      </c>
      <c r="D230" s="38">
        <f>'[2]7нед'!S298</f>
        <v>0</v>
      </c>
      <c r="E230" s="39">
        <f>'[2]7нед'!T298</f>
        <v>0</v>
      </c>
      <c r="F230" s="40">
        <f>'[2]7нед'!W298</f>
        <v>0</v>
      </c>
      <c r="G230" s="41" t="str">
        <f>'[2]7нед'!X298</f>
        <v/>
      </c>
      <c r="H230" s="42"/>
      <c r="I230" s="43"/>
      <c r="J230" s="44"/>
      <c r="K230" s="29" t="s">
        <v>22</v>
      </c>
      <c r="L230" s="38">
        <f>'[2]8нед'!S298</f>
        <v>0</v>
      </c>
      <c r="M230" s="39">
        <f>'[2]8нед'!T298</f>
        <v>0</v>
      </c>
      <c r="N230" s="40">
        <f>'[2]8нед'!W298</f>
        <v>0</v>
      </c>
      <c r="O230" s="41" t="str">
        <f>'[2]8нед'!X298</f>
        <v/>
      </c>
      <c r="P230" s="42"/>
    </row>
    <row r="231" ht="18.4" hidden="1" customHeight="1" spans="1:16">
      <c r="A231" s="45"/>
      <c r="B231" s="46"/>
      <c r="C231" s="47"/>
      <c r="D231" s="48">
        <f>'[2]7нед'!S299</f>
        <v>0</v>
      </c>
      <c r="E231" s="49">
        <f>'[2]7нед'!T299</f>
        <v>0</v>
      </c>
      <c r="F231" s="50">
        <f>'[2]7нед'!W299</f>
        <v>0</v>
      </c>
      <c r="G231" s="51" t="str">
        <f>'[2]7нед'!X299</f>
        <v/>
      </c>
      <c r="H231" s="52"/>
      <c r="I231" s="53"/>
      <c r="J231" s="54"/>
      <c r="K231" s="47"/>
      <c r="L231" s="48">
        <f>'[2]8нед'!S299</f>
        <v>0</v>
      </c>
      <c r="M231" s="49">
        <f>'[2]8нед'!T299</f>
        <v>0</v>
      </c>
      <c r="N231" s="50">
        <f>'[2]8нед'!W299</f>
        <v>0</v>
      </c>
      <c r="O231" s="51" t="str">
        <f>'[2]8нед'!X299</f>
        <v/>
      </c>
      <c r="P231" s="52"/>
    </row>
    <row r="232" ht="48" customHeight="1" spans="1:16">
      <c r="A232" s="27">
        <v>46312</v>
      </c>
      <c r="B232" s="28" t="s">
        <v>27</v>
      </c>
      <c r="C232" s="55" t="s">
        <v>16</v>
      </c>
      <c r="D232" s="30">
        <f>'[2]7нед'!S300</f>
        <v>0</v>
      </c>
      <c r="E232" s="31">
        <f>'[2]7нед'!T300</f>
        <v>0</v>
      </c>
      <c r="F232" s="32">
        <f>'[2]7нед'!W300</f>
        <v>0</v>
      </c>
      <c r="G232" s="33" t="str">
        <f>'[2]7нед'!X300</f>
        <v/>
      </c>
      <c r="H232" s="34"/>
      <c r="I232" s="27">
        <v>46319</v>
      </c>
      <c r="J232" s="35" t="s">
        <v>27</v>
      </c>
      <c r="K232" s="55" t="s">
        <v>16</v>
      </c>
      <c r="L232" s="30">
        <f>'[2]8нед'!S300</f>
        <v>0</v>
      </c>
      <c r="M232" s="31">
        <f>'[2]8нед'!T300</f>
        <v>0</v>
      </c>
      <c r="N232" s="32">
        <f>'[2]8нед'!W300</f>
        <v>0</v>
      </c>
      <c r="O232" s="33" t="str">
        <f>'[2]8нед'!X300</f>
        <v/>
      </c>
      <c r="P232" s="34"/>
    </row>
    <row r="233" ht="31.5" spans="1:16">
      <c r="A233" s="36"/>
      <c r="B233" s="37"/>
      <c r="C233" s="29" t="s">
        <v>17</v>
      </c>
      <c r="D233" s="38">
        <f>'[2]7нед'!S301</f>
        <v>0</v>
      </c>
      <c r="E233" s="39">
        <f>'[2]7нед'!T301</f>
        <v>0</v>
      </c>
      <c r="F233" s="40">
        <f>'[2]7нед'!W301</f>
        <v>0</v>
      </c>
      <c r="G233" s="41" t="str">
        <f>'[2]7нед'!X301</f>
        <v/>
      </c>
      <c r="H233" s="42"/>
      <c r="I233" s="43"/>
      <c r="J233" s="44"/>
      <c r="K233" s="29" t="s">
        <v>17</v>
      </c>
      <c r="L233" s="38">
        <f>'[2]8нед'!S301</f>
        <v>0</v>
      </c>
      <c r="M233" s="39">
        <f>'[2]8нед'!T301</f>
        <v>0</v>
      </c>
      <c r="N233" s="40">
        <f>'[2]8нед'!W301</f>
        <v>0</v>
      </c>
      <c r="O233" s="41" t="str">
        <f>'[2]8нед'!X301</f>
        <v/>
      </c>
      <c r="P233" s="42"/>
    </row>
    <row r="234" ht="31.5" spans="1:16">
      <c r="A234" s="36"/>
      <c r="B234" s="37"/>
      <c r="C234" s="29" t="s">
        <v>18</v>
      </c>
      <c r="D234" s="38">
        <f>'[2]7нед'!S302</f>
        <v>0</v>
      </c>
      <c r="E234" s="39">
        <f>'[2]7нед'!T302</f>
        <v>0</v>
      </c>
      <c r="F234" s="40">
        <f>'[2]7нед'!W302</f>
        <v>0</v>
      </c>
      <c r="G234" s="41" t="str">
        <f>'[2]7нед'!X302</f>
        <v/>
      </c>
      <c r="H234" s="63"/>
      <c r="I234" s="43"/>
      <c r="J234" s="44"/>
      <c r="K234" s="29" t="s">
        <v>18</v>
      </c>
      <c r="L234" s="38">
        <f>'[2]8нед'!S302</f>
        <v>0</v>
      </c>
      <c r="M234" s="39">
        <f>'[2]8нед'!T302</f>
        <v>0</v>
      </c>
      <c r="N234" s="40">
        <f>'[2]8нед'!W302</f>
        <v>0</v>
      </c>
      <c r="O234" s="41" t="str">
        <f>'[2]8нед'!X302</f>
        <v/>
      </c>
      <c r="P234" s="63"/>
    </row>
    <row r="235" ht="31.5" spans="1:16">
      <c r="A235" s="36"/>
      <c r="B235" s="37"/>
      <c r="C235" s="29" t="s">
        <v>19</v>
      </c>
      <c r="D235" s="38">
        <f>'[2]7нед'!S303</f>
        <v>0</v>
      </c>
      <c r="E235" s="39">
        <f>'[2]7нед'!T303</f>
        <v>0</v>
      </c>
      <c r="F235" s="40">
        <f>'[2]7нед'!W303</f>
        <v>0</v>
      </c>
      <c r="G235" s="41" t="str">
        <f>'[2]7нед'!X303</f>
        <v/>
      </c>
      <c r="H235" s="42"/>
      <c r="I235" s="43"/>
      <c r="J235" s="44"/>
      <c r="K235" s="29" t="s">
        <v>19</v>
      </c>
      <c r="L235" s="38">
        <f>'[2]8нед'!S303</f>
        <v>0</v>
      </c>
      <c r="M235" s="39">
        <f>'[2]8нед'!T303</f>
        <v>0</v>
      </c>
      <c r="N235" s="40">
        <f>'[2]8нед'!W303</f>
        <v>0</v>
      </c>
      <c r="O235" s="41" t="str">
        <f>'[2]8нед'!X303</f>
        <v/>
      </c>
      <c r="P235" s="42"/>
    </row>
    <row r="236" ht="31.5" spans="1:16">
      <c r="A236" s="36"/>
      <c r="B236" s="37"/>
      <c r="C236" s="29" t="s">
        <v>20</v>
      </c>
      <c r="D236" s="38">
        <f>'[2]7нед'!S304</f>
        <v>0</v>
      </c>
      <c r="E236" s="39">
        <f>'[2]7нед'!T304</f>
        <v>0</v>
      </c>
      <c r="F236" s="40">
        <f>'[2]7нед'!W304</f>
        <v>0</v>
      </c>
      <c r="G236" s="41" t="str">
        <f>'[2]7нед'!X304</f>
        <v/>
      </c>
      <c r="H236" s="42"/>
      <c r="I236" s="43"/>
      <c r="J236" s="44"/>
      <c r="K236" s="29" t="s">
        <v>20</v>
      </c>
      <c r="L236" s="38">
        <f>'[2]8нед'!S304</f>
        <v>0</v>
      </c>
      <c r="M236" s="39">
        <f>'[2]8нед'!T304</f>
        <v>0</v>
      </c>
      <c r="N236" s="40">
        <f>'[2]8нед'!W304</f>
        <v>0</v>
      </c>
      <c r="O236" s="41" t="str">
        <f>'[2]8нед'!X304</f>
        <v/>
      </c>
      <c r="P236" s="42"/>
    </row>
    <row r="237" ht="31.5" spans="1:16">
      <c r="A237" s="36"/>
      <c r="B237" s="37"/>
      <c r="C237" s="29" t="s">
        <v>21</v>
      </c>
      <c r="D237" s="38">
        <f>'[2]7нед'!S305</f>
        <v>0</v>
      </c>
      <c r="E237" s="39">
        <f>'[2]7нед'!T305</f>
        <v>0</v>
      </c>
      <c r="F237" s="40">
        <f>'[2]7нед'!W305</f>
        <v>0</v>
      </c>
      <c r="G237" s="41" t="str">
        <f>'[2]7нед'!X305</f>
        <v/>
      </c>
      <c r="H237" s="42"/>
      <c r="I237" s="43"/>
      <c r="J237" s="44"/>
      <c r="K237" s="29" t="s">
        <v>21</v>
      </c>
      <c r="L237" s="38">
        <f>'[2]8нед'!S305</f>
        <v>0</v>
      </c>
      <c r="M237" s="39">
        <f>'[2]8нед'!T305</f>
        <v>0</v>
      </c>
      <c r="N237" s="40">
        <f>'[2]8нед'!W305</f>
        <v>0</v>
      </c>
      <c r="O237" s="41" t="str">
        <f>'[2]8нед'!X305</f>
        <v/>
      </c>
      <c r="P237" s="42"/>
    </row>
    <row r="238" ht="32.25" spans="1:16">
      <c r="A238" s="36"/>
      <c r="B238" s="37"/>
      <c r="C238" s="29" t="s">
        <v>22</v>
      </c>
      <c r="D238" s="38">
        <f>'[2]7нед'!S306</f>
        <v>0</v>
      </c>
      <c r="E238" s="39">
        <f>'[2]7нед'!T306</f>
        <v>0</v>
      </c>
      <c r="F238" s="40">
        <f>'[2]7нед'!W306</f>
        <v>0</v>
      </c>
      <c r="G238" s="41" t="str">
        <f>'[2]7нед'!X306</f>
        <v/>
      </c>
      <c r="H238" s="42"/>
      <c r="I238" s="43"/>
      <c r="J238" s="44"/>
      <c r="K238" s="29" t="s">
        <v>22</v>
      </c>
      <c r="L238" s="38">
        <f>'[2]8нед'!S306</f>
        <v>0</v>
      </c>
      <c r="M238" s="39">
        <f>'[2]8нед'!T306</f>
        <v>0</v>
      </c>
      <c r="N238" s="40">
        <f>'[2]8нед'!W306</f>
        <v>0</v>
      </c>
      <c r="O238" s="41" t="str">
        <f>'[2]8нед'!X306</f>
        <v/>
      </c>
      <c r="P238" s="42"/>
    </row>
    <row r="239" ht="18.4" hidden="1" customHeight="1" spans="1:16">
      <c r="A239" s="45"/>
      <c r="B239" s="46"/>
      <c r="C239" s="47"/>
      <c r="D239" s="48">
        <f>'[2]7нед'!S183</f>
        <v>0</v>
      </c>
      <c r="E239" s="49">
        <f>'[2]7нед'!T183</f>
        <v>0</v>
      </c>
      <c r="F239" s="50">
        <f>'[2]7нед'!W183</f>
        <v>0</v>
      </c>
      <c r="G239" s="51" t="str">
        <f>'[2]7нед'!X183</f>
        <v/>
      </c>
      <c r="H239" s="52"/>
      <c r="I239" s="53"/>
      <c r="J239" s="54"/>
      <c r="K239" s="47"/>
      <c r="L239" s="48">
        <f>'[2]8нед'!S183</f>
        <v>0</v>
      </c>
      <c r="M239" s="49">
        <f>'[2]8нед'!T183</f>
        <v>0</v>
      </c>
      <c r="N239" s="50">
        <f>'[2]8нед'!W183</f>
        <v>0</v>
      </c>
      <c r="O239" s="51" t="str">
        <f>'[2]8нед'!X183</f>
        <v/>
      </c>
      <c r="P239" s="52"/>
    </row>
    <row r="240" ht="39" customHeight="1" spans="1:16">
      <c r="A240" s="64"/>
      <c r="B240" s="65"/>
      <c r="C240" s="66"/>
      <c r="D240" s="67"/>
      <c r="E240" s="67" t="s">
        <v>28</v>
      </c>
      <c r="F240" s="67"/>
      <c r="G240" s="68" t="s">
        <v>29</v>
      </c>
      <c r="H240" s="69"/>
      <c r="I240" s="64"/>
      <c r="J240" s="65"/>
      <c r="K240" s="66"/>
      <c r="L240" s="67"/>
      <c r="M240" s="67" t="s">
        <v>28</v>
      </c>
      <c r="N240" s="67"/>
      <c r="O240" s="68" t="s">
        <v>29</v>
      </c>
      <c r="P240" s="69"/>
    </row>
    <row r="241" ht="15.75" spans="1:16">
      <c r="A241" s="2"/>
      <c r="B241" s="3"/>
      <c r="C241" s="4"/>
      <c r="D241" s="5"/>
      <c r="E241" s="5"/>
      <c r="F241" s="5"/>
      <c r="G241" s="5"/>
      <c r="H241" s="6" t="s">
        <v>0</v>
      </c>
      <c r="I241" s="2"/>
      <c r="J241" s="3"/>
      <c r="K241" s="4"/>
      <c r="L241" s="5"/>
      <c r="M241" s="5"/>
      <c r="N241" s="5"/>
      <c r="O241" s="5"/>
      <c r="P241" s="6" t="s">
        <v>0</v>
      </c>
    </row>
    <row r="242" ht="15.75" spans="1:16">
      <c r="A242" s="2"/>
      <c r="B242" s="3"/>
      <c r="C242" s="4"/>
      <c r="D242" s="5"/>
      <c r="E242" s="5"/>
      <c r="F242" s="5"/>
      <c r="G242" s="5"/>
      <c r="H242" s="6" t="s">
        <v>1</v>
      </c>
      <c r="I242" s="2"/>
      <c r="J242" s="3"/>
      <c r="K242" s="4"/>
      <c r="L242" s="5"/>
      <c r="M242" s="5"/>
      <c r="N242" s="5"/>
      <c r="O242" s="5"/>
      <c r="P242" s="6" t="s">
        <v>1</v>
      </c>
    </row>
    <row r="243" ht="15.75" spans="1:16">
      <c r="A243" s="2"/>
      <c r="B243" s="3"/>
      <c r="C243" s="4"/>
      <c r="D243" s="5"/>
      <c r="E243" s="5"/>
      <c r="F243" s="5"/>
      <c r="G243" s="5"/>
      <c r="H243" s="6" t="s">
        <v>2</v>
      </c>
      <c r="I243" s="2"/>
      <c r="J243" s="3"/>
      <c r="K243" s="4"/>
      <c r="L243" s="5"/>
      <c r="M243" s="5"/>
      <c r="N243" s="5"/>
      <c r="O243" s="5"/>
      <c r="P243" s="6" t="s">
        <v>2</v>
      </c>
    </row>
    <row r="244" ht="15.75" spans="1:16">
      <c r="A244" s="2"/>
      <c r="B244" s="3"/>
      <c r="C244" s="4"/>
      <c r="D244" s="5"/>
      <c r="E244" s="5"/>
      <c r="F244" s="5"/>
      <c r="G244" s="5"/>
      <c r="H244" s="6" t="s">
        <v>3</v>
      </c>
      <c r="I244" s="2"/>
      <c r="J244" s="3"/>
      <c r="K244" s="4"/>
      <c r="L244" s="5"/>
      <c r="M244" s="5"/>
      <c r="N244" s="5"/>
      <c r="O244" s="5"/>
      <c r="P244" s="6" t="s">
        <v>3</v>
      </c>
    </row>
    <row r="245" ht="15.75" spans="1:16">
      <c r="A245" s="2"/>
      <c r="B245" s="7"/>
      <c r="C245" s="4"/>
      <c r="D245" s="5"/>
      <c r="E245" s="5"/>
      <c r="F245" s="5"/>
      <c r="G245" s="5"/>
      <c r="H245" s="5"/>
      <c r="I245" s="2"/>
      <c r="J245" s="7"/>
      <c r="K245" s="4"/>
      <c r="L245" s="5"/>
      <c r="M245" s="5"/>
      <c r="N245" s="5"/>
      <c r="O245" s="5"/>
      <c r="P245" s="5"/>
    </row>
    <row r="246" ht="15.75" spans="1:16">
      <c r="A246" s="2"/>
      <c r="B246" s="8" t="s">
        <v>4</v>
      </c>
      <c r="C246" s="8"/>
      <c r="D246" s="8"/>
      <c r="E246" s="8"/>
      <c r="F246" s="8"/>
      <c r="G246" s="8"/>
      <c r="H246" s="8"/>
      <c r="I246" s="2"/>
      <c r="J246" s="8" t="s">
        <v>4</v>
      </c>
      <c r="K246" s="8"/>
      <c r="L246" s="8"/>
      <c r="M246" s="8"/>
      <c r="N246" s="8"/>
      <c r="O246" s="8"/>
      <c r="P246" s="8"/>
    </row>
    <row r="247" ht="15.75" spans="1:16">
      <c r="A247" s="9"/>
      <c r="B247" s="10" t="str">
        <f>'[1]1нед'!$A$6</f>
        <v>Направление подготовки:</v>
      </c>
      <c r="C247" s="11"/>
      <c r="D247" s="12"/>
      <c r="E247" s="13" t="str">
        <f>E7</f>
        <v>00</v>
      </c>
      <c r="F247" s="12"/>
      <c r="G247" s="12"/>
      <c r="H247" s="14">
        <f>H7</f>
        <v>0</v>
      </c>
      <c r="I247" s="9"/>
      <c r="J247" s="10" t="str">
        <f>'[1]1нед'!$A$6</f>
        <v>Направление подготовки:</v>
      </c>
      <c r="K247" s="11"/>
      <c r="L247" s="12"/>
      <c r="M247" s="13" t="str">
        <f>E7</f>
        <v>00</v>
      </c>
      <c r="N247" s="12"/>
      <c r="O247" s="12"/>
      <c r="P247" s="14">
        <f>H7</f>
        <v>0</v>
      </c>
    </row>
    <row r="248" ht="15.75" spans="1:16">
      <c r="A248" s="2"/>
      <c r="B248" s="10" t="s">
        <v>5</v>
      </c>
      <c r="C248" s="10"/>
      <c r="D248" s="10"/>
      <c r="E248" s="10" t="str">
        <f t="shared" ref="E248:E249" si="2">E8</f>
        <v>очно-заочная</v>
      </c>
      <c r="F248" s="10"/>
      <c r="G248" s="10"/>
      <c r="H248" s="10"/>
      <c r="I248" s="2"/>
      <c r="J248" s="10" t="s">
        <v>5</v>
      </c>
      <c r="K248" s="10"/>
      <c r="L248" s="10"/>
      <c r="M248" s="10" t="str">
        <f t="shared" ref="M248:M249" si="3">E8</f>
        <v>очно-заочная</v>
      </c>
      <c r="N248" s="10"/>
      <c r="O248" s="10"/>
      <c r="P248" s="10"/>
    </row>
    <row r="249" ht="15.75" spans="1:16">
      <c r="A249" s="2"/>
      <c r="B249" s="10" t="s">
        <v>7</v>
      </c>
      <c r="C249" s="10"/>
      <c r="D249" s="10"/>
      <c r="E249" s="10">
        <f t="shared" si="2"/>
        <v>3</v>
      </c>
      <c r="F249" s="10"/>
      <c r="G249" s="10"/>
      <c r="H249" s="15"/>
      <c r="I249" s="2"/>
      <c r="J249" s="10" t="s">
        <v>7</v>
      </c>
      <c r="K249" s="10"/>
      <c r="L249" s="10"/>
      <c r="M249" s="10">
        <f t="shared" si="3"/>
        <v>3</v>
      </c>
      <c r="N249" s="10"/>
      <c r="O249" s="10"/>
      <c r="P249" s="15"/>
    </row>
    <row r="250" ht="16.5" spans="1:16">
      <c r="A250" s="2"/>
      <c r="B250" s="16" t="s">
        <v>8</v>
      </c>
      <c r="C250" s="16"/>
      <c r="D250" s="16"/>
      <c r="E250" s="16">
        <f>M190+1</f>
        <v>9</v>
      </c>
      <c r="F250" s="16"/>
      <c r="G250" s="16"/>
      <c r="H250" s="17"/>
      <c r="I250" s="2"/>
      <c r="J250" s="16" t="s">
        <v>8</v>
      </c>
      <c r="K250" s="16"/>
      <c r="L250" s="16"/>
      <c r="M250" s="16">
        <f>E250+1</f>
        <v>10</v>
      </c>
      <c r="N250" s="16"/>
      <c r="O250" s="16"/>
      <c r="P250" s="17"/>
    </row>
    <row r="251" ht="46.5" customHeight="1" spans="1:16">
      <c r="A251" s="19" t="s">
        <v>9</v>
      </c>
      <c r="B251" s="20"/>
      <c r="C251" s="21" t="s">
        <v>10</v>
      </c>
      <c r="D251" s="22" t="s">
        <v>11</v>
      </c>
      <c r="E251" s="23" t="s">
        <v>12</v>
      </c>
      <c r="F251" s="24" t="s">
        <v>13</v>
      </c>
      <c r="G251" s="25"/>
      <c r="H251" s="26" t="s">
        <v>14</v>
      </c>
      <c r="I251" s="19" t="s">
        <v>9</v>
      </c>
      <c r="J251" s="20"/>
      <c r="K251" s="21" t="s">
        <v>10</v>
      </c>
      <c r="L251" s="22" t="s">
        <v>11</v>
      </c>
      <c r="M251" s="23" t="s">
        <v>12</v>
      </c>
      <c r="N251" s="24" t="s">
        <v>13</v>
      </c>
      <c r="O251" s="25"/>
      <c r="P251" s="26" t="s">
        <v>14</v>
      </c>
    </row>
    <row r="252" ht="32.25" customHeight="1" spans="1:16">
      <c r="A252" s="27">
        <v>46321</v>
      </c>
      <c r="B252" s="28" t="s">
        <v>15</v>
      </c>
      <c r="C252" s="29" t="s">
        <v>16</v>
      </c>
      <c r="D252" s="30">
        <f>'[2]9нед'!S260</f>
        <v>0</v>
      </c>
      <c r="E252" s="31">
        <f>'[2]9нед'!T260</f>
        <v>0</v>
      </c>
      <c r="F252" s="32">
        <f>'[2]9нед'!W260</f>
        <v>0</v>
      </c>
      <c r="G252" s="33" t="str">
        <f>'[2]9нед'!X260</f>
        <v/>
      </c>
      <c r="H252" s="34"/>
      <c r="I252" s="27">
        <v>46328</v>
      </c>
      <c r="J252" s="35" t="s">
        <v>15</v>
      </c>
      <c r="K252" s="29" t="s">
        <v>16</v>
      </c>
      <c r="L252" s="30">
        <f>'[3]10нед'!S260</f>
        <v>0</v>
      </c>
      <c r="M252" s="31">
        <f>'[3]10нед'!T260</f>
        <v>0</v>
      </c>
      <c r="N252" s="32">
        <f>'[3]10нед'!W260</f>
        <v>0</v>
      </c>
      <c r="O252" s="33" t="str">
        <f>'[3]10нед'!X260</f>
        <v/>
      </c>
      <c r="P252" s="34"/>
    </row>
    <row r="253" ht="31.5" spans="1:16">
      <c r="A253" s="36"/>
      <c r="B253" s="37"/>
      <c r="C253" s="29" t="s">
        <v>17</v>
      </c>
      <c r="D253" s="38">
        <f>'[2]9нед'!S261</f>
        <v>0</v>
      </c>
      <c r="E253" s="39">
        <f>'[2]9нед'!T261</f>
        <v>0</v>
      </c>
      <c r="F253" s="40">
        <f>'[2]9нед'!W261</f>
        <v>0</v>
      </c>
      <c r="G253" s="41" t="str">
        <f>'[2]9нед'!X261</f>
        <v/>
      </c>
      <c r="H253" s="42"/>
      <c r="I253" s="43"/>
      <c r="J253" s="44"/>
      <c r="K253" s="29" t="s">
        <v>17</v>
      </c>
      <c r="L253" s="38">
        <f>'[3]10нед'!S261</f>
        <v>0</v>
      </c>
      <c r="M253" s="39">
        <f>'[3]10нед'!T261</f>
        <v>0</v>
      </c>
      <c r="N253" s="40">
        <f>'[3]10нед'!W261</f>
        <v>0</v>
      </c>
      <c r="O253" s="41" t="str">
        <f>'[3]10нед'!X261</f>
        <v/>
      </c>
      <c r="P253" s="42"/>
    </row>
    <row r="254" ht="31.5" spans="1:16">
      <c r="A254" s="36"/>
      <c r="B254" s="37"/>
      <c r="C254" s="29" t="s">
        <v>18</v>
      </c>
      <c r="D254" s="38">
        <f>'[2]9нед'!S262</f>
        <v>0</v>
      </c>
      <c r="E254" s="39">
        <f>'[2]9нед'!T262</f>
        <v>0</v>
      </c>
      <c r="F254" s="40">
        <f>'[2]9нед'!W262</f>
        <v>0</v>
      </c>
      <c r="G254" s="41" t="str">
        <f>'[2]9нед'!X262</f>
        <v/>
      </c>
      <c r="H254" s="42"/>
      <c r="I254" s="43"/>
      <c r="J254" s="44"/>
      <c r="K254" s="29" t="s">
        <v>18</v>
      </c>
      <c r="L254" s="38">
        <f>'[3]10нед'!S262</f>
        <v>0</v>
      </c>
      <c r="M254" s="39">
        <f>'[3]10нед'!T262</f>
        <v>0</v>
      </c>
      <c r="N254" s="40">
        <f>'[3]10нед'!W262</f>
        <v>0</v>
      </c>
      <c r="O254" s="41" t="str">
        <f>'[3]10нед'!X262</f>
        <v/>
      </c>
      <c r="P254" s="42"/>
    </row>
    <row r="255" ht="31.5" spans="1:16">
      <c r="A255" s="36"/>
      <c r="B255" s="37"/>
      <c r="C255" s="29" t="s">
        <v>19</v>
      </c>
      <c r="D255" s="38">
        <f>'[2]9нед'!S263</f>
        <v>0</v>
      </c>
      <c r="E255" s="39">
        <f>'[2]9нед'!T263</f>
        <v>0</v>
      </c>
      <c r="F255" s="40">
        <f>'[2]9нед'!W263</f>
        <v>0</v>
      </c>
      <c r="G255" s="41" t="str">
        <f>'[2]9нед'!X263</f>
        <v/>
      </c>
      <c r="H255" s="42"/>
      <c r="I255" s="43"/>
      <c r="J255" s="44"/>
      <c r="K255" s="29" t="s">
        <v>19</v>
      </c>
      <c r="L255" s="38">
        <f>'[3]10нед'!S263</f>
        <v>0</v>
      </c>
      <c r="M255" s="39">
        <f>'[3]10нед'!T263</f>
        <v>0</v>
      </c>
      <c r="N255" s="40">
        <f>'[3]10нед'!W263</f>
        <v>0</v>
      </c>
      <c r="O255" s="41" t="str">
        <f>'[3]10нед'!X263</f>
        <v/>
      </c>
      <c r="P255" s="42"/>
    </row>
    <row r="256" ht="31.5" spans="1:16">
      <c r="A256" s="36"/>
      <c r="B256" s="37"/>
      <c r="C256" s="29" t="s">
        <v>20</v>
      </c>
      <c r="D256" s="38">
        <f>'[2]9нед'!S264</f>
        <v>0</v>
      </c>
      <c r="E256" s="39">
        <f>'[2]9нед'!T264</f>
        <v>0</v>
      </c>
      <c r="F256" s="40">
        <f>'[2]9нед'!W264</f>
        <v>0</v>
      </c>
      <c r="G256" s="41" t="str">
        <f>'[2]9нед'!X264</f>
        <v/>
      </c>
      <c r="H256" s="42"/>
      <c r="I256" s="43"/>
      <c r="J256" s="44"/>
      <c r="K256" s="29" t="s">
        <v>20</v>
      </c>
      <c r="L256" s="38">
        <f>'[3]10нед'!S264</f>
        <v>0</v>
      </c>
      <c r="M256" s="39">
        <f>'[3]10нед'!T264</f>
        <v>0</v>
      </c>
      <c r="N256" s="40">
        <f>'[3]10нед'!W264</f>
        <v>0</v>
      </c>
      <c r="O256" s="41" t="str">
        <f>'[3]10нед'!X264</f>
        <v/>
      </c>
      <c r="P256" s="42"/>
    </row>
    <row r="257" ht="31.5" spans="1:16">
      <c r="A257" s="36"/>
      <c r="B257" s="37"/>
      <c r="C257" s="29" t="s">
        <v>21</v>
      </c>
      <c r="D257" s="38">
        <f>'[2]9нед'!S265</f>
        <v>0</v>
      </c>
      <c r="E257" s="39">
        <f>'[2]9нед'!T265</f>
        <v>0</v>
      </c>
      <c r="F257" s="40">
        <f>'[2]9нед'!W265</f>
        <v>0</v>
      </c>
      <c r="G257" s="41" t="str">
        <f>'[2]9нед'!X265</f>
        <v/>
      </c>
      <c r="H257" s="42"/>
      <c r="I257" s="43"/>
      <c r="J257" s="44"/>
      <c r="K257" s="29" t="s">
        <v>21</v>
      </c>
      <c r="L257" s="38">
        <f>'[3]10нед'!S265</f>
        <v>0</v>
      </c>
      <c r="M257" s="39">
        <f>'[3]10нед'!T265</f>
        <v>0</v>
      </c>
      <c r="N257" s="40">
        <f>'[3]10нед'!W265</f>
        <v>0</v>
      </c>
      <c r="O257" s="41" t="str">
        <f>'[3]10нед'!X265</f>
        <v/>
      </c>
      <c r="P257" s="42"/>
    </row>
    <row r="258" ht="32.25" spans="1:16">
      <c r="A258" s="36"/>
      <c r="B258" s="37"/>
      <c r="C258" s="29" t="s">
        <v>22</v>
      </c>
      <c r="D258" s="38">
        <f>'[2]9нед'!S266</f>
        <v>0</v>
      </c>
      <c r="E258" s="39">
        <f>'[2]9нед'!T266</f>
        <v>0</v>
      </c>
      <c r="F258" s="40">
        <f>'[2]9нед'!W266</f>
        <v>0</v>
      </c>
      <c r="G258" s="41" t="str">
        <f>'[2]9нед'!X266</f>
        <v/>
      </c>
      <c r="H258" s="42"/>
      <c r="I258" s="43"/>
      <c r="J258" s="44"/>
      <c r="K258" s="29" t="s">
        <v>22</v>
      </c>
      <c r="L258" s="38">
        <f>'[3]10нед'!S266</f>
        <v>0</v>
      </c>
      <c r="M258" s="39">
        <f>'[3]10нед'!T266</f>
        <v>0</v>
      </c>
      <c r="N258" s="40">
        <f>'[3]10нед'!W266</f>
        <v>0</v>
      </c>
      <c r="O258" s="41" t="str">
        <f>'[3]10нед'!X266</f>
        <v/>
      </c>
      <c r="P258" s="42"/>
    </row>
    <row r="259" ht="18.4" hidden="1" customHeight="1" spans="1:16">
      <c r="A259" s="45"/>
      <c r="B259" s="46"/>
      <c r="C259" s="47"/>
      <c r="D259" s="48">
        <f>'[2]9нед'!S267</f>
        <v>0</v>
      </c>
      <c r="E259" s="49">
        <f>'[2]9нед'!T267</f>
        <v>0</v>
      </c>
      <c r="F259" s="50">
        <f>'[2]9нед'!W267</f>
        <v>0</v>
      </c>
      <c r="G259" s="51" t="str">
        <f>'[2]9нед'!X267</f>
        <v/>
      </c>
      <c r="H259" s="52"/>
      <c r="I259" s="53"/>
      <c r="J259" s="54"/>
      <c r="K259" s="47"/>
      <c r="L259" s="48">
        <f>'[3]10нед'!S267</f>
        <v>0</v>
      </c>
      <c r="M259" s="49">
        <f>'[3]10нед'!T267</f>
        <v>0</v>
      </c>
      <c r="N259" s="50">
        <f>'[3]10нед'!W267</f>
        <v>0</v>
      </c>
      <c r="O259" s="51" t="str">
        <f>'[3]10нед'!X267</f>
        <v/>
      </c>
      <c r="P259" s="52"/>
    </row>
    <row r="260" ht="32.25" customHeight="1" spans="1:16">
      <c r="A260" s="27">
        <v>46322</v>
      </c>
      <c r="B260" s="28" t="s">
        <v>23</v>
      </c>
      <c r="C260" s="55" t="s">
        <v>16</v>
      </c>
      <c r="D260" s="30">
        <f>'[2]9нед'!S268</f>
        <v>0</v>
      </c>
      <c r="E260" s="31">
        <f>'[2]9нед'!T268</f>
        <v>0</v>
      </c>
      <c r="F260" s="32">
        <f>'[2]9нед'!W268</f>
        <v>0</v>
      </c>
      <c r="G260" s="33" t="str">
        <f>'[2]9нед'!X268</f>
        <v/>
      </c>
      <c r="H260" s="34"/>
      <c r="I260" s="27">
        <v>46329</v>
      </c>
      <c r="J260" s="35" t="s">
        <v>23</v>
      </c>
      <c r="K260" s="55" t="s">
        <v>16</v>
      </c>
      <c r="L260" s="30">
        <f>'[3]10нед'!S268</f>
        <v>0</v>
      </c>
      <c r="M260" s="31">
        <f>'[3]10нед'!T268</f>
        <v>0</v>
      </c>
      <c r="N260" s="32">
        <f>'[3]10нед'!W268</f>
        <v>0</v>
      </c>
      <c r="O260" s="33" t="str">
        <f>'[3]10нед'!X268</f>
        <v/>
      </c>
      <c r="P260" s="34"/>
    </row>
    <row r="261" ht="31.5" spans="1:16">
      <c r="A261" s="36"/>
      <c r="B261" s="37"/>
      <c r="C261" s="29" t="s">
        <v>17</v>
      </c>
      <c r="D261" s="38">
        <f>'[2]9нед'!S269</f>
        <v>0</v>
      </c>
      <c r="E261" s="39">
        <f>'[2]9нед'!T269</f>
        <v>0</v>
      </c>
      <c r="F261" s="40">
        <f>'[2]9нед'!W269</f>
        <v>0</v>
      </c>
      <c r="G261" s="41" t="str">
        <f>'[2]9нед'!X269</f>
        <v/>
      </c>
      <c r="H261" s="42"/>
      <c r="I261" s="43"/>
      <c r="J261" s="44"/>
      <c r="K261" s="29" t="s">
        <v>17</v>
      </c>
      <c r="L261" s="38">
        <f>'[3]10нед'!S269</f>
        <v>0</v>
      </c>
      <c r="M261" s="39">
        <f>'[3]10нед'!T269</f>
        <v>0</v>
      </c>
      <c r="N261" s="40">
        <f>'[3]10нед'!W269</f>
        <v>0</v>
      </c>
      <c r="O261" s="41" t="str">
        <f>'[3]10нед'!X269</f>
        <v/>
      </c>
      <c r="P261" s="42"/>
    </row>
    <row r="262" ht="31.5" spans="1:16">
      <c r="A262" s="36"/>
      <c r="B262" s="37"/>
      <c r="C262" s="29" t="s">
        <v>18</v>
      </c>
      <c r="D262" s="38">
        <f>'[2]9нед'!S270</f>
        <v>0</v>
      </c>
      <c r="E262" s="39">
        <f>'[2]9нед'!T270</f>
        <v>0</v>
      </c>
      <c r="F262" s="40">
        <f>'[2]9нед'!W270</f>
        <v>0</v>
      </c>
      <c r="G262" s="41" t="str">
        <f>'[2]9нед'!X270</f>
        <v/>
      </c>
      <c r="H262" s="42"/>
      <c r="I262" s="43"/>
      <c r="J262" s="44"/>
      <c r="K262" s="29" t="s">
        <v>18</v>
      </c>
      <c r="L262" s="38">
        <f>'[3]10нед'!S270</f>
        <v>0</v>
      </c>
      <c r="M262" s="39">
        <f>'[3]10нед'!T270</f>
        <v>0</v>
      </c>
      <c r="N262" s="40">
        <f>'[3]10нед'!W270</f>
        <v>0</v>
      </c>
      <c r="O262" s="41" t="str">
        <f>'[3]10нед'!X270</f>
        <v/>
      </c>
      <c r="P262" s="42"/>
    </row>
    <row r="263" ht="31.5" spans="1:16">
      <c r="A263" s="36"/>
      <c r="B263" s="37"/>
      <c r="C263" s="29" t="s">
        <v>19</v>
      </c>
      <c r="D263" s="38">
        <f>'[2]9нед'!S271</f>
        <v>0</v>
      </c>
      <c r="E263" s="39">
        <f>'[2]9нед'!T271</f>
        <v>0</v>
      </c>
      <c r="F263" s="40">
        <f>'[2]9нед'!W271</f>
        <v>0</v>
      </c>
      <c r="G263" s="41" t="str">
        <f>'[2]9нед'!X271</f>
        <v/>
      </c>
      <c r="H263" s="42"/>
      <c r="I263" s="43"/>
      <c r="J263" s="44"/>
      <c r="K263" s="29" t="s">
        <v>19</v>
      </c>
      <c r="L263" s="38">
        <f>'[3]10нед'!S271</f>
        <v>0</v>
      </c>
      <c r="M263" s="39">
        <f>'[3]10нед'!T271</f>
        <v>0</v>
      </c>
      <c r="N263" s="40">
        <f>'[3]10нед'!W271</f>
        <v>0</v>
      </c>
      <c r="O263" s="41" t="str">
        <f>'[3]10нед'!X271</f>
        <v/>
      </c>
      <c r="P263" s="42"/>
    </row>
    <row r="264" ht="31.5" spans="1:16">
      <c r="A264" s="36"/>
      <c r="B264" s="37"/>
      <c r="C264" s="29" t="s">
        <v>20</v>
      </c>
      <c r="D264" s="38">
        <f>'[2]9нед'!S272</f>
        <v>0</v>
      </c>
      <c r="E264" s="39">
        <f>'[2]9нед'!T272</f>
        <v>0</v>
      </c>
      <c r="F264" s="40">
        <f>'[2]9нед'!W272</f>
        <v>0</v>
      </c>
      <c r="G264" s="41" t="str">
        <f>'[2]9нед'!X272</f>
        <v/>
      </c>
      <c r="H264" s="42"/>
      <c r="I264" s="43"/>
      <c r="J264" s="44"/>
      <c r="K264" s="29" t="s">
        <v>20</v>
      </c>
      <c r="L264" s="38">
        <f>'[3]10нед'!S272</f>
        <v>0</v>
      </c>
      <c r="M264" s="39">
        <f>'[3]10нед'!T272</f>
        <v>0</v>
      </c>
      <c r="N264" s="40">
        <f>'[3]10нед'!W272</f>
        <v>0</v>
      </c>
      <c r="O264" s="41" t="str">
        <f>'[3]10нед'!X272</f>
        <v/>
      </c>
      <c r="P264" s="42"/>
    </row>
    <row r="265" ht="31.5" spans="1:16">
      <c r="A265" s="36"/>
      <c r="B265" s="37"/>
      <c r="C265" s="29" t="s">
        <v>21</v>
      </c>
      <c r="D265" s="38">
        <f>'[2]9нед'!S273</f>
        <v>0</v>
      </c>
      <c r="E265" s="39">
        <f>'[2]9нед'!T273</f>
        <v>0</v>
      </c>
      <c r="F265" s="40">
        <f>'[2]9нед'!W273</f>
        <v>0</v>
      </c>
      <c r="G265" s="41" t="str">
        <f>'[2]9нед'!X273</f>
        <v/>
      </c>
      <c r="H265" s="56"/>
      <c r="I265" s="43"/>
      <c r="J265" s="44"/>
      <c r="K265" s="29" t="s">
        <v>21</v>
      </c>
      <c r="L265" s="38">
        <f>'[3]10нед'!S273</f>
        <v>0</v>
      </c>
      <c r="M265" s="39">
        <f>'[3]10нед'!T273</f>
        <v>0</v>
      </c>
      <c r="N265" s="40">
        <f>'[3]10нед'!W273</f>
        <v>0</v>
      </c>
      <c r="O265" s="41" t="str">
        <f>'[3]10нед'!X273</f>
        <v/>
      </c>
      <c r="P265" s="56"/>
    </row>
    <row r="266" ht="32.25" spans="1:16">
      <c r="A266" s="36"/>
      <c r="B266" s="37"/>
      <c r="C266" s="29" t="s">
        <v>22</v>
      </c>
      <c r="D266" s="38">
        <f>'[2]9нед'!S274</f>
        <v>0</v>
      </c>
      <c r="E266" s="39">
        <f>'[2]9нед'!T274</f>
        <v>0</v>
      </c>
      <c r="F266" s="40">
        <f>'[2]9нед'!W274</f>
        <v>0</v>
      </c>
      <c r="G266" s="41" t="str">
        <f>'[2]9нед'!X274</f>
        <v/>
      </c>
      <c r="H266" s="56"/>
      <c r="I266" s="43"/>
      <c r="J266" s="44"/>
      <c r="K266" s="29" t="s">
        <v>22</v>
      </c>
      <c r="L266" s="38">
        <f>'[3]10нед'!S274</f>
        <v>0</v>
      </c>
      <c r="M266" s="39">
        <f>'[3]10нед'!T274</f>
        <v>0</v>
      </c>
      <c r="N266" s="40">
        <f>'[3]10нед'!W274</f>
        <v>0</v>
      </c>
      <c r="O266" s="41" t="str">
        <f>'[3]10нед'!X274</f>
        <v/>
      </c>
      <c r="P266" s="56"/>
    </row>
    <row r="267" ht="18.4" hidden="1" customHeight="1" spans="1:16">
      <c r="A267" s="45"/>
      <c r="B267" s="46"/>
      <c r="C267" s="47"/>
      <c r="D267" s="48">
        <f>'[2]9нед'!S275</f>
        <v>0</v>
      </c>
      <c r="E267" s="49">
        <f>'[2]9нед'!T275</f>
        <v>0</v>
      </c>
      <c r="F267" s="50">
        <f>'[2]9нед'!W275</f>
        <v>0</v>
      </c>
      <c r="G267" s="51" t="str">
        <f>'[2]9нед'!X275</f>
        <v/>
      </c>
      <c r="H267" s="52"/>
      <c r="I267" s="53"/>
      <c r="J267" s="54"/>
      <c r="K267" s="47"/>
      <c r="L267" s="48">
        <f>'[3]10нед'!S275</f>
        <v>0</v>
      </c>
      <c r="M267" s="49">
        <f>'[3]10нед'!T275</f>
        <v>0</v>
      </c>
      <c r="N267" s="50">
        <f>'[3]10нед'!W275</f>
        <v>0</v>
      </c>
      <c r="O267" s="51" t="str">
        <f>'[3]10нед'!X275</f>
        <v/>
      </c>
      <c r="P267" s="52"/>
    </row>
    <row r="268" ht="48" customHeight="1" spans="1:16">
      <c r="A268" s="27">
        <v>46323</v>
      </c>
      <c r="B268" s="57" t="s">
        <v>24</v>
      </c>
      <c r="C268" s="55" t="s">
        <v>16</v>
      </c>
      <c r="D268" s="30">
        <f>'[2]9нед'!S276</f>
        <v>0</v>
      </c>
      <c r="E268" s="31">
        <f>'[2]9нед'!T276</f>
        <v>0</v>
      </c>
      <c r="F268" s="32">
        <f>'[2]9нед'!W276</f>
        <v>0</v>
      </c>
      <c r="G268" s="33" t="str">
        <f>'[2]9нед'!X276</f>
        <v/>
      </c>
      <c r="H268" s="34"/>
      <c r="I268" s="27">
        <v>46330</v>
      </c>
      <c r="J268" s="58" t="s">
        <v>24</v>
      </c>
      <c r="K268" s="55" t="s">
        <v>16</v>
      </c>
      <c r="L268" s="30">
        <f>'[3]10нед'!S276</f>
        <v>0</v>
      </c>
      <c r="M268" s="31">
        <f>'[3]10нед'!T276</f>
        <v>0</v>
      </c>
      <c r="N268" s="32">
        <f>'[3]10нед'!W276</f>
        <v>0</v>
      </c>
      <c r="O268" s="33" t="str">
        <f>'[3]10нед'!X276</f>
        <v/>
      </c>
      <c r="P268" s="34"/>
    </row>
    <row r="269" ht="31.5" spans="1:16">
      <c r="A269" s="36"/>
      <c r="B269" s="59"/>
      <c r="C269" s="29" t="s">
        <v>17</v>
      </c>
      <c r="D269" s="38">
        <f>'[2]9нед'!S277</f>
        <v>0</v>
      </c>
      <c r="E269" s="39">
        <f>'[2]9нед'!T277</f>
        <v>0</v>
      </c>
      <c r="F269" s="40">
        <f>'[2]9нед'!W277</f>
        <v>0</v>
      </c>
      <c r="G269" s="41" t="str">
        <f>'[2]9нед'!X277</f>
        <v/>
      </c>
      <c r="H269" s="42"/>
      <c r="I269" s="43"/>
      <c r="J269" s="60"/>
      <c r="K269" s="29" t="s">
        <v>17</v>
      </c>
      <c r="L269" s="38">
        <f>'[3]10нед'!S277</f>
        <v>0</v>
      </c>
      <c r="M269" s="39">
        <f>'[3]10нед'!T277</f>
        <v>0</v>
      </c>
      <c r="N269" s="40">
        <f>'[3]10нед'!W277</f>
        <v>0</v>
      </c>
      <c r="O269" s="41" t="str">
        <f>'[3]10нед'!X277</f>
        <v/>
      </c>
      <c r="P269" s="42"/>
    </row>
    <row r="270" ht="31.5" spans="1:16">
      <c r="A270" s="36"/>
      <c r="B270" s="59"/>
      <c r="C270" s="29" t="s">
        <v>18</v>
      </c>
      <c r="D270" s="38">
        <f>'[2]9нед'!S278</f>
        <v>0</v>
      </c>
      <c r="E270" s="39">
        <f>'[2]9нед'!T278</f>
        <v>0</v>
      </c>
      <c r="F270" s="40">
        <f>'[2]9нед'!W278</f>
        <v>0</v>
      </c>
      <c r="G270" s="41" t="str">
        <f>'[2]9нед'!X278</f>
        <v/>
      </c>
      <c r="H270" s="42"/>
      <c r="I270" s="43"/>
      <c r="J270" s="60"/>
      <c r="K270" s="29" t="s">
        <v>18</v>
      </c>
      <c r="L270" s="38">
        <f>'[3]10нед'!S278</f>
        <v>0</v>
      </c>
      <c r="M270" s="39">
        <f>'[3]10нед'!T278</f>
        <v>0</v>
      </c>
      <c r="N270" s="40">
        <f>'[3]10нед'!W278</f>
        <v>0</v>
      </c>
      <c r="O270" s="41" t="str">
        <f>'[3]10нед'!X278</f>
        <v/>
      </c>
      <c r="P270" s="42"/>
    </row>
    <row r="271" ht="31.5" spans="1:16">
      <c r="A271" s="36"/>
      <c r="B271" s="59"/>
      <c r="C271" s="29" t="s">
        <v>19</v>
      </c>
      <c r="D271" s="38">
        <f>'[2]9нед'!S279</f>
        <v>0</v>
      </c>
      <c r="E271" s="39">
        <f>'[2]9нед'!T279</f>
        <v>0</v>
      </c>
      <c r="F271" s="40">
        <f>'[2]9нед'!W279</f>
        <v>0</v>
      </c>
      <c r="G271" s="41" t="str">
        <f>'[2]9нед'!X279</f>
        <v/>
      </c>
      <c r="H271" s="42"/>
      <c r="I271" s="43"/>
      <c r="J271" s="60"/>
      <c r="K271" s="29" t="s">
        <v>19</v>
      </c>
      <c r="L271" s="38">
        <f>'[3]10нед'!S279</f>
        <v>0</v>
      </c>
      <c r="M271" s="39">
        <f>'[3]10нед'!T279</f>
        <v>0</v>
      </c>
      <c r="N271" s="40">
        <f>'[3]10нед'!W279</f>
        <v>0</v>
      </c>
      <c r="O271" s="41" t="str">
        <f>'[3]10нед'!X279</f>
        <v/>
      </c>
      <c r="P271" s="42"/>
    </row>
    <row r="272" ht="31.5" spans="1:16">
      <c r="A272" s="36"/>
      <c r="B272" s="59"/>
      <c r="C272" s="29" t="s">
        <v>20</v>
      </c>
      <c r="D272" s="38">
        <f>'[2]9нед'!S280</f>
        <v>0</v>
      </c>
      <c r="E272" s="39">
        <f>'[2]9нед'!T280</f>
        <v>0</v>
      </c>
      <c r="F272" s="40">
        <f>'[2]9нед'!W280</f>
        <v>0</v>
      </c>
      <c r="G272" s="41" t="str">
        <f>'[2]9нед'!X280</f>
        <v/>
      </c>
      <c r="H272" s="42"/>
      <c r="I272" s="43"/>
      <c r="J272" s="60"/>
      <c r="K272" s="29" t="s">
        <v>20</v>
      </c>
      <c r="L272" s="38">
        <f>'[3]10нед'!S280</f>
        <v>0</v>
      </c>
      <c r="M272" s="39">
        <f>'[3]10нед'!T280</f>
        <v>0</v>
      </c>
      <c r="N272" s="40">
        <f>'[3]10нед'!W280</f>
        <v>0</v>
      </c>
      <c r="O272" s="41" t="str">
        <f>'[3]10нед'!X280</f>
        <v/>
      </c>
      <c r="P272" s="42"/>
    </row>
    <row r="273" ht="31.5" spans="1:16">
      <c r="A273" s="36"/>
      <c r="B273" s="59"/>
      <c r="C273" s="29" t="s">
        <v>21</v>
      </c>
      <c r="D273" s="38">
        <f>'[2]9нед'!S281</f>
        <v>0</v>
      </c>
      <c r="E273" s="39">
        <f>'[2]9нед'!T281</f>
        <v>0</v>
      </c>
      <c r="F273" s="40">
        <f>'[2]9нед'!W281</f>
        <v>0</v>
      </c>
      <c r="G273" s="41" t="str">
        <f>'[2]9нед'!X281</f>
        <v/>
      </c>
      <c r="H273" s="56"/>
      <c r="I273" s="43"/>
      <c r="J273" s="60"/>
      <c r="K273" s="29" t="s">
        <v>21</v>
      </c>
      <c r="L273" s="38">
        <f>'[3]10нед'!S281</f>
        <v>0</v>
      </c>
      <c r="M273" s="39">
        <f>'[3]10нед'!T281</f>
        <v>0</v>
      </c>
      <c r="N273" s="40">
        <f>'[3]10нед'!W281</f>
        <v>0</v>
      </c>
      <c r="O273" s="41" t="str">
        <f>'[3]10нед'!X281</f>
        <v/>
      </c>
      <c r="P273" s="56"/>
    </row>
    <row r="274" ht="32.25" spans="1:16">
      <c r="A274" s="36"/>
      <c r="B274" s="59"/>
      <c r="C274" s="29" t="s">
        <v>22</v>
      </c>
      <c r="D274" s="38">
        <f>'[2]9нед'!S282</f>
        <v>0</v>
      </c>
      <c r="E274" s="39">
        <f>'[2]9нед'!T282</f>
        <v>0</v>
      </c>
      <c r="F274" s="40">
        <f>'[2]9нед'!W282</f>
        <v>0</v>
      </c>
      <c r="G274" s="41" t="str">
        <f>'[2]9нед'!X282</f>
        <v/>
      </c>
      <c r="H274" s="56"/>
      <c r="I274" s="43"/>
      <c r="J274" s="60"/>
      <c r="K274" s="29" t="s">
        <v>22</v>
      </c>
      <c r="L274" s="38">
        <f>'[3]10нед'!S282</f>
        <v>0</v>
      </c>
      <c r="M274" s="39">
        <f>'[3]10нед'!T282</f>
        <v>0</v>
      </c>
      <c r="N274" s="40">
        <f>'[3]10нед'!W282</f>
        <v>0</v>
      </c>
      <c r="O274" s="41" t="str">
        <f>'[3]10нед'!X282</f>
        <v/>
      </c>
      <c r="P274" s="56"/>
    </row>
    <row r="275" ht="18.4" hidden="1" customHeight="1" spans="1:16">
      <c r="A275" s="45"/>
      <c r="B275" s="61"/>
      <c r="C275" s="47"/>
      <c r="D275" s="48">
        <f>'[2]9нед'!S283</f>
        <v>0</v>
      </c>
      <c r="E275" s="49">
        <f>'[2]9нед'!T283</f>
        <v>0</v>
      </c>
      <c r="F275" s="50">
        <f>'[2]9нед'!W283</f>
        <v>0</v>
      </c>
      <c r="G275" s="51" t="str">
        <f>'[2]9нед'!X283</f>
        <v/>
      </c>
      <c r="H275" s="52"/>
      <c r="I275" s="53"/>
      <c r="J275" s="62"/>
      <c r="K275" s="47"/>
      <c r="L275" s="48">
        <f>'[3]10нед'!S283</f>
        <v>0</v>
      </c>
      <c r="M275" s="49">
        <f>'[3]10нед'!T283</f>
        <v>0</v>
      </c>
      <c r="N275" s="50">
        <f>'[3]10нед'!W283</f>
        <v>0</v>
      </c>
      <c r="O275" s="51" t="str">
        <f>'[3]10нед'!X283</f>
        <v/>
      </c>
      <c r="P275" s="52"/>
    </row>
    <row r="276" ht="48" customHeight="1" spans="1:16">
      <c r="A276" s="27">
        <v>46324</v>
      </c>
      <c r="B276" s="28" t="s">
        <v>25</v>
      </c>
      <c r="C276" s="55" t="s">
        <v>16</v>
      </c>
      <c r="D276" s="30">
        <f>'[2]9нед'!S284</f>
        <v>0</v>
      </c>
      <c r="E276" s="31">
        <f>'[2]9нед'!T284</f>
        <v>0</v>
      </c>
      <c r="F276" s="32">
        <f>'[2]9нед'!W284</f>
        <v>0</v>
      </c>
      <c r="G276" s="33" t="str">
        <f>'[2]9нед'!X284</f>
        <v/>
      </c>
      <c r="H276" s="34"/>
      <c r="I276" s="27">
        <v>46331</v>
      </c>
      <c r="J276" s="35" t="s">
        <v>25</v>
      </c>
      <c r="K276" s="55" t="s">
        <v>16</v>
      </c>
      <c r="L276" s="30">
        <f>'[3]10нед'!S284</f>
        <v>0</v>
      </c>
      <c r="M276" s="31">
        <f>'[3]10нед'!T284</f>
        <v>0</v>
      </c>
      <c r="N276" s="32">
        <f>'[3]10нед'!W284</f>
        <v>0</v>
      </c>
      <c r="O276" s="33" t="str">
        <f>'[3]10нед'!X284</f>
        <v/>
      </c>
      <c r="P276" s="34"/>
    </row>
    <row r="277" ht="31.5" spans="1:16">
      <c r="A277" s="36"/>
      <c r="B277" s="37"/>
      <c r="C277" s="29" t="s">
        <v>17</v>
      </c>
      <c r="D277" s="38">
        <f>'[2]9нед'!S285</f>
        <v>0</v>
      </c>
      <c r="E277" s="39">
        <f>'[2]9нед'!T285</f>
        <v>0</v>
      </c>
      <c r="F277" s="40">
        <f>'[2]9нед'!W285</f>
        <v>0</v>
      </c>
      <c r="G277" s="41" t="str">
        <f>'[2]9нед'!X285</f>
        <v/>
      </c>
      <c r="H277" s="42"/>
      <c r="I277" s="43"/>
      <c r="J277" s="44"/>
      <c r="K277" s="29" t="s">
        <v>17</v>
      </c>
      <c r="L277" s="38">
        <f>'[3]10нед'!S285</f>
        <v>0</v>
      </c>
      <c r="M277" s="39">
        <f>'[3]10нед'!T285</f>
        <v>0</v>
      </c>
      <c r="N277" s="40">
        <f>'[3]10нед'!W285</f>
        <v>0</v>
      </c>
      <c r="O277" s="41" t="str">
        <f>'[3]10нед'!X285</f>
        <v/>
      </c>
      <c r="P277" s="42"/>
    </row>
    <row r="278" ht="31.5" spans="1:16">
      <c r="A278" s="36"/>
      <c r="B278" s="37"/>
      <c r="C278" s="29" t="s">
        <v>18</v>
      </c>
      <c r="D278" s="38">
        <f>'[2]9нед'!S286</f>
        <v>0</v>
      </c>
      <c r="E278" s="39">
        <f>'[2]9нед'!T286</f>
        <v>0</v>
      </c>
      <c r="F278" s="40">
        <f>'[2]9нед'!W286</f>
        <v>0</v>
      </c>
      <c r="G278" s="41" t="str">
        <f>'[2]9нед'!X286</f>
        <v/>
      </c>
      <c r="H278" s="42"/>
      <c r="I278" s="43"/>
      <c r="J278" s="44"/>
      <c r="K278" s="29" t="s">
        <v>18</v>
      </c>
      <c r="L278" s="38">
        <f>'[3]10нед'!S286</f>
        <v>0</v>
      </c>
      <c r="M278" s="39">
        <f>'[3]10нед'!T286</f>
        <v>0</v>
      </c>
      <c r="N278" s="40">
        <f>'[3]10нед'!W286</f>
        <v>0</v>
      </c>
      <c r="O278" s="41" t="str">
        <f>'[3]10нед'!X286</f>
        <v/>
      </c>
      <c r="P278" s="42"/>
    </row>
    <row r="279" ht="31.5" spans="1:16">
      <c r="A279" s="36"/>
      <c r="B279" s="37"/>
      <c r="C279" s="29" t="s">
        <v>19</v>
      </c>
      <c r="D279" s="38">
        <f>'[2]9нед'!S287</f>
        <v>0</v>
      </c>
      <c r="E279" s="39">
        <f>'[2]9нед'!T287</f>
        <v>0</v>
      </c>
      <c r="F279" s="40">
        <f>'[2]9нед'!W287</f>
        <v>0</v>
      </c>
      <c r="G279" s="41" t="str">
        <f>'[2]9нед'!X287</f>
        <v/>
      </c>
      <c r="H279" s="42"/>
      <c r="I279" s="43"/>
      <c r="J279" s="44"/>
      <c r="K279" s="29" t="s">
        <v>19</v>
      </c>
      <c r="L279" s="38">
        <f>'[3]10нед'!S287</f>
        <v>0</v>
      </c>
      <c r="M279" s="39">
        <f>'[3]10нед'!T287</f>
        <v>0</v>
      </c>
      <c r="N279" s="40">
        <f>'[3]10нед'!W287</f>
        <v>0</v>
      </c>
      <c r="O279" s="41" t="str">
        <f>'[3]10нед'!X287</f>
        <v/>
      </c>
      <c r="P279" s="42"/>
    </row>
    <row r="280" ht="31.5" spans="1:16">
      <c r="A280" s="36"/>
      <c r="B280" s="37"/>
      <c r="C280" s="29" t="s">
        <v>20</v>
      </c>
      <c r="D280" s="38">
        <f>'[2]9нед'!S288</f>
        <v>0</v>
      </c>
      <c r="E280" s="39">
        <f>'[2]9нед'!T288</f>
        <v>0</v>
      </c>
      <c r="F280" s="40">
        <f>'[2]9нед'!W288</f>
        <v>0</v>
      </c>
      <c r="G280" s="41" t="str">
        <f>'[2]9нед'!X288</f>
        <v/>
      </c>
      <c r="H280" s="42"/>
      <c r="I280" s="43"/>
      <c r="J280" s="44"/>
      <c r="K280" s="29" t="s">
        <v>20</v>
      </c>
      <c r="L280" s="38">
        <f>'[3]10нед'!S288</f>
        <v>0</v>
      </c>
      <c r="M280" s="39">
        <f>'[3]10нед'!T288</f>
        <v>0</v>
      </c>
      <c r="N280" s="40">
        <f>'[3]10нед'!W288</f>
        <v>0</v>
      </c>
      <c r="O280" s="41" t="str">
        <f>'[3]10нед'!X288</f>
        <v/>
      </c>
      <c r="P280" s="42"/>
    </row>
    <row r="281" ht="31.5" spans="1:16">
      <c r="A281" s="36"/>
      <c r="B281" s="37"/>
      <c r="C281" s="29" t="s">
        <v>21</v>
      </c>
      <c r="D281" s="38">
        <f>'[2]9нед'!S289</f>
        <v>0</v>
      </c>
      <c r="E281" s="39">
        <f>'[2]9нед'!T289</f>
        <v>0</v>
      </c>
      <c r="F281" s="40">
        <f>'[2]9нед'!W289</f>
        <v>0</v>
      </c>
      <c r="G281" s="41" t="str">
        <f>'[2]9нед'!X289</f>
        <v/>
      </c>
      <c r="H281" s="56"/>
      <c r="I281" s="43"/>
      <c r="J281" s="44"/>
      <c r="K281" s="29" t="s">
        <v>21</v>
      </c>
      <c r="L281" s="38">
        <f>'[3]10нед'!S289</f>
        <v>0</v>
      </c>
      <c r="M281" s="39">
        <f>'[3]10нед'!T289</f>
        <v>0</v>
      </c>
      <c r="N281" s="40">
        <f>'[3]10нед'!W289</f>
        <v>0</v>
      </c>
      <c r="O281" s="41" t="str">
        <f>'[3]10нед'!X289</f>
        <v/>
      </c>
      <c r="P281" s="56"/>
    </row>
    <row r="282" ht="32.25" spans="1:16">
      <c r="A282" s="36"/>
      <c r="B282" s="37"/>
      <c r="C282" s="29" t="s">
        <v>22</v>
      </c>
      <c r="D282" s="38">
        <f>'[2]9нед'!S290</f>
        <v>0</v>
      </c>
      <c r="E282" s="39">
        <f>'[2]9нед'!T290</f>
        <v>0</v>
      </c>
      <c r="F282" s="40">
        <f>'[2]9нед'!W290</f>
        <v>0</v>
      </c>
      <c r="G282" s="41" t="str">
        <f>'[2]9нед'!X290</f>
        <v/>
      </c>
      <c r="H282" s="56"/>
      <c r="I282" s="43"/>
      <c r="J282" s="44"/>
      <c r="K282" s="29" t="s">
        <v>22</v>
      </c>
      <c r="L282" s="38">
        <f>'[3]10нед'!S290</f>
        <v>0</v>
      </c>
      <c r="M282" s="39">
        <f>'[3]10нед'!T290</f>
        <v>0</v>
      </c>
      <c r="N282" s="40">
        <f>'[3]10нед'!W290</f>
        <v>0</v>
      </c>
      <c r="O282" s="41" t="str">
        <f>'[3]10нед'!X290</f>
        <v/>
      </c>
      <c r="P282" s="56"/>
    </row>
    <row r="283" ht="18.4" hidden="1" customHeight="1" spans="1:16">
      <c r="A283" s="45"/>
      <c r="B283" s="46"/>
      <c r="C283" s="47"/>
      <c r="D283" s="48">
        <f>'[2]9нед'!S291</f>
        <v>0</v>
      </c>
      <c r="E283" s="49">
        <f>'[2]9нед'!T291</f>
        <v>0</v>
      </c>
      <c r="F283" s="50">
        <f>'[2]9нед'!W291</f>
        <v>0</v>
      </c>
      <c r="G283" s="51" t="str">
        <f>'[2]9нед'!X291</f>
        <v/>
      </c>
      <c r="H283" s="52"/>
      <c r="I283" s="53"/>
      <c r="J283" s="54"/>
      <c r="K283" s="47"/>
      <c r="L283" s="48">
        <f>'[3]10нед'!S291</f>
        <v>0</v>
      </c>
      <c r="M283" s="49">
        <f>'[3]10нед'!T291</f>
        <v>0</v>
      </c>
      <c r="N283" s="50">
        <f>'[3]10нед'!W291</f>
        <v>0</v>
      </c>
      <c r="O283" s="51" t="str">
        <f>'[3]10нед'!X291</f>
        <v/>
      </c>
      <c r="P283" s="52"/>
    </row>
    <row r="284" ht="48" customHeight="1" spans="1:16">
      <c r="A284" s="27">
        <v>46325</v>
      </c>
      <c r="B284" s="28" t="s">
        <v>26</v>
      </c>
      <c r="C284" s="55" t="s">
        <v>16</v>
      </c>
      <c r="D284" s="30">
        <f>'[2]9нед'!S292</f>
        <v>0</v>
      </c>
      <c r="E284" s="31">
        <f>'[2]9нед'!T292</f>
        <v>0</v>
      </c>
      <c r="F284" s="32">
        <f>'[2]9нед'!W292</f>
        <v>0</v>
      </c>
      <c r="G284" s="33" t="str">
        <f>'[2]9нед'!X292</f>
        <v/>
      </c>
      <c r="H284" s="34"/>
      <c r="I284" s="27">
        <v>46332</v>
      </c>
      <c r="J284" s="35" t="s">
        <v>26</v>
      </c>
      <c r="K284" s="55" t="s">
        <v>16</v>
      </c>
      <c r="L284" s="30">
        <f>'[3]10нед'!S292</f>
        <v>0</v>
      </c>
      <c r="M284" s="31">
        <f>'[3]10нед'!T292</f>
        <v>0</v>
      </c>
      <c r="N284" s="32">
        <f>'[3]10нед'!W292</f>
        <v>0</v>
      </c>
      <c r="O284" s="33" t="str">
        <f>'[3]10нед'!X292</f>
        <v/>
      </c>
      <c r="P284" s="34"/>
    </row>
    <row r="285" ht="31.5" spans="1:16">
      <c r="A285" s="36"/>
      <c r="B285" s="37"/>
      <c r="C285" s="29" t="s">
        <v>17</v>
      </c>
      <c r="D285" s="38">
        <f>'[2]9нед'!S293</f>
        <v>0</v>
      </c>
      <c r="E285" s="39">
        <f>'[2]9нед'!T293</f>
        <v>0</v>
      </c>
      <c r="F285" s="40">
        <f>'[2]9нед'!W293</f>
        <v>0</v>
      </c>
      <c r="G285" s="41" t="str">
        <f>'[2]9нед'!X293</f>
        <v/>
      </c>
      <c r="H285" s="42"/>
      <c r="I285" s="43"/>
      <c r="J285" s="44"/>
      <c r="K285" s="29" t="s">
        <v>17</v>
      </c>
      <c r="L285" s="38">
        <f>'[3]10нед'!S293</f>
        <v>0</v>
      </c>
      <c r="M285" s="39">
        <f>'[3]10нед'!T293</f>
        <v>0</v>
      </c>
      <c r="N285" s="40">
        <f>'[3]10нед'!W293</f>
        <v>0</v>
      </c>
      <c r="O285" s="41" t="str">
        <f>'[3]10нед'!X293</f>
        <v/>
      </c>
      <c r="P285" s="42"/>
    </row>
    <row r="286" ht="31.5" spans="1:16">
      <c r="A286" s="36"/>
      <c r="B286" s="37"/>
      <c r="C286" s="29" t="s">
        <v>18</v>
      </c>
      <c r="D286" s="38">
        <f>'[2]9нед'!S294</f>
        <v>0</v>
      </c>
      <c r="E286" s="39">
        <f>'[2]9нед'!T294</f>
        <v>0</v>
      </c>
      <c r="F286" s="40">
        <f>'[2]9нед'!W294</f>
        <v>0</v>
      </c>
      <c r="G286" s="41" t="str">
        <f>'[2]9нед'!X294</f>
        <v/>
      </c>
      <c r="H286" s="42"/>
      <c r="I286" s="43"/>
      <c r="J286" s="44"/>
      <c r="K286" s="29" t="s">
        <v>18</v>
      </c>
      <c r="L286" s="38">
        <f>'[3]10нед'!S294</f>
        <v>0</v>
      </c>
      <c r="M286" s="39">
        <f>'[3]10нед'!T294</f>
        <v>0</v>
      </c>
      <c r="N286" s="40">
        <f>'[3]10нед'!W294</f>
        <v>0</v>
      </c>
      <c r="O286" s="41" t="str">
        <f>'[3]10нед'!X294</f>
        <v/>
      </c>
      <c r="P286" s="42"/>
    </row>
    <row r="287" ht="31.5" spans="1:16">
      <c r="A287" s="36"/>
      <c r="B287" s="37"/>
      <c r="C287" s="29" t="s">
        <v>19</v>
      </c>
      <c r="D287" s="38">
        <f>'[2]9нед'!S295</f>
        <v>0</v>
      </c>
      <c r="E287" s="39">
        <f>'[2]9нед'!T295</f>
        <v>0</v>
      </c>
      <c r="F287" s="40">
        <f>'[2]9нед'!W295</f>
        <v>0</v>
      </c>
      <c r="G287" s="41" t="str">
        <f>'[2]9нед'!X295</f>
        <v/>
      </c>
      <c r="H287" s="42"/>
      <c r="I287" s="43"/>
      <c r="J287" s="44"/>
      <c r="K287" s="29" t="s">
        <v>19</v>
      </c>
      <c r="L287" s="38">
        <f>'[3]10нед'!S295</f>
        <v>0</v>
      </c>
      <c r="M287" s="39">
        <f>'[3]10нед'!T295</f>
        <v>0</v>
      </c>
      <c r="N287" s="40">
        <f>'[3]10нед'!W295</f>
        <v>0</v>
      </c>
      <c r="O287" s="41" t="str">
        <f>'[3]10нед'!X295</f>
        <v/>
      </c>
      <c r="P287" s="42"/>
    </row>
    <row r="288" ht="31.5" spans="1:16">
      <c r="A288" s="36"/>
      <c r="B288" s="37"/>
      <c r="C288" s="29" t="s">
        <v>20</v>
      </c>
      <c r="D288" s="38">
        <f>'[2]9нед'!S296</f>
        <v>0</v>
      </c>
      <c r="E288" s="39">
        <f>'[2]9нед'!T296</f>
        <v>0</v>
      </c>
      <c r="F288" s="40">
        <f>'[2]9нед'!W296</f>
        <v>0</v>
      </c>
      <c r="G288" s="41" t="str">
        <f>'[2]9нед'!X296</f>
        <v/>
      </c>
      <c r="H288" s="42"/>
      <c r="I288" s="43"/>
      <c r="J288" s="44"/>
      <c r="K288" s="29" t="s">
        <v>20</v>
      </c>
      <c r="L288" s="38">
        <f>'[3]10нед'!S296</f>
        <v>0</v>
      </c>
      <c r="M288" s="39">
        <f>'[3]10нед'!T296</f>
        <v>0</v>
      </c>
      <c r="N288" s="40">
        <f>'[3]10нед'!W296</f>
        <v>0</v>
      </c>
      <c r="O288" s="41" t="str">
        <f>'[3]10нед'!X296</f>
        <v/>
      </c>
      <c r="P288" s="42"/>
    </row>
    <row r="289" ht="31.5" spans="1:16">
      <c r="A289" s="36"/>
      <c r="B289" s="37"/>
      <c r="C289" s="29" t="s">
        <v>21</v>
      </c>
      <c r="D289" s="38">
        <f>'[2]9нед'!S297</f>
        <v>0</v>
      </c>
      <c r="E289" s="39">
        <f>'[2]9нед'!T297</f>
        <v>0</v>
      </c>
      <c r="F289" s="40">
        <f>'[2]9нед'!W297</f>
        <v>0</v>
      </c>
      <c r="G289" s="41" t="str">
        <f>'[2]9нед'!X297</f>
        <v/>
      </c>
      <c r="H289" s="42"/>
      <c r="I289" s="43"/>
      <c r="J289" s="44"/>
      <c r="K289" s="29" t="s">
        <v>21</v>
      </c>
      <c r="L289" s="38">
        <f>'[3]10нед'!S297</f>
        <v>0</v>
      </c>
      <c r="M289" s="39">
        <f>'[3]10нед'!T297</f>
        <v>0</v>
      </c>
      <c r="N289" s="40">
        <f>'[3]10нед'!W297</f>
        <v>0</v>
      </c>
      <c r="O289" s="41" t="str">
        <f>'[3]10нед'!X297</f>
        <v/>
      </c>
      <c r="P289" s="42"/>
    </row>
    <row r="290" ht="32.25" spans="1:16">
      <c r="A290" s="36"/>
      <c r="B290" s="37"/>
      <c r="C290" s="29" t="s">
        <v>22</v>
      </c>
      <c r="D290" s="38">
        <f>'[2]9нед'!S298</f>
        <v>0</v>
      </c>
      <c r="E290" s="39">
        <f>'[2]9нед'!T298</f>
        <v>0</v>
      </c>
      <c r="F290" s="40">
        <f>'[2]9нед'!W298</f>
        <v>0</v>
      </c>
      <c r="G290" s="41" t="str">
        <f>'[2]9нед'!X298</f>
        <v/>
      </c>
      <c r="H290" s="42"/>
      <c r="I290" s="43"/>
      <c r="J290" s="44"/>
      <c r="K290" s="29" t="s">
        <v>22</v>
      </c>
      <c r="L290" s="38">
        <f>'[3]10нед'!S298</f>
        <v>0</v>
      </c>
      <c r="M290" s="39">
        <f>'[3]10нед'!T298</f>
        <v>0</v>
      </c>
      <c r="N290" s="40">
        <f>'[3]10нед'!W298</f>
        <v>0</v>
      </c>
      <c r="O290" s="41" t="str">
        <f>'[3]10нед'!X298</f>
        <v/>
      </c>
      <c r="P290" s="42"/>
    </row>
    <row r="291" ht="18.4" hidden="1" customHeight="1" spans="1:16">
      <c r="A291" s="45"/>
      <c r="B291" s="46"/>
      <c r="C291" s="47"/>
      <c r="D291" s="48">
        <f>'[2]9нед'!S299</f>
        <v>0</v>
      </c>
      <c r="E291" s="49">
        <f>'[2]9нед'!T299</f>
        <v>0</v>
      </c>
      <c r="F291" s="50">
        <f>'[2]9нед'!W299</f>
        <v>0</v>
      </c>
      <c r="G291" s="51" t="str">
        <f>'[2]9нед'!X299</f>
        <v/>
      </c>
      <c r="H291" s="52"/>
      <c r="I291" s="53"/>
      <c r="J291" s="54"/>
      <c r="K291" s="47"/>
      <c r="L291" s="48">
        <f>'[3]10нед'!S299</f>
        <v>0</v>
      </c>
      <c r="M291" s="49">
        <f>'[3]10нед'!T299</f>
        <v>0</v>
      </c>
      <c r="N291" s="50">
        <f>'[3]10нед'!W299</f>
        <v>0</v>
      </c>
      <c r="O291" s="51" t="str">
        <f>'[3]10нед'!X299</f>
        <v/>
      </c>
      <c r="P291" s="52"/>
    </row>
    <row r="292" ht="48" customHeight="1" spans="1:16">
      <c r="A292" s="27">
        <v>46326</v>
      </c>
      <c r="B292" s="28" t="s">
        <v>27</v>
      </c>
      <c r="C292" s="55" t="s">
        <v>16</v>
      </c>
      <c r="D292" s="30">
        <f>'[2]9нед'!S300</f>
        <v>0</v>
      </c>
      <c r="E292" s="31">
        <f>'[2]9нед'!T300</f>
        <v>0</v>
      </c>
      <c r="F292" s="32">
        <f>'[2]9нед'!W300</f>
        <v>0</v>
      </c>
      <c r="G292" s="33" t="str">
        <f>'[2]9нед'!X300</f>
        <v/>
      </c>
      <c r="H292" s="34"/>
      <c r="I292" s="27">
        <v>46333</v>
      </c>
      <c r="J292" s="35" t="s">
        <v>27</v>
      </c>
      <c r="K292" s="55" t="s">
        <v>16</v>
      </c>
      <c r="L292" s="30">
        <f>'[3]10нед'!S300</f>
        <v>0</v>
      </c>
      <c r="M292" s="31">
        <f>'[3]10нед'!T300</f>
        <v>0</v>
      </c>
      <c r="N292" s="32">
        <f>'[3]10нед'!W300</f>
        <v>0</v>
      </c>
      <c r="O292" s="33" t="str">
        <f>'[3]10нед'!X300</f>
        <v/>
      </c>
      <c r="P292" s="34"/>
    </row>
    <row r="293" ht="31.5" spans="1:16">
      <c r="A293" s="36"/>
      <c r="B293" s="37"/>
      <c r="C293" s="29" t="s">
        <v>17</v>
      </c>
      <c r="D293" s="38">
        <f>'[2]9нед'!S301</f>
        <v>0</v>
      </c>
      <c r="E293" s="39">
        <f>'[2]9нед'!T301</f>
        <v>0</v>
      </c>
      <c r="F293" s="40">
        <f>'[2]9нед'!W301</f>
        <v>0</v>
      </c>
      <c r="G293" s="41" t="str">
        <f>'[2]9нед'!X301</f>
        <v/>
      </c>
      <c r="H293" s="42"/>
      <c r="I293" s="43"/>
      <c r="J293" s="44"/>
      <c r="K293" s="29" t="s">
        <v>17</v>
      </c>
      <c r="L293" s="38">
        <f>'[3]10нед'!S301</f>
        <v>0</v>
      </c>
      <c r="M293" s="39">
        <f>'[3]10нед'!T301</f>
        <v>0</v>
      </c>
      <c r="N293" s="40">
        <f>'[3]10нед'!W301</f>
        <v>0</v>
      </c>
      <c r="O293" s="41" t="str">
        <f>'[3]10нед'!X301</f>
        <v/>
      </c>
      <c r="P293" s="42"/>
    </row>
    <row r="294" ht="31.5" spans="1:16">
      <c r="A294" s="36"/>
      <c r="B294" s="37"/>
      <c r="C294" s="29" t="s">
        <v>18</v>
      </c>
      <c r="D294" s="38">
        <f>'[2]9нед'!S302</f>
        <v>0</v>
      </c>
      <c r="E294" s="39">
        <f>'[2]9нед'!T302</f>
        <v>0</v>
      </c>
      <c r="F294" s="40">
        <f>'[2]9нед'!W302</f>
        <v>0</v>
      </c>
      <c r="G294" s="41" t="str">
        <f>'[2]9нед'!X302</f>
        <v/>
      </c>
      <c r="H294" s="63"/>
      <c r="I294" s="43"/>
      <c r="J294" s="44"/>
      <c r="K294" s="29" t="s">
        <v>18</v>
      </c>
      <c r="L294" s="38">
        <f>'[3]10нед'!S302</f>
        <v>0</v>
      </c>
      <c r="M294" s="39">
        <f>'[3]10нед'!T302</f>
        <v>0</v>
      </c>
      <c r="N294" s="40">
        <f>'[3]10нед'!W302</f>
        <v>0</v>
      </c>
      <c r="O294" s="41" t="str">
        <f>'[3]10нед'!X302</f>
        <v/>
      </c>
      <c r="P294" s="63"/>
    </row>
    <row r="295" ht="31.5" spans="1:16">
      <c r="A295" s="36"/>
      <c r="B295" s="37"/>
      <c r="C295" s="29" t="s">
        <v>19</v>
      </c>
      <c r="D295" s="38">
        <f>'[2]9нед'!S303</f>
        <v>0</v>
      </c>
      <c r="E295" s="39">
        <f>'[2]9нед'!T303</f>
        <v>0</v>
      </c>
      <c r="F295" s="40">
        <f>'[2]9нед'!W303</f>
        <v>0</v>
      </c>
      <c r="G295" s="41" t="str">
        <f>'[2]9нед'!X303</f>
        <v/>
      </c>
      <c r="H295" s="42"/>
      <c r="I295" s="43"/>
      <c r="J295" s="44"/>
      <c r="K295" s="29" t="s">
        <v>19</v>
      </c>
      <c r="L295" s="38">
        <f>'[3]10нед'!S303</f>
        <v>0</v>
      </c>
      <c r="M295" s="39">
        <f>'[3]10нед'!T303</f>
        <v>0</v>
      </c>
      <c r="N295" s="40">
        <f>'[3]10нед'!W303</f>
        <v>0</v>
      </c>
      <c r="O295" s="41" t="str">
        <f>'[3]10нед'!X303</f>
        <v/>
      </c>
      <c r="P295" s="42"/>
    </row>
    <row r="296" ht="31.5" spans="1:16">
      <c r="A296" s="36"/>
      <c r="B296" s="37"/>
      <c r="C296" s="29" t="s">
        <v>20</v>
      </c>
      <c r="D296" s="38">
        <f>'[2]9нед'!S304</f>
        <v>0</v>
      </c>
      <c r="E296" s="39">
        <f>'[2]9нед'!T304</f>
        <v>0</v>
      </c>
      <c r="F296" s="40">
        <f>'[2]9нед'!W304</f>
        <v>0</v>
      </c>
      <c r="G296" s="41" t="str">
        <f>'[2]9нед'!X304</f>
        <v/>
      </c>
      <c r="H296" s="42"/>
      <c r="I296" s="43"/>
      <c r="J296" s="44"/>
      <c r="K296" s="29" t="s">
        <v>20</v>
      </c>
      <c r="L296" s="38">
        <f>'[3]10нед'!S304</f>
        <v>0</v>
      </c>
      <c r="M296" s="39">
        <f>'[3]10нед'!T304</f>
        <v>0</v>
      </c>
      <c r="N296" s="40">
        <f>'[3]10нед'!W304</f>
        <v>0</v>
      </c>
      <c r="O296" s="41" t="str">
        <f>'[3]10нед'!X304</f>
        <v/>
      </c>
      <c r="P296" s="42"/>
    </row>
    <row r="297" ht="31.5" spans="1:16">
      <c r="A297" s="36"/>
      <c r="B297" s="37"/>
      <c r="C297" s="29" t="s">
        <v>21</v>
      </c>
      <c r="D297" s="38">
        <f>'[2]9нед'!S305</f>
        <v>0</v>
      </c>
      <c r="E297" s="39">
        <f>'[2]9нед'!T305</f>
        <v>0</v>
      </c>
      <c r="F297" s="40">
        <f>'[2]9нед'!W305</f>
        <v>0</v>
      </c>
      <c r="G297" s="41" t="str">
        <f>'[2]9нед'!X305</f>
        <v/>
      </c>
      <c r="H297" s="42"/>
      <c r="I297" s="43"/>
      <c r="J297" s="44"/>
      <c r="K297" s="29" t="s">
        <v>21</v>
      </c>
      <c r="L297" s="38">
        <f>'[3]10нед'!S305</f>
        <v>0</v>
      </c>
      <c r="M297" s="39">
        <f>'[3]10нед'!T305</f>
        <v>0</v>
      </c>
      <c r="N297" s="40">
        <f>'[3]10нед'!W305</f>
        <v>0</v>
      </c>
      <c r="O297" s="41" t="str">
        <f>'[3]10нед'!X305</f>
        <v/>
      </c>
      <c r="P297" s="42"/>
    </row>
    <row r="298" ht="32.25" spans="1:16">
      <c r="A298" s="36"/>
      <c r="B298" s="37"/>
      <c r="C298" s="29" t="s">
        <v>22</v>
      </c>
      <c r="D298" s="38">
        <f>'[2]9нед'!S306</f>
        <v>0</v>
      </c>
      <c r="E298" s="39">
        <f>'[2]9нед'!T306</f>
        <v>0</v>
      </c>
      <c r="F298" s="40">
        <f>'[2]9нед'!W306</f>
        <v>0</v>
      </c>
      <c r="G298" s="41" t="str">
        <f>'[2]9нед'!X306</f>
        <v/>
      </c>
      <c r="H298" s="42"/>
      <c r="I298" s="43"/>
      <c r="J298" s="44"/>
      <c r="K298" s="29" t="s">
        <v>22</v>
      </c>
      <c r="L298" s="38">
        <f>'[3]10нед'!S306</f>
        <v>0</v>
      </c>
      <c r="M298" s="39">
        <f>'[3]10нед'!T306</f>
        <v>0</v>
      </c>
      <c r="N298" s="40">
        <f>'[3]10нед'!W306</f>
        <v>0</v>
      </c>
      <c r="O298" s="41" t="str">
        <f>'[3]10нед'!X306</f>
        <v/>
      </c>
      <c r="P298" s="42"/>
    </row>
    <row r="299" ht="18.4" hidden="1" customHeight="1" spans="1:16">
      <c r="A299" s="45"/>
      <c r="B299" s="46"/>
      <c r="C299" s="47"/>
      <c r="D299" s="48">
        <f>'[2]9нед'!S59</f>
        <v>0</v>
      </c>
      <c r="E299" s="49">
        <f>'[2]9нед'!T59</f>
        <v>0</v>
      </c>
      <c r="F299" s="50">
        <f>'[2]9нед'!W59</f>
        <v>0</v>
      </c>
      <c r="G299" s="51" t="str">
        <f>'[2]9нед'!X59</f>
        <v/>
      </c>
      <c r="H299" s="52"/>
      <c r="I299" s="53"/>
      <c r="J299" s="54"/>
      <c r="K299" s="47"/>
      <c r="L299" s="48">
        <f>'[3]10нед'!S183</f>
        <v>0</v>
      </c>
      <c r="M299" s="49">
        <f>'[3]10нед'!T183</f>
        <v>0</v>
      </c>
      <c r="N299" s="50">
        <f>'[3]10нед'!W183</f>
        <v>0</v>
      </c>
      <c r="O299" s="51" t="str">
        <f>'[3]10нед'!X183</f>
        <v/>
      </c>
      <c r="P299" s="52"/>
    </row>
    <row r="300" ht="39" customHeight="1" spans="1:16">
      <c r="A300" s="64"/>
      <c r="B300" s="65"/>
      <c r="C300" s="66"/>
      <c r="D300" s="67"/>
      <c r="E300" s="67" t="s">
        <v>28</v>
      </c>
      <c r="F300" s="67"/>
      <c r="G300" s="68" t="s">
        <v>29</v>
      </c>
      <c r="H300" s="69"/>
      <c r="I300" s="64"/>
      <c r="J300" s="65"/>
      <c r="K300" s="66"/>
      <c r="L300" s="67"/>
      <c r="M300" s="67" t="s">
        <v>28</v>
      </c>
      <c r="N300" s="67"/>
      <c r="O300" s="68" t="s">
        <v>29</v>
      </c>
      <c r="P300" s="69"/>
    </row>
    <row r="301" ht="15.75" spans="1:16">
      <c r="A301" s="2"/>
      <c r="B301" s="3"/>
      <c r="C301" s="4"/>
      <c r="D301" s="5"/>
      <c r="E301" s="5"/>
      <c r="F301" s="5"/>
      <c r="G301" s="5"/>
      <c r="H301" s="6" t="s">
        <v>0</v>
      </c>
      <c r="I301" s="2"/>
      <c r="J301" s="3"/>
      <c r="K301" s="4"/>
      <c r="L301" s="5"/>
      <c r="M301" s="5"/>
      <c r="N301" s="5"/>
      <c r="O301" s="5"/>
      <c r="P301" s="6" t="s">
        <v>0</v>
      </c>
    </row>
    <row r="302" ht="15.75" spans="1:16">
      <c r="A302" s="2"/>
      <c r="B302" s="3"/>
      <c r="C302" s="4"/>
      <c r="D302" s="5"/>
      <c r="E302" s="5"/>
      <c r="F302" s="5"/>
      <c r="G302" s="5"/>
      <c r="H302" s="6" t="s">
        <v>1</v>
      </c>
      <c r="I302" s="2"/>
      <c r="J302" s="3"/>
      <c r="K302" s="4"/>
      <c r="L302" s="5"/>
      <c r="M302" s="5"/>
      <c r="N302" s="5"/>
      <c r="O302" s="5"/>
      <c r="P302" s="6" t="s">
        <v>1</v>
      </c>
    </row>
    <row r="303" ht="15.75" spans="1:16">
      <c r="A303" s="2"/>
      <c r="B303" s="3"/>
      <c r="C303" s="4"/>
      <c r="D303" s="5"/>
      <c r="E303" s="5"/>
      <c r="F303" s="5"/>
      <c r="G303" s="5"/>
      <c r="H303" s="6" t="s">
        <v>2</v>
      </c>
      <c r="I303" s="2"/>
      <c r="J303" s="3"/>
      <c r="K303" s="4"/>
      <c r="L303" s="5"/>
      <c r="M303" s="5"/>
      <c r="N303" s="5"/>
      <c r="O303" s="5"/>
      <c r="P303" s="6" t="s">
        <v>2</v>
      </c>
    </row>
    <row r="304" ht="15.75" spans="1:16">
      <c r="A304" s="2"/>
      <c r="B304" s="3"/>
      <c r="C304" s="4"/>
      <c r="D304" s="5"/>
      <c r="E304" s="5"/>
      <c r="F304" s="5"/>
      <c r="G304" s="5"/>
      <c r="H304" s="6" t="s">
        <v>3</v>
      </c>
      <c r="I304" s="2"/>
      <c r="J304" s="3"/>
      <c r="K304" s="4"/>
      <c r="L304" s="5"/>
      <c r="M304" s="5"/>
      <c r="N304" s="5"/>
      <c r="O304" s="5"/>
      <c r="P304" s="6" t="s">
        <v>3</v>
      </c>
    </row>
    <row r="305" ht="15.75" spans="1:16">
      <c r="A305" s="2"/>
      <c r="B305" s="7"/>
      <c r="C305" s="4"/>
      <c r="D305" s="5"/>
      <c r="E305" s="5"/>
      <c r="F305" s="5"/>
      <c r="G305" s="5"/>
      <c r="H305" s="5"/>
      <c r="I305" s="2"/>
      <c r="J305" s="7"/>
      <c r="K305" s="4"/>
      <c r="L305" s="5"/>
      <c r="M305" s="5"/>
      <c r="N305" s="5"/>
      <c r="O305" s="5"/>
      <c r="P305" s="5"/>
    </row>
    <row r="306" ht="15.75" spans="1:16">
      <c r="A306" s="2"/>
      <c r="B306" s="8" t="s">
        <v>4</v>
      </c>
      <c r="C306" s="8"/>
      <c r="D306" s="8"/>
      <c r="E306" s="8"/>
      <c r="F306" s="8"/>
      <c r="G306" s="8"/>
      <c r="H306" s="8"/>
      <c r="I306" s="2"/>
      <c r="J306" s="8" t="s">
        <v>4</v>
      </c>
      <c r="K306" s="8"/>
      <c r="L306" s="8"/>
      <c r="M306" s="8"/>
      <c r="N306" s="8"/>
      <c r="O306" s="8"/>
      <c r="P306" s="8"/>
    </row>
    <row r="307" ht="15.75" spans="1:16">
      <c r="A307" s="9"/>
      <c r="B307" s="10" t="str">
        <f>'[1]1нед'!$A$6</f>
        <v>Направление подготовки:</v>
      </c>
      <c r="C307" s="11"/>
      <c r="D307" s="12"/>
      <c r="E307" s="13" t="str">
        <f>E7</f>
        <v>00</v>
      </c>
      <c r="F307" s="12"/>
      <c r="G307" s="12"/>
      <c r="H307" s="14">
        <f>H7</f>
        <v>0</v>
      </c>
      <c r="I307" s="9"/>
      <c r="J307" s="10" t="str">
        <f>'[1]1нед'!$A$6</f>
        <v>Направление подготовки:</v>
      </c>
      <c r="K307" s="11"/>
      <c r="L307" s="12"/>
      <c r="M307" s="13" t="str">
        <f>E7</f>
        <v>00</v>
      </c>
      <c r="N307" s="12"/>
      <c r="O307" s="12"/>
      <c r="P307" s="14">
        <f>H7</f>
        <v>0</v>
      </c>
    </row>
    <row r="308" ht="15.75" spans="1:16">
      <c r="A308" s="2"/>
      <c r="B308" s="10" t="s">
        <v>5</v>
      </c>
      <c r="C308" s="10"/>
      <c r="D308" s="10"/>
      <c r="E308" s="10" t="str">
        <f>E8</f>
        <v>очно-заочная</v>
      </c>
      <c r="F308" s="10"/>
      <c r="G308" s="10"/>
      <c r="H308" s="10"/>
      <c r="I308" s="2"/>
      <c r="J308" s="10" t="s">
        <v>5</v>
      </c>
      <c r="K308" s="10"/>
      <c r="L308" s="10"/>
      <c r="M308" s="10" t="str">
        <f>E8</f>
        <v>очно-заочная</v>
      </c>
      <c r="N308" s="10"/>
      <c r="O308" s="10"/>
      <c r="P308" s="10"/>
    </row>
    <row r="309" ht="15.75" spans="1:16">
      <c r="A309" s="2"/>
      <c r="B309" s="10" t="s">
        <v>7</v>
      </c>
      <c r="C309" s="10"/>
      <c r="D309" s="10"/>
      <c r="E309" s="10">
        <f>E9</f>
        <v>3</v>
      </c>
      <c r="F309" s="10"/>
      <c r="G309" s="10"/>
      <c r="H309" s="15"/>
      <c r="I309" s="2"/>
      <c r="J309" s="10" t="s">
        <v>7</v>
      </c>
      <c r="K309" s="10"/>
      <c r="L309" s="10"/>
      <c r="M309" s="10">
        <f>E9</f>
        <v>3</v>
      </c>
      <c r="N309" s="10"/>
      <c r="O309" s="10"/>
      <c r="P309" s="15"/>
    </row>
    <row r="310" ht="16.5" spans="1:16">
      <c r="A310" s="2"/>
      <c r="B310" s="16" t="s">
        <v>8</v>
      </c>
      <c r="C310" s="16"/>
      <c r="D310" s="16"/>
      <c r="E310" s="16">
        <f>M250+1</f>
        <v>11</v>
      </c>
      <c r="F310" s="16"/>
      <c r="G310" s="16"/>
      <c r="H310" s="17"/>
      <c r="I310" s="2"/>
      <c r="J310" s="16" t="s">
        <v>8</v>
      </c>
      <c r="K310" s="16"/>
      <c r="L310" s="16"/>
      <c r="M310" s="16">
        <f>E310+1</f>
        <v>12</v>
      </c>
      <c r="N310" s="16"/>
      <c r="O310" s="16"/>
      <c r="P310" s="17"/>
    </row>
    <row r="311" ht="46.5" customHeight="1" spans="1:16">
      <c r="A311" s="19" t="s">
        <v>9</v>
      </c>
      <c r="B311" s="20"/>
      <c r="C311" s="21" t="s">
        <v>10</v>
      </c>
      <c r="D311" s="22" t="s">
        <v>11</v>
      </c>
      <c r="E311" s="23" t="s">
        <v>12</v>
      </c>
      <c r="F311" s="24" t="s">
        <v>13</v>
      </c>
      <c r="G311" s="25"/>
      <c r="H311" s="26" t="s">
        <v>14</v>
      </c>
      <c r="I311" s="19" t="s">
        <v>9</v>
      </c>
      <c r="J311" s="20"/>
      <c r="K311" s="21" t="s">
        <v>10</v>
      </c>
      <c r="L311" s="22" t="s">
        <v>11</v>
      </c>
      <c r="M311" s="23" t="s">
        <v>12</v>
      </c>
      <c r="N311" s="24" t="s">
        <v>13</v>
      </c>
      <c r="O311" s="25"/>
      <c r="P311" s="26" t="s">
        <v>14</v>
      </c>
    </row>
    <row r="312" ht="32.25" customHeight="1" spans="1:16">
      <c r="A312" s="27">
        <v>46335</v>
      </c>
      <c r="B312" s="28" t="s">
        <v>15</v>
      </c>
      <c r="C312" s="29" t="s">
        <v>16</v>
      </c>
      <c r="D312" s="30">
        <f>'[3]11нед'!S260</f>
        <v>0</v>
      </c>
      <c r="E312" s="31">
        <f>'[3]11нед'!T260</f>
        <v>0</v>
      </c>
      <c r="F312" s="32">
        <f>'[3]11нед'!W260</f>
        <v>0</v>
      </c>
      <c r="G312" s="33" t="str">
        <f>'[3]11нед'!X260</f>
        <v/>
      </c>
      <c r="H312" s="34"/>
      <c r="I312" s="27">
        <v>46342</v>
      </c>
      <c r="J312" s="35" t="s">
        <v>15</v>
      </c>
      <c r="K312" s="29" t="s">
        <v>16</v>
      </c>
      <c r="L312" s="30">
        <f>'[3]12нед'!S260</f>
        <v>0</v>
      </c>
      <c r="M312" s="31">
        <f>'[3]12нед'!T260</f>
        <v>0</v>
      </c>
      <c r="N312" s="32">
        <f>'[3]12нед'!W260</f>
        <v>0</v>
      </c>
      <c r="O312" s="33" t="str">
        <f>'[3]12нед'!X260</f>
        <v/>
      </c>
      <c r="P312" s="34"/>
    </row>
    <row r="313" ht="31.5" spans="1:16">
      <c r="A313" s="36"/>
      <c r="B313" s="37"/>
      <c r="C313" s="29" t="s">
        <v>17</v>
      </c>
      <c r="D313" s="38">
        <f>'[3]11нед'!S261</f>
        <v>0</v>
      </c>
      <c r="E313" s="39">
        <f>'[3]11нед'!T261</f>
        <v>0</v>
      </c>
      <c r="F313" s="40">
        <f>'[3]11нед'!W261</f>
        <v>0</v>
      </c>
      <c r="G313" s="41" t="str">
        <f>'[3]11нед'!X261</f>
        <v/>
      </c>
      <c r="H313" s="42"/>
      <c r="I313" s="43"/>
      <c r="J313" s="44"/>
      <c r="K313" s="29" t="s">
        <v>17</v>
      </c>
      <c r="L313" s="38">
        <f>'[3]12нед'!S261</f>
        <v>0</v>
      </c>
      <c r="M313" s="39">
        <f>'[3]12нед'!T261</f>
        <v>0</v>
      </c>
      <c r="N313" s="40">
        <f>'[3]12нед'!W261</f>
        <v>0</v>
      </c>
      <c r="O313" s="41" t="str">
        <f>'[3]12нед'!X261</f>
        <v/>
      </c>
      <c r="P313" s="42"/>
    </row>
    <row r="314" ht="31.5" spans="1:16">
      <c r="A314" s="36"/>
      <c r="B314" s="37"/>
      <c r="C314" s="29" t="s">
        <v>18</v>
      </c>
      <c r="D314" s="38">
        <f>'[3]11нед'!S262</f>
        <v>0</v>
      </c>
      <c r="E314" s="39">
        <f>'[3]11нед'!T262</f>
        <v>0</v>
      </c>
      <c r="F314" s="40">
        <f>'[3]11нед'!W262</f>
        <v>0</v>
      </c>
      <c r="G314" s="41" t="str">
        <f>'[3]11нед'!X262</f>
        <v/>
      </c>
      <c r="H314" s="42"/>
      <c r="I314" s="43"/>
      <c r="J314" s="44"/>
      <c r="K314" s="29" t="s">
        <v>18</v>
      </c>
      <c r="L314" s="38">
        <f>'[3]12нед'!S262</f>
        <v>0</v>
      </c>
      <c r="M314" s="39">
        <f>'[3]12нед'!T262</f>
        <v>0</v>
      </c>
      <c r="N314" s="40">
        <f>'[3]12нед'!W262</f>
        <v>0</v>
      </c>
      <c r="O314" s="41" t="str">
        <f>'[3]12нед'!X262</f>
        <v/>
      </c>
      <c r="P314" s="42"/>
    </row>
    <row r="315" ht="31.5" spans="1:16">
      <c r="A315" s="36"/>
      <c r="B315" s="37"/>
      <c r="C315" s="29" t="s">
        <v>19</v>
      </c>
      <c r="D315" s="38">
        <f>'[3]11нед'!S263</f>
        <v>0</v>
      </c>
      <c r="E315" s="39">
        <f>'[3]11нед'!T263</f>
        <v>0</v>
      </c>
      <c r="F315" s="40">
        <f>'[3]11нед'!W263</f>
        <v>0</v>
      </c>
      <c r="G315" s="41" t="str">
        <f>'[3]11нед'!X263</f>
        <v/>
      </c>
      <c r="H315" s="42"/>
      <c r="I315" s="43"/>
      <c r="J315" s="44"/>
      <c r="K315" s="29" t="s">
        <v>19</v>
      </c>
      <c r="L315" s="38">
        <f>'[3]12нед'!S263</f>
        <v>0</v>
      </c>
      <c r="M315" s="39">
        <f>'[3]12нед'!T263</f>
        <v>0</v>
      </c>
      <c r="N315" s="40">
        <f>'[3]12нед'!W263</f>
        <v>0</v>
      </c>
      <c r="O315" s="41" t="str">
        <f>'[3]12нед'!X263</f>
        <v/>
      </c>
      <c r="P315" s="42"/>
    </row>
    <row r="316" ht="31.5" spans="1:16">
      <c r="A316" s="36"/>
      <c r="B316" s="37"/>
      <c r="C316" s="29" t="s">
        <v>20</v>
      </c>
      <c r="D316" s="38">
        <f>'[3]11нед'!S264</f>
        <v>0</v>
      </c>
      <c r="E316" s="39">
        <f>'[3]11нед'!T264</f>
        <v>0</v>
      </c>
      <c r="F316" s="40">
        <f>'[3]11нед'!W264</f>
        <v>0</v>
      </c>
      <c r="G316" s="41" t="str">
        <f>'[3]11нед'!X264</f>
        <v/>
      </c>
      <c r="H316" s="42"/>
      <c r="I316" s="43"/>
      <c r="J316" s="44"/>
      <c r="K316" s="29" t="s">
        <v>20</v>
      </c>
      <c r="L316" s="38">
        <f>'[3]12нед'!S264</f>
        <v>0</v>
      </c>
      <c r="M316" s="39">
        <f>'[3]12нед'!T264</f>
        <v>0</v>
      </c>
      <c r="N316" s="40">
        <f>'[3]12нед'!W264</f>
        <v>0</v>
      </c>
      <c r="O316" s="41" t="str">
        <f>'[3]12нед'!X264</f>
        <v/>
      </c>
      <c r="P316" s="42"/>
    </row>
    <row r="317" ht="31.5" spans="1:16">
      <c r="A317" s="36"/>
      <c r="B317" s="37"/>
      <c r="C317" s="29" t="s">
        <v>21</v>
      </c>
      <c r="D317" s="38">
        <f>'[3]11нед'!S265</f>
        <v>0</v>
      </c>
      <c r="E317" s="39">
        <f>'[3]11нед'!T265</f>
        <v>0</v>
      </c>
      <c r="F317" s="40">
        <f>'[3]11нед'!W265</f>
        <v>0</v>
      </c>
      <c r="G317" s="41" t="str">
        <f>'[3]11нед'!X265</f>
        <v/>
      </c>
      <c r="H317" s="42"/>
      <c r="I317" s="43"/>
      <c r="J317" s="44"/>
      <c r="K317" s="29" t="s">
        <v>21</v>
      </c>
      <c r="L317" s="38">
        <f>'[3]12нед'!S265</f>
        <v>0</v>
      </c>
      <c r="M317" s="39">
        <f>'[3]12нед'!T265</f>
        <v>0</v>
      </c>
      <c r="N317" s="40">
        <f>'[3]12нед'!W265</f>
        <v>0</v>
      </c>
      <c r="O317" s="41" t="str">
        <f>'[3]12нед'!X265</f>
        <v/>
      </c>
      <c r="P317" s="42"/>
    </row>
    <row r="318" ht="32.25" spans="1:16">
      <c r="A318" s="36"/>
      <c r="B318" s="37"/>
      <c r="C318" s="29" t="s">
        <v>22</v>
      </c>
      <c r="D318" s="38">
        <f>'[3]11нед'!S266</f>
        <v>0</v>
      </c>
      <c r="E318" s="39">
        <f>'[3]11нед'!T266</f>
        <v>0</v>
      </c>
      <c r="F318" s="40">
        <f>'[3]11нед'!W266</f>
        <v>0</v>
      </c>
      <c r="G318" s="41" t="str">
        <f>'[3]11нед'!X266</f>
        <v/>
      </c>
      <c r="H318" s="42"/>
      <c r="I318" s="43"/>
      <c r="J318" s="44"/>
      <c r="K318" s="29" t="s">
        <v>22</v>
      </c>
      <c r="L318" s="38">
        <f>'[3]12нед'!S266</f>
        <v>0</v>
      </c>
      <c r="M318" s="39">
        <f>'[3]12нед'!T266</f>
        <v>0</v>
      </c>
      <c r="N318" s="40">
        <f>'[3]12нед'!W266</f>
        <v>0</v>
      </c>
      <c r="O318" s="41" t="str">
        <f>'[3]12нед'!X266</f>
        <v/>
      </c>
      <c r="P318" s="42"/>
    </row>
    <row r="319" ht="18.6" hidden="1" customHeight="1" spans="1:16">
      <c r="A319" s="45"/>
      <c r="B319" s="46"/>
      <c r="C319" s="47"/>
      <c r="D319" s="48">
        <f>'[3]11нед'!S267</f>
        <v>0</v>
      </c>
      <c r="E319" s="49">
        <f>'[3]11нед'!T267</f>
        <v>0</v>
      </c>
      <c r="F319" s="50">
        <f>'[3]11нед'!W267</f>
        <v>0</v>
      </c>
      <c r="G319" s="51" t="str">
        <f>'[3]11нед'!X267</f>
        <v/>
      </c>
      <c r="H319" s="52"/>
      <c r="I319" s="53"/>
      <c r="J319" s="54"/>
      <c r="K319" s="47"/>
      <c r="L319" s="48">
        <f>'[3]12нед'!S267</f>
        <v>0</v>
      </c>
      <c r="M319" s="49">
        <f>'[3]12нед'!T267</f>
        <v>0</v>
      </c>
      <c r="N319" s="50">
        <f>'[3]12нед'!W267</f>
        <v>0</v>
      </c>
      <c r="O319" s="51" t="str">
        <f>'[3]12нед'!X267</f>
        <v/>
      </c>
      <c r="P319" s="52"/>
    </row>
    <row r="320" ht="32.25" customHeight="1" spans="1:16">
      <c r="A320" s="27">
        <v>46336</v>
      </c>
      <c r="B320" s="28" t="s">
        <v>23</v>
      </c>
      <c r="C320" s="55" t="s">
        <v>16</v>
      </c>
      <c r="D320" s="30">
        <f>'[3]11нед'!S268</f>
        <v>0</v>
      </c>
      <c r="E320" s="31">
        <f>'[3]11нед'!T268</f>
        <v>0</v>
      </c>
      <c r="F320" s="32">
        <f>'[3]11нед'!W268</f>
        <v>0</v>
      </c>
      <c r="G320" s="33" t="str">
        <f>'[3]11нед'!X268</f>
        <v/>
      </c>
      <c r="H320" s="34"/>
      <c r="I320" s="27">
        <v>46343</v>
      </c>
      <c r="J320" s="35" t="s">
        <v>23</v>
      </c>
      <c r="K320" s="55" t="s">
        <v>16</v>
      </c>
      <c r="L320" s="30">
        <f>'[3]12нед'!S268</f>
        <v>0</v>
      </c>
      <c r="M320" s="31">
        <f>'[3]12нед'!T268</f>
        <v>0</v>
      </c>
      <c r="N320" s="32">
        <f>'[3]12нед'!W268</f>
        <v>0</v>
      </c>
      <c r="O320" s="33" t="str">
        <f>'[3]12нед'!X268</f>
        <v/>
      </c>
      <c r="P320" s="34"/>
    </row>
    <row r="321" ht="31.5" spans="1:16">
      <c r="A321" s="36"/>
      <c r="B321" s="37"/>
      <c r="C321" s="29" t="s">
        <v>17</v>
      </c>
      <c r="D321" s="38">
        <f>'[3]11нед'!S269</f>
        <v>0</v>
      </c>
      <c r="E321" s="39">
        <f>'[3]11нед'!T269</f>
        <v>0</v>
      </c>
      <c r="F321" s="40">
        <f>'[3]11нед'!W269</f>
        <v>0</v>
      </c>
      <c r="G321" s="41" t="str">
        <f>'[3]11нед'!X269</f>
        <v/>
      </c>
      <c r="H321" s="42"/>
      <c r="I321" s="43"/>
      <c r="J321" s="44"/>
      <c r="K321" s="29" t="s">
        <v>17</v>
      </c>
      <c r="L321" s="38">
        <f>'[3]12нед'!S269</f>
        <v>0</v>
      </c>
      <c r="M321" s="39">
        <f>'[3]12нед'!T269</f>
        <v>0</v>
      </c>
      <c r="N321" s="40">
        <f>'[3]12нед'!W269</f>
        <v>0</v>
      </c>
      <c r="O321" s="41" t="str">
        <f>'[3]12нед'!X269</f>
        <v/>
      </c>
      <c r="P321" s="42"/>
    </row>
    <row r="322" ht="31.5" spans="1:16">
      <c r="A322" s="36"/>
      <c r="B322" s="37"/>
      <c r="C322" s="29" t="s">
        <v>18</v>
      </c>
      <c r="D322" s="38">
        <f>'[3]11нед'!S270</f>
        <v>0</v>
      </c>
      <c r="E322" s="39">
        <f>'[3]11нед'!T270</f>
        <v>0</v>
      </c>
      <c r="F322" s="40">
        <f>'[3]11нед'!W270</f>
        <v>0</v>
      </c>
      <c r="G322" s="41" t="str">
        <f>'[3]11нед'!X270</f>
        <v/>
      </c>
      <c r="H322" s="42"/>
      <c r="I322" s="43"/>
      <c r="J322" s="44"/>
      <c r="K322" s="29" t="s">
        <v>18</v>
      </c>
      <c r="L322" s="38">
        <f>'[3]12нед'!S270</f>
        <v>0</v>
      </c>
      <c r="M322" s="39">
        <f>'[3]12нед'!T270</f>
        <v>0</v>
      </c>
      <c r="N322" s="40">
        <f>'[3]12нед'!W270</f>
        <v>0</v>
      </c>
      <c r="O322" s="41" t="str">
        <f>'[3]12нед'!X270</f>
        <v/>
      </c>
      <c r="P322" s="42"/>
    </row>
    <row r="323" ht="31.5" spans="1:16">
      <c r="A323" s="36"/>
      <c r="B323" s="37"/>
      <c r="C323" s="29" t="s">
        <v>19</v>
      </c>
      <c r="D323" s="38">
        <f>'[3]11нед'!S271</f>
        <v>0</v>
      </c>
      <c r="E323" s="39">
        <f>'[3]11нед'!T271</f>
        <v>0</v>
      </c>
      <c r="F323" s="40">
        <f>'[3]11нед'!W271</f>
        <v>0</v>
      </c>
      <c r="G323" s="41" t="str">
        <f>'[3]11нед'!X271</f>
        <v/>
      </c>
      <c r="H323" s="42"/>
      <c r="I323" s="43"/>
      <c r="J323" s="44"/>
      <c r="K323" s="29" t="s">
        <v>19</v>
      </c>
      <c r="L323" s="38">
        <f>'[3]12нед'!S271</f>
        <v>0</v>
      </c>
      <c r="M323" s="39">
        <f>'[3]12нед'!T271</f>
        <v>0</v>
      </c>
      <c r="N323" s="40">
        <f>'[3]12нед'!W271</f>
        <v>0</v>
      </c>
      <c r="O323" s="41" t="str">
        <f>'[3]12нед'!X271</f>
        <v/>
      </c>
      <c r="P323" s="42"/>
    </row>
    <row r="324" ht="31.5" spans="1:16">
      <c r="A324" s="36"/>
      <c r="B324" s="37"/>
      <c r="C324" s="29" t="s">
        <v>20</v>
      </c>
      <c r="D324" s="38">
        <f>'[3]11нед'!S272</f>
        <v>0</v>
      </c>
      <c r="E324" s="39">
        <f>'[3]11нед'!T272</f>
        <v>0</v>
      </c>
      <c r="F324" s="40">
        <f>'[3]11нед'!W272</f>
        <v>0</v>
      </c>
      <c r="G324" s="41" t="str">
        <f>'[3]11нед'!X272</f>
        <v/>
      </c>
      <c r="H324" s="42"/>
      <c r="I324" s="43"/>
      <c r="J324" s="44"/>
      <c r="K324" s="29" t="s">
        <v>20</v>
      </c>
      <c r="L324" s="38">
        <f>'[3]12нед'!S272</f>
        <v>0</v>
      </c>
      <c r="M324" s="39">
        <f>'[3]12нед'!T272</f>
        <v>0</v>
      </c>
      <c r="N324" s="40">
        <f>'[3]12нед'!W272</f>
        <v>0</v>
      </c>
      <c r="O324" s="41" t="str">
        <f>'[3]12нед'!X272</f>
        <v/>
      </c>
      <c r="P324" s="42"/>
    </row>
    <row r="325" ht="31.5" spans="1:16">
      <c r="A325" s="36"/>
      <c r="B325" s="37"/>
      <c r="C325" s="29" t="s">
        <v>21</v>
      </c>
      <c r="D325" s="38">
        <f>'[3]11нед'!S273</f>
        <v>0</v>
      </c>
      <c r="E325" s="39">
        <f>'[3]11нед'!T273</f>
        <v>0</v>
      </c>
      <c r="F325" s="40">
        <f>'[3]11нед'!W273</f>
        <v>0</v>
      </c>
      <c r="G325" s="41" t="str">
        <f>'[3]11нед'!X273</f>
        <v/>
      </c>
      <c r="H325" s="56"/>
      <c r="I325" s="43"/>
      <c r="J325" s="44"/>
      <c r="K325" s="29" t="s">
        <v>21</v>
      </c>
      <c r="L325" s="38">
        <f>'[3]12нед'!S273</f>
        <v>0</v>
      </c>
      <c r="M325" s="39">
        <f>'[3]12нед'!T273</f>
        <v>0</v>
      </c>
      <c r="N325" s="40">
        <f>'[3]12нед'!W273</f>
        <v>0</v>
      </c>
      <c r="O325" s="41" t="str">
        <f>'[3]12нед'!X273</f>
        <v/>
      </c>
      <c r="P325" s="56"/>
    </row>
    <row r="326" ht="32.25" spans="1:16">
      <c r="A326" s="36"/>
      <c r="B326" s="37"/>
      <c r="C326" s="29" t="s">
        <v>22</v>
      </c>
      <c r="D326" s="38">
        <f>'[3]11нед'!S274</f>
        <v>0</v>
      </c>
      <c r="E326" s="39">
        <f>'[3]11нед'!T274</f>
        <v>0</v>
      </c>
      <c r="F326" s="40">
        <f>'[3]11нед'!W274</f>
        <v>0</v>
      </c>
      <c r="G326" s="41" t="str">
        <f>'[3]11нед'!X274</f>
        <v/>
      </c>
      <c r="H326" s="56"/>
      <c r="I326" s="43"/>
      <c r="J326" s="44"/>
      <c r="K326" s="29" t="s">
        <v>22</v>
      </c>
      <c r="L326" s="38">
        <f>'[3]12нед'!S274</f>
        <v>0</v>
      </c>
      <c r="M326" s="39">
        <f>'[3]12нед'!T274</f>
        <v>0</v>
      </c>
      <c r="N326" s="40">
        <f>'[3]12нед'!W274</f>
        <v>0</v>
      </c>
      <c r="O326" s="41" t="str">
        <f>'[3]12нед'!X274</f>
        <v/>
      </c>
      <c r="P326" s="56"/>
    </row>
    <row r="327" ht="18.6" hidden="1" customHeight="1" spans="1:16">
      <c r="A327" s="45"/>
      <c r="B327" s="46"/>
      <c r="C327" s="47"/>
      <c r="D327" s="48">
        <f>'[3]11нед'!S275</f>
        <v>0</v>
      </c>
      <c r="E327" s="49">
        <f>'[3]11нед'!T275</f>
        <v>0</v>
      </c>
      <c r="F327" s="50">
        <f>'[3]11нед'!W275</f>
        <v>0</v>
      </c>
      <c r="G327" s="51" t="str">
        <f>'[3]11нед'!X275</f>
        <v/>
      </c>
      <c r="H327" s="52"/>
      <c r="I327" s="53"/>
      <c r="J327" s="54"/>
      <c r="K327" s="47"/>
      <c r="L327" s="48">
        <f>'[3]12нед'!S275</f>
        <v>0</v>
      </c>
      <c r="M327" s="49">
        <f>'[3]12нед'!T275</f>
        <v>0</v>
      </c>
      <c r="N327" s="50">
        <f>'[3]12нед'!W275</f>
        <v>0</v>
      </c>
      <c r="O327" s="51" t="str">
        <f>'[3]12нед'!X275</f>
        <v/>
      </c>
      <c r="P327" s="52"/>
    </row>
    <row r="328" ht="48" customHeight="1" spans="1:16">
      <c r="A328" s="27">
        <v>46337</v>
      </c>
      <c r="B328" s="57" t="s">
        <v>24</v>
      </c>
      <c r="C328" s="55" t="s">
        <v>16</v>
      </c>
      <c r="D328" s="30">
        <f>'[3]11нед'!S276</f>
        <v>0</v>
      </c>
      <c r="E328" s="31">
        <f>'[3]11нед'!T276</f>
        <v>0</v>
      </c>
      <c r="F328" s="32">
        <f>'[3]11нед'!W276</f>
        <v>0</v>
      </c>
      <c r="G328" s="33" t="str">
        <f>'[3]11нед'!X276</f>
        <v/>
      </c>
      <c r="H328" s="34"/>
      <c r="I328" s="27">
        <v>46344</v>
      </c>
      <c r="J328" s="58" t="s">
        <v>24</v>
      </c>
      <c r="K328" s="55" t="s">
        <v>16</v>
      </c>
      <c r="L328" s="30">
        <f>'[3]12нед'!S276</f>
        <v>0</v>
      </c>
      <c r="M328" s="31">
        <f>'[3]12нед'!T276</f>
        <v>0</v>
      </c>
      <c r="N328" s="32">
        <f>'[3]12нед'!W276</f>
        <v>0</v>
      </c>
      <c r="O328" s="33" t="str">
        <f>'[3]12нед'!X276</f>
        <v/>
      </c>
      <c r="P328" s="34"/>
    </row>
    <row r="329" ht="31.5" spans="1:16">
      <c r="A329" s="36"/>
      <c r="B329" s="59"/>
      <c r="C329" s="29" t="s">
        <v>17</v>
      </c>
      <c r="D329" s="38">
        <f>'[3]11нед'!S277</f>
        <v>0</v>
      </c>
      <c r="E329" s="39">
        <f>'[3]11нед'!T277</f>
        <v>0</v>
      </c>
      <c r="F329" s="40">
        <f>'[3]11нед'!W277</f>
        <v>0</v>
      </c>
      <c r="G329" s="41" t="str">
        <f>'[3]11нед'!X277</f>
        <v/>
      </c>
      <c r="H329" s="42"/>
      <c r="I329" s="43"/>
      <c r="J329" s="60"/>
      <c r="K329" s="29" t="s">
        <v>17</v>
      </c>
      <c r="L329" s="38">
        <f>'[3]12нед'!S277</f>
        <v>0</v>
      </c>
      <c r="M329" s="39">
        <f>'[3]12нед'!T277</f>
        <v>0</v>
      </c>
      <c r="N329" s="40">
        <f>'[3]12нед'!W277</f>
        <v>0</v>
      </c>
      <c r="O329" s="41" t="str">
        <f>'[3]12нед'!X277</f>
        <v/>
      </c>
      <c r="P329" s="42"/>
    </row>
    <row r="330" ht="31.5" spans="1:16">
      <c r="A330" s="36"/>
      <c r="B330" s="59"/>
      <c r="C330" s="29" t="s">
        <v>18</v>
      </c>
      <c r="D330" s="38">
        <f>'[3]11нед'!S278</f>
        <v>0</v>
      </c>
      <c r="E330" s="39">
        <f>'[3]11нед'!T278</f>
        <v>0</v>
      </c>
      <c r="F330" s="40">
        <f>'[3]11нед'!W278</f>
        <v>0</v>
      </c>
      <c r="G330" s="41" t="str">
        <f>'[3]11нед'!X278</f>
        <v/>
      </c>
      <c r="H330" s="42"/>
      <c r="I330" s="43"/>
      <c r="J330" s="60"/>
      <c r="K330" s="29" t="s">
        <v>18</v>
      </c>
      <c r="L330" s="38">
        <f>'[3]12нед'!S278</f>
        <v>0</v>
      </c>
      <c r="M330" s="39">
        <f>'[3]12нед'!T278</f>
        <v>0</v>
      </c>
      <c r="N330" s="40">
        <f>'[3]12нед'!W278</f>
        <v>0</v>
      </c>
      <c r="O330" s="41" t="str">
        <f>'[3]12нед'!X278</f>
        <v/>
      </c>
      <c r="P330" s="42"/>
    </row>
    <row r="331" ht="31.5" spans="1:16">
      <c r="A331" s="36"/>
      <c r="B331" s="59"/>
      <c r="C331" s="29" t="s">
        <v>19</v>
      </c>
      <c r="D331" s="38">
        <f>'[3]11нед'!S279</f>
        <v>0</v>
      </c>
      <c r="E331" s="39">
        <f>'[3]11нед'!T279</f>
        <v>0</v>
      </c>
      <c r="F331" s="40">
        <f>'[3]11нед'!W279</f>
        <v>0</v>
      </c>
      <c r="G331" s="41" t="str">
        <f>'[3]11нед'!X279</f>
        <v/>
      </c>
      <c r="H331" s="42"/>
      <c r="I331" s="43"/>
      <c r="J331" s="60"/>
      <c r="K331" s="29" t="s">
        <v>19</v>
      </c>
      <c r="L331" s="38">
        <f>'[3]12нед'!S279</f>
        <v>0</v>
      </c>
      <c r="M331" s="39">
        <f>'[3]12нед'!T279</f>
        <v>0</v>
      </c>
      <c r="N331" s="40">
        <f>'[3]12нед'!W279</f>
        <v>0</v>
      </c>
      <c r="O331" s="41" t="str">
        <f>'[3]12нед'!X279</f>
        <v/>
      </c>
      <c r="P331" s="42"/>
    </row>
    <row r="332" ht="31.5" spans="1:16">
      <c r="A332" s="36"/>
      <c r="B332" s="59"/>
      <c r="C332" s="29" t="s">
        <v>20</v>
      </c>
      <c r="D332" s="38">
        <f>'[3]11нед'!S280</f>
        <v>0</v>
      </c>
      <c r="E332" s="39">
        <f>'[3]11нед'!T280</f>
        <v>0</v>
      </c>
      <c r="F332" s="40">
        <f>'[3]11нед'!W280</f>
        <v>0</v>
      </c>
      <c r="G332" s="41" t="str">
        <f>'[3]11нед'!X280</f>
        <v/>
      </c>
      <c r="H332" s="42"/>
      <c r="I332" s="43"/>
      <c r="J332" s="60"/>
      <c r="K332" s="29" t="s">
        <v>20</v>
      </c>
      <c r="L332" s="38">
        <f>'[3]12нед'!S280</f>
        <v>0</v>
      </c>
      <c r="M332" s="39">
        <f>'[3]12нед'!T280</f>
        <v>0</v>
      </c>
      <c r="N332" s="40">
        <f>'[3]12нед'!W280</f>
        <v>0</v>
      </c>
      <c r="O332" s="41" t="str">
        <f>'[3]12нед'!X280</f>
        <v/>
      </c>
      <c r="P332" s="42"/>
    </row>
    <row r="333" ht="31.5" spans="1:16">
      <c r="A333" s="36"/>
      <c r="B333" s="59"/>
      <c r="C333" s="29" t="s">
        <v>21</v>
      </c>
      <c r="D333" s="38">
        <f>'[3]11нед'!S281</f>
        <v>0</v>
      </c>
      <c r="E333" s="39">
        <f>'[3]11нед'!T281</f>
        <v>0</v>
      </c>
      <c r="F333" s="40">
        <f>'[3]11нед'!W281</f>
        <v>0</v>
      </c>
      <c r="G333" s="41" t="str">
        <f>'[3]11нед'!X281</f>
        <v/>
      </c>
      <c r="H333" s="56"/>
      <c r="I333" s="43"/>
      <c r="J333" s="60"/>
      <c r="K333" s="29" t="s">
        <v>21</v>
      </c>
      <c r="L333" s="38">
        <f>'[3]12нед'!S281</f>
        <v>0</v>
      </c>
      <c r="M333" s="39">
        <f>'[3]12нед'!T281</f>
        <v>0</v>
      </c>
      <c r="N333" s="40">
        <f>'[3]12нед'!W281</f>
        <v>0</v>
      </c>
      <c r="O333" s="41" t="str">
        <f>'[3]12нед'!X281</f>
        <v/>
      </c>
      <c r="P333" s="56"/>
    </row>
    <row r="334" ht="32.25" spans="1:16">
      <c r="A334" s="36"/>
      <c r="B334" s="59"/>
      <c r="C334" s="29" t="s">
        <v>22</v>
      </c>
      <c r="D334" s="38">
        <f>'[3]11нед'!S282</f>
        <v>0</v>
      </c>
      <c r="E334" s="39">
        <f>'[3]11нед'!T282</f>
        <v>0</v>
      </c>
      <c r="F334" s="40">
        <f>'[3]11нед'!W282</f>
        <v>0</v>
      </c>
      <c r="G334" s="41" t="str">
        <f>'[3]11нед'!X282</f>
        <v/>
      </c>
      <c r="H334" s="56"/>
      <c r="I334" s="43"/>
      <c r="J334" s="60"/>
      <c r="K334" s="29" t="s">
        <v>22</v>
      </c>
      <c r="L334" s="38">
        <f>'[3]12нед'!S282</f>
        <v>0</v>
      </c>
      <c r="M334" s="39">
        <f>'[3]12нед'!T282</f>
        <v>0</v>
      </c>
      <c r="N334" s="40">
        <f>'[3]12нед'!W282</f>
        <v>0</v>
      </c>
      <c r="O334" s="41" t="str">
        <f>'[3]12нед'!X282</f>
        <v/>
      </c>
      <c r="P334" s="56"/>
    </row>
    <row r="335" ht="18.6" hidden="1" customHeight="1" spans="1:16">
      <c r="A335" s="45"/>
      <c r="B335" s="61"/>
      <c r="C335" s="47"/>
      <c r="D335" s="48">
        <f>'[3]11нед'!S283</f>
        <v>0</v>
      </c>
      <c r="E335" s="49">
        <f>'[3]11нед'!T283</f>
        <v>0</v>
      </c>
      <c r="F335" s="50">
        <f>'[3]11нед'!W283</f>
        <v>0</v>
      </c>
      <c r="G335" s="51" t="str">
        <f>'[3]11нед'!X283</f>
        <v/>
      </c>
      <c r="H335" s="52"/>
      <c r="I335" s="53"/>
      <c r="J335" s="62"/>
      <c r="K335" s="47"/>
      <c r="L335" s="48">
        <f>'[3]12нед'!S283</f>
        <v>0</v>
      </c>
      <c r="M335" s="49">
        <f>'[3]12нед'!T283</f>
        <v>0</v>
      </c>
      <c r="N335" s="50">
        <f>'[3]12нед'!W283</f>
        <v>0</v>
      </c>
      <c r="O335" s="51" t="str">
        <f>'[3]12нед'!X283</f>
        <v/>
      </c>
      <c r="P335" s="52"/>
    </row>
    <row r="336" ht="48" customHeight="1" spans="1:16">
      <c r="A336" s="27">
        <v>46338</v>
      </c>
      <c r="B336" s="28" t="s">
        <v>25</v>
      </c>
      <c r="C336" s="55" t="s">
        <v>16</v>
      </c>
      <c r="D336" s="30">
        <f>'[3]11нед'!S284</f>
        <v>0</v>
      </c>
      <c r="E336" s="31">
        <f>'[3]11нед'!T284</f>
        <v>0</v>
      </c>
      <c r="F336" s="32">
        <f>'[3]11нед'!W284</f>
        <v>0</v>
      </c>
      <c r="G336" s="33" t="str">
        <f>'[3]11нед'!X284</f>
        <v/>
      </c>
      <c r="H336" s="34"/>
      <c r="I336" s="27">
        <v>46345</v>
      </c>
      <c r="J336" s="35" t="s">
        <v>25</v>
      </c>
      <c r="K336" s="55" t="s">
        <v>16</v>
      </c>
      <c r="L336" s="30">
        <f>'[3]12нед'!S284</f>
        <v>0</v>
      </c>
      <c r="M336" s="31">
        <f>'[3]12нед'!T284</f>
        <v>0</v>
      </c>
      <c r="N336" s="32">
        <f>'[3]12нед'!W284</f>
        <v>0</v>
      </c>
      <c r="O336" s="33" t="str">
        <f>'[3]12нед'!X284</f>
        <v/>
      </c>
      <c r="P336" s="34"/>
    </row>
    <row r="337" ht="31.5" spans="1:16">
      <c r="A337" s="36"/>
      <c r="B337" s="37"/>
      <c r="C337" s="29" t="s">
        <v>17</v>
      </c>
      <c r="D337" s="38">
        <f>'[3]11нед'!S285</f>
        <v>0</v>
      </c>
      <c r="E337" s="39">
        <f>'[3]11нед'!T285</f>
        <v>0</v>
      </c>
      <c r="F337" s="40">
        <f>'[3]11нед'!W285</f>
        <v>0</v>
      </c>
      <c r="G337" s="41" t="str">
        <f>'[3]11нед'!X285</f>
        <v/>
      </c>
      <c r="H337" s="42"/>
      <c r="I337" s="43"/>
      <c r="J337" s="44"/>
      <c r="K337" s="29" t="s">
        <v>17</v>
      </c>
      <c r="L337" s="38">
        <f>'[3]12нед'!S285</f>
        <v>0</v>
      </c>
      <c r="M337" s="39">
        <f>'[3]12нед'!T285</f>
        <v>0</v>
      </c>
      <c r="N337" s="40">
        <f>'[3]12нед'!W285</f>
        <v>0</v>
      </c>
      <c r="O337" s="41" t="str">
        <f>'[3]12нед'!X285</f>
        <v/>
      </c>
      <c r="P337" s="42"/>
    </row>
    <row r="338" ht="31.5" spans="1:16">
      <c r="A338" s="36"/>
      <c r="B338" s="37"/>
      <c r="C338" s="29" t="s">
        <v>18</v>
      </c>
      <c r="D338" s="38">
        <f>'[3]11нед'!S286</f>
        <v>0</v>
      </c>
      <c r="E338" s="39">
        <f>'[3]11нед'!T286</f>
        <v>0</v>
      </c>
      <c r="F338" s="40">
        <f>'[3]11нед'!W286</f>
        <v>0</v>
      </c>
      <c r="G338" s="41" t="str">
        <f>'[3]11нед'!X286</f>
        <v/>
      </c>
      <c r="H338" s="42"/>
      <c r="I338" s="43"/>
      <c r="J338" s="44"/>
      <c r="K338" s="29" t="s">
        <v>18</v>
      </c>
      <c r="L338" s="38">
        <f>'[3]12нед'!S286</f>
        <v>0</v>
      </c>
      <c r="M338" s="39">
        <f>'[3]12нед'!T286</f>
        <v>0</v>
      </c>
      <c r="N338" s="40">
        <f>'[3]12нед'!W286</f>
        <v>0</v>
      </c>
      <c r="O338" s="41" t="str">
        <f>'[3]12нед'!X286</f>
        <v/>
      </c>
      <c r="P338" s="42"/>
    </row>
    <row r="339" ht="31.5" spans="1:16">
      <c r="A339" s="36"/>
      <c r="B339" s="37"/>
      <c r="C339" s="29" t="s">
        <v>19</v>
      </c>
      <c r="D339" s="38">
        <f>'[3]11нед'!S287</f>
        <v>0</v>
      </c>
      <c r="E339" s="39">
        <f>'[3]11нед'!T287</f>
        <v>0</v>
      </c>
      <c r="F339" s="40">
        <f>'[3]11нед'!W287</f>
        <v>0</v>
      </c>
      <c r="G339" s="41" t="str">
        <f>'[3]11нед'!X287</f>
        <v/>
      </c>
      <c r="H339" s="42"/>
      <c r="I339" s="43"/>
      <c r="J339" s="44"/>
      <c r="K339" s="29" t="s">
        <v>19</v>
      </c>
      <c r="L339" s="38">
        <f>'[3]12нед'!S287</f>
        <v>0</v>
      </c>
      <c r="M339" s="39">
        <f>'[3]12нед'!T287</f>
        <v>0</v>
      </c>
      <c r="N339" s="40">
        <f>'[3]12нед'!W287</f>
        <v>0</v>
      </c>
      <c r="O339" s="41" t="str">
        <f>'[3]12нед'!X287</f>
        <v/>
      </c>
      <c r="P339" s="42"/>
    </row>
    <row r="340" ht="31.5" spans="1:16">
      <c r="A340" s="36"/>
      <c r="B340" s="37"/>
      <c r="C340" s="29" t="s">
        <v>20</v>
      </c>
      <c r="D340" s="38">
        <f>'[3]11нед'!S288</f>
        <v>0</v>
      </c>
      <c r="E340" s="39">
        <f>'[3]11нед'!T288</f>
        <v>0</v>
      </c>
      <c r="F340" s="40">
        <f>'[3]11нед'!W288</f>
        <v>0</v>
      </c>
      <c r="G340" s="41" t="str">
        <f>'[3]11нед'!X288</f>
        <v/>
      </c>
      <c r="H340" s="42"/>
      <c r="I340" s="43"/>
      <c r="J340" s="44"/>
      <c r="K340" s="29" t="s">
        <v>20</v>
      </c>
      <c r="L340" s="38">
        <f>'[3]12нед'!S288</f>
        <v>0</v>
      </c>
      <c r="M340" s="39">
        <f>'[3]12нед'!T288</f>
        <v>0</v>
      </c>
      <c r="N340" s="40">
        <f>'[3]12нед'!W288</f>
        <v>0</v>
      </c>
      <c r="O340" s="41" t="str">
        <f>'[3]12нед'!X288</f>
        <v/>
      </c>
      <c r="P340" s="42"/>
    </row>
    <row r="341" ht="31.5" spans="1:16">
      <c r="A341" s="36"/>
      <c r="B341" s="37"/>
      <c r="C341" s="29" t="s">
        <v>21</v>
      </c>
      <c r="D341" s="38">
        <f>'[3]11нед'!S289</f>
        <v>0</v>
      </c>
      <c r="E341" s="39">
        <f>'[3]11нед'!T289</f>
        <v>0</v>
      </c>
      <c r="F341" s="40">
        <f>'[3]11нед'!W289</f>
        <v>0</v>
      </c>
      <c r="G341" s="41" t="str">
        <f>'[3]11нед'!X289</f>
        <v/>
      </c>
      <c r="H341" s="56"/>
      <c r="I341" s="43"/>
      <c r="J341" s="44"/>
      <c r="K341" s="29" t="s">
        <v>21</v>
      </c>
      <c r="L341" s="38">
        <f>'[3]12нед'!S289</f>
        <v>0</v>
      </c>
      <c r="M341" s="39">
        <f>'[3]12нед'!T289</f>
        <v>0</v>
      </c>
      <c r="N341" s="40">
        <f>'[3]12нед'!W289</f>
        <v>0</v>
      </c>
      <c r="O341" s="41" t="str">
        <f>'[3]12нед'!X289</f>
        <v/>
      </c>
      <c r="P341" s="56"/>
    </row>
    <row r="342" ht="32.25" spans="1:16">
      <c r="A342" s="36"/>
      <c r="B342" s="37"/>
      <c r="C342" s="29" t="s">
        <v>22</v>
      </c>
      <c r="D342" s="38">
        <f>'[3]11нед'!S290</f>
        <v>0</v>
      </c>
      <c r="E342" s="39">
        <f>'[3]11нед'!T290</f>
        <v>0</v>
      </c>
      <c r="F342" s="40">
        <f>'[3]11нед'!W290</f>
        <v>0</v>
      </c>
      <c r="G342" s="41" t="str">
        <f>'[3]11нед'!X290</f>
        <v/>
      </c>
      <c r="H342" s="56"/>
      <c r="I342" s="43"/>
      <c r="J342" s="44"/>
      <c r="K342" s="29" t="s">
        <v>22</v>
      </c>
      <c r="L342" s="38">
        <f>'[3]12нед'!S290</f>
        <v>0</v>
      </c>
      <c r="M342" s="39">
        <f>'[3]12нед'!T290</f>
        <v>0</v>
      </c>
      <c r="N342" s="40">
        <f>'[3]12нед'!W290</f>
        <v>0</v>
      </c>
      <c r="O342" s="41" t="str">
        <f>'[3]12нед'!X290</f>
        <v/>
      </c>
      <c r="P342" s="56"/>
    </row>
    <row r="343" ht="18.6" hidden="1" customHeight="1" spans="1:16">
      <c r="A343" s="45"/>
      <c r="B343" s="46"/>
      <c r="C343" s="47"/>
      <c r="D343" s="48">
        <f>'[3]11нед'!S291</f>
        <v>0</v>
      </c>
      <c r="E343" s="49">
        <f>'[3]11нед'!T291</f>
        <v>0</v>
      </c>
      <c r="F343" s="50">
        <f>'[3]11нед'!W291</f>
        <v>0</v>
      </c>
      <c r="G343" s="51" t="str">
        <f>'[3]11нед'!X291</f>
        <v/>
      </c>
      <c r="H343" s="52"/>
      <c r="I343" s="53"/>
      <c r="J343" s="54"/>
      <c r="K343" s="47"/>
      <c r="L343" s="48">
        <f>'[3]12нед'!S291</f>
        <v>0</v>
      </c>
      <c r="M343" s="49">
        <f>'[3]12нед'!T291</f>
        <v>0</v>
      </c>
      <c r="N343" s="50">
        <f>'[3]12нед'!W291</f>
        <v>0</v>
      </c>
      <c r="O343" s="51" t="str">
        <f>'[3]12нед'!X291</f>
        <v/>
      </c>
      <c r="P343" s="52"/>
    </row>
    <row r="344" ht="48" customHeight="1" spans="1:16">
      <c r="A344" s="27">
        <v>46339</v>
      </c>
      <c r="B344" s="28" t="s">
        <v>26</v>
      </c>
      <c r="C344" s="55" t="s">
        <v>16</v>
      </c>
      <c r="D344" s="30">
        <f>'[3]11нед'!S292</f>
        <v>0</v>
      </c>
      <c r="E344" s="31">
        <f>'[3]11нед'!T292</f>
        <v>0</v>
      </c>
      <c r="F344" s="32">
        <f>'[3]11нед'!W292</f>
        <v>0</v>
      </c>
      <c r="G344" s="33" t="str">
        <f>'[3]11нед'!X292</f>
        <v/>
      </c>
      <c r="H344" s="34"/>
      <c r="I344" s="27">
        <v>46346</v>
      </c>
      <c r="J344" s="35" t="s">
        <v>26</v>
      </c>
      <c r="K344" s="55" t="s">
        <v>16</v>
      </c>
      <c r="L344" s="30">
        <f>'[3]12нед'!S292</f>
        <v>0</v>
      </c>
      <c r="M344" s="31">
        <f>'[3]12нед'!T292</f>
        <v>0</v>
      </c>
      <c r="N344" s="32">
        <f>'[3]12нед'!W292</f>
        <v>0</v>
      </c>
      <c r="O344" s="33" t="str">
        <f>'[3]12нед'!X292</f>
        <v/>
      </c>
      <c r="P344" s="34"/>
    </row>
    <row r="345" ht="31.5" spans="1:16">
      <c r="A345" s="36"/>
      <c r="B345" s="37"/>
      <c r="C345" s="29" t="s">
        <v>17</v>
      </c>
      <c r="D345" s="38">
        <f>'[3]11нед'!S293</f>
        <v>0</v>
      </c>
      <c r="E345" s="39">
        <f>'[3]11нед'!T293</f>
        <v>0</v>
      </c>
      <c r="F345" s="40">
        <f>'[3]11нед'!W293</f>
        <v>0</v>
      </c>
      <c r="G345" s="41" t="str">
        <f>'[3]11нед'!X293</f>
        <v/>
      </c>
      <c r="H345" s="42"/>
      <c r="I345" s="43"/>
      <c r="J345" s="44"/>
      <c r="K345" s="29" t="s">
        <v>17</v>
      </c>
      <c r="L345" s="38">
        <f>'[3]12нед'!S293</f>
        <v>0</v>
      </c>
      <c r="M345" s="39">
        <f>'[3]12нед'!T293</f>
        <v>0</v>
      </c>
      <c r="N345" s="40">
        <f>'[3]12нед'!W293</f>
        <v>0</v>
      </c>
      <c r="O345" s="41" t="str">
        <f>'[3]12нед'!X293</f>
        <v/>
      </c>
      <c r="P345" s="42"/>
    </row>
    <row r="346" ht="31.5" spans="1:16">
      <c r="A346" s="36"/>
      <c r="B346" s="37"/>
      <c r="C346" s="29" t="s">
        <v>18</v>
      </c>
      <c r="D346" s="38">
        <f>'[3]11нед'!S294</f>
        <v>0</v>
      </c>
      <c r="E346" s="39">
        <f>'[3]11нед'!T294</f>
        <v>0</v>
      </c>
      <c r="F346" s="40">
        <f>'[3]11нед'!W294</f>
        <v>0</v>
      </c>
      <c r="G346" s="41" t="str">
        <f>'[3]11нед'!X294</f>
        <v/>
      </c>
      <c r="H346" s="42"/>
      <c r="I346" s="43"/>
      <c r="J346" s="44"/>
      <c r="K346" s="29" t="s">
        <v>18</v>
      </c>
      <c r="L346" s="38">
        <f>'[3]12нед'!S294</f>
        <v>0</v>
      </c>
      <c r="M346" s="39">
        <f>'[3]12нед'!T294</f>
        <v>0</v>
      </c>
      <c r="N346" s="40">
        <f>'[3]12нед'!W294</f>
        <v>0</v>
      </c>
      <c r="O346" s="41" t="str">
        <f>'[3]12нед'!X294</f>
        <v/>
      </c>
      <c r="P346" s="42"/>
    </row>
    <row r="347" ht="31.5" spans="1:16">
      <c r="A347" s="36"/>
      <c r="B347" s="37"/>
      <c r="C347" s="29" t="s">
        <v>19</v>
      </c>
      <c r="D347" s="38">
        <f>'[3]11нед'!S295</f>
        <v>0</v>
      </c>
      <c r="E347" s="39">
        <f>'[3]11нед'!T295</f>
        <v>0</v>
      </c>
      <c r="F347" s="40">
        <f>'[3]11нед'!W295</f>
        <v>0</v>
      </c>
      <c r="G347" s="41" t="str">
        <f>'[3]11нед'!X295</f>
        <v/>
      </c>
      <c r="H347" s="42"/>
      <c r="I347" s="43"/>
      <c r="J347" s="44"/>
      <c r="K347" s="29" t="s">
        <v>19</v>
      </c>
      <c r="L347" s="38">
        <f>'[3]12нед'!S295</f>
        <v>0</v>
      </c>
      <c r="M347" s="39">
        <f>'[3]12нед'!T295</f>
        <v>0</v>
      </c>
      <c r="N347" s="40">
        <f>'[3]12нед'!W295</f>
        <v>0</v>
      </c>
      <c r="O347" s="41" t="str">
        <f>'[3]12нед'!X295</f>
        <v/>
      </c>
      <c r="P347" s="42"/>
    </row>
    <row r="348" ht="31.5" spans="1:16">
      <c r="A348" s="36"/>
      <c r="B348" s="37"/>
      <c r="C348" s="29" t="s">
        <v>20</v>
      </c>
      <c r="D348" s="38">
        <f>'[3]11нед'!S296</f>
        <v>0</v>
      </c>
      <c r="E348" s="39">
        <f>'[3]11нед'!T296</f>
        <v>0</v>
      </c>
      <c r="F348" s="40">
        <f>'[3]11нед'!W296</f>
        <v>0</v>
      </c>
      <c r="G348" s="41" t="str">
        <f>'[3]11нед'!X296</f>
        <v/>
      </c>
      <c r="H348" s="42"/>
      <c r="I348" s="43"/>
      <c r="J348" s="44"/>
      <c r="K348" s="29" t="s">
        <v>20</v>
      </c>
      <c r="L348" s="38">
        <f>'[3]12нед'!S296</f>
        <v>0</v>
      </c>
      <c r="M348" s="39">
        <f>'[3]12нед'!T296</f>
        <v>0</v>
      </c>
      <c r="N348" s="40">
        <f>'[3]12нед'!W296</f>
        <v>0</v>
      </c>
      <c r="O348" s="41" t="str">
        <f>'[3]12нед'!X296</f>
        <v/>
      </c>
      <c r="P348" s="42"/>
    </row>
    <row r="349" ht="31.5" spans="1:16">
      <c r="A349" s="36"/>
      <c r="B349" s="37"/>
      <c r="C349" s="29" t="s">
        <v>21</v>
      </c>
      <c r="D349" s="38">
        <f>'[3]11нед'!S297</f>
        <v>0</v>
      </c>
      <c r="E349" s="39">
        <f>'[3]11нед'!T297</f>
        <v>0</v>
      </c>
      <c r="F349" s="40">
        <f>'[3]11нед'!W297</f>
        <v>0</v>
      </c>
      <c r="G349" s="41" t="str">
        <f>'[3]11нед'!X297</f>
        <v/>
      </c>
      <c r="H349" s="42"/>
      <c r="I349" s="43"/>
      <c r="J349" s="44"/>
      <c r="K349" s="29" t="s">
        <v>21</v>
      </c>
      <c r="L349" s="38">
        <f>'[3]12нед'!S297</f>
        <v>0</v>
      </c>
      <c r="M349" s="39">
        <f>'[3]12нед'!T297</f>
        <v>0</v>
      </c>
      <c r="N349" s="40">
        <f>'[3]12нед'!W297</f>
        <v>0</v>
      </c>
      <c r="O349" s="41" t="str">
        <f>'[3]12нед'!X297</f>
        <v/>
      </c>
      <c r="P349" s="42"/>
    </row>
    <row r="350" ht="32.25" spans="1:16">
      <c r="A350" s="36"/>
      <c r="B350" s="37"/>
      <c r="C350" s="29" t="s">
        <v>22</v>
      </c>
      <c r="D350" s="38">
        <f>'[3]11нед'!S298</f>
        <v>0</v>
      </c>
      <c r="E350" s="39">
        <f>'[3]11нед'!T298</f>
        <v>0</v>
      </c>
      <c r="F350" s="40">
        <f>'[3]11нед'!W298</f>
        <v>0</v>
      </c>
      <c r="G350" s="41" t="str">
        <f>'[3]11нед'!X298</f>
        <v/>
      </c>
      <c r="H350" s="42"/>
      <c r="I350" s="43"/>
      <c r="J350" s="44"/>
      <c r="K350" s="29" t="s">
        <v>22</v>
      </c>
      <c r="L350" s="38">
        <f>'[3]12нед'!S298</f>
        <v>0</v>
      </c>
      <c r="M350" s="39">
        <f>'[3]12нед'!T298</f>
        <v>0</v>
      </c>
      <c r="N350" s="40">
        <f>'[3]12нед'!W298</f>
        <v>0</v>
      </c>
      <c r="O350" s="41" t="str">
        <f>'[3]12нед'!X298</f>
        <v/>
      </c>
      <c r="P350" s="42"/>
    </row>
    <row r="351" ht="18.6" hidden="1" customHeight="1" spans="1:16">
      <c r="A351" s="45"/>
      <c r="B351" s="46"/>
      <c r="C351" s="47"/>
      <c r="D351" s="48">
        <f>'[3]11нед'!S299</f>
        <v>0</v>
      </c>
      <c r="E351" s="49">
        <f>'[3]11нед'!T299</f>
        <v>0</v>
      </c>
      <c r="F351" s="50">
        <f>'[3]11нед'!W299</f>
        <v>0</v>
      </c>
      <c r="G351" s="51" t="str">
        <f>'[3]11нед'!X299</f>
        <v/>
      </c>
      <c r="H351" s="52"/>
      <c r="I351" s="53"/>
      <c r="J351" s="54"/>
      <c r="K351" s="47"/>
      <c r="L351" s="48">
        <f>'[3]12нед'!S299</f>
        <v>0</v>
      </c>
      <c r="M351" s="49">
        <f>'[3]12нед'!T299</f>
        <v>0</v>
      </c>
      <c r="N351" s="50">
        <f>'[3]12нед'!W299</f>
        <v>0</v>
      </c>
      <c r="O351" s="51" t="str">
        <f>'[3]12нед'!X299</f>
        <v/>
      </c>
      <c r="P351" s="52"/>
    </row>
    <row r="352" ht="48" customHeight="1" spans="1:16">
      <c r="A352" s="27">
        <v>46340</v>
      </c>
      <c r="B352" s="28" t="s">
        <v>27</v>
      </c>
      <c r="C352" s="55" t="s">
        <v>16</v>
      </c>
      <c r="D352" s="30">
        <f>'[3]11нед'!S300</f>
        <v>0</v>
      </c>
      <c r="E352" s="31">
        <f>'[3]11нед'!T300</f>
        <v>0</v>
      </c>
      <c r="F352" s="32">
        <f>'[3]11нед'!W300</f>
        <v>0</v>
      </c>
      <c r="G352" s="33" t="str">
        <f>'[3]11нед'!X300</f>
        <v/>
      </c>
      <c r="H352" s="34"/>
      <c r="I352" s="27">
        <v>46347</v>
      </c>
      <c r="J352" s="35" t="s">
        <v>27</v>
      </c>
      <c r="K352" s="55" t="s">
        <v>16</v>
      </c>
      <c r="L352" s="30">
        <f>'[3]12нед'!S300</f>
        <v>0</v>
      </c>
      <c r="M352" s="31">
        <f>'[3]12нед'!T300</f>
        <v>0</v>
      </c>
      <c r="N352" s="32">
        <f>'[3]12нед'!W300</f>
        <v>0</v>
      </c>
      <c r="O352" s="33" t="str">
        <f>'[3]12нед'!X300</f>
        <v/>
      </c>
      <c r="P352" s="34"/>
    </row>
    <row r="353" ht="31.5" spans="1:16">
      <c r="A353" s="36"/>
      <c r="B353" s="37"/>
      <c r="C353" s="29" t="s">
        <v>17</v>
      </c>
      <c r="D353" s="38">
        <f>'[3]11нед'!S301</f>
        <v>0</v>
      </c>
      <c r="E353" s="39">
        <f>'[3]11нед'!T301</f>
        <v>0</v>
      </c>
      <c r="F353" s="40">
        <f>'[3]11нед'!W301</f>
        <v>0</v>
      </c>
      <c r="G353" s="41" t="str">
        <f>'[3]11нед'!X301</f>
        <v/>
      </c>
      <c r="H353" s="42"/>
      <c r="I353" s="43"/>
      <c r="J353" s="44"/>
      <c r="K353" s="29" t="s">
        <v>17</v>
      </c>
      <c r="L353" s="38">
        <f>'[3]12нед'!S301</f>
        <v>0</v>
      </c>
      <c r="M353" s="39">
        <f>'[3]12нед'!T301</f>
        <v>0</v>
      </c>
      <c r="N353" s="40">
        <f>'[3]12нед'!W301</f>
        <v>0</v>
      </c>
      <c r="O353" s="41" t="str">
        <f>'[3]12нед'!X301</f>
        <v/>
      </c>
      <c r="P353" s="42"/>
    </row>
    <row r="354" ht="31.5" spans="1:16">
      <c r="A354" s="36"/>
      <c r="B354" s="37"/>
      <c r="C354" s="29" t="s">
        <v>18</v>
      </c>
      <c r="D354" s="38">
        <f>'[3]11нед'!S302</f>
        <v>0</v>
      </c>
      <c r="E354" s="39">
        <f>'[3]11нед'!T302</f>
        <v>0</v>
      </c>
      <c r="F354" s="40">
        <f>'[3]11нед'!W302</f>
        <v>0</v>
      </c>
      <c r="G354" s="41" t="str">
        <f>'[3]11нед'!X302</f>
        <v/>
      </c>
      <c r="H354" s="63"/>
      <c r="I354" s="43"/>
      <c r="J354" s="44"/>
      <c r="K354" s="29" t="s">
        <v>18</v>
      </c>
      <c r="L354" s="38">
        <f>'[3]12нед'!S302</f>
        <v>0</v>
      </c>
      <c r="M354" s="39">
        <f>'[3]12нед'!T302</f>
        <v>0</v>
      </c>
      <c r="N354" s="40">
        <f>'[3]12нед'!W302</f>
        <v>0</v>
      </c>
      <c r="O354" s="41" t="str">
        <f>'[3]12нед'!X302</f>
        <v/>
      </c>
      <c r="P354" s="63"/>
    </row>
    <row r="355" ht="31.5" spans="1:16">
      <c r="A355" s="36"/>
      <c r="B355" s="37"/>
      <c r="C355" s="29" t="s">
        <v>19</v>
      </c>
      <c r="D355" s="38">
        <f>'[3]11нед'!S303</f>
        <v>0</v>
      </c>
      <c r="E355" s="39">
        <f>'[3]11нед'!T303</f>
        <v>0</v>
      </c>
      <c r="F355" s="40">
        <f>'[3]11нед'!W303</f>
        <v>0</v>
      </c>
      <c r="G355" s="41" t="str">
        <f>'[3]11нед'!X303</f>
        <v/>
      </c>
      <c r="H355" s="42"/>
      <c r="I355" s="43"/>
      <c r="J355" s="44"/>
      <c r="K355" s="29" t="s">
        <v>19</v>
      </c>
      <c r="L355" s="38">
        <f>'[3]12нед'!S303</f>
        <v>0</v>
      </c>
      <c r="M355" s="39">
        <f>'[3]12нед'!T303</f>
        <v>0</v>
      </c>
      <c r="N355" s="40">
        <f>'[3]12нед'!W303</f>
        <v>0</v>
      </c>
      <c r="O355" s="41" t="str">
        <f>'[3]12нед'!X303</f>
        <v/>
      </c>
      <c r="P355" s="42"/>
    </row>
    <row r="356" ht="31.5" spans="1:16">
      <c r="A356" s="36"/>
      <c r="B356" s="37"/>
      <c r="C356" s="29" t="s">
        <v>20</v>
      </c>
      <c r="D356" s="38">
        <f>'[3]11нед'!S304</f>
        <v>0</v>
      </c>
      <c r="E356" s="39">
        <f>'[3]11нед'!T304</f>
        <v>0</v>
      </c>
      <c r="F356" s="40">
        <f>'[3]11нед'!W304</f>
        <v>0</v>
      </c>
      <c r="G356" s="41" t="str">
        <f>'[3]11нед'!X304</f>
        <v/>
      </c>
      <c r="H356" s="42"/>
      <c r="I356" s="43"/>
      <c r="J356" s="44"/>
      <c r="K356" s="29" t="s">
        <v>20</v>
      </c>
      <c r="L356" s="38">
        <f>'[3]12нед'!S304</f>
        <v>0</v>
      </c>
      <c r="M356" s="39">
        <f>'[3]12нед'!T304</f>
        <v>0</v>
      </c>
      <c r="N356" s="40">
        <f>'[3]12нед'!W304</f>
        <v>0</v>
      </c>
      <c r="O356" s="41" t="str">
        <f>'[3]12нед'!X304</f>
        <v/>
      </c>
      <c r="P356" s="42"/>
    </row>
    <row r="357" ht="31.5" spans="1:16">
      <c r="A357" s="36"/>
      <c r="B357" s="37"/>
      <c r="C357" s="29" t="s">
        <v>21</v>
      </c>
      <c r="D357" s="38">
        <f>'[3]11нед'!S305</f>
        <v>0</v>
      </c>
      <c r="E357" s="39">
        <f>'[3]11нед'!T305</f>
        <v>0</v>
      </c>
      <c r="F357" s="40">
        <f>'[3]11нед'!W305</f>
        <v>0</v>
      </c>
      <c r="G357" s="41" t="str">
        <f>'[3]11нед'!X305</f>
        <v/>
      </c>
      <c r="H357" s="42"/>
      <c r="I357" s="43"/>
      <c r="J357" s="44"/>
      <c r="K357" s="29" t="s">
        <v>21</v>
      </c>
      <c r="L357" s="38">
        <f>'[3]12нед'!S305</f>
        <v>0</v>
      </c>
      <c r="M357" s="39">
        <f>'[3]12нед'!T305</f>
        <v>0</v>
      </c>
      <c r="N357" s="40">
        <f>'[3]12нед'!W305</f>
        <v>0</v>
      </c>
      <c r="O357" s="41" t="str">
        <f>'[3]12нед'!X305</f>
        <v/>
      </c>
      <c r="P357" s="42"/>
    </row>
    <row r="358" ht="32.25" spans="1:16">
      <c r="A358" s="36"/>
      <c r="B358" s="37"/>
      <c r="C358" s="29" t="s">
        <v>22</v>
      </c>
      <c r="D358" s="38">
        <f>'[3]11нед'!S306</f>
        <v>0</v>
      </c>
      <c r="E358" s="39">
        <f>'[3]11нед'!T306</f>
        <v>0</v>
      </c>
      <c r="F358" s="40">
        <f>'[3]11нед'!W306</f>
        <v>0</v>
      </c>
      <c r="G358" s="41" t="str">
        <f>'[3]11нед'!X306</f>
        <v/>
      </c>
      <c r="H358" s="42"/>
      <c r="I358" s="43"/>
      <c r="J358" s="44"/>
      <c r="K358" s="29" t="s">
        <v>22</v>
      </c>
      <c r="L358" s="38">
        <f>'[3]12нед'!S306</f>
        <v>0</v>
      </c>
      <c r="M358" s="39">
        <f>'[3]12нед'!T306</f>
        <v>0</v>
      </c>
      <c r="N358" s="40">
        <f>'[3]12нед'!W306</f>
        <v>0</v>
      </c>
      <c r="O358" s="41" t="str">
        <f>'[3]12нед'!X306</f>
        <v/>
      </c>
      <c r="P358" s="42"/>
    </row>
    <row r="359" ht="18.6" hidden="1" customHeight="1" spans="1:16">
      <c r="A359" s="45"/>
      <c r="B359" s="46"/>
      <c r="C359" s="47"/>
      <c r="D359" s="48">
        <f>'[3]11нед'!S59</f>
        <v>0</v>
      </c>
      <c r="E359" s="49">
        <f>'[3]11нед'!T59</f>
        <v>0</v>
      </c>
      <c r="F359" s="50">
        <f>'[3]11нед'!W59</f>
        <v>0</v>
      </c>
      <c r="G359" s="51" t="str">
        <f>'[3]11нед'!X59</f>
        <v/>
      </c>
      <c r="H359" s="52"/>
      <c r="I359" s="53"/>
      <c r="J359" s="54"/>
      <c r="K359" s="47"/>
      <c r="L359" s="48">
        <f>'[3]12нед'!S59</f>
        <v>0</v>
      </c>
      <c r="M359" s="49">
        <f>'[3]12нед'!T59</f>
        <v>0</v>
      </c>
      <c r="N359" s="50">
        <f>'[3]12нед'!W59</f>
        <v>0</v>
      </c>
      <c r="O359" s="51" t="str">
        <f>'[3]11нед'!X59</f>
        <v/>
      </c>
      <c r="P359" s="52"/>
    </row>
    <row r="360" ht="39" customHeight="1" spans="1:16">
      <c r="A360" s="64"/>
      <c r="B360" s="65"/>
      <c r="C360" s="66"/>
      <c r="D360" s="67"/>
      <c r="E360" s="67" t="s">
        <v>28</v>
      </c>
      <c r="F360" s="67"/>
      <c r="G360" s="68" t="s">
        <v>29</v>
      </c>
      <c r="H360" s="69"/>
      <c r="I360" s="64"/>
      <c r="J360" s="65"/>
      <c r="K360" s="66"/>
      <c r="L360" s="67"/>
      <c r="M360" s="67" t="s">
        <v>28</v>
      </c>
      <c r="N360" s="67"/>
      <c r="O360" s="68" t="s">
        <v>29</v>
      </c>
      <c r="P360" s="69"/>
    </row>
    <row r="361" ht="15.75" spans="1:16">
      <c r="A361" s="2"/>
      <c r="B361" s="3"/>
      <c r="C361" s="4"/>
      <c r="D361" s="5"/>
      <c r="E361" s="5"/>
      <c r="F361" s="5"/>
      <c r="G361" s="5"/>
      <c r="H361" s="6" t="s">
        <v>0</v>
      </c>
      <c r="I361" s="2"/>
      <c r="J361" s="3"/>
      <c r="K361" s="4"/>
      <c r="L361" s="5"/>
      <c r="M361" s="5"/>
      <c r="N361" s="5"/>
      <c r="O361" s="5"/>
      <c r="P361" s="6" t="s">
        <v>0</v>
      </c>
    </row>
    <row r="362" ht="15.75" spans="1:16">
      <c r="A362" s="2"/>
      <c r="B362" s="3"/>
      <c r="C362" s="4"/>
      <c r="D362" s="5"/>
      <c r="E362" s="5"/>
      <c r="F362" s="5"/>
      <c r="G362" s="5"/>
      <c r="H362" s="6" t="s">
        <v>1</v>
      </c>
      <c r="I362" s="2"/>
      <c r="J362" s="3"/>
      <c r="K362" s="4"/>
      <c r="L362" s="5"/>
      <c r="M362" s="5"/>
      <c r="N362" s="5"/>
      <c r="O362" s="5"/>
      <c r="P362" s="6" t="s">
        <v>1</v>
      </c>
    </row>
    <row r="363" ht="15.75" spans="1:16">
      <c r="A363" s="2"/>
      <c r="B363" s="3"/>
      <c r="C363" s="4"/>
      <c r="D363" s="5"/>
      <c r="E363" s="5"/>
      <c r="F363" s="5"/>
      <c r="G363" s="5"/>
      <c r="H363" s="6" t="s">
        <v>2</v>
      </c>
      <c r="I363" s="2"/>
      <c r="J363" s="3"/>
      <c r="K363" s="4"/>
      <c r="L363" s="5"/>
      <c r="M363" s="5"/>
      <c r="N363" s="5"/>
      <c r="O363" s="5"/>
      <c r="P363" s="6" t="s">
        <v>2</v>
      </c>
    </row>
    <row r="364" ht="15.75" spans="1:16">
      <c r="A364" s="2"/>
      <c r="B364" s="3"/>
      <c r="C364" s="4"/>
      <c r="D364" s="5"/>
      <c r="E364" s="5"/>
      <c r="F364" s="5"/>
      <c r="G364" s="5"/>
      <c r="H364" s="6" t="s">
        <v>3</v>
      </c>
      <c r="I364" s="2"/>
      <c r="J364" s="3"/>
      <c r="K364" s="4"/>
      <c r="L364" s="5"/>
      <c r="M364" s="5"/>
      <c r="N364" s="5"/>
      <c r="O364" s="5"/>
      <c r="P364" s="6" t="s">
        <v>3</v>
      </c>
    </row>
    <row r="365" ht="15.75" spans="1:16">
      <c r="A365" s="2"/>
      <c r="B365" s="7"/>
      <c r="C365" s="4"/>
      <c r="D365" s="5"/>
      <c r="E365" s="5"/>
      <c r="F365" s="5"/>
      <c r="G365" s="5"/>
      <c r="H365" s="5"/>
      <c r="I365" s="2"/>
      <c r="J365" s="7"/>
      <c r="K365" s="4"/>
      <c r="L365" s="5"/>
      <c r="M365" s="5"/>
      <c r="N365" s="5"/>
      <c r="O365" s="5"/>
      <c r="P365" s="5"/>
    </row>
    <row r="366" ht="15.75" spans="1:16">
      <c r="A366" s="2"/>
      <c r="B366" s="8" t="s">
        <v>4</v>
      </c>
      <c r="C366" s="8"/>
      <c r="D366" s="8"/>
      <c r="E366" s="8"/>
      <c r="F366" s="8"/>
      <c r="G366" s="8"/>
      <c r="H366" s="8"/>
      <c r="I366" s="2"/>
      <c r="J366" s="8" t="s">
        <v>4</v>
      </c>
      <c r="K366" s="8"/>
      <c r="L366" s="8"/>
      <c r="M366" s="8"/>
      <c r="N366" s="8"/>
      <c r="O366" s="8"/>
      <c r="P366" s="8"/>
    </row>
    <row r="367" ht="15.75" spans="1:16">
      <c r="A367" s="9"/>
      <c r="B367" s="10" t="str">
        <f>'[1]1нед'!$A$6</f>
        <v>Направление подготовки:</v>
      </c>
      <c r="C367" s="11"/>
      <c r="D367" s="12"/>
      <c r="E367" s="13" t="str">
        <f>E7</f>
        <v>00</v>
      </c>
      <c r="F367" s="12"/>
      <c r="G367" s="12"/>
      <c r="H367" s="14">
        <f>H7</f>
        <v>0</v>
      </c>
      <c r="I367" s="9"/>
      <c r="J367" s="10" t="str">
        <f>'[1]1нед'!$A$6</f>
        <v>Направление подготовки:</v>
      </c>
      <c r="K367" s="11"/>
      <c r="L367" s="12"/>
      <c r="M367" s="13" t="str">
        <f>E7</f>
        <v>00</v>
      </c>
      <c r="N367" s="12"/>
      <c r="O367" s="12"/>
      <c r="P367" s="14">
        <f>H7</f>
        <v>0</v>
      </c>
    </row>
    <row r="368" ht="15.75" spans="1:16">
      <c r="A368" s="2"/>
      <c r="B368" s="10" t="s">
        <v>5</v>
      </c>
      <c r="C368" s="10"/>
      <c r="D368" s="10"/>
      <c r="E368" s="10" t="str">
        <f t="shared" ref="E368:E369" si="4">E8</f>
        <v>очно-заочная</v>
      </c>
      <c r="F368" s="10"/>
      <c r="G368" s="10"/>
      <c r="H368" s="10"/>
      <c r="I368" s="2"/>
      <c r="J368" s="10" t="s">
        <v>5</v>
      </c>
      <c r="K368" s="10"/>
      <c r="L368" s="10"/>
      <c r="M368" s="10" t="str">
        <f t="shared" ref="M368:M369" si="5">E8</f>
        <v>очно-заочная</v>
      </c>
      <c r="N368" s="10"/>
      <c r="O368" s="10"/>
      <c r="P368" s="10"/>
    </row>
    <row r="369" ht="15.75" spans="1:16">
      <c r="A369" s="2"/>
      <c r="B369" s="10" t="s">
        <v>7</v>
      </c>
      <c r="C369" s="10"/>
      <c r="D369" s="10"/>
      <c r="E369" s="10">
        <f t="shared" si="4"/>
        <v>3</v>
      </c>
      <c r="F369" s="10"/>
      <c r="G369" s="10"/>
      <c r="H369" s="15"/>
      <c r="I369" s="2"/>
      <c r="J369" s="10" t="s">
        <v>7</v>
      </c>
      <c r="K369" s="10"/>
      <c r="L369" s="10"/>
      <c r="M369" s="10">
        <f t="shared" si="5"/>
        <v>3</v>
      </c>
      <c r="N369" s="10"/>
      <c r="O369" s="10"/>
      <c r="P369" s="15"/>
    </row>
    <row r="370" ht="16.5" spans="1:16">
      <c r="A370" s="2"/>
      <c r="B370" s="16" t="s">
        <v>8</v>
      </c>
      <c r="C370" s="16"/>
      <c r="D370" s="16"/>
      <c r="E370" s="16">
        <f>M310+1</f>
        <v>13</v>
      </c>
      <c r="F370" s="16"/>
      <c r="G370" s="16"/>
      <c r="H370" s="17"/>
      <c r="I370" s="2"/>
      <c r="J370" s="16" t="s">
        <v>8</v>
      </c>
      <c r="K370" s="16"/>
      <c r="L370" s="16"/>
      <c r="M370" s="16">
        <f>E370+1</f>
        <v>14</v>
      </c>
      <c r="N370" s="16"/>
      <c r="O370" s="16"/>
      <c r="P370" s="17"/>
    </row>
    <row r="371" ht="46.5" customHeight="1" spans="1:16">
      <c r="A371" s="19" t="s">
        <v>9</v>
      </c>
      <c r="B371" s="20"/>
      <c r="C371" s="21" t="s">
        <v>10</v>
      </c>
      <c r="D371" s="22" t="s">
        <v>11</v>
      </c>
      <c r="E371" s="23" t="s">
        <v>12</v>
      </c>
      <c r="F371" s="24" t="s">
        <v>13</v>
      </c>
      <c r="G371" s="25"/>
      <c r="H371" s="26" t="s">
        <v>14</v>
      </c>
      <c r="I371" s="19" t="s">
        <v>9</v>
      </c>
      <c r="J371" s="20"/>
      <c r="K371" s="21" t="s">
        <v>10</v>
      </c>
      <c r="L371" s="22" t="s">
        <v>11</v>
      </c>
      <c r="M371" s="23" t="s">
        <v>12</v>
      </c>
      <c r="N371" s="24" t="s">
        <v>13</v>
      </c>
      <c r="O371" s="25"/>
      <c r="P371" s="26" t="s">
        <v>14</v>
      </c>
    </row>
    <row r="372" ht="35.1" customHeight="1" spans="1:16">
      <c r="A372" s="27">
        <v>46349</v>
      </c>
      <c r="B372" s="28" t="s">
        <v>15</v>
      </c>
      <c r="C372" s="29" t="s">
        <v>16</v>
      </c>
      <c r="D372" s="30">
        <f>'[3]13нед'!S260</f>
        <v>0</v>
      </c>
      <c r="E372" s="31">
        <f>'[3]13нед'!T260</f>
        <v>0</v>
      </c>
      <c r="F372" s="32">
        <f>'[3]13нед'!W260</f>
        <v>0</v>
      </c>
      <c r="G372" s="33" t="str">
        <f>'[3]13нед'!X260</f>
        <v/>
      </c>
      <c r="H372" s="34"/>
      <c r="I372" s="27">
        <v>46356</v>
      </c>
      <c r="J372" s="35" t="s">
        <v>15</v>
      </c>
      <c r="K372" s="29" t="s">
        <v>16</v>
      </c>
      <c r="L372" s="30">
        <f>'[4]14нед'!S260</f>
        <v>0</v>
      </c>
      <c r="M372" s="31">
        <f>'[4]14нед'!T260</f>
        <v>0</v>
      </c>
      <c r="N372" s="32">
        <f>'[4]14нед'!W260</f>
        <v>0</v>
      </c>
      <c r="O372" s="33" t="str">
        <f>'[4]14нед'!X260</f>
        <v/>
      </c>
      <c r="P372" s="34"/>
    </row>
    <row r="373" ht="31.5" spans="1:16">
      <c r="A373" s="36"/>
      <c r="B373" s="37"/>
      <c r="C373" s="29" t="s">
        <v>17</v>
      </c>
      <c r="D373" s="38">
        <f>'[3]13нед'!S261</f>
        <v>0</v>
      </c>
      <c r="E373" s="39">
        <f>'[3]13нед'!T261</f>
        <v>0</v>
      </c>
      <c r="F373" s="40">
        <f>'[3]13нед'!W261</f>
        <v>0</v>
      </c>
      <c r="G373" s="41" t="str">
        <f>'[3]13нед'!X261</f>
        <v/>
      </c>
      <c r="H373" s="42"/>
      <c r="I373" s="43"/>
      <c r="J373" s="44"/>
      <c r="K373" s="29" t="s">
        <v>17</v>
      </c>
      <c r="L373" s="38">
        <f>'[4]14нед'!S261</f>
        <v>0</v>
      </c>
      <c r="M373" s="39">
        <f>'[4]14нед'!T261</f>
        <v>0</v>
      </c>
      <c r="N373" s="40">
        <f>'[4]14нед'!W261</f>
        <v>0</v>
      </c>
      <c r="O373" s="41" t="str">
        <f>'[4]14нед'!X261</f>
        <v/>
      </c>
      <c r="P373" s="42"/>
    </row>
    <row r="374" ht="31.5" spans="1:16">
      <c r="A374" s="36"/>
      <c r="B374" s="37"/>
      <c r="C374" s="29" t="s">
        <v>18</v>
      </c>
      <c r="D374" s="38">
        <f>'[3]13нед'!S262</f>
        <v>0</v>
      </c>
      <c r="E374" s="39">
        <f>'[3]13нед'!T262</f>
        <v>0</v>
      </c>
      <c r="F374" s="40">
        <f>'[3]13нед'!W262</f>
        <v>0</v>
      </c>
      <c r="G374" s="41" t="str">
        <f>'[3]13нед'!X262</f>
        <v/>
      </c>
      <c r="H374" s="42"/>
      <c r="I374" s="43"/>
      <c r="J374" s="44"/>
      <c r="K374" s="29" t="s">
        <v>18</v>
      </c>
      <c r="L374" s="38">
        <f>'[4]14нед'!S262</f>
        <v>0</v>
      </c>
      <c r="M374" s="39">
        <f>'[4]14нед'!T262</f>
        <v>0</v>
      </c>
      <c r="N374" s="40">
        <f>'[4]14нед'!W262</f>
        <v>0</v>
      </c>
      <c r="O374" s="41" t="str">
        <f>'[4]14нед'!X262</f>
        <v/>
      </c>
      <c r="P374" s="42"/>
    </row>
    <row r="375" ht="31.5" spans="1:16">
      <c r="A375" s="36"/>
      <c r="B375" s="37"/>
      <c r="C375" s="29" t="s">
        <v>19</v>
      </c>
      <c r="D375" s="38">
        <f>'[3]13нед'!S263</f>
        <v>0</v>
      </c>
      <c r="E375" s="39">
        <f>'[3]13нед'!T263</f>
        <v>0</v>
      </c>
      <c r="F375" s="40">
        <f>'[3]13нед'!W263</f>
        <v>0</v>
      </c>
      <c r="G375" s="41" t="str">
        <f>'[3]13нед'!X263</f>
        <v/>
      </c>
      <c r="H375" s="42"/>
      <c r="I375" s="43"/>
      <c r="J375" s="44"/>
      <c r="K375" s="29" t="s">
        <v>19</v>
      </c>
      <c r="L375" s="38">
        <f>'[4]14нед'!S263</f>
        <v>0</v>
      </c>
      <c r="M375" s="39">
        <f>'[4]14нед'!T263</f>
        <v>0</v>
      </c>
      <c r="N375" s="40">
        <f>'[4]14нед'!W263</f>
        <v>0</v>
      </c>
      <c r="O375" s="41" t="str">
        <f>'[4]14нед'!X263</f>
        <v/>
      </c>
      <c r="P375" s="42"/>
    </row>
    <row r="376" ht="31.5" spans="1:16">
      <c r="A376" s="36"/>
      <c r="B376" s="37"/>
      <c r="C376" s="29" t="s">
        <v>20</v>
      </c>
      <c r="D376" s="38">
        <f>'[3]13нед'!S264</f>
        <v>0</v>
      </c>
      <c r="E376" s="39">
        <f>'[3]13нед'!T264</f>
        <v>0</v>
      </c>
      <c r="F376" s="40">
        <f>'[3]13нед'!W264</f>
        <v>0</v>
      </c>
      <c r="G376" s="41" t="str">
        <f>'[3]13нед'!X264</f>
        <v/>
      </c>
      <c r="H376" s="42"/>
      <c r="I376" s="43"/>
      <c r="J376" s="44"/>
      <c r="K376" s="29" t="s">
        <v>20</v>
      </c>
      <c r="L376" s="38">
        <f>'[4]14нед'!S264</f>
        <v>0</v>
      </c>
      <c r="M376" s="39">
        <f>'[4]14нед'!T264</f>
        <v>0</v>
      </c>
      <c r="N376" s="40">
        <f>'[4]14нед'!W264</f>
        <v>0</v>
      </c>
      <c r="O376" s="41" t="str">
        <f>'[4]14нед'!X264</f>
        <v/>
      </c>
      <c r="P376" s="42"/>
    </row>
    <row r="377" ht="31.5" spans="1:16">
      <c r="A377" s="36"/>
      <c r="B377" s="37"/>
      <c r="C377" s="29" t="s">
        <v>21</v>
      </c>
      <c r="D377" s="38">
        <f>'[3]13нед'!S265</f>
        <v>0</v>
      </c>
      <c r="E377" s="39">
        <f>'[3]13нед'!T265</f>
        <v>0</v>
      </c>
      <c r="F377" s="40">
        <f>'[3]13нед'!W265</f>
        <v>0</v>
      </c>
      <c r="G377" s="41" t="str">
        <f>'[3]13нед'!X265</f>
        <v/>
      </c>
      <c r="H377" s="42"/>
      <c r="I377" s="43"/>
      <c r="J377" s="44"/>
      <c r="K377" s="29" t="s">
        <v>21</v>
      </c>
      <c r="L377" s="38">
        <f>'[4]14нед'!S265</f>
        <v>0</v>
      </c>
      <c r="M377" s="39">
        <f>'[4]14нед'!T265</f>
        <v>0</v>
      </c>
      <c r="N377" s="40">
        <f>'[4]14нед'!W265</f>
        <v>0</v>
      </c>
      <c r="O377" s="41" t="str">
        <f>'[4]14нед'!X265</f>
        <v/>
      </c>
      <c r="P377" s="42"/>
    </row>
    <row r="378" ht="32.25" spans="1:16">
      <c r="A378" s="36"/>
      <c r="B378" s="37"/>
      <c r="C378" s="29" t="s">
        <v>22</v>
      </c>
      <c r="D378" s="38">
        <f>'[3]13нед'!S266</f>
        <v>0</v>
      </c>
      <c r="E378" s="39">
        <f>'[3]13нед'!T266</f>
        <v>0</v>
      </c>
      <c r="F378" s="40">
        <f>'[3]13нед'!W266</f>
        <v>0</v>
      </c>
      <c r="G378" s="41" t="str">
        <f>'[3]13нед'!X266</f>
        <v/>
      </c>
      <c r="H378" s="42"/>
      <c r="I378" s="43"/>
      <c r="J378" s="44"/>
      <c r="K378" s="29" t="s">
        <v>22</v>
      </c>
      <c r="L378" s="38">
        <f>'[4]14нед'!S266</f>
        <v>0</v>
      </c>
      <c r="M378" s="39">
        <f>'[4]14нед'!T266</f>
        <v>0</v>
      </c>
      <c r="N378" s="40">
        <f>'[4]14нед'!W266</f>
        <v>0</v>
      </c>
      <c r="O378" s="41" t="str">
        <f>'[4]14нед'!X266</f>
        <v/>
      </c>
      <c r="P378" s="42"/>
    </row>
    <row r="379" ht="18.6" hidden="1" customHeight="1" spans="1:16">
      <c r="A379" s="45"/>
      <c r="B379" s="46"/>
      <c r="C379" s="47"/>
      <c r="D379" s="48">
        <f>'[3]13нед'!S267</f>
        <v>0</v>
      </c>
      <c r="E379" s="49">
        <f>'[3]13нед'!T267</f>
        <v>0</v>
      </c>
      <c r="F379" s="50">
        <f>'[3]13нед'!W267</f>
        <v>0</v>
      </c>
      <c r="G379" s="51" t="str">
        <f>'[3]13нед'!X267</f>
        <v/>
      </c>
      <c r="H379" s="52"/>
      <c r="I379" s="53"/>
      <c r="J379" s="54"/>
      <c r="K379" s="47"/>
      <c r="L379" s="48">
        <f>'[4]14нед'!S267</f>
        <v>0</v>
      </c>
      <c r="M379" s="49">
        <f>'[4]14нед'!T267</f>
        <v>0</v>
      </c>
      <c r="N379" s="50">
        <f>'[4]14нед'!W267</f>
        <v>0</v>
      </c>
      <c r="O379" s="51" t="str">
        <f>'[4]14нед'!X267</f>
        <v/>
      </c>
      <c r="P379" s="52"/>
    </row>
    <row r="380" ht="32.25" customHeight="1" spans="1:16">
      <c r="A380" s="27">
        <v>46350</v>
      </c>
      <c r="B380" s="28" t="s">
        <v>23</v>
      </c>
      <c r="C380" s="55" t="s">
        <v>16</v>
      </c>
      <c r="D380" s="30">
        <f>'[3]13нед'!S268</f>
        <v>0</v>
      </c>
      <c r="E380" s="31">
        <f>'[3]13нед'!T268</f>
        <v>0</v>
      </c>
      <c r="F380" s="32">
        <f>'[3]13нед'!W268</f>
        <v>0</v>
      </c>
      <c r="G380" s="33" t="str">
        <f>'[3]13нед'!X268</f>
        <v/>
      </c>
      <c r="H380" s="34"/>
      <c r="I380" s="27">
        <v>46357</v>
      </c>
      <c r="J380" s="35" t="s">
        <v>23</v>
      </c>
      <c r="K380" s="55" t="s">
        <v>16</v>
      </c>
      <c r="L380" s="30">
        <f>'[4]14нед'!S268</f>
        <v>0</v>
      </c>
      <c r="M380" s="31">
        <f>'[4]14нед'!T268</f>
        <v>0</v>
      </c>
      <c r="N380" s="32">
        <f>'[4]14нед'!W268</f>
        <v>0</v>
      </c>
      <c r="O380" s="33" t="str">
        <f>'[4]14нед'!X268</f>
        <v/>
      </c>
      <c r="P380" s="34"/>
    </row>
    <row r="381" ht="31.5" spans="1:16">
      <c r="A381" s="36"/>
      <c r="B381" s="37"/>
      <c r="C381" s="29" t="s">
        <v>17</v>
      </c>
      <c r="D381" s="38">
        <f>'[3]13нед'!S269</f>
        <v>0</v>
      </c>
      <c r="E381" s="39">
        <f>'[3]13нед'!T269</f>
        <v>0</v>
      </c>
      <c r="F381" s="40">
        <f>'[3]13нед'!W269</f>
        <v>0</v>
      </c>
      <c r="G381" s="41" t="str">
        <f>'[3]13нед'!X269</f>
        <v/>
      </c>
      <c r="H381" s="42"/>
      <c r="I381" s="43"/>
      <c r="J381" s="44"/>
      <c r="K381" s="29" t="s">
        <v>17</v>
      </c>
      <c r="L381" s="38">
        <f>'[4]14нед'!S269</f>
        <v>0</v>
      </c>
      <c r="M381" s="39">
        <f>'[4]14нед'!T269</f>
        <v>0</v>
      </c>
      <c r="N381" s="40">
        <f>'[4]14нед'!W269</f>
        <v>0</v>
      </c>
      <c r="O381" s="41" t="str">
        <f>'[4]14нед'!X269</f>
        <v/>
      </c>
      <c r="P381" s="42"/>
    </row>
    <row r="382" ht="31.5" spans="1:16">
      <c r="A382" s="36"/>
      <c r="B382" s="37"/>
      <c r="C382" s="29" t="s">
        <v>18</v>
      </c>
      <c r="D382" s="38">
        <f>'[3]13нед'!S270</f>
        <v>0</v>
      </c>
      <c r="E382" s="39">
        <f>'[3]13нед'!T270</f>
        <v>0</v>
      </c>
      <c r="F382" s="40">
        <f>'[3]13нед'!W270</f>
        <v>0</v>
      </c>
      <c r="G382" s="41" t="str">
        <f>'[3]13нед'!X270</f>
        <v/>
      </c>
      <c r="H382" s="42"/>
      <c r="I382" s="43"/>
      <c r="J382" s="44"/>
      <c r="K382" s="29" t="s">
        <v>18</v>
      </c>
      <c r="L382" s="38">
        <f>'[4]14нед'!S270</f>
        <v>0</v>
      </c>
      <c r="M382" s="39">
        <f>'[4]14нед'!T270</f>
        <v>0</v>
      </c>
      <c r="N382" s="40">
        <f>'[4]14нед'!W270</f>
        <v>0</v>
      </c>
      <c r="O382" s="41" t="str">
        <f>'[4]14нед'!X270</f>
        <v/>
      </c>
      <c r="P382" s="42"/>
    </row>
    <row r="383" ht="31.5" spans="1:16">
      <c r="A383" s="36"/>
      <c r="B383" s="37"/>
      <c r="C383" s="29" t="s">
        <v>19</v>
      </c>
      <c r="D383" s="38">
        <f>'[3]13нед'!S271</f>
        <v>0</v>
      </c>
      <c r="E383" s="39">
        <f>'[3]13нед'!T271</f>
        <v>0</v>
      </c>
      <c r="F383" s="40">
        <f>'[3]13нед'!W271</f>
        <v>0</v>
      </c>
      <c r="G383" s="41" t="str">
        <f>'[3]13нед'!X271</f>
        <v/>
      </c>
      <c r="H383" s="42"/>
      <c r="I383" s="43"/>
      <c r="J383" s="44"/>
      <c r="K383" s="29" t="s">
        <v>19</v>
      </c>
      <c r="L383" s="38">
        <f>'[4]14нед'!S271</f>
        <v>0</v>
      </c>
      <c r="M383" s="39">
        <f>'[4]14нед'!T271</f>
        <v>0</v>
      </c>
      <c r="N383" s="40">
        <f>'[4]14нед'!W271</f>
        <v>0</v>
      </c>
      <c r="O383" s="41" t="str">
        <f>'[4]14нед'!X271</f>
        <v/>
      </c>
      <c r="P383" s="42"/>
    </row>
    <row r="384" ht="31.5" spans="1:16">
      <c r="A384" s="36"/>
      <c r="B384" s="37"/>
      <c r="C384" s="29" t="s">
        <v>20</v>
      </c>
      <c r="D384" s="38">
        <f>'[3]13нед'!S272</f>
        <v>0</v>
      </c>
      <c r="E384" s="39">
        <f>'[3]13нед'!T272</f>
        <v>0</v>
      </c>
      <c r="F384" s="40">
        <f>'[3]13нед'!W272</f>
        <v>0</v>
      </c>
      <c r="G384" s="41" t="str">
        <f>'[3]13нед'!X272</f>
        <v/>
      </c>
      <c r="H384" s="42"/>
      <c r="I384" s="43"/>
      <c r="J384" s="44"/>
      <c r="K384" s="29" t="s">
        <v>20</v>
      </c>
      <c r="L384" s="38">
        <f>'[4]14нед'!S272</f>
        <v>0</v>
      </c>
      <c r="M384" s="39">
        <f>'[4]14нед'!T272</f>
        <v>0</v>
      </c>
      <c r="N384" s="40">
        <f>'[4]14нед'!W272</f>
        <v>0</v>
      </c>
      <c r="O384" s="41" t="str">
        <f>'[4]14нед'!X272</f>
        <v/>
      </c>
      <c r="P384" s="42"/>
    </row>
    <row r="385" ht="31.5" spans="1:16">
      <c r="A385" s="36"/>
      <c r="B385" s="37"/>
      <c r="C385" s="29" t="s">
        <v>21</v>
      </c>
      <c r="D385" s="38">
        <f>'[3]13нед'!S273</f>
        <v>0</v>
      </c>
      <c r="E385" s="39">
        <f>'[3]13нед'!T273</f>
        <v>0</v>
      </c>
      <c r="F385" s="40">
        <f>'[3]13нед'!W273</f>
        <v>0</v>
      </c>
      <c r="G385" s="41" t="str">
        <f>'[3]13нед'!X273</f>
        <v/>
      </c>
      <c r="H385" s="56"/>
      <c r="I385" s="43"/>
      <c r="J385" s="44"/>
      <c r="K385" s="29" t="s">
        <v>21</v>
      </c>
      <c r="L385" s="38">
        <f>'[4]14нед'!S273</f>
        <v>0</v>
      </c>
      <c r="M385" s="39">
        <f>'[4]14нед'!T273</f>
        <v>0</v>
      </c>
      <c r="N385" s="40">
        <f>'[4]14нед'!W273</f>
        <v>0</v>
      </c>
      <c r="O385" s="41" t="str">
        <f>'[4]14нед'!X273</f>
        <v/>
      </c>
      <c r="P385" s="56"/>
    </row>
    <row r="386" ht="32.25" spans="1:16">
      <c r="A386" s="36"/>
      <c r="B386" s="37"/>
      <c r="C386" s="29" t="s">
        <v>22</v>
      </c>
      <c r="D386" s="38">
        <f>'[3]13нед'!S274</f>
        <v>0</v>
      </c>
      <c r="E386" s="39">
        <f>'[3]13нед'!T274</f>
        <v>0</v>
      </c>
      <c r="F386" s="40">
        <f>'[3]13нед'!W274</f>
        <v>0</v>
      </c>
      <c r="G386" s="41" t="str">
        <f>'[3]13нед'!X274</f>
        <v/>
      </c>
      <c r="H386" s="56"/>
      <c r="I386" s="43"/>
      <c r="J386" s="44"/>
      <c r="K386" s="29" t="s">
        <v>22</v>
      </c>
      <c r="L386" s="38">
        <f>'[4]14нед'!S274</f>
        <v>0</v>
      </c>
      <c r="M386" s="39">
        <f>'[4]14нед'!T274</f>
        <v>0</v>
      </c>
      <c r="N386" s="40">
        <f>'[4]14нед'!W274</f>
        <v>0</v>
      </c>
      <c r="O386" s="41" t="str">
        <f>'[4]14нед'!X274</f>
        <v/>
      </c>
      <c r="P386" s="56"/>
    </row>
    <row r="387" ht="18.6" hidden="1" customHeight="1" spans="1:16">
      <c r="A387" s="45"/>
      <c r="B387" s="46"/>
      <c r="C387" s="47"/>
      <c r="D387" s="48">
        <f>'[3]13нед'!S275</f>
        <v>0</v>
      </c>
      <c r="E387" s="49">
        <f>'[3]13нед'!T275</f>
        <v>0</v>
      </c>
      <c r="F387" s="50">
        <f>'[3]13нед'!W275</f>
        <v>0</v>
      </c>
      <c r="G387" s="51" t="str">
        <f>'[3]13нед'!X275</f>
        <v/>
      </c>
      <c r="H387" s="52"/>
      <c r="I387" s="53"/>
      <c r="J387" s="54"/>
      <c r="K387" s="47"/>
      <c r="L387" s="48">
        <f>'[4]14нед'!S275</f>
        <v>0</v>
      </c>
      <c r="M387" s="49">
        <f>'[4]14нед'!T275</f>
        <v>0</v>
      </c>
      <c r="N387" s="50">
        <f>'[4]14нед'!W275</f>
        <v>0</v>
      </c>
      <c r="O387" s="51" t="str">
        <f>'[4]14нед'!X275</f>
        <v/>
      </c>
      <c r="P387" s="52"/>
    </row>
    <row r="388" ht="48" customHeight="1" spans="1:16">
      <c r="A388" s="27">
        <v>46351</v>
      </c>
      <c r="B388" s="57" t="s">
        <v>24</v>
      </c>
      <c r="C388" s="55" t="s">
        <v>16</v>
      </c>
      <c r="D388" s="30">
        <f>'[3]13нед'!S276</f>
        <v>0</v>
      </c>
      <c r="E388" s="31">
        <f>'[3]13нед'!T276</f>
        <v>0</v>
      </c>
      <c r="F388" s="32">
        <f>'[3]13нед'!W276</f>
        <v>0</v>
      </c>
      <c r="G388" s="33" t="str">
        <f>'[3]13нед'!X276</f>
        <v/>
      </c>
      <c r="H388" s="34"/>
      <c r="I388" s="27">
        <v>46358</v>
      </c>
      <c r="J388" s="58" t="s">
        <v>24</v>
      </c>
      <c r="K388" s="55" t="s">
        <v>16</v>
      </c>
      <c r="L388" s="30">
        <f>'[4]14нед'!S276</f>
        <v>0</v>
      </c>
      <c r="M388" s="31">
        <f>'[4]14нед'!T276</f>
        <v>0</v>
      </c>
      <c r="N388" s="32">
        <f>'[4]14нед'!W276</f>
        <v>0</v>
      </c>
      <c r="O388" s="33" t="str">
        <f>'[4]14нед'!X276</f>
        <v/>
      </c>
      <c r="P388" s="34"/>
    </row>
    <row r="389" ht="31.5" spans="1:16">
      <c r="A389" s="36"/>
      <c r="B389" s="59"/>
      <c r="C389" s="29" t="s">
        <v>17</v>
      </c>
      <c r="D389" s="38">
        <f>'[3]13нед'!S277</f>
        <v>0</v>
      </c>
      <c r="E389" s="39">
        <f>'[3]13нед'!T277</f>
        <v>0</v>
      </c>
      <c r="F389" s="40">
        <f>'[3]13нед'!W277</f>
        <v>0</v>
      </c>
      <c r="G389" s="41" t="str">
        <f>'[3]13нед'!X277</f>
        <v/>
      </c>
      <c r="H389" s="42"/>
      <c r="I389" s="43"/>
      <c r="J389" s="60"/>
      <c r="K389" s="29" t="s">
        <v>17</v>
      </c>
      <c r="L389" s="38">
        <f>'[4]14нед'!S277</f>
        <v>0</v>
      </c>
      <c r="M389" s="39">
        <f>'[4]14нед'!T277</f>
        <v>0</v>
      </c>
      <c r="N389" s="40">
        <f>'[4]14нед'!W277</f>
        <v>0</v>
      </c>
      <c r="O389" s="41" t="str">
        <f>'[4]14нед'!X277</f>
        <v/>
      </c>
      <c r="P389" s="42"/>
    </row>
    <row r="390" ht="31.5" spans="1:16">
      <c r="A390" s="36"/>
      <c r="B390" s="59"/>
      <c r="C390" s="29" t="s">
        <v>18</v>
      </c>
      <c r="D390" s="38">
        <f>'[3]13нед'!S278</f>
        <v>0</v>
      </c>
      <c r="E390" s="39">
        <f>'[3]13нед'!T278</f>
        <v>0</v>
      </c>
      <c r="F390" s="40">
        <f>'[3]13нед'!W278</f>
        <v>0</v>
      </c>
      <c r="G390" s="41" t="str">
        <f>'[3]13нед'!X278</f>
        <v/>
      </c>
      <c r="H390" s="42"/>
      <c r="I390" s="43"/>
      <c r="J390" s="60"/>
      <c r="K390" s="29" t="s">
        <v>18</v>
      </c>
      <c r="L390" s="38">
        <f>'[4]14нед'!S278</f>
        <v>0</v>
      </c>
      <c r="M390" s="39">
        <f>'[4]14нед'!T278</f>
        <v>0</v>
      </c>
      <c r="N390" s="40">
        <f>'[4]14нед'!W278</f>
        <v>0</v>
      </c>
      <c r="O390" s="41" t="str">
        <f>'[4]14нед'!X278</f>
        <v/>
      </c>
      <c r="P390" s="42"/>
    </row>
    <row r="391" ht="31.5" spans="1:16">
      <c r="A391" s="36"/>
      <c r="B391" s="59"/>
      <c r="C391" s="29" t="s">
        <v>19</v>
      </c>
      <c r="D391" s="38">
        <f>'[3]13нед'!S279</f>
        <v>0</v>
      </c>
      <c r="E391" s="39">
        <f>'[3]13нед'!T279</f>
        <v>0</v>
      </c>
      <c r="F391" s="40">
        <f>'[3]13нед'!W279</f>
        <v>0</v>
      </c>
      <c r="G391" s="41" t="str">
        <f>'[3]13нед'!X279</f>
        <v/>
      </c>
      <c r="H391" s="42"/>
      <c r="I391" s="43"/>
      <c r="J391" s="60"/>
      <c r="K391" s="29" t="s">
        <v>19</v>
      </c>
      <c r="L391" s="38">
        <f>'[4]14нед'!S279</f>
        <v>0</v>
      </c>
      <c r="M391" s="39">
        <f>'[4]14нед'!T279</f>
        <v>0</v>
      </c>
      <c r="N391" s="40">
        <f>'[4]14нед'!W279</f>
        <v>0</v>
      </c>
      <c r="O391" s="41" t="str">
        <f>'[4]14нед'!X279</f>
        <v/>
      </c>
      <c r="P391" s="42"/>
    </row>
    <row r="392" ht="31.5" spans="1:16">
      <c r="A392" s="36"/>
      <c r="B392" s="59"/>
      <c r="C392" s="29" t="s">
        <v>20</v>
      </c>
      <c r="D392" s="38">
        <f>'[3]13нед'!S280</f>
        <v>0</v>
      </c>
      <c r="E392" s="39">
        <f>'[3]13нед'!T280</f>
        <v>0</v>
      </c>
      <c r="F392" s="40">
        <f>'[3]13нед'!W280</f>
        <v>0</v>
      </c>
      <c r="G392" s="41" t="str">
        <f>'[3]13нед'!X280</f>
        <v/>
      </c>
      <c r="H392" s="42"/>
      <c r="I392" s="43"/>
      <c r="J392" s="60"/>
      <c r="K392" s="29" t="s">
        <v>20</v>
      </c>
      <c r="L392" s="38">
        <f>'[4]14нед'!S280</f>
        <v>0</v>
      </c>
      <c r="M392" s="39">
        <f>'[4]14нед'!T280</f>
        <v>0</v>
      </c>
      <c r="N392" s="40">
        <f>'[4]14нед'!W280</f>
        <v>0</v>
      </c>
      <c r="O392" s="41" t="str">
        <f>'[4]14нед'!X280</f>
        <v/>
      </c>
      <c r="P392" s="42"/>
    </row>
    <row r="393" ht="31.5" spans="1:16">
      <c r="A393" s="36"/>
      <c r="B393" s="59"/>
      <c r="C393" s="29" t="s">
        <v>21</v>
      </c>
      <c r="D393" s="38">
        <f>'[3]13нед'!S281</f>
        <v>0</v>
      </c>
      <c r="E393" s="39">
        <f>'[3]13нед'!T281</f>
        <v>0</v>
      </c>
      <c r="F393" s="40">
        <f>'[3]13нед'!W281</f>
        <v>0</v>
      </c>
      <c r="G393" s="41" t="str">
        <f>'[3]13нед'!X281</f>
        <v/>
      </c>
      <c r="H393" s="56"/>
      <c r="I393" s="43"/>
      <c r="J393" s="60"/>
      <c r="K393" s="29" t="s">
        <v>21</v>
      </c>
      <c r="L393" s="38">
        <f>'[4]14нед'!S281</f>
        <v>0</v>
      </c>
      <c r="M393" s="39">
        <f>'[4]14нед'!T281</f>
        <v>0</v>
      </c>
      <c r="N393" s="40">
        <f>'[4]14нед'!W281</f>
        <v>0</v>
      </c>
      <c r="O393" s="41" t="str">
        <f>'[4]14нед'!X281</f>
        <v/>
      </c>
      <c r="P393" s="56"/>
    </row>
    <row r="394" ht="32.25" spans="1:16">
      <c r="A394" s="36"/>
      <c r="B394" s="59"/>
      <c r="C394" s="29" t="s">
        <v>22</v>
      </c>
      <c r="D394" s="38">
        <f>'[3]13нед'!S282</f>
        <v>0</v>
      </c>
      <c r="E394" s="39">
        <f>'[3]13нед'!T282</f>
        <v>0</v>
      </c>
      <c r="F394" s="40">
        <f>'[3]13нед'!W282</f>
        <v>0</v>
      </c>
      <c r="G394" s="41" t="str">
        <f>'[3]13нед'!X282</f>
        <v/>
      </c>
      <c r="H394" s="56"/>
      <c r="I394" s="43"/>
      <c r="J394" s="60"/>
      <c r="K394" s="29" t="s">
        <v>22</v>
      </c>
      <c r="L394" s="38">
        <f>'[4]14нед'!S282</f>
        <v>0</v>
      </c>
      <c r="M394" s="39">
        <f>'[4]14нед'!T282</f>
        <v>0</v>
      </c>
      <c r="N394" s="40">
        <f>'[4]14нед'!W282</f>
        <v>0</v>
      </c>
      <c r="O394" s="41" t="str">
        <f>'[4]14нед'!X282</f>
        <v/>
      </c>
      <c r="P394" s="56"/>
    </row>
    <row r="395" ht="18.6" hidden="1" customHeight="1" spans="1:16">
      <c r="A395" s="45"/>
      <c r="B395" s="61"/>
      <c r="C395" s="47"/>
      <c r="D395" s="48">
        <f>'[3]13нед'!S283</f>
        <v>0</v>
      </c>
      <c r="E395" s="49">
        <f>'[3]13нед'!T283</f>
        <v>0</v>
      </c>
      <c r="F395" s="50">
        <f>'[3]13нед'!W283</f>
        <v>0</v>
      </c>
      <c r="G395" s="51" t="str">
        <f>'[3]13нед'!X283</f>
        <v/>
      </c>
      <c r="H395" s="52"/>
      <c r="I395" s="53"/>
      <c r="J395" s="62"/>
      <c r="K395" s="47"/>
      <c r="L395" s="48">
        <f>'[4]14нед'!S283</f>
        <v>0</v>
      </c>
      <c r="M395" s="49">
        <f>'[4]14нед'!T283</f>
        <v>0</v>
      </c>
      <c r="N395" s="50">
        <f>'[4]14нед'!W283</f>
        <v>0</v>
      </c>
      <c r="O395" s="51" t="str">
        <f>'[4]14нед'!X283</f>
        <v/>
      </c>
      <c r="P395" s="52"/>
    </row>
    <row r="396" ht="48" customHeight="1" spans="1:16">
      <c r="A396" s="27">
        <v>46352</v>
      </c>
      <c r="B396" s="28" t="s">
        <v>25</v>
      </c>
      <c r="C396" s="55" t="s">
        <v>16</v>
      </c>
      <c r="D396" s="30">
        <f>'[3]13нед'!S284</f>
        <v>0</v>
      </c>
      <c r="E396" s="31">
        <f>'[3]13нед'!T284</f>
        <v>0</v>
      </c>
      <c r="F396" s="32">
        <f>'[3]13нед'!W284</f>
        <v>0</v>
      </c>
      <c r="G396" s="33" t="str">
        <f>'[3]13нед'!X284</f>
        <v/>
      </c>
      <c r="H396" s="34"/>
      <c r="I396" s="27">
        <v>46359</v>
      </c>
      <c r="J396" s="35" t="s">
        <v>25</v>
      </c>
      <c r="K396" s="55" t="s">
        <v>16</v>
      </c>
      <c r="L396" s="30">
        <f>'[4]14нед'!S284</f>
        <v>0</v>
      </c>
      <c r="M396" s="31">
        <f>'[4]14нед'!T284</f>
        <v>0</v>
      </c>
      <c r="N396" s="32">
        <f>'[4]14нед'!W284</f>
        <v>0</v>
      </c>
      <c r="O396" s="33" t="str">
        <f>'[4]14нед'!X284</f>
        <v/>
      </c>
      <c r="P396" s="34"/>
    </row>
    <row r="397" ht="31.5" spans="1:16">
      <c r="A397" s="36"/>
      <c r="B397" s="37"/>
      <c r="C397" s="29" t="s">
        <v>17</v>
      </c>
      <c r="D397" s="38">
        <f>'[3]13нед'!S285</f>
        <v>0</v>
      </c>
      <c r="E397" s="39">
        <f>'[3]13нед'!T285</f>
        <v>0</v>
      </c>
      <c r="F397" s="40">
        <f>'[3]13нед'!W285</f>
        <v>0</v>
      </c>
      <c r="G397" s="41" t="str">
        <f>'[3]13нед'!X285</f>
        <v/>
      </c>
      <c r="H397" s="42"/>
      <c r="I397" s="43"/>
      <c r="J397" s="44"/>
      <c r="K397" s="29" t="s">
        <v>17</v>
      </c>
      <c r="L397" s="38">
        <f>'[4]14нед'!S285</f>
        <v>0</v>
      </c>
      <c r="M397" s="39">
        <f>'[4]14нед'!T285</f>
        <v>0</v>
      </c>
      <c r="N397" s="40">
        <f>'[4]14нед'!W285</f>
        <v>0</v>
      </c>
      <c r="O397" s="41" t="str">
        <f>'[4]14нед'!X285</f>
        <v/>
      </c>
      <c r="P397" s="42"/>
    </row>
    <row r="398" ht="31.5" spans="1:16">
      <c r="A398" s="36"/>
      <c r="B398" s="37"/>
      <c r="C398" s="29" t="s">
        <v>18</v>
      </c>
      <c r="D398" s="38">
        <f>'[3]13нед'!S286</f>
        <v>0</v>
      </c>
      <c r="E398" s="39">
        <f>'[3]13нед'!T286</f>
        <v>0</v>
      </c>
      <c r="F398" s="40">
        <f>'[3]13нед'!W286</f>
        <v>0</v>
      </c>
      <c r="G398" s="41" t="str">
        <f>'[3]13нед'!X286</f>
        <v/>
      </c>
      <c r="H398" s="42"/>
      <c r="I398" s="43"/>
      <c r="J398" s="44"/>
      <c r="K398" s="29" t="s">
        <v>18</v>
      </c>
      <c r="L398" s="38">
        <f>'[4]14нед'!S286</f>
        <v>0</v>
      </c>
      <c r="M398" s="39">
        <f>'[4]14нед'!T286</f>
        <v>0</v>
      </c>
      <c r="N398" s="40">
        <f>'[4]14нед'!W286</f>
        <v>0</v>
      </c>
      <c r="O398" s="41" t="str">
        <f>'[4]14нед'!X286</f>
        <v/>
      </c>
      <c r="P398" s="42"/>
    </row>
    <row r="399" ht="31.5" spans="1:16">
      <c r="A399" s="36"/>
      <c r="B399" s="37"/>
      <c r="C399" s="29" t="s">
        <v>19</v>
      </c>
      <c r="D399" s="38">
        <f>'[3]13нед'!S287</f>
        <v>0</v>
      </c>
      <c r="E399" s="39">
        <f>'[3]13нед'!T287</f>
        <v>0</v>
      </c>
      <c r="F399" s="40">
        <f>'[3]13нед'!W287</f>
        <v>0</v>
      </c>
      <c r="G399" s="41" t="str">
        <f>'[3]13нед'!X287</f>
        <v/>
      </c>
      <c r="H399" s="42"/>
      <c r="I399" s="43"/>
      <c r="J399" s="44"/>
      <c r="K399" s="29" t="s">
        <v>19</v>
      </c>
      <c r="L399" s="38">
        <f>'[4]14нед'!S287</f>
        <v>0</v>
      </c>
      <c r="M399" s="39">
        <f>'[4]14нед'!T287</f>
        <v>0</v>
      </c>
      <c r="N399" s="40">
        <f>'[4]14нед'!W287</f>
        <v>0</v>
      </c>
      <c r="O399" s="41" t="str">
        <f>'[4]14нед'!X287</f>
        <v/>
      </c>
      <c r="P399" s="42"/>
    </row>
    <row r="400" ht="31.5" spans="1:16">
      <c r="A400" s="36"/>
      <c r="B400" s="37"/>
      <c r="C400" s="29" t="s">
        <v>20</v>
      </c>
      <c r="D400" s="38">
        <f>'[3]13нед'!S288</f>
        <v>0</v>
      </c>
      <c r="E400" s="39">
        <f>'[3]13нед'!T288</f>
        <v>0</v>
      </c>
      <c r="F400" s="40">
        <f>'[3]13нед'!W288</f>
        <v>0</v>
      </c>
      <c r="G400" s="41" t="str">
        <f>'[3]13нед'!X288</f>
        <v/>
      </c>
      <c r="H400" s="42"/>
      <c r="I400" s="43"/>
      <c r="J400" s="44"/>
      <c r="K400" s="29" t="s">
        <v>20</v>
      </c>
      <c r="L400" s="38">
        <f>'[4]14нед'!S288</f>
        <v>0</v>
      </c>
      <c r="M400" s="39">
        <f>'[4]14нед'!T288</f>
        <v>0</v>
      </c>
      <c r="N400" s="40">
        <f>'[4]14нед'!W288</f>
        <v>0</v>
      </c>
      <c r="O400" s="41" t="str">
        <f>'[4]14нед'!X288</f>
        <v/>
      </c>
      <c r="P400" s="42"/>
    </row>
    <row r="401" ht="31.5" spans="1:16">
      <c r="A401" s="36"/>
      <c r="B401" s="37"/>
      <c r="C401" s="29" t="s">
        <v>21</v>
      </c>
      <c r="D401" s="38">
        <f>'[3]13нед'!S289</f>
        <v>0</v>
      </c>
      <c r="E401" s="39">
        <f>'[3]13нед'!T289</f>
        <v>0</v>
      </c>
      <c r="F401" s="40">
        <f>'[3]13нед'!W289</f>
        <v>0</v>
      </c>
      <c r="G401" s="41" t="str">
        <f>'[3]13нед'!X289</f>
        <v/>
      </c>
      <c r="H401" s="56"/>
      <c r="I401" s="43"/>
      <c r="J401" s="44"/>
      <c r="K401" s="29" t="s">
        <v>21</v>
      </c>
      <c r="L401" s="38">
        <f>'[4]14нед'!S289</f>
        <v>0</v>
      </c>
      <c r="M401" s="39">
        <f>'[4]14нед'!T289</f>
        <v>0</v>
      </c>
      <c r="N401" s="40">
        <f>'[4]14нед'!W289</f>
        <v>0</v>
      </c>
      <c r="O401" s="41" t="str">
        <f>'[4]14нед'!X289</f>
        <v/>
      </c>
      <c r="P401" s="56"/>
    </row>
    <row r="402" ht="32.25" spans="1:16">
      <c r="A402" s="36"/>
      <c r="B402" s="37"/>
      <c r="C402" s="29" t="s">
        <v>22</v>
      </c>
      <c r="D402" s="38">
        <f>'[3]13нед'!S290</f>
        <v>0</v>
      </c>
      <c r="E402" s="39">
        <f>'[3]13нед'!T290</f>
        <v>0</v>
      </c>
      <c r="F402" s="40">
        <f>'[3]13нед'!W290</f>
        <v>0</v>
      </c>
      <c r="G402" s="41" t="str">
        <f>'[3]13нед'!X290</f>
        <v/>
      </c>
      <c r="H402" s="56"/>
      <c r="I402" s="43"/>
      <c r="J402" s="44"/>
      <c r="K402" s="29" t="s">
        <v>22</v>
      </c>
      <c r="L402" s="38">
        <f>'[4]14нед'!S290</f>
        <v>0</v>
      </c>
      <c r="M402" s="39">
        <f>'[4]14нед'!T290</f>
        <v>0</v>
      </c>
      <c r="N402" s="40">
        <f>'[4]14нед'!W290</f>
        <v>0</v>
      </c>
      <c r="O402" s="41" t="str">
        <f>'[4]14нед'!X290</f>
        <v/>
      </c>
      <c r="P402" s="56"/>
    </row>
    <row r="403" ht="18.6" hidden="1" customHeight="1" spans="1:16">
      <c r="A403" s="45"/>
      <c r="B403" s="46"/>
      <c r="C403" s="47"/>
      <c r="D403" s="48">
        <f>'[3]13нед'!S291</f>
        <v>0</v>
      </c>
      <c r="E403" s="49">
        <f>'[3]13нед'!T291</f>
        <v>0</v>
      </c>
      <c r="F403" s="50">
        <f>'[3]13нед'!W291</f>
        <v>0</v>
      </c>
      <c r="G403" s="51" t="str">
        <f>'[3]13нед'!X291</f>
        <v/>
      </c>
      <c r="H403" s="52"/>
      <c r="I403" s="53"/>
      <c r="J403" s="54"/>
      <c r="K403" s="47"/>
      <c r="L403" s="48">
        <f>'[4]14нед'!S291</f>
        <v>0</v>
      </c>
      <c r="M403" s="49">
        <f>'[4]14нед'!T291</f>
        <v>0</v>
      </c>
      <c r="N403" s="50">
        <f>'[4]14нед'!W291</f>
        <v>0</v>
      </c>
      <c r="O403" s="51" t="str">
        <f>'[4]14нед'!X291</f>
        <v/>
      </c>
      <c r="P403" s="52"/>
    </row>
    <row r="404" ht="48" customHeight="1" spans="1:16">
      <c r="A404" s="27">
        <v>46353</v>
      </c>
      <c r="B404" s="28" t="s">
        <v>26</v>
      </c>
      <c r="C404" s="55" t="s">
        <v>16</v>
      </c>
      <c r="D404" s="30">
        <f>'[3]13нед'!S292</f>
        <v>0</v>
      </c>
      <c r="E404" s="31">
        <f>'[3]13нед'!T292</f>
        <v>0</v>
      </c>
      <c r="F404" s="32">
        <f>'[3]13нед'!W292</f>
        <v>0</v>
      </c>
      <c r="G404" s="33" t="str">
        <f>'[3]13нед'!X292</f>
        <v/>
      </c>
      <c r="H404" s="34"/>
      <c r="I404" s="27">
        <v>46360</v>
      </c>
      <c r="J404" s="35" t="s">
        <v>26</v>
      </c>
      <c r="K404" s="55" t="s">
        <v>16</v>
      </c>
      <c r="L404" s="30">
        <f>'[4]14нед'!S292</f>
        <v>0</v>
      </c>
      <c r="M404" s="31">
        <f>'[4]14нед'!T292</f>
        <v>0</v>
      </c>
      <c r="N404" s="32">
        <f>'[4]14нед'!W292</f>
        <v>0</v>
      </c>
      <c r="O404" s="33" t="str">
        <f>'[4]14нед'!X292</f>
        <v/>
      </c>
      <c r="P404" s="34"/>
    </row>
    <row r="405" ht="31.5" spans="1:16">
      <c r="A405" s="36"/>
      <c r="B405" s="37"/>
      <c r="C405" s="29" t="s">
        <v>17</v>
      </c>
      <c r="D405" s="38">
        <f>'[3]13нед'!S293</f>
        <v>0</v>
      </c>
      <c r="E405" s="39">
        <f>'[3]13нед'!T293</f>
        <v>0</v>
      </c>
      <c r="F405" s="40">
        <f>'[3]13нед'!W293</f>
        <v>0</v>
      </c>
      <c r="G405" s="41" t="str">
        <f>'[3]13нед'!X293</f>
        <v/>
      </c>
      <c r="H405" s="42"/>
      <c r="I405" s="43"/>
      <c r="J405" s="44"/>
      <c r="K405" s="29" t="s">
        <v>17</v>
      </c>
      <c r="L405" s="38">
        <f>'[4]14нед'!S293</f>
        <v>0</v>
      </c>
      <c r="M405" s="39">
        <f>'[4]14нед'!T293</f>
        <v>0</v>
      </c>
      <c r="N405" s="40">
        <f>'[4]14нед'!W293</f>
        <v>0</v>
      </c>
      <c r="O405" s="41" t="str">
        <f>'[4]14нед'!X293</f>
        <v/>
      </c>
      <c r="P405" s="42"/>
    </row>
    <row r="406" ht="31.5" spans="1:16">
      <c r="A406" s="36"/>
      <c r="B406" s="37"/>
      <c r="C406" s="29" t="s">
        <v>18</v>
      </c>
      <c r="D406" s="38">
        <f>'[3]13нед'!S294</f>
        <v>0</v>
      </c>
      <c r="E406" s="39">
        <f>'[3]13нед'!T294</f>
        <v>0</v>
      </c>
      <c r="F406" s="40">
        <f>'[3]13нед'!W294</f>
        <v>0</v>
      </c>
      <c r="G406" s="41" t="str">
        <f>'[3]13нед'!X294</f>
        <v/>
      </c>
      <c r="H406" s="42"/>
      <c r="I406" s="43"/>
      <c r="J406" s="44"/>
      <c r="K406" s="29" t="s">
        <v>18</v>
      </c>
      <c r="L406" s="38">
        <f>'[4]14нед'!S294</f>
        <v>0</v>
      </c>
      <c r="M406" s="39">
        <f>'[4]14нед'!T294</f>
        <v>0</v>
      </c>
      <c r="N406" s="40">
        <f>'[4]14нед'!W294</f>
        <v>0</v>
      </c>
      <c r="O406" s="41" t="str">
        <f>'[4]14нед'!X294</f>
        <v/>
      </c>
      <c r="P406" s="42"/>
    </row>
    <row r="407" ht="31.5" spans="1:16">
      <c r="A407" s="36"/>
      <c r="B407" s="37"/>
      <c r="C407" s="29" t="s">
        <v>19</v>
      </c>
      <c r="D407" s="38">
        <f>'[3]13нед'!S295</f>
        <v>0</v>
      </c>
      <c r="E407" s="39">
        <f>'[3]13нед'!T295</f>
        <v>0</v>
      </c>
      <c r="F407" s="40">
        <f>'[3]13нед'!W295</f>
        <v>0</v>
      </c>
      <c r="G407" s="41" t="str">
        <f>'[3]13нед'!X295</f>
        <v/>
      </c>
      <c r="H407" s="42"/>
      <c r="I407" s="43"/>
      <c r="J407" s="44"/>
      <c r="K407" s="29" t="s">
        <v>19</v>
      </c>
      <c r="L407" s="38">
        <f>'[4]14нед'!S295</f>
        <v>0</v>
      </c>
      <c r="M407" s="39">
        <f>'[4]14нед'!T295</f>
        <v>0</v>
      </c>
      <c r="N407" s="40">
        <f>'[4]14нед'!W295</f>
        <v>0</v>
      </c>
      <c r="O407" s="41" t="str">
        <f>'[4]14нед'!X295</f>
        <v/>
      </c>
      <c r="P407" s="42"/>
    </row>
    <row r="408" ht="31.5" spans="1:16">
      <c r="A408" s="36"/>
      <c r="B408" s="37"/>
      <c r="C408" s="29" t="s">
        <v>20</v>
      </c>
      <c r="D408" s="38">
        <f>'[3]13нед'!S296</f>
        <v>0</v>
      </c>
      <c r="E408" s="39">
        <f>'[3]13нед'!T296</f>
        <v>0</v>
      </c>
      <c r="F408" s="40">
        <f>'[3]13нед'!W296</f>
        <v>0</v>
      </c>
      <c r="G408" s="41" t="str">
        <f>'[3]13нед'!X296</f>
        <v/>
      </c>
      <c r="H408" s="42"/>
      <c r="I408" s="43"/>
      <c r="J408" s="44"/>
      <c r="K408" s="29" t="s">
        <v>20</v>
      </c>
      <c r="L408" s="38">
        <f>'[4]14нед'!S296</f>
        <v>0</v>
      </c>
      <c r="M408" s="39">
        <f>'[4]14нед'!T296</f>
        <v>0</v>
      </c>
      <c r="N408" s="40">
        <f>'[4]14нед'!W296</f>
        <v>0</v>
      </c>
      <c r="O408" s="41" t="str">
        <f>'[4]14нед'!X296</f>
        <v/>
      </c>
      <c r="P408" s="42"/>
    </row>
    <row r="409" ht="31.5" spans="1:16">
      <c r="A409" s="36"/>
      <c r="B409" s="37"/>
      <c r="C409" s="29" t="s">
        <v>21</v>
      </c>
      <c r="D409" s="38">
        <f>'[3]13нед'!S297</f>
        <v>0</v>
      </c>
      <c r="E409" s="39">
        <f>'[3]13нед'!T297</f>
        <v>0</v>
      </c>
      <c r="F409" s="40">
        <f>'[3]13нед'!W297</f>
        <v>0</v>
      </c>
      <c r="G409" s="41" t="str">
        <f>'[3]13нед'!X297</f>
        <v/>
      </c>
      <c r="H409" s="42"/>
      <c r="I409" s="43"/>
      <c r="J409" s="44"/>
      <c r="K409" s="29" t="s">
        <v>21</v>
      </c>
      <c r="L409" s="38">
        <f>'[4]14нед'!S297</f>
        <v>0</v>
      </c>
      <c r="M409" s="39">
        <f>'[4]14нед'!T297</f>
        <v>0</v>
      </c>
      <c r="N409" s="40">
        <f>'[4]14нед'!W297</f>
        <v>0</v>
      </c>
      <c r="O409" s="41" t="str">
        <f>'[4]14нед'!X297</f>
        <v/>
      </c>
      <c r="P409" s="42"/>
    </row>
    <row r="410" ht="32.25" spans="1:16">
      <c r="A410" s="36"/>
      <c r="B410" s="37"/>
      <c r="C410" s="29" t="s">
        <v>22</v>
      </c>
      <c r="D410" s="38">
        <f>'[3]13нед'!S298</f>
        <v>0</v>
      </c>
      <c r="E410" s="39">
        <f>'[3]13нед'!T298</f>
        <v>0</v>
      </c>
      <c r="F410" s="40">
        <f>'[3]13нед'!W298</f>
        <v>0</v>
      </c>
      <c r="G410" s="41" t="str">
        <f>'[3]13нед'!X298</f>
        <v/>
      </c>
      <c r="H410" s="42"/>
      <c r="I410" s="43"/>
      <c r="J410" s="44"/>
      <c r="K410" s="29" t="s">
        <v>22</v>
      </c>
      <c r="L410" s="38">
        <f>'[4]14нед'!S298</f>
        <v>0</v>
      </c>
      <c r="M410" s="39">
        <f>'[4]14нед'!T298</f>
        <v>0</v>
      </c>
      <c r="N410" s="40">
        <f>'[4]14нед'!W298</f>
        <v>0</v>
      </c>
      <c r="O410" s="41" t="str">
        <f>'[4]14нед'!X298</f>
        <v/>
      </c>
      <c r="P410" s="42"/>
    </row>
    <row r="411" ht="18.6" hidden="1" customHeight="1" spans="1:16">
      <c r="A411" s="45"/>
      <c r="B411" s="46"/>
      <c r="C411" s="47"/>
      <c r="D411" s="48">
        <f>'[3]13нед'!S299</f>
        <v>0</v>
      </c>
      <c r="E411" s="49">
        <f>'[3]13нед'!T299</f>
        <v>0</v>
      </c>
      <c r="F411" s="50">
        <f>'[3]13нед'!W299</f>
        <v>0</v>
      </c>
      <c r="G411" s="51" t="str">
        <f>'[3]13нед'!X299</f>
        <v/>
      </c>
      <c r="H411" s="52"/>
      <c r="I411" s="53"/>
      <c r="J411" s="54"/>
      <c r="K411" s="47"/>
      <c r="L411" s="48">
        <f>'[4]14нед'!S299</f>
        <v>0</v>
      </c>
      <c r="M411" s="49">
        <f>'[4]14нед'!T299</f>
        <v>0</v>
      </c>
      <c r="N411" s="50">
        <f>'[4]14нед'!W299</f>
        <v>0</v>
      </c>
      <c r="O411" s="51" t="str">
        <f>'[4]14нед'!X299</f>
        <v/>
      </c>
      <c r="P411" s="52"/>
    </row>
    <row r="412" ht="48" customHeight="1" spans="1:16">
      <c r="A412" s="27">
        <v>46354</v>
      </c>
      <c r="B412" s="28" t="s">
        <v>27</v>
      </c>
      <c r="C412" s="55" t="s">
        <v>16</v>
      </c>
      <c r="D412" s="30">
        <f>'[3]13нед'!S300</f>
        <v>0</v>
      </c>
      <c r="E412" s="31">
        <f>'[3]13нед'!T300</f>
        <v>0</v>
      </c>
      <c r="F412" s="32">
        <f>'[3]13нед'!W300</f>
        <v>0</v>
      </c>
      <c r="G412" s="33" t="str">
        <f>'[3]13нед'!X300</f>
        <v/>
      </c>
      <c r="H412" s="34"/>
      <c r="I412" s="27">
        <v>46361</v>
      </c>
      <c r="J412" s="35" t="s">
        <v>27</v>
      </c>
      <c r="K412" s="55" t="s">
        <v>16</v>
      </c>
      <c r="L412" s="30">
        <f>'[4]14нед'!S300</f>
        <v>0</v>
      </c>
      <c r="M412" s="31">
        <f>'[4]14нед'!T300</f>
        <v>0</v>
      </c>
      <c r="N412" s="32">
        <f>'[4]14нед'!W300</f>
        <v>0</v>
      </c>
      <c r="O412" s="33" t="str">
        <f>'[4]14нед'!X300</f>
        <v/>
      </c>
      <c r="P412" s="34"/>
    </row>
    <row r="413" ht="31.5" spans="1:16">
      <c r="A413" s="36"/>
      <c r="B413" s="37"/>
      <c r="C413" s="29" t="s">
        <v>17</v>
      </c>
      <c r="D413" s="38">
        <f>'[3]13нед'!S301</f>
        <v>0</v>
      </c>
      <c r="E413" s="39">
        <f>'[3]13нед'!T301</f>
        <v>0</v>
      </c>
      <c r="F413" s="40">
        <f>'[3]13нед'!W301</f>
        <v>0</v>
      </c>
      <c r="G413" s="41" t="str">
        <f>'[3]13нед'!X301</f>
        <v/>
      </c>
      <c r="H413" s="42"/>
      <c r="I413" s="43"/>
      <c r="J413" s="44"/>
      <c r="K413" s="29" t="s">
        <v>17</v>
      </c>
      <c r="L413" s="38">
        <f>'[4]14нед'!S301</f>
        <v>0</v>
      </c>
      <c r="M413" s="39">
        <f>'[4]14нед'!T301</f>
        <v>0</v>
      </c>
      <c r="N413" s="40">
        <f>'[4]14нед'!W301</f>
        <v>0</v>
      </c>
      <c r="O413" s="41" t="str">
        <f>'[4]14нед'!X301</f>
        <v/>
      </c>
      <c r="P413" s="42"/>
    </row>
    <row r="414" ht="31.5" spans="1:16">
      <c r="A414" s="36"/>
      <c r="B414" s="37"/>
      <c r="C414" s="29" t="s">
        <v>18</v>
      </c>
      <c r="D414" s="38">
        <f>'[3]13нед'!S302</f>
        <v>0</v>
      </c>
      <c r="E414" s="39">
        <f>'[3]13нед'!T302</f>
        <v>0</v>
      </c>
      <c r="F414" s="40">
        <f>'[3]13нед'!W302</f>
        <v>0</v>
      </c>
      <c r="G414" s="41" t="str">
        <f>'[3]13нед'!X302</f>
        <v/>
      </c>
      <c r="H414" s="63"/>
      <c r="I414" s="43"/>
      <c r="J414" s="44"/>
      <c r="K414" s="29" t="s">
        <v>18</v>
      </c>
      <c r="L414" s="38">
        <f>'[4]14нед'!S302</f>
        <v>0</v>
      </c>
      <c r="M414" s="39">
        <f>'[4]14нед'!T302</f>
        <v>0</v>
      </c>
      <c r="N414" s="40">
        <f>'[4]14нед'!W302</f>
        <v>0</v>
      </c>
      <c r="O414" s="41" t="str">
        <f>'[4]14нед'!X302</f>
        <v/>
      </c>
      <c r="P414" s="63"/>
    </row>
    <row r="415" ht="31.5" spans="1:16">
      <c r="A415" s="36"/>
      <c r="B415" s="37"/>
      <c r="C415" s="29" t="s">
        <v>19</v>
      </c>
      <c r="D415" s="38">
        <f>'[3]13нед'!S303</f>
        <v>0</v>
      </c>
      <c r="E415" s="39">
        <f>'[3]13нед'!T303</f>
        <v>0</v>
      </c>
      <c r="F415" s="40">
        <f>'[3]13нед'!W303</f>
        <v>0</v>
      </c>
      <c r="G415" s="41" t="str">
        <f>'[3]13нед'!X303</f>
        <v/>
      </c>
      <c r="H415" s="42"/>
      <c r="I415" s="43"/>
      <c r="J415" s="44"/>
      <c r="K415" s="29" t="s">
        <v>19</v>
      </c>
      <c r="L415" s="38">
        <f>'[4]14нед'!S303</f>
        <v>0</v>
      </c>
      <c r="M415" s="39">
        <f>'[4]14нед'!T303</f>
        <v>0</v>
      </c>
      <c r="N415" s="40">
        <f>'[4]14нед'!W303</f>
        <v>0</v>
      </c>
      <c r="O415" s="41" t="str">
        <f>'[4]14нед'!X303</f>
        <v/>
      </c>
      <c r="P415" s="42"/>
    </row>
    <row r="416" ht="31.5" spans="1:16">
      <c r="A416" s="36"/>
      <c r="B416" s="37"/>
      <c r="C416" s="29" t="s">
        <v>20</v>
      </c>
      <c r="D416" s="38">
        <f>'[3]13нед'!S304</f>
        <v>0</v>
      </c>
      <c r="E416" s="39">
        <f>'[3]13нед'!T304</f>
        <v>0</v>
      </c>
      <c r="F416" s="40">
        <f>'[3]13нед'!W304</f>
        <v>0</v>
      </c>
      <c r="G416" s="41" t="str">
        <f>'[3]13нед'!X304</f>
        <v/>
      </c>
      <c r="H416" s="42"/>
      <c r="I416" s="43"/>
      <c r="J416" s="44"/>
      <c r="K416" s="29" t="s">
        <v>20</v>
      </c>
      <c r="L416" s="38">
        <f>'[4]14нед'!S304</f>
        <v>0</v>
      </c>
      <c r="M416" s="39">
        <f>'[4]14нед'!T304</f>
        <v>0</v>
      </c>
      <c r="N416" s="40">
        <f>'[4]14нед'!W304</f>
        <v>0</v>
      </c>
      <c r="O416" s="41" t="str">
        <f>'[4]14нед'!X304</f>
        <v/>
      </c>
      <c r="P416" s="42"/>
    </row>
    <row r="417" ht="31.5" spans="1:16">
      <c r="A417" s="36"/>
      <c r="B417" s="37"/>
      <c r="C417" s="29" t="s">
        <v>21</v>
      </c>
      <c r="D417" s="38">
        <f>'[3]13нед'!S305</f>
        <v>0</v>
      </c>
      <c r="E417" s="39">
        <f>'[3]13нед'!T305</f>
        <v>0</v>
      </c>
      <c r="F417" s="40">
        <f>'[3]13нед'!W305</f>
        <v>0</v>
      </c>
      <c r="G417" s="41" t="str">
        <f>'[3]13нед'!X305</f>
        <v/>
      </c>
      <c r="H417" s="42"/>
      <c r="I417" s="43"/>
      <c r="J417" s="44"/>
      <c r="K417" s="29" t="s">
        <v>21</v>
      </c>
      <c r="L417" s="38">
        <f>'[4]14нед'!S305</f>
        <v>0</v>
      </c>
      <c r="M417" s="39">
        <f>'[4]14нед'!T305</f>
        <v>0</v>
      </c>
      <c r="N417" s="40">
        <f>'[4]14нед'!W305</f>
        <v>0</v>
      </c>
      <c r="O417" s="41" t="str">
        <f>'[4]14нед'!X305</f>
        <v/>
      </c>
      <c r="P417" s="42"/>
    </row>
    <row r="418" ht="32.25" spans="1:16">
      <c r="A418" s="36"/>
      <c r="B418" s="37"/>
      <c r="C418" s="29" t="s">
        <v>22</v>
      </c>
      <c r="D418" s="38">
        <f>'[3]13нед'!S306</f>
        <v>0</v>
      </c>
      <c r="E418" s="39">
        <f>'[3]13нед'!T306</f>
        <v>0</v>
      </c>
      <c r="F418" s="40">
        <f>'[3]13нед'!W306</f>
        <v>0</v>
      </c>
      <c r="G418" s="41" t="str">
        <f>'[3]13нед'!X306</f>
        <v/>
      </c>
      <c r="H418" s="42"/>
      <c r="I418" s="43"/>
      <c r="J418" s="44"/>
      <c r="K418" s="29" t="s">
        <v>22</v>
      </c>
      <c r="L418" s="38">
        <f>'[4]14нед'!S306</f>
        <v>0</v>
      </c>
      <c r="M418" s="39">
        <f>'[4]14нед'!T306</f>
        <v>0</v>
      </c>
      <c r="N418" s="40">
        <f>'[4]14нед'!W306</f>
        <v>0</v>
      </c>
      <c r="O418" s="41" t="str">
        <f>'[4]14нед'!X306</f>
        <v/>
      </c>
      <c r="P418" s="42"/>
    </row>
    <row r="419" ht="18.6" hidden="1" customHeight="1" spans="1:16">
      <c r="A419" s="45"/>
      <c r="B419" s="46"/>
      <c r="C419" s="47"/>
      <c r="D419" s="48">
        <f>'[3]13нед'!S59</f>
        <v>0</v>
      </c>
      <c r="E419" s="49">
        <f>'[3]13нед'!T59</f>
        <v>0</v>
      </c>
      <c r="F419" s="50">
        <f>'[3]13нед'!W59</f>
        <v>0</v>
      </c>
      <c r="G419" s="51" t="str">
        <f>'[3]11нед'!X59</f>
        <v/>
      </c>
      <c r="H419" s="52"/>
      <c r="I419" s="53"/>
      <c r="J419" s="54"/>
      <c r="K419" s="47"/>
      <c r="L419" s="30">
        <f>'[4]14нед'!S307</f>
        <v>0</v>
      </c>
      <c r="M419" s="31">
        <f>'[4]14нед'!T307</f>
        <v>0</v>
      </c>
      <c r="N419" s="32">
        <f>'[4]14нед'!W307</f>
        <v>0</v>
      </c>
      <c r="O419" s="33" t="str">
        <f>'[4]14нед'!X307</f>
        <v/>
      </c>
      <c r="P419" s="52"/>
    </row>
    <row r="420" ht="39" customHeight="1" spans="1:16">
      <c r="A420" s="64"/>
      <c r="B420" s="65"/>
      <c r="C420" s="66"/>
      <c r="D420" s="67"/>
      <c r="E420" s="67" t="s">
        <v>28</v>
      </c>
      <c r="F420" s="67"/>
      <c r="G420" s="68" t="s">
        <v>29</v>
      </c>
      <c r="H420" s="69"/>
      <c r="I420" s="64"/>
      <c r="J420" s="65"/>
      <c r="K420" s="66"/>
      <c r="L420" s="67"/>
      <c r="M420" s="67" t="s">
        <v>28</v>
      </c>
      <c r="N420" s="67"/>
      <c r="O420" s="68" t="s">
        <v>29</v>
      </c>
      <c r="P420" s="69"/>
    </row>
    <row r="421" ht="15.75" spans="1:16">
      <c r="A421" s="2"/>
      <c r="B421" s="3"/>
      <c r="C421" s="4"/>
      <c r="D421" s="5"/>
      <c r="E421" s="5"/>
      <c r="F421" s="5"/>
      <c r="G421" s="5"/>
      <c r="H421" s="6" t="s">
        <v>0</v>
      </c>
      <c r="I421" s="2"/>
      <c r="J421" s="3"/>
      <c r="K421" s="4"/>
      <c r="L421" s="5"/>
      <c r="M421" s="5"/>
      <c r="N421" s="5"/>
      <c r="O421" s="5"/>
      <c r="P421" s="6" t="s">
        <v>0</v>
      </c>
    </row>
    <row r="422" ht="15.75" spans="1:16">
      <c r="A422" s="2"/>
      <c r="B422" s="3"/>
      <c r="C422" s="4"/>
      <c r="D422" s="5"/>
      <c r="E422" s="5"/>
      <c r="F422" s="5"/>
      <c r="G422" s="5"/>
      <c r="H422" s="6" t="s">
        <v>1</v>
      </c>
      <c r="I422" s="2"/>
      <c r="J422" s="3"/>
      <c r="K422" s="4"/>
      <c r="L422" s="5"/>
      <c r="M422" s="5"/>
      <c r="N422" s="5"/>
      <c r="O422" s="5"/>
      <c r="P422" s="6" t="s">
        <v>1</v>
      </c>
    </row>
    <row r="423" ht="15.75" spans="1:16">
      <c r="A423" s="2"/>
      <c r="B423" s="3"/>
      <c r="C423" s="4"/>
      <c r="D423" s="5"/>
      <c r="E423" s="5"/>
      <c r="F423" s="5"/>
      <c r="G423" s="5"/>
      <c r="H423" s="6" t="s">
        <v>2</v>
      </c>
      <c r="I423" s="2"/>
      <c r="J423" s="3"/>
      <c r="K423" s="4"/>
      <c r="L423" s="5"/>
      <c r="M423" s="5"/>
      <c r="N423" s="5"/>
      <c r="O423" s="5"/>
      <c r="P423" s="6" t="s">
        <v>2</v>
      </c>
    </row>
    <row r="424" ht="15.75" spans="1:16">
      <c r="A424" s="2"/>
      <c r="B424" s="3"/>
      <c r="C424" s="4"/>
      <c r="D424" s="5"/>
      <c r="E424" s="5"/>
      <c r="F424" s="5"/>
      <c r="G424" s="5"/>
      <c r="H424" s="6" t="s">
        <v>3</v>
      </c>
      <c r="I424" s="2"/>
      <c r="J424" s="3"/>
      <c r="K424" s="4"/>
      <c r="L424" s="5"/>
      <c r="M424" s="5"/>
      <c r="N424" s="5"/>
      <c r="O424" s="5"/>
      <c r="P424" s="6" t="s">
        <v>3</v>
      </c>
    </row>
    <row r="425" ht="15.75" spans="1:16">
      <c r="A425" s="2"/>
      <c r="B425" s="7"/>
      <c r="C425" s="4"/>
      <c r="D425" s="5"/>
      <c r="E425" s="5"/>
      <c r="F425" s="5"/>
      <c r="G425" s="5"/>
      <c r="H425" s="5"/>
      <c r="I425" s="2"/>
      <c r="J425" s="7"/>
      <c r="K425" s="4"/>
      <c r="L425" s="5"/>
      <c r="M425" s="5"/>
      <c r="N425" s="5"/>
      <c r="O425" s="5"/>
      <c r="P425" s="5"/>
    </row>
    <row r="426" ht="15.75" spans="1:16">
      <c r="A426" s="2"/>
      <c r="B426" s="8" t="s">
        <v>4</v>
      </c>
      <c r="C426" s="8"/>
      <c r="D426" s="8"/>
      <c r="E426" s="8"/>
      <c r="F426" s="8"/>
      <c r="G426" s="8"/>
      <c r="H426" s="8"/>
      <c r="I426" s="2"/>
      <c r="J426" s="8" t="s">
        <v>4</v>
      </c>
      <c r="K426" s="8"/>
      <c r="L426" s="8"/>
      <c r="M426" s="8"/>
      <c r="N426" s="8"/>
      <c r="O426" s="8"/>
      <c r="P426" s="8"/>
    </row>
    <row r="427" ht="15.75" spans="1:16">
      <c r="A427" s="9"/>
      <c r="B427" s="10" t="str">
        <f>'[1]1нед'!$A$6</f>
        <v>Направление подготовки:</v>
      </c>
      <c r="C427" s="11"/>
      <c r="D427" s="12"/>
      <c r="E427" s="13" t="str">
        <f>E7</f>
        <v>00</v>
      </c>
      <c r="F427" s="12"/>
      <c r="G427" s="12"/>
      <c r="H427" s="14">
        <f>H7</f>
        <v>0</v>
      </c>
      <c r="I427" s="9"/>
      <c r="J427" s="10" t="str">
        <f>'[1]1нед'!$A$6</f>
        <v>Направление подготовки:</v>
      </c>
      <c r="K427" s="11"/>
      <c r="L427" s="12"/>
      <c r="M427" s="13" t="str">
        <f>E7</f>
        <v>00</v>
      </c>
      <c r="N427" s="12"/>
      <c r="O427" s="12"/>
      <c r="P427" s="14">
        <f>H7</f>
        <v>0</v>
      </c>
    </row>
    <row r="428" ht="15.75" spans="1:16">
      <c r="A428" s="2"/>
      <c r="B428" s="10" t="s">
        <v>5</v>
      </c>
      <c r="C428" s="10"/>
      <c r="D428" s="10"/>
      <c r="E428" s="10" t="str">
        <f t="shared" ref="E428:E429" si="6">E8</f>
        <v>очно-заочная</v>
      </c>
      <c r="F428" s="10"/>
      <c r="G428" s="10"/>
      <c r="H428" s="10"/>
      <c r="I428" s="2"/>
      <c r="J428" s="10" t="s">
        <v>5</v>
      </c>
      <c r="K428" s="10"/>
      <c r="L428" s="10"/>
      <c r="M428" s="10" t="str">
        <f t="shared" ref="M428:M429" si="7">E8</f>
        <v>очно-заочная</v>
      </c>
      <c r="N428" s="10"/>
      <c r="O428" s="10"/>
      <c r="P428" s="10"/>
    </row>
    <row r="429" ht="15.75" spans="1:16">
      <c r="A429" s="2"/>
      <c r="B429" s="10" t="s">
        <v>7</v>
      </c>
      <c r="C429" s="10"/>
      <c r="D429" s="10"/>
      <c r="E429" s="10">
        <f t="shared" si="6"/>
        <v>3</v>
      </c>
      <c r="F429" s="10"/>
      <c r="G429" s="10"/>
      <c r="H429" s="15"/>
      <c r="I429" s="2"/>
      <c r="J429" s="10" t="s">
        <v>7</v>
      </c>
      <c r="K429" s="10"/>
      <c r="L429" s="10"/>
      <c r="M429" s="10">
        <f t="shared" si="7"/>
        <v>3</v>
      </c>
      <c r="N429" s="10"/>
      <c r="O429" s="10"/>
      <c r="P429" s="15"/>
    </row>
    <row r="430" ht="16.5" spans="1:16">
      <c r="A430" s="2"/>
      <c r="B430" s="16" t="s">
        <v>8</v>
      </c>
      <c r="C430" s="16"/>
      <c r="D430" s="16"/>
      <c r="E430" s="16">
        <f>M370+1</f>
        <v>15</v>
      </c>
      <c r="F430" s="16"/>
      <c r="G430" s="16"/>
      <c r="H430" s="17"/>
      <c r="I430" s="2"/>
      <c r="J430" s="16" t="s">
        <v>8</v>
      </c>
      <c r="K430" s="16"/>
      <c r="L430" s="16"/>
      <c r="M430" s="16">
        <f>E430+1</f>
        <v>16</v>
      </c>
      <c r="N430" s="16"/>
      <c r="O430" s="16"/>
      <c r="P430" s="17"/>
    </row>
    <row r="431" ht="54" customHeight="1" spans="1:16">
      <c r="A431" s="19" t="s">
        <v>9</v>
      </c>
      <c r="B431" s="20"/>
      <c r="C431" s="21" t="s">
        <v>10</v>
      </c>
      <c r="D431" s="22" t="s">
        <v>11</v>
      </c>
      <c r="E431" s="23" t="s">
        <v>12</v>
      </c>
      <c r="F431" s="24" t="s">
        <v>13</v>
      </c>
      <c r="G431" s="25"/>
      <c r="H431" s="26" t="s">
        <v>14</v>
      </c>
      <c r="I431" s="19" t="s">
        <v>9</v>
      </c>
      <c r="J431" s="20"/>
      <c r="K431" s="21" t="s">
        <v>10</v>
      </c>
      <c r="L431" s="22" t="s">
        <v>11</v>
      </c>
      <c r="M431" s="23" t="s">
        <v>12</v>
      </c>
      <c r="N431" s="24" t="s">
        <v>13</v>
      </c>
      <c r="O431" s="25"/>
      <c r="P431" s="26" t="s">
        <v>14</v>
      </c>
    </row>
    <row r="432" ht="32.25" customHeight="1" spans="1:16">
      <c r="A432" s="27">
        <v>46363</v>
      </c>
      <c r="B432" s="28" t="s">
        <v>15</v>
      </c>
      <c r="C432" s="29" t="s">
        <v>16</v>
      </c>
      <c r="D432" s="30">
        <f>'[4]15нед'!S260</f>
        <v>0</v>
      </c>
      <c r="E432" s="31">
        <f>'[4]15нед'!T260</f>
        <v>0</v>
      </c>
      <c r="F432" s="32">
        <f>'[4]15нед'!W260</f>
        <v>0</v>
      </c>
      <c r="G432" s="33" t="str">
        <f>'[4]15нед'!X260</f>
        <v/>
      </c>
      <c r="H432" s="34"/>
      <c r="I432" s="27">
        <v>46370</v>
      </c>
      <c r="J432" s="35" t="s">
        <v>15</v>
      </c>
      <c r="K432" s="29" t="s">
        <v>16</v>
      </c>
      <c r="L432" s="30">
        <f>'[4]16нед'!S260</f>
        <v>0</v>
      </c>
      <c r="M432" s="31">
        <f>'[4]16нед'!T260</f>
        <v>0</v>
      </c>
      <c r="N432" s="32">
        <f>'[4]16нед'!W260</f>
        <v>0</v>
      </c>
      <c r="O432" s="33" t="str">
        <f>'[4]16нед'!X260</f>
        <v/>
      </c>
      <c r="P432" s="34"/>
    </row>
    <row r="433" ht="31.5" spans="1:16">
      <c r="A433" s="36"/>
      <c r="B433" s="37"/>
      <c r="C433" s="29" t="s">
        <v>17</v>
      </c>
      <c r="D433" s="38">
        <f>'[4]15нед'!S261</f>
        <v>0</v>
      </c>
      <c r="E433" s="39">
        <f>'[4]15нед'!T261</f>
        <v>0</v>
      </c>
      <c r="F433" s="40">
        <f>'[4]15нед'!W261</f>
        <v>0</v>
      </c>
      <c r="G433" s="41" t="str">
        <f>'[4]15нед'!X261</f>
        <v/>
      </c>
      <c r="H433" s="42"/>
      <c r="I433" s="43"/>
      <c r="J433" s="44"/>
      <c r="K433" s="29" t="s">
        <v>17</v>
      </c>
      <c r="L433" s="38">
        <f>'[4]16нед'!S261</f>
        <v>0</v>
      </c>
      <c r="M433" s="39">
        <f>'[4]16нед'!T261</f>
        <v>0</v>
      </c>
      <c r="N433" s="40">
        <f>'[4]16нед'!W261</f>
        <v>0</v>
      </c>
      <c r="O433" s="41" t="str">
        <f>'[4]16нед'!X261</f>
        <v/>
      </c>
      <c r="P433" s="42"/>
    </row>
    <row r="434" ht="31.5" spans="1:16">
      <c r="A434" s="36"/>
      <c r="B434" s="37"/>
      <c r="C434" s="29" t="s">
        <v>18</v>
      </c>
      <c r="D434" s="38">
        <f>'[4]15нед'!S262</f>
        <v>0</v>
      </c>
      <c r="E434" s="39">
        <f>'[4]15нед'!T262</f>
        <v>0</v>
      </c>
      <c r="F434" s="40">
        <f>'[4]15нед'!W262</f>
        <v>0</v>
      </c>
      <c r="G434" s="41" t="str">
        <f>'[4]15нед'!X262</f>
        <v/>
      </c>
      <c r="H434" s="42"/>
      <c r="I434" s="43"/>
      <c r="J434" s="44"/>
      <c r="K434" s="29" t="s">
        <v>18</v>
      </c>
      <c r="L434" s="38">
        <f>'[4]16нед'!S262</f>
        <v>0</v>
      </c>
      <c r="M434" s="39">
        <f>'[4]16нед'!T262</f>
        <v>0</v>
      </c>
      <c r="N434" s="40">
        <f>'[4]16нед'!W262</f>
        <v>0</v>
      </c>
      <c r="O434" s="41" t="str">
        <f>'[4]16нед'!X262</f>
        <v/>
      </c>
      <c r="P434" s="42"/>
    </row>
    <row r="435" ht="31.5" spans="1:16">
      <c r="A435" s="36"/>
      <c r="B435" s="37"/>
      <c r="C435" s="29" t="s">
        <v>19</v>
      </c>
      <c r="D435" s="38">
        <f>'[4]15нед'!S263</f>
        <v>0</v>
      </c>
      <c r="E435" s="39">
        <f>'[4]15нед'!T263</f>
        <v>0</v>
      </c>
      <c r="F435" s="40">
        <f>'[4]15нед'!W263</f>
        <v>0</v>
      </c>
      <c r="G435" s="41" t="str">
        <f>'[4]15нед'!X263</f>
        <v/>
      </c>
      <c r="H435" s="42"/>
      <c r="I435" s="43"/>
      <c r="J435" s="44"/>
      <c r="K435" s="29" t="s">
        <v>19</v>
      </c>
      <c r="L435" s="38">
        <f>'[4]16нед'!S263</f>
        <v>0</v>
      </c>
      <c r="M435" s="39">
        <f>'[4]16нед'!T263</f>
        <v>0</v>
      </c>
      <c r="N435" s="40">
        <f>'[4]16нед'!W263</f>
        <v>0</v>
      </c>
      <c r="O435" s="41" t="str">
        <f>'[4]16нед'!X263</f>
        <v/>
      </c>
      <c r="P435" s="42"/>
    </row>
    <row r="436" ht="31.5" spans="1:16">
      <c r="A436" s="36"/>
      <c r="B436" s="37"/>
      <c r="C436" s="29" t="s">
        <v>20</v>
      </c>
      <c r="D436" s="38">
        <f>'[4]15нед'!S264</f>
        <v>0</v>
      </c>
      <c r="E436" s="39">
        <f>'[4]15нед'!T264</f>
        <v>0</v>
      </c>
      <c r="F436" s="40">
        <f>'[4]15нед'!W264</f>
        <v>0</v>
      </c>
      <c r="G436" s="41" t="str">
        <f>'[4]15нед'!X264</f>
        <v/>
      </c>
      <c r="H436" s="42"/>
      <c r="I436" s="43"/>
      <c r="J436" s="44"/>
      <c r="K436" s="29" t="s">
        <v>20</v>
      </c>
      <c r="L436" s="38">
        <f>'[4]16нед'!S264</f>
        <v>0</v>
      </c>
      <c r="M436" s="39">
        <f>'[4]16нед'!T264</f>
        <v>0</v>
      </c>
      <c r="N436" s="40">
        <f>'[4]16нед'!W264</f>
        <v>0</v>
      </c>
      <c r="O436" s="41" t="str">
        <f>'[4]16нед'!X264</f>
        <v/>
      </c>
      <c r="P436" s="42"/>
    </row>
    <row r="437" ht="31.5" spans="1:16">
      <c r="A437" s="36"/>
      <c r="B437" s="37"/>
      <c r="C437" s="29" t="s">
        <v>21</v>
      </c>
      <c r="D437" s="38">
        <f>'[4]15нед'!S265</f>
        <v>0</v>
      </c>
      <c r="E437" s="39">
        <f>'[4]15нед'!T265</f>
        <v>0</v>
      </c>
      <c r="F437" s="40">
        <f>'[4]15нед'!W265</f>
        <v>0</v>
      </c>
      <c r="G437" s="41" t="str">
        <f>'[4]15нед'!X265</f>
        <v/>
      </c>
      <c r="H437" s="42"/>
      <c r="I437" s="43"/>
      <c r="J437" s="44"/>
      <c r="K437" s="29" t="s">
        <v>21</v>
      </c>
      <c r="L437" s="38">
        <f>'[4]16нед'!S265</f>
        <v>0</v>
      </c>
      <c r="M437" s="39">
        <f>'[4]16нед'!T265</f>
        <v>0</v>
      </c>
      <c r="N437" s="40">
        <f>'[4]16нед'!W265</f>
        <v>0</v>
      </c>
      <c r="O437" s="41" t="str">
        <f>'[4]16нед'!X265</f>
        <v/>
      </c>
      <c r="P437" s="42"/>
    </row>
    <row r="438" ht="32.25" spans="1:16">
      <c r="A438" s="36"/>
      <c r="B438" s="37"/>
      <c r="C438" s="29" t="s">
        <v>22</v>
      </c>
      <c r="D438" s="38">
        <f>'[4]15нед'!S266</f>
        <v>0</v>
      </c>
      <c r="E438" s="39">
        <f>'[4]15нед'!T266</f>
        <v>0</v>
      </c>
      <c r="F438" s="40">
        <f>'[4]15нед'!W266</f>
        <v>0</v>
      </c>
      <c r="G438" s="41" t="str">
        <f>'[4]15нед'!X266</f>
        <v/>
      </c>
      <c r="H438" s="42"/>
      <c r="I438" s="43"/>
      <c r="J438" s="44"/>
      <c r="K438" s="29" t="s">
        <v>22</v>
      </c>
      <c r="L438" s="38">
        <f>'[4]16нед'!S266</f>
        <v>0</v>
      </c>
      <c r="M438" s="39">
        <f>'[4]16нед'!T266</f>
        <v>0</v>
      </c>
      <c r="N438" s="40">
        <f>'[4]16нед'!W266</f>
        <v>0</v>
      </c>
      <c r="O438" s="41" t="str">
        <f>'[4]16нед'!X266</f>
        <v/>
      </c>
      <c r="P438" s="42"/>
    </row>
    <row r="439" ht="18.4" hidden="1" customHeight="1" spans="1:16">
      <c r="A439" s="45"/>
      <c r="B439" s="46"/>
      <c r="C439" s="47"/>
      <c r="D439" s="48">
        <f>'[4]15нед'!S267</f>
        <v>0</v>
      </c>
      <c r="E439" s="49">
        <f>'[4]15нед'!T267</f>
        <v>0</v>
      </c>
      <c r="F439" s="50">
        <f>'[4]15нед'!W267</f>
        <v>0</v>
      </c>
      <c r="G439" s="51" t="str">
        <f>'[4]15нед'!X267</f>
        <v/>
      </c>
      <c r="H439" s="52"/>
      <c r="I439" s="53"/>
      <c r="J439" s="54"/>
      <c r="K439" s="47"/>
      <c r="L439" s="48">
        <f>'[4]16нед'!S267</f>
        <v>0</v>
      </c>
      <c r="M439" s="49">
        <f>'[4]16нед'!T267</f>
        <v>0</v>
      </c>
      <c r="N439" s="50">
        <f>'[4]16нед'!W267</f>
        <v>0</v>
      </c>
      <c r="O439" s="51" t="str">
        <f>'[4]16нед'!X267</f>
        <v/>
      </c>
      <c r="P439" s="52"/>
    </row>
    <row r="440" ht="32.25" customHeight="1" spans="1:16">
      <c r="A440" s="27">
        <v>46364</v>
      </c>
      <c r="B440" s="28" t="s">
        <v>23</v>
      </c>
      <c r="C440" s="55" t="s">
        <v>16</v>
      </c>
      <c r="D440" s="30">
        <f>'[4]15нед'!S268</f>
        <v>0</v>
      </c>
      <c r="E440" s="31">
        <f>'[4]15нед'!T268</f>
        <v>0</v>
      </c>
      <c r="F440" s="32">
        <f>'[4]15нед'!W268</f>
        <v>0</v>
      </c>
      <c r="G440" s="33" t="str">
        <f>'[4]15нед'!X268</f>
        <v/>
      </c>
      <c r="H440" s="34"/>
      <c r="I440" s="27">
        <v>46371</v>
      </c>
      <c r="J440" s="35" t="s">
        <v>23</v>
      </c>
      <c r="K440" s="55" t="s">
        <v>16</v>
      </c>
      <c r="L440" s="30">
        <f>'[4]16нед'!S268</f>
        <v>0</v>
      </c>
      <c r="M440" s="31">
        <f>'[4]16нед'!T268</f>
        <v>0</v>
      </c>
      <c r="N440" s="32">
        <f>'[4]16нед'!W268</f>
        <v>0</v>
      </c>
      <c r="O440" s="33" t="str">
        <f>'[4]16нед'!X268</f>
        <v/>
      </c>
      <c r="P440" s="34"/>
    </row>
    <row r="441" ht="31.5" spans="1:16">
      <c r="A441" s="36"/>
      <c r="B441" s="37"/>
      <c r="C441" s="29" t="s">
        <v>17</v>
      </c>
      <c r="D441" s="38">
        <f>'[4]15нед'!S269</f>
        <v>0</v>
      </c>
      <c r="E441" s="39">
        <f>'[4]15нед'!T269</f>
        <v>0</v>
      </c>
      <c r="F441" s="40">
        <f>'[4]15нед'!W269</f>
        <v>0</v>
      </c>
      <c r="G441" s="41" t="str">
        <f>'[4]15нед'!X269</f>
        <v/>
      </c>
      <c r="H441" s="42"/>
      <c r="I441" s="43"/>
      <c r="J441" s="44"/>
      <c r="K441" s="29" t="s">
        <v>17</v>
      </c>
      <c r="L441" s="38">
        <f>'[4]16нед'!S269</f>
        <v>0</v>
      </c>
      <c r="M441" s="39">
        <f>'[4]16нед'!T269</f>
        <v>0</v>
      </c>
      <c r="N441" s="40">
        <f>'[4]16нед'!W269</f>
        <v>0</v>
      </c>
      <c r="O441" s="41" t="str">
        <f>'[4]16нед'!X269</f>
        <v/>
      </c>
      <c r="P441" s="42"/>
    </row>
    <row r="442" ht="31.5" spans="1:16">
      <c r="A442" s="36"/>
      <c r="B442" s="37"/>
      <c r="C442" s="29" t="s">
        <v>18</v>
      </c>
      <c r="D442" s="38">
        <f>'[4]15нед'!S270</f>
        <v>0</v>
      </c>
      <c r="E442" s="39">
        <f>'[4]15нед'!T270</f>
        <v>0</v>
      </c>
      <c r="F442" s="40">
        <f>'[4]15нед'!W270</f>
        <v>0</v>
      </c>
      <c r="G442" s="41" t="str">
        <f>'[4]15нед'!X270</f>
        <v/>
      </c>
      <c r="H442" s="42"/>
      <c r="I442" s="43"/>
      <c r="J442" s="44"/>
      <c r="K442" s="29" t="s">
        <v>18</v>
      </c>
      <c r="L442" s="38">
        <f>'[4]16нед'!S270</f>
        <v>0</v>
      </c>
      <c r="M442" s="39">
        <f>'[4]16нед'!T270</f>
        <v>0</v>
      </c>
      <c r="N442" s="40">
        <f>'[4]16нед'!W270</f>
        <v>0</v>
      </c>
      <c r="O442" s="41" t="str">
        <f>'[4]16нед'!X270</f>
        <v/>
      </c>
      <c r="P442" s="42"/>
    </row>
    <row r="443" ht="31.5" spans="1:16">
      <c r="A443" s="36"/>
      <c r="B443" s="37"/>
      <c r="C443" s="29" t="s">
        <v>19</v>
      </c>
      <c r="D443" s="38">
        <f>'[4]15нед'!S271</f>
        <v>0</v>
      </c>
      <c r="E443" s="39">
        <f>'[4]15нед'!T271</f>
        <v>0</v>
      </c>
      <c r="F443" s="40">
        <f>'[4]15нед'!W271</f>
        <v>0</v>
      </c>
      <c r="G443" s="41" t="str">
        <f>'[4]15нед'!X271</f>
        <v/>
      </c>
      <c r="H443" s="42"/>
      <c r="I443" s="43"/>
      <c r="J443" s="44"/>
      <c r="K443" s="29" t="s">
        <v>19</v>
      </c>
      <c r="L443" s="38">
        <f>'[4]16нед'!S271</f>
        <v>0</v>
      </c>
      <c r="M443" s="39">
        <f>'[4]16нед'!T271</f>
        <v>0</v>
      </c>
      <c r="N443" s="40">
        <f>'[4]16нед'!W271</f>
        <v>0</v>
      </c>
      <c r="O443" s="41" t="str">
        <f>'[4]16нед'!X271</f>
        <v/>
      </c>
      <c r="P443" s="42"/>
    </row>
    <row r="444" ht="31.5" spans="1:16">
      <c r="A444" s="36"/>
      <c r="B444" s="37"/>
      <c r="C444" s="29" t="s">
        <v>20</v>
      </c>
      <c r="D444" s="38">
        <f>'[4]15нед'!S272</f>
        <v>0</v>
      </c>
      <c r="E444" s="39">
        <f>'[4]15нед'!T272</f>
        <v>0</v>
      </c>
      <c r="F444" s="40">
        <f>'[4]15нед'!W272</f>
        <v>0</v>
      </c>
      <c r="G444" s="41" t="str">
        <f>'[4]15нед'!X272</f>
        <v/>
      </c>
      <c r="H444" s="42"/>
      <c r="I444" s="43"/>
      <c r="J444" s="44"/>
      <c r="K444" s="29" t="s">
        <v>20</v>
      </c>
      <c r="L444" s="38">
        <f>'[4]16нед'!S272</f>
        <v>0</v>
      </c>
      <c r="M444" s="39">
        <f>'[4]16нед'!T272</f>
        <v>0</v>
      </c>
      <c r="N444" s="40">
        <f>'[4]16нед'!W272</f>
        <v>0</v>
      </c>
      <c r="O444" s="41" t="str">
        <f>'[4]16нед'!X272</f>
        <v/>
      </c>
      <c r="P444" s="42"/>
    </row>
    <row r="445" ht="31.5" spans="1:16">
      <c r="A445" s="36"/>
      <c r="B445" s="37"/>
      <c r="C445" s="29" t="s">
        <v>21</v>
      </c>
      <c r="D445" s="38">
        <f>'[4]15нед'!S273</f>
        <v>0</v>
      </c>
      <c r="E445" s="39">
        <f>'[4]15нед'!T273</f>
        <v>0</v>
      </c>
      <c r="F445" s="40">
        <f>'[4]15нед'!W273</f>
        <v>0</v>
      </c>
      <c r="G445" s="41" t="str">
        <f>'[4]15нед'!X273</f>
        <v/>
      </c>
      <c r="H445" s="56"/>
      <c r="I445" s="43"/>
      <c r="J445" s="44"/>
      <c r="K445" s="29" t="s">
        <v>21</v>
      </c>
      <c r="L445" s="38">
        <f>'[4]16нед'!S273</f>
        <v>0</v>
      </c>
      <c r="M445" s="39">
        <f>'[4]16нед'!T273</f>
        <v>0</v>
      </c>
      <c r="N445" s="40">
        <f>'[4]16нед'!W273</f>
        <v>0</v>
      </c>
      <c r="O445" s="41" t="str">
        <f>'[4]16нед'!X273</f>
        <v/>
      </c>
      <c r="P445" s="56"/>
    </row>
    <row r="446" ht="32.25" spans="1:16">
      <c r="A446" s="36"/>
      <c r="B446" s="37"/>
      <c r="C446" s="29" t="s">
        <v>22</v>
      </c>
      <c r="D446" s="38">
        <f>'[4]15нед'!S274</f>
        <v>0</v>
      </c>
      <c r="E446" s="39">
        <f>'[4]15нед'!T274</f>
        <v>0</v>
      </c>
      <c r="F446" s="40">
        <f>'[4]15нед'!W274</f>
        <v>0</v>
      </c>
      <c r="G446" s="41" t="str">
        <f>'[4]15нед'!X274</f>
        <v/>
      </c>
      <c r="H446" s="56"/>
      <c r="I446" s="43"/>
      <c r="J446" s="44"/>
      <c r="K446" s="29" t="s">
        <v>22</v>
      </c>
      <c r="L446" s="38">
        <f>'[4]16нед'!S274</f>
        <v>0</v>
      </c>
      <c r="M446" s="39">
        <f>'[4]16нед'!T274</f>
        <v>0</v>
      </c>
      <c r="N446" s="40">
        <f>'[4]16нед'!W274</f>
        <v>0</v>
      </c>
      <c r="O446" s="41" t="str">
        <f>'[4]16нед'!X274</f>
        <v/>
      </c>
      <c r="P446" s="56"/>
    </row>
    <row r="447" ht="18.4" hidden="1" customHeight="1" spans="1:16">
      <c r="A447" s="45"/>
      <c r="B447" s="46"/>
      <c r="C447" s="47"/>
      <c r="D447" s="48">
        <f>'[4]15нед'!S275</f>
        <v>0</v>
      </c>
      <c r="E447" s="49">
        <f>'[4]15нед'!T275</f>
        <v>0</v>
      </c>
      <c r="F447" s="50">
        <f>'[4]15нед'!W275</f>
        <v>0</v>
      </c>
      <c r="G447" s="51" t="str">
        <f>'[4]15нед'!X275</f>
        <v/>
      </c>
      <c r="H447" s="52"/>
      <c r="I447" s="53"/>
      <c r="J447" s="54"/>
      <c r="K447" s="47"/>
      <c r="L447" s="48">
        <f>'[4]16нед'!S275</f>
        <v>0</v>
      </c>
      <c r="M447" s="49">
        <f>'[4]16нед'!T275</f>
        <v>0</v>
      </c>
      <c r="N447" s="50">
        <f>'[4]16нед'!W275</f>
        <v>0</v>
      </c>
      <c r="O447" s="51" t="str">
        <f>'[4]16нед'!X275</f>
        <v/>
      </c>
      <c r="P447" s="52"/>
    </row>
    <row r="448" ht="48" customHeight="1" spans="1:16">
      <c r="A448" s="27">
        <v>46365</v>
      </c>
      <c r="B448" s="57" t="s">
        <v>24</v>
      </c>
      <c r="C448" s="55" t="s">
        <v>16</v>
      </c>
      <c r="D448" s="30">
        <f>'[4]15нед'!S276</f>
        <v>0</v>
      </c>
      <c r="E448" s="31">
        <f>'[4]15нед'!T276</f>
        <v>0</v>
      </c>
      <c r="F448" s="32">
        <f>'[4]15нед'!W276</f>
        <v>0</v>
      </c>
      <c r="G448" s="33" t="str">
        <f>'[4]15нед'!X276</f>
        <v/>
      </c>
      <c r="H448" s="34"/>
      <c r="I448" s="27">
        <v>46372</v>
      </c>
      <c r="J448" s="58" t="s">
        <v>24</v>
      </c>
      <c r="K448" s="55" t="s">
        <v>16</v>
      </c>
      <c r="L448" s="30">
        <f>'[4]16нед'!S276</f>
        <v>0</v>
      </c>
      <c r="M448" s="31">
        <f>'[4]16нед'!T276</f>
        <v>0</v>
      </c>
      <c r="N448" s="32">
        <f>'[4]16нед'!W276</f>
        <v>0</v>
      </c>
      <c r="O448" s="33" t="str">
        <f>'[4]16нед'!X276</f>
        <v/>
      </c>
      <c r="P448" s="34"/>
    </row>
    <row r="449" ht="31.5" spans="1:16">
      <c r="A449" s="36"/>
      <c r="B449" s="59"/>
      <c r="C449" s="29" t="s">
        <v>17</v>
      </c>
      <c r="D449" s="38">
        <f>'[4]15нед'!S277</f>
        <v>0</v>
      </c>
      <c r="E449" s="39">
        <f>'[4]15нед'!T277</f>
        <v>0</v>
      </c>
      <c r="F449" s="40">
        <f>'[4]15нед'!W277</f>
        <v>0</v>
      </c>
      <c r="G449" s="41" t="str">
        <f>'[4]15нед'!X277</f>
        <v/>
      </c>
      <c r="H449" s="42"/>
      <c r="I449" s="43"/>
      <c r="J449" s="60"/>
      <c r="K449" s="29" t="s">
        <v>17</v>
      </c>
      <c r="L449" s="38">
        <f>'[4]16нед'!S277</f>
        <v>0</v>
      </c>
      <c r="M449" s="39">
        <f>'[4]16нед'!T277</f>
        <v>0</v>
      </c>
      <c r="N449" s="40">
        <f>'[4]16нед'!W277</f>
        <v>0</v>
      </c>
      <c r="O449" s="41" t="str">
        <f>'[4]16нед'!X277</f>
        <v/>
      </c>
      <c r="P449" s="42"/>
    </row>
    <row r="450" ht="31.5" spans="1:16">
      <c r="A450" s="36"/>
      <c r="B450" s="59"/>
      <c r="C450" s="29" t="s">
        <v>18</v>
      </c>
      <c r="D450" s="38">
        <f>'[4]15нед'!S278</f>
        <v>0</v>
      </c>
      <c r="E450" s="39">
        <f>'[4]15нед'!T278</f>
        <v>0</v>
      </c>
      <c r="F450" s="40">
        <f>'[4]15нед'!W278</f>
        <v>0</v>
      </c>
      <c r="G450" s="41" t="str">
        <f>'[4]15нед'!X278</f>
        <v/>
      </c>
      <c r="H450" s="42"/>
      <c r="I450" s="43"/>
      <c r="J450" s="60"/>
      <c r="K450" s="29" t="s">
        <v>18</v>
      </c>
      <c r="L450" s="38">
        <f>'[4]16нед'!S278</f>
        <v>0</v>
      </c>
      <c r="M450" s="39">
        <f>'[4]16нед'!T278</f>
        <v>0</v>
      </c>
      <c r="N450" s="40">
        <f>'[4]16нед'!W278</f>
        <v>0</v>
      </c>
      <c r="O450" s="41" t="str">
        <f>'[4]16нед'!X278</f>
        <v/>
      </c>
      <c r="P450" s="42"/>
    </row>
    <row r="451" ht="31.5" spans="1:16">
      <c r="A451" s="36"/>
      <c r="B451" s="59"/>
      <c r="C451" s="29" t="s">
        <v>19</v>
      </c>
      <c r="D451" s="38">
        <f>'[4]15нед'!S279</f>
        <v>0</v>
      </c>
      <c r="E451" s="39">
        <f>'[4]15нед'!T279</f>
        <v>0</v>
      </c>
      <c r="F451" s="40">
        <f>'[4]15нед'!W279</f>
        <v>0</v>
      </c>
      <c r="G451" s="41" t="str">
        <f>'[4]15нед'!X279</f>
        <v/>
      </c>
      <c r="H451" s="42"/>
      <c r="I451" s="43"/>
      <c r="J451" s="60"/>
      <c r="K451" s="29" t="s">
        <v>19</v>
      </c>
      <c r="L451" s="38">
        <f>'[4]16нед'!S279</f>
        <v>0</v>
      </c>
      <c r="M451" s="39">
        <f>'[4]16нед'!T279</f>
        <v>0</v>
      </c>
      <c r="N451" s="40">
        <f>'[4]16нед'!W279</f>
        <v>0</v>
      </c>
      <c r="O451" s="41" t="str">
        <f>'[4]16нед'!X279</f>
        <v/>
      </c>
      <c r="P451" s="42"/>
    </row>
    <row r="452" ht="31.5" spans="1:16">
      <c r="A452" s="36"/>
      <c r="B452" s="59"/>
      <c r="C452" s="29" t="s">
        <v>20</v>
      </c>
      <c r="D452" s="38">
        <f>'[4]15нед'!S280</f>
        <v>0</v>
      </c>
      <c r="E452" s="39">
        <f>'[4]15нед'!T280</f>
        <v>0</v>
      </c>
      <c r="F452" s="40">
        <f>'[4]15нед'!W280</f>
        <v>0</v>
      </c>
      <c r="G452" s="41" t="str">
        <f>'[4]15нед'!X280</f>
        <v/>
      </c>
      <c r="H452" s="42"/>
      <c r="I452" s="43"/>
      <c r="J452" s="60"/>
      <c r="K452" s="29" t="s">
        <v>20</v>
      </c>
      <c r="L452" s="38">
        <f>'[4]16нед'!S280</f>
        <v>0</v>
      </c>
      <c r="M452" s="39">
        <f>'[4]16нед'!T280</f>
        <v>0</v>
      </c>
      <c r="N452" s="40">
        <f>'[4]16нед'!W280</f>
        <v>0</v>
      </c>
      <c r="O452" s="41" t="str">
        <f>'[4]16нед'!X280</f>
        <v/>
      </c>
      <c r="P452" s="42"/>
    </row>
    <row r="453" ht="31.5" spans="1:16">
      <c r="A453" s="36"/>
      <c r="B453" s="59"/>
      <c r="C453" s="29" t="s">
        <v>21</v>
      </c>
      <c r="D453" s="38">
        <f>'[4]15нед'!S281</f>
        <v>0</v>
      </c>
      <c r="E453" s="39">
        <f>'[4]15нед'!T281</f>
        <v>0</v>
      </c>
      <c r="F453" s="40">
        <f>'[4]15нед'!W281</f>
        <v>0</v>
      </c>
      <c r="G453" s="41" t="str">
        <f>'[4]15нед'!X281</f>
        <v/>
      </c>
      <c r="H453" s="56"/>
      <c r="I453" s="43"/>
      <c r="J453" s="60"/>
      <c r="K453" s="29" t="s">
        <v>21</v>
      </c>
      <c r="L453" s="38">
        <f>'[4]16нед'!S281</f>
        <v>0</v>
      </c>
      <c r="M453" s="39">
        <f>'[4]16нед'!T281</f>
        <v>0</v>
      </c>
      <c r="N453" s="40">
        <f>'[4]16нед'!W281</f>
        <v>0</v>
      </c>
      <c r="O453" s="41" t="str">
        <f>'[4]16нед'!X281</f>
        <v/>
      </c>
      <c r="P453" s="56"/>
    </row>
    <row r="454" ht="32.25" spans="1:16">
      <c r="A454" s="36"/>
      <c r="B454" s="59"/>
      <c r="C454" s="29" t="s">
        <v>22</v>
      </c>
      <c r="D454" s="38">
        <f>'[4]15нед'!S282</f>
        <v>0</v>
      </c>
      <c r="E454" s="39">
        <f>'[4]15нед'!T282</f>
        <v>0</v>
      </c>
      <c r="F454" s="40">
        <f>'[4]15нед'!W282</f>
        <v>0</v>
      </c>
      <c r="G454" s="41" t="str">
        <f>'[4]15нед'!X282</f>
        <v/>
      </c>
      <c r="H454" s="56"/>
      <c r="I454" s="43"/>
      <c r="J454" s="60"/>
      <c r="K454" s="29" t="s">
        <v>22</v>
      </c>
      <c r="L454" s="38">
        <f>'[4]16нед'!S282</f>
        <v>0</v>
      </c>
      <c r="M454" s="39">
        <f>'[4]16нед'!T282</f>
        <v>0</v>
      </c>
      <c r="N454" s="40">
        <f>'[4]16нед'!W282</f>
        <v>0</v>
      </c>
      <c r="O454" s="41" t="str">
        <f>'[4]16нед'!X282</f>
        <v/>
      </c>
      <c r="P454" s="56"/>
    </row>
    <row r="455" ht="18.4" hidden="1" customHeight="1" spans="1:16">
      <c r="A455" s="45"/>
      <c r="B455" s="61"/>
      <c r="C455" s="47"/>
      <c r="D455" s="48">
        <f>'[4]15нед'!S283</f>
        <v>0</v>
      </c>
      <c r="E455" s="49">
        <f>'[4]15нед'!T283</f>
        <v>0</v>
      </c>
      <c r="F455" s="50">
        <f>'[4]15нед'!W283</f>
        <v>0</v>
      </c>
      <c r="G455" s="51" t="str">
        <f>'[4]15нед'!X283</f>
        <v/>
      </c>
      <c r="H455" s="52"/>
      <c r="I455" s="53"/>
      <c r="J455" s="62"/>
      <c r="K455" s="47"/>
      <c r="L455" s="48">
        <f>'[4]16нед'!S283</f>
        <v>0</v>
      </c>
      <c r="M455" s="49">
        <f>'[4]16нед'!T283</f>
        <v>0</v>
      </c>
      <c r="N455" s="50">
        <f>'[4]16нед'!W283</f>
        <v>0</v>
      </c>
      <c r="O455" s="51" t="str">
        <f>'[4]16нед'!X283</f>
        <v/>
      </c>
      <c r="P455" s="52"/>
    </row>
    <row r="456" ht="48" customHeight="1" spans="1:16">
      <c r="A456" s="27">
        <v>46366</v>
      </c>
      <c r="B456" s="28" t="s">
        <v>25</v>
      </c>
      <c r="C456" s="55" t="s">
        <v>16</v>
      </c>
      <c r="D456" s="30">
        <f>'[4]15нед'!S284</f>
        <v>0</v>
      </c>
      <c r="E456" s="31">
        <f>'[4]15нед'!T284</f>
        <v>0</v>
      </c>
      <c r="F456" s="32">
        <f>'[4]15нед'!W284</f>
        <v>0</v>
      </c>
      <c r="G456" s="33" t="str">
        <f>'[4]15нед'!X284</f>
        <v/>
      </c>
      <c r="H456" s="34"/>
      <c r="I456" s="27">
        <v>46373</v>
      </c>
      <c r="J456" s="35" t="s">
        <v>25</v>
      </c>
      <c r="K456" s="55" t="s">
        <v>16</v>
      </c>
      <c r="L456" s="30">
        <f>'[4]16нед'!S284</f>
        <v>0</v>
      </c>
      <c r="M456" s="31">
        <f>'[4]16нед'!T284</f>
        <v>0</v>
      </c>
      <c r="N456" s="32">
        <f>'[4]16нед'!W284</f>
        <v>0</v>
      </c>
      <c r="O456" s="33" t="str">
        <f>'[4]16нед'!X284</f>
        <v/>
      </c>
      <c r="P456" s="34"/>
    </row>
    <row r="457" ht="31.5" spans="1:16">
      <c r="A457" s="36"/>
      <c r="B457" s="37"/>
      <c r="C457" s="29" t="s">
        <v>17</v>
      </c>
      <c r="D457" s="38">
        <f>'[4]15нед'!S285</f>
        <v>0</v>
      </c>
      <c r="E457" s="39">
        <f>'[4]15нед'!T285</f>
        <v>0</v>
      </c>
      <c r="F457" s="40">
        <f>'[4]15нед'!W285</f>
        <v>0</v>
      </c>
      <c r="G457" s="41" t="str">
        <f>'[4]15нед'!X285</f>
        <v/>
      </c>
      <c r="H457" s="42"/>
      <c r="I457" s="43"/>
      <c r="J457" s="44"/>
      <c r="K457" s="29" t="s">
        <v>17</v>
      </c>
      <c r="L457" s="38">
        <f>'[4]16нед'!S285</f>
        <v>0</v>
      </c>
      <c r="M457" s="39">
        <f>'[4]16нед'!T285</f>
        <v>0</v>
      </c>
      <c r="N457" s="40">
        <f>'[4]16нед'!W285</f>
        <v>0</v>
      </c>
      <c r="O457" s="41" t="str">
        <f>'[4]16нед'!X285</f>
        <v/>
      </c>
      <c r="P457" s="42"/>
    </row>
    <row r="458" ht="31.5" spans="1:16">
      <c r="A458" s="36"/>
      <c r="B458" s="37"/>
      <c r="C458" s="29" t="s">
        <v>18</v>
      </c>
      <c r="D458" s="38">
        <f>'[4]15нед'!S286</f>
        <v>0</v>
      </c>
      <c r="E458" s="39">
        <f>'[4]15нед'!T286</f>
        <v>0</v>
      </c>
      <c r="F458" s="40">
        <f>'[4]15нед'!W286</f>
        <v>0</v>
      </c>
      <c r="G458" s="41" t="str">
        <f>'[4]15нед'!X286</f>
        <v/>
      </c>
      <c r="H458" s="42"/>
      <c r="I458" s="43"/>
      <c r="J458" s="44"/>
      <c r="K458" s="29" t="s">
        <v>18</v>
      </c>
      <c r="L458" s="38">
        <f>'[4]16нед'!S286</f>
        <v>0</v>
      </c>
      <c r="M458" s="39">
        <f>'[4]16нед'!T286</f>
        <v>0</v>
      </c>
      <c r="N458" s="40">
        <f>'[4]16нед'!W286</f>
        <v>0</v>
      </c>
      <c r="O458" s="41" t="str">
        <f>'[4]16нед'!X286</f>
        <v/>
      </c>
      <c r="P458" s="42"/>
    </row>
    <row r="459" ht="31.5" spans="1:16">
      <c r="A459" s="36"/>
      <c r="B459" s="37"/>
      <c r="C459" s="29" t="s">
        <v>19</v>
      </c>
      <c r="D459" s="38">
        <f>'[4]15нед'!S287</f>
        <v>0</v>
      </c>
      <c r="E459" s="39">
        <f>'[4]15нед'!T287</f>
        <v>0</v>
      </c>
      <c r="F459" s="40">
        <f>'[4]15нед'!W287</f>
        <v>0</v>
      </c>
      <c r="G459" s="41" t="str">
        <f>'[4]15нед'!X287</f>
        <v/>
      </c>
      <c r="H459" s="42"/>
      <c r="I459" s="43"/>
      <c r="J459" s="44"/>
      <c r="K459" s="29" t="s">
        <v>19</v>
      </c>
      <c r="L459" s="38">
        <f>'[4]16нед'!S287</f>
        <v>0</v>
      </c>
      <c r="M459" s="39">
        <f>'[4]16нед'!T287</f>
        <v>0</v>
      </c>
      <c r="N459" s="40">
        <f>'[4]16нед'!W287</f>
        <v>0</v>
      </c>
      <c r="O459" s="41" t="str">
        <f>'[4]16нед'!X287</f>
        <v/>
      </c>
      <c r="P459" s="42"/>
    </row>
    <row r="460" ht="31.5" spans="1:16">
      <c r="A460" s="36"/>
      <c r="B460" s="37"/>
      <c r="C460" s="29" t="s">
        <v>20</v>
      </c>
      <c r="D460" s="38">
        <f>'[4]15нед'!S288</f>
        <v>0</v>
      </c>
      <c r="E460" s="39">
        <f>'[4]15нед'!T288</f>
        <v>0</v>
      </c>
      <c r="F460" s="40">
        <f>'[4]15нед'!W288</f>
        <v>0</v>
      </c>
      <c r="G460" s="41" t="str">
        <f>'[4]15нед'!X288</f>
        <v/>
      </c>
      <c r="H460" s="42"/>
      <c r="I460" s="43"/>
      <c r="J460" s="44"/>
      <c r="K460" s="29" t="s">
        <v>20</v>
      </c>
      <c r="L460" s="38">
        <f>'[4]16нед'!S288</f>
        <v>0</v>
      </c>
      <c r="M460" s="39">
        <f>'[4]16нед'!T288</f>
        <v>0</v>
      </c>
      <c r="N460" s="40">
        <f>'[4]16нед'!W288</f>
        <v>0</v>
      </c>
      <c r="O460" s="41" t="str">
        <f>'[4]16нед'!X288</f>
        <v/>
      </c>
      <c r="P460" s="42"/>
    </row>
    <row r="461" ht="31.5" spans="1:16">
      <c r="A461" s="36"/>
      <c r="B461" s="37"/>
      <c r="C461" s="29" t="s">
        <v>21</v>
      </c>
      <c r="D461" s="38">
        <f>'[4]15нед'!S289</f>
        <v>0</v>
      </c>
      <c r="E461" s="39">
        <f>'[4]15нед'!T289</f>
        <v>0</v>
      </c>
      <c r="F461" s="40">
        <f>'[4]15нед'!W289</f>
        <v>0</v>
      </c>
      <c r="G461" s="41" t="str">
        <f>'[4]15нед'!X289</f>
        <v/>
      </c>
      <c r="H461" s="56"/>
      <c r="I461" s="43"/>
      <c r="J461" s="44"/>
      <c r="K461" s="29" t="s">
        <v>21</v>
      </c>
      <c r="L461" s="38">
        <f>'[4]16нед'!S289</f>
        <v>0</v>
      </c>
      <c r="M461" s="39">
        <f>'[4]16нед'!T289</f>
        <v>0</v>
      </c>
      <c r="N461" s="40">
        <f>'[4]16нед'!W289</f>
        <v>0</v>
      </c>
      <c r="O461" s="41" t="str">
        <f>'[4]16нед'!X289</f>
        <v/>
      </c>
      <c r="P461" s="56"/>
    </row>
    <row r="462" ht="32.25" spans="1:16">
      <c r="A462" s="36"/>
      <c r="B462" s="37"/>
      <c r="C462" s="29" t="s">
        <v>22</v>
      </c>
      <c r="D462" s="38">
        <f>'[4]15нед'!S290</f>
        <v>0</v>
      </c>
      <c r="E462" s="39">
        <f>'[4]15нед'!T290</f>
        <v>0</v>
      </c>
      <c r="F462" s="40">
        <f>'[4]15нед'!W290</f>
        <v>0</v>
      </c>
      <c r="G462" s="41" t="str">
        <f>'[4]15нед'!X290</f>
        <v/>
      </c>
      <c r="H462" s="56"/>
      <c r="I462" s="43"/>
      <c r="J462" s="44"/>
      <c r="K462" s="29" t="s">
        <v>22</v>
      </c>
      <c r="L462" s="38">
        <f>'[4]16нед'!S290</f>
        <v>0</v>
      </c>
      <c r="M462" s="39">
        <f>'[4]16нед'!T290</f>
        <v>0</v>
      </c>
      <c r="N462" s="40">
        <f>'[4]16нед'!W290</f>
        <v>0</v>
      </c>
      <c r="O462" s="41" t="str">
        <f>'[4]16нед'!X290</f>
        <v/>
      </c>
      <c r="P462" s="56"/>
    </row>
    <row r="463" ht="18.4" hidden="1" customHeight="1" spans="1:16">
      <c r="A463" s="45"/>
      <c r="B463" s="46"/>
      <c r="C463" s="47"/>
      <c r="D463" s="48">
        <f>'[4]15нед'!S291</f>
        <v>0</v>
      </c>
      <c r="E463" s="49">
        <f>'[4]15нед'!T291</f>
        <v>0</v>
      </c>
      <c r="F463" s="50">
        <f>'[4]15нед'!W291</f>
        <v>0</v>
      </c>
      <c r="G463" s="51" t="str">
        <f>'[4]15нед'!X291</f>
        <v/>
      </c>
      <c r="H463" s="52"/>
      <c r="I463" s="53"/>
      <c r="J463" s="54"/>
      <c r="K463" s="47"/>
      <c r="L463" s="48">
        <f>'[4]16нед'!S291</f>
        <v>0</v>
      </c>
      <c r="M463" s="49">
        <f>'[4]16нед'!T291</f>
        <v>0</v>
      </c>
      <c r="N463" s="50">
        <f>'[4]16нед'!W291</f>
        <v>0</v>
      </c>
      <c r="O463" s="51" t="str">
        <f>'[4]16нед'!X291</f>
        <v/>
      </c>
      <c r="P463" s="52"/>
    </row>
    <row r="464" ht="48" customHeight="1" spans="1:16">
      <c r="A464" s="27">
        <v>46367</v>
      </c>
      <c r="B464" s="28" t="s">
        <v>26</v>
      </c>
      <c r="C464" s="55" t="s">
        <v>16</v>
      </c>
      <c r="D464" s="30">
        <f>'[4]15нед'!S292</f>
        <v>0</v>
      </c>
      <c r="E464" s="31">
        <f>'[4]15нед'!T292</f>
        <v>0</v>
      </c>
      <c r="F464" s="32">
        <f>'[4]15нед'!W292</f>
        <v>0</v>
      </c>
      <c r="G464" s="33" t="str">
        <f>'[4]15нед'!X292</f>
        <v/>
      </c>
      <c r="H464" s="34"/>
      <c r="I464" s="27">
        <v>46374</v>
      </c>
      <c r="J464" s="35" t="s">
        <v>26</v>
      </c>
      <c r="K464" s="55" t="s">
        <v>16</v>
      </c>
      <c r="L464" s="30">
        <f>'[4]16нед'!S292</f>
        <v>0</v>
      </c>
      <c r="M464" s="31">
        <f>'[4]16нед'!T292</f>
        <v>0</v>
      </c>
      <c r="N464" s="32">
        <f>'[4]16нед'!W292</f>
        <v>0</v>
      </c>
      <c r="O464" s="33" t="str">
        <f>'[4]16нед'!X292</f>
        <v/>
      </c>
      <c r="P464" s="34"/>
    </row>
    <row r="465" ht="31.5" spans="1:16">
      <c r="A465" s="36"/>
      <c r="B465" s="37"/>
      <c r="C465" s="29" t="s">
        <v>17</v>
      </c>
      <c r="D465" s="38">
        <f>'[4]15нед'!S293</f>
        <v>0</v>
      </c>
      <c r="E465" s="39">
        <f>'[4]15нед'!T293</f>
        <v>0</v>
      </c>
      <c r="F465" s="40">
        <f>'[4]15нед'!W293</f>
        <v>0</v>
      </c>
      <c r="G465" s="41" t="str">
        <f>'[4]15нед'!X293</f>
        <v/>
      </c>
      <c r="H465" s="42"/>
      <c r="I465" s="43"/>
      <c r="J465" s="44"/>
      <c r="K465" s="29" t="s">
        <v>17</v>
      </c>
      <c r="L465" s="38">
        <f>'[4]16нед'!S293</f>
        <v>0</v>
      </c>
      <c r="M465" s="39">
        <f>'[4]16нед'!T293</f>
        <v>0</v>
      </c>
      <c r="N465" s="40">
        <f>'[4]16нед'!W293</f>
        <v>0</v>
      </c>
      <c r="O465" s="41" t="str">
        <f>'[4]16нед'!X293</f>
        <v/>
      </c>
      <c r="P465" s="42"/>
    </row>
    <row r="466" ht="31.5" spans="1:16">
      <c r="A466" s="36"/>
      <c r="B466" s="37"/>
      <c r="C466" s="29" t="s">
        <v>18</v>
      </c>
      <c r="D466" s="38">
        <f>'[4]15нед'!S294</f>
        <v>0</v>
      </c>
      <c r="E466" s="39">
        <f>'[4]15нед'!T294</f>
        <v>0</v>
      </c>
      <c r="F466" s="40">
        <f>'[4]15нед'!W294</f>
        <v>0</v>
      </c>
      <c r="G466" s="41" t="str">
        <f>'[4]15нед'!X294</f>
        <v/>
      </c>
      <c r="H466" s="42"/>
      <c r="I466" s="43"/>
      <c r="J466" s="44"/>
      <c r="K466" s="29" t="s">
        <v>18</v>
      </c>
      <c r="L466" s="38">
        <f>'[4]16нед'!S294</f>
        <v>0</v>
      </c>
      <c r="M466" s="39">
        <f>'[4]16нед'!T294</f>
        <v>0</v>
      </c>
      <c r="N466" s="40">
        <f>'[4]16нед'!W294</f>
        <v>0</v>
      </c>
      <c r="O466" s="41" t="str">
        <f>'[4]16нед'!X294</f>
        <v/>
      </c>
      <c r="P466" s="42"/>
    </row>
    <row r="467" ht="31.5" spans="1:16">
      <c r="A467" s="36"/>
      <c r="B467" s="37"/>
      <c r="C467" s="29" t="s">
        <v>19</v>
      </c>
      <c r="D467" s="38">
        <f>'[4]15нед'!S295</f>
        <v>0</v>
      </c>
      <c r="E467" s="39">
        <f>'[4]15нед'!T295</f>
        <v>0</v>
      </c>
      <c r="F467" s="40">
        <f>'[4]15нед'!W295</f>
        <v>0</v>
      </c>
      <c r="G467" s="41" t="str">
        <f>'[4]15нед'!X295</f>
        <v/>
      </c>
      <c r="H467" s="42"/>
      <c r="I467" s="43"/>
      <c r="J467" s="44"/>
      <c r="K467" s="29" t="s">
        <v>19</v>
      </c>
      <c r="L467" s="38">
        <f>'[4]16нед'!S295</f>
        <v>0</v>
      </c>
      <c r="M467" s="39">
        <f>'[4]16нед'!T295</f>
        <v>0</v>
      </c>
      <c r="N467" s="40">
        <f>'[4]16нед'!W295</f>
        <v>0</v>
      </c>
      <c r="O467" s="41" t="str">
        <f>'[4]16нед'!X295</f>
        <v/>
      </c>
      <c r="P467" s="42"/>
    </row>
    <row r="468" ht="31.5" spans="1:16">
      <c r="A468" s="36"/>
      <c r="B468" s="37"/>
      <c r="C468" s="29" t="s">
        <v>20</v>
      </c>
      <c r="D468" s="38">
        <f>'[4]15нед'!S296</f>
        <v>0</v>
      </c>
      <c r="E468" s="39">
        <f>'[4]15нед'!T296</f>
        <v>0</v>
      </c>
      <c r="F468" s="40">
        <f>'[4]15нед'!W296</f>
        <v>0</v>
      </c>
      <c r="G468" s="41" t="str">
        <f>'[4]15нед'!X296</f>
        <v/>
      </c>
      <c r="H468" s="42"/>
      <c r="I468" s="43"/>
      <c r="J468" s="44"/>
      <c r="K468" s="29" t="s">
        <v>20</v>
      </c>
      <c r="L468" s="38">
        <f>'[4]16нед'!S296</f>
        <v>0</v>
      </c>
      <c r="M468" s="39">
        <f>'[4]16нед'!T296</f>
        <v>0</v>
      </c>
      <c r="N468" s="40">
        <f>'[4]16нед'!W296</f>
        <v>0</v>
      </c>
      <c r="O468" s="41" t="str">
        <f>'[4]16нед'!X296</f>
        <v/>
      </c>
      <c r="P468" s="42"/>
    </row>
    <row r="469" ht="31.5" spans="1:16">
      <c r="A469" s="36"/>
      <c r="B469" s="37"/>
      <c r="C469" s="29" t="s">
        <v>21</v>
      </c>
      <c r="D469" s="38">
        <f>'[4]15нед'!S297</f>
        <v>0</v>
      </c>
      <c r="E469" s="39">
        <f>'[4]15нед'!T297</f>
        <v>0</v>
      </c>
      <c r="F469" s="40">
        <f>'[4]15нед'!W297</f>
        <v>0</v>
      </c>
      <c r="G469" s="41" t="str">
        <f>'[4]15нед'!X297</f>
        <v/>
      </c>
      <c r="H469" s="42"/>
      <c r="I469" s="43"/>
      <c r="J469" s="44"/>
      <c r="K469" s="29" t="s">
        <v>21</v>
      </c>
      <c r="L469" s="38">
        <f>'[4]16нед'!S297</f>
        <v>0</v>
      </c>
      <c r="M469" s="39">
        <f>'[4]16нед'!T297</f>
        <v>0</v>
      </c>
      <c r="N469" s="40">
        <f>'[4]16нед'!W297</f>
        <v>0</v>
      </c>
      <c r="O469" s="41" t="str">
        <f>'[4]16нед'!X297</f>
        <v/>
      </c>
      <c r="P469" s="42"/>
    </row>
    <row r="470" ht="32.25" spans="1:16">
      <c r="A470" s="36"/>
      <c r="B470" s="37"/>
      <c r="C470" s="29" t="s">
        <v>22</v>
      </c>
      <c r="D470" s="38">
        <f>'[4]15нед'!S298</f>
        <v>0</v>
      </c>
      <c r="E470" s="39">
        <f>'[4]15нед'!T298</f>
        <v>0</v>
      </c>
      <c r="F470" s="40">
        <f>'[4]15нед'!W298</f>
        <v>0</v>
      </c>
      <c r="G470" s="41" t="str">
        <f>'[4]15нед'!X298</f>
        <v/>
      </c>
      <c r="H470" s="42"/>
      <c r="I470" s="43"/>
      <c r="J470" s="44"/>
      <c r="K470" s="29" t="s">
        <v>22</v>
      </c>
      <c r="L470" s="38">
        <f>'[4]16нед'!S298</f>
        <v>0</v>
      </c>
      <c r="M470" s="39">
        <f>'[4]16нед'!T298</f>
        <v>0</v>
      </c>
      <c r="N470" s="40">
        <f>'[4]16нед'!W298</f>
        <v>0</v>
      </c>
      <c r="O470" s="41" t="str">
        <f>'[4]16нед'!X298</f>
        <v/>
      </c>
      <c r="P470" s="42"/>
    </row>
    <row r="471" ht="18.4" hidden="1" customHeight="1" spans="1:16">
      <c r="A471" s="45"/>
      <c r="B471" s="46"/>
      <c r="C471" s="47"/>
      <c r="D471" s="48">
        <f>'[4]15нед'!S299</f>
        <v>0</v>
      </c>
      <c r="E471" s="49">
        <f>'[4]15нед'!T299</f>
        <v>0</v>
      </c>
      <c r="F471" s="50">
        <f>'[4]15нед'!W299</f>
        <v>0</v>
      </c>
      <c r="G471" s="51" t="str">
        <f>'[4]15нед'!X299</f>
        <v/>
      </c>
      <c r="H471" s="52"/>
      <c r="I471" s="53"/>
      <c r="J471" s="54"/>
      <c r="K471" s="47"/>
      <c r="L471" s="48">
        <f>'[4]16нед'!S299</f>
        <v>0</v>
      </c>
      <c r="M471" s="49">
        <f>'[4]16нед'!T299</f>
        <v>0</v>
      </c>
      <c r="N471" s="50">
        <f>'[4]16нед'!W299</f>
        <v>0</v>
      </c>
      <c r="O471" s="51" t="str">
        <f>'[4]16нед'!X299</f>
        <v/>
      </c>
      <c r="P471" s="52"/>
    </row>
    <row r="472" ht="48" customHeight="1" spans="1:16">
      <c r="A472" s="27">
        <v>46368</v>
      </c>
      <c r="B472" s="28" t="s">
        <v>27</v>
      </c>
      <c r="C472" s="55" t="s">
        <v>16</v>
      </c>
      <c r="D472" s="30">
        <f>'[4]15нед'!S300</f>
        <v>0</v>
      </c>
      <c r="E472" s="31">
        <f>'[4]15нед'!T300</f>
        <v>0</v>
      </c>
      <c r="F472" s="32">
        <f>'[4]15нед'!W300</f>
        <v>0</v>
      </c>
      <c r="G472" s="33" t="str">
        <f>'[4]15нед'!X300</f>
        <v/>
      </c>
      <c r="H472" s="34"/>
      <c r="I472" s="27">
        <v>46375</v>
      </c>
      <c r="J472" s="35" t="s">
        <v>27</v>
      </c>
      <c r="K472" s="55" t="s">
        <v>16</v>
      </c>
      <c r="L472" s="30">
        <f>'[4]16нед'!S300</f>
        <v>0</v>
      </c>
      <c r="M472" s="31">
        <f>'[4]16нед'!T300</f>
        <v>0</v>
      </c>
      <c r="N472" s="32">
        <f>'[4]16нед'!W300</f>
        <v>0</v>
      </c>
      <c r="O472" s="33" t="str">
        <f>'[4]16нед'!X300</f>
        <v/>
      </c>
      <c r="P472" s="34"/>
    </row>
    <row r="473" ht="31.5" spans="1:16">
      <c r="A473" s="36"/>
      <c r="B473" s="37"/>
      <c r="C473" s="29" t="s">
        <v>17</v>
      </c>
      <c r="D473" s="38">
        <f>'[4]15нед'!S301</f>
        <v>0</v>
      </c>
      <c r="E473" s="39">
        <f>'[4]15нед'!T301</f>
        <v>0</v>
      </c>
      <c r="F473" s="40">
        <f>'[4]15нед'!W301</f>
        <v>0</v>
      </c>
      <c r="G473" s="41" t="str">
        <f>'[4]15нед'!X301</f>
        <v/>
      </c>
      <c r="H473" s="42"/>
      <c r="I473" s="43"/>
      <c r="J473" s="44"/>
      <c r="K473" s="29" t="s">
        <v>17</v>
      </c>
      <c r="L473" s="38">
        <f>'[4]16нед'!S301</f>
        <v>0</v>
      </c>
      <c r="M473" s="39">
        <f>'[4]16нед'!T301</f>
        <v>0</v>
      </c>
      <c r="N473" s="40">
        <f>'[4]16нед'!W301</f>
        <v>0</v>
      </c>
      <c r="O473" s="41" t="str">
        <f>'[4]16нед'!X301</f>
        <v/>
      </c>
      <c r="P473" s="42"/>
    </row>
    <row r="474" ht="31.5" spans="1:16">
      <c r="A474" s="36"/>
      <c r="B474" s="37"/>
      <c r="C474" s="29" t="s">
        <v>18</v>
      </c>
      <c r="D474" s="38">
        <f>'[4]15нед'!S302</f>
        <v>0</v>
      </c>
      <c r="E474" s="39">
        <f>'[4]15нед'!T302</f>
        <v>0</v>
      </c>
      <c r="F474" s="40">
        <f>'[4]15нед'!W302</f>
        <v>0</v>
      </c>
      <c r="G474" s="41" t="str">
        <f>'[4]15нед'!X302</f>
        <v/>
      </c>
      <c r="H474" s="63"/>
      <c r="I474" s="43"/>
      <c r="J474" s="44"/>
      <c r="K474" s="29" t="s">
        <v>18</v>
      </c>
      <c r="L474" s="38">
        <f>'[4]16нед'!S302</f>
        <v>0</v>
      </c>
      <c r="M474" s="39">
        <f>'[4]16нед'!T302</f>
        <v>0</v>
      </c>
      <c r="N474" s="40">
        <f>'[4]16нед'!W302</f>
        <v>0</v>
      </c>
      <c r="O474" s="41" t="str">
        <f>'[4]16нед'!X302</f>
        <v/>
      </c>
      <c r="P474" s="63"/>
    </row>
    <row r="475" ht="31.5" spans="1:16">
      <c r="A475" s="36"/>
      <c r="B475" s="37"/>
      <c r="C475" s="29" t="s">
        <v>19</v>
      </c>
      <c r="D475" s="38">
        <f>'[4]15нед'!S303</f>
        <v>0</v>
      </c>
      <c r="E475" s="39">
        <f>'[4]15нед'!T303</f>
        <v>0</v>
      </c>
      <c r="F475" s="40">
        <f>'[4]15нед'!W303</f>
        <v>0</v>
      </c>
      <c r="G475" s="41" t="str">
        <f>'[4]15нед'!X303</f>
        <v/>
      </c>
      <c r="H475" s="42"/>
      <c r="I475" s="43"/>
      <c r="J475" s="44"/>
      <c r="K475" s="29" t="s">
        <v>19</v>
      </c>
      <c r="L475" s="38">
        <f>'[4]16нед'!S303</f>
        <v>0</v>
      </c>
      <c r="M475" s="39">
        <f>'[4]16нед'!T303</f>
        <v>0</v>
      </c>
      <c r="N475" s="40">
        <f>'[4]16нед'!W303</f>
        <v>0</v>
      </c>
      <c r="O475" s="41" t="str">
        <f>'[4]16нед'!X303</f>
        <v/>
      </c>
      <c r="P475" s="42"/>
    </row>
    <row r="476" ht="31.5" spans="1:16">
      <c r="A476" s="36"/>
      <c r="B476" s="37"/>
      <c r="C476" s="29" t="s">
        <v>20</v>
      </c>
      <c r="D476" s="38">
        <f>'[4]15нед'!S304</f>
        <v>0</v>
      </c>
      <c r="E476" s="39">
        <f>'[4]15нед'!T304</f>
        <v>0</v>
      </c>
      <c r="F476" s="40">
        <f>'[4]15нед'!W304</f>
        <v>0</v>
      </c>
      <c r="G476" s="41" t="str">
        <f>'[4]15нед'!X304</f>
        <v/>
      </c>
      <c r="H476" s="42"/>
      <c r="I476" s="43"/>
      <c r="J476" s="44"/>
      <c r="K476" s="29" t="s">
        <v>20</v>
      </c>
      <c r="L476" s="38">
        <f>'[4]16нед'!S304</f>
        <v>0</v>
      </c>
      <c r="M476" s="39">
        <f>'[4]16нед'!T304</f>
        <v>0</v>
      </c>
      <c r="N476" s="40">
        <f>'[4]16нед'!W304</f>
        <v>0</v>
      </c>
      <c r="O476" s="41" t="str">
        <f>'[4]16нед'!X304</f>
        <v/>
      </c>
      <c r="P476" s="42"/>
    </row>
    <row r="477" ht="31.5" spans="1:16">
      <c r="A477" s="36"/>
      <c r="B477" s="37"/>
      <c r="C477" s="29" t="s">
        <v>21</v>
      </c>
      <c r="D477" s="38">
        <f>'[4]15нед'!S305</f>
        <v>0</v>
      </c>
      <c r="E477" s="39">
        <f>'[4]15нед'!T305</f>
        <v>0</v>
      </c>
      <c r="F477" s="40">
        <f>'[4]15нед'!W305</f>
        <v>0</v>
      </c>
      <c r="G477" s="41" t="str">
        <f>'[4]15нед'!X305</f>
        <v/>
      </c>
      <c r="H477" s="42"/>
      <c r="I477" s="43"/>
      <c r="J477" s="44"/>
      <c r="K477" s="29" t="s">
        <v>21</v>
      </c>
      <c r="L477" s="38">
        <f>'[4]16нед'!S305</f>
        <v>0</v>
      </c>
      <c r="M477" s="39">
        <f>'[4]16нед'!T305</f>
        <v>0</v>
      </c>
      <c r="N477" s="40">
        <f>'[4]16нед'!W305</f>
        <v>0</v>
      </c>
      <c r="O477" s="41" t="str">
        <f>'[4]16нед'!X305</f>
        <v/>
      </c>
      <c r="P477" s="42"/>
    </row>
    <row r="478" ht="32.25" spans="1:16">
      <c r="A478" s="36"/>
      <c r="B478" s="37"/>
      <c r="C478" s="29" t="s">
        <v>22</v>
      </c>
      <c r="D478" s="38">
        <f>'[4]15нед'!S306</f>
        <v>0</v>
      </c>
      <c r="E478" s="39">
        <f>'[4]15нед'!T306</f>
        <v>0</v>
      </c>
      <c r="F478" s="40">
        <f>'[4]15нед'!W306</f>
        <v>0</v>
      </c>
      <c r="G478" s="41" t="str">
        <f>'[4]15нед'!X306</f>
        <v/>
      </c>
      <c r="H478" s="42"/>
      <c r="I478" s="43"/>
      <c r="J478" s="44"/>
      <c r="K478" s="29" t="s">
        <v>22</v>
      </c>
      <c r="L478" s="38">
        <f>'[4]16нед'!S306</f>
        <v>0</v>
      </c>
      <c r="M478" s="39">
        <f>'[4]16нед'!T306</f>
        <v>0</v>
      </c>
      <c r="N478" s="40">
        <f>'[4]16нед'!W306</f>
        <v>0</v>
      </c>
      <c r="O478" s="41" t="str">
        <f>'[4]16нед'!X306</f>
        <v/>
      </c>
      <c r="P478" s="42"/>
    </row>
    <row r="479" ht="18.4" hidden="1" customHeight="1" spans="1:16">
      <c r="A479" s="45"/>
      <c r="B479" s="46"/>
      <c r="C479" s="47"/>
      <c r="D479" s="48">
        <f>'[4]15нед'!S183</f>
        <v>0</v>
      </c>
      <c r="E479" s="49">
        <f>'[4]15нед'!T183</f>
        <v>0</v>
      </c>
      <c r="F479" s="50">
        <f>'[4]15нед'!W183</f>
        <v>0</v>
      </c>
      <c r="G479" s="51" t="str">
        <f>'[4]15нед'!X183</f>
        <v/>
      </c>
      <c r="H479" s="52"/>
      <c r="I479" s="53"/>
      <c r="J479" s="54"/>
      <c r="K479" s="47"/>
      <c r="L479" s="48">
        <f>'[4]16нед'!S59</f>
        <v>0</v>
      </c>
      <c r="M479" s="49">
        <f>'[4]16нед'!T59</f>
        <v>0</v>
      </c>
      <c r="N479" s="50">
        <f>'[4]16нед'!W59</f>
        <v>0</v>
      </c>
      <c r="O479" s="51" t="str">
        <f>'[4]16нед'!X59</f>
        <v/>
      </c>
      <c r="P479" s="52"/>
    </row>
    <row r="480" ht="39" customHeight="1" spans="1:16">
      <c r="A480" s="64"/>
      <c r="B480" s="65"/>
      <c r="C480" s="66"/>
      <c r="D480" s="67"/>
      <c r="E480" s="67" t="s">
        <v>28</v>
      </c>
      <c r="F480" s="67"/>
      <c r="G480" s="68" t="s">
        <v>29</v>
      </c>
      <c r="H480" s="69"/>
      <c r="I480" s="64"/>
      <c r="J480" s="65"/>
      <c r="K480" s="66"/>
      <c r="L480" s="67"/>
      <c r="M480" s="67" t="s">
        <v>28</v>
      </c>
      <c r="N480" s="67"/>
      <c r="O480" s="68" t="s">
        <v>29</v>
      </c>
      <c r="P480" s="69"/>
    </row>
    <row r="481" ht="15.75" spans="1:16">
      <c r="A481" s="2"/>
      <c r="B481" s="3"/>
      <c r="C481" s="4"/>
      <c r="D481" s="5"/>
      <c r="E481" s="5"/>
      <c r="F481" s="5"/>
      <c r="G481" s="5"/>
      <c r="H481" s="6" t="s">
        <v>0</v>
      </c>
      <c r="I481" s="2"/>
      <c r="J481" s="3"/>
      <c r="K481" s="4"/>
      <c r="L481" s="5"/>
      <c r="M481" s="5"/>
      <c r="N481" s="5"/>
      <c r="O481" s="5"/>
      <c r="P481" s="6" t="s">
        <v>0</v>
      </c>
    </row>
    <row r="482" ht="15.75" spans="1:16">
      <c r="A482" s="2"/>
      <c r="B482" s="3"/>
      <c r="C482" s="4"/>
      <c r="D482" s="5"/>
      <c r="E482" s="5"/>
      <c r="F482" s="5"/>
      <c r="G482" s="5"/>
      <c r="H482" s="6" t="s">
        <v>1</v>
      </c>
      <c r="I482" s="2"/>
      <c r="J482" s="3"/>
      <c r="K482" s="4"/>
      <c r="L482" s="5"/>
      <c r="M482" s="5"/>
      <c r="N482" s="5"/>
      <c r="O482" s="5"/>
      <c r="P482" s="6" t="s">
        <v>1</v>
      </c>
    </row>
    <row r="483" ht="15.75" spans="1:16">
      <c r="A483" s="2"/>
      <c r="B483" s="3"/>
      <c r="C483" s="4"/>
      <c r="D483" s="5"/>
      <c r="E483" s="5"/>
      <c r="F483" s="5"/>
      <c r="G483" s="5"/>
      <c r="H483" s="6" t="s">
        <v>2</v>
      </c>
      <c r="I483" s="2"/>
      <c r="J483" s="3"/>
      <c r="K483" s="4"/>
      <c r="L483" s="5"/>
      <c r="M483" s="5"/>
      <c r="N483" s="5"/>
      <c r="O483" s="5"/>
      <c r="P483" s="6" t="s">
        <v>2</v>
      </c>
    </row>
    <row r="484" ht="15.75" spans="1:16">
      <c r="A484" s="2"/>
      <c r="B484" s="3"/>
      <c r="C484" s="4"/>
      <c r="D484" s="5"/>
      <c r="E484" s="5"/>
      <c r="F484" s="5"/>
      <c r="G484" s="5"/>
      <c r="H484" s="6" t="s">
        <v>3</v>
      </c>
      <c r="I484" s="2"/>
      <c r="J484" s="3"/>
      <c r="K484" s="4"/>
      <c r="L484" s="5"/>
      <c r="M484" s="5"/>
      <c r="N484" s="5"/>
      <c r="O484" s="5"/>
      <c r="P484" s="6" t="s">
        <v>3</v>
      </c>
    </row>
    <row r="485" ht="15.75" spans="1:16">
      <c r="A485" s="2"/>
      <c r="B485" s="7"/>
      <c r="C485" s="4"/>
      <c r="D485" s="5"/>
      <c r="E485" s="5"/>
      <c r="F485" s="5"/>
      <c r="G485" s="5"/>
      <c r="H485" s="5"/>
      <c r="I485" s="2"/>
      <c r="J485" s="7"/>
      <c r="K485" s="4"/>
      <c r="L485" s="5"/>
      <c r="M485" s="5"/>
      <c r="N485" s="5"/>
      <c r="O485" s="5"/>
      <c r="P485" s="5"/>
    </row>
    <row r="486" ht="15.75" spans="1:16">
      <c r="A486" s="2"/>
      <c r="B486" s="8" t="s">
        <v>4</v>
      </c>
      <c r="C486" s="8"/>
      <c r="D486" s="8"/>
      <c r="E486" s="8"/>
      <c r="F486" s="8"/>
      <c r="G486" s="8"/>
      <c r="H486" s="8"/>
      <c r="I486" s="2"/>
      <c r="J486" s="8" t="s">
        <v>4</v>
      </c>
      <c r="K486" s="8"/>
      <c r="L486" s="8"/>
      <c r="M486" s="8"/>
      <c r="N486" s="8"/>
      <c r="O486" s="8"/>
      <c r="P486" s="8"/>
    </row>
    <row r="487" ht="15.75" spans="1:16">
      <c r="A487" s="9"/>
      <c r="B487" s="10" t="str">
        <f>'[1]1нед'!$A$6</f>
        <v>Направление подготовки:</v>
      </c>
      <c r="C487" s="11"/>
      <c r="D487" s="12"/>
      <c r="E487" s="13" t="str">
        <f>E67</f>
        <v>00</v>
      </c>
      <c r="F487" s="12"/>
      <c r="G487" s="12"/>
      <c r="H487" s="14">
        <f>H7</f>
        <v>0</v>
      </c>
      <c r="I487" s="9"/>
      <c r="J487" s="10" t="str">
        <f>'[1]1нед'!$A$6</f>
        <v>Направление подготовки:</v>
      </c>
      <c r="K487" s="11"/>
      <c r="L487" s="12"/>
      <c r="M487" s="13" t="str">
        <f>E67</f>
        <v>00</v>
      </c>
      <c r="N487" s="12"/>
      <c r="O487" s="12"/>
      <c r="P487" s="14">
        <f>H7</f>
        <v>0</v>
      </c>
    </row>
    <row r="488" ht="15.75" spans="1:16">
      <c r="A488" s="2"/>
      <c r="B488" s="10" t="s">
        <v>5</v>
      </c>
      <c r="C488" s="10"/>
      <c r="D488" s="10"/>
      <c r="E488" s="10" t="str">
        <f t="shared" ref="E488:E489" si="8">E8</f>
        <v>очно-заочная</v>
      </c>
      <c r="F488" s="10"/>
      <c r="G488" s="10"/>
      <c r="H488" s="10"/>
      <c r="I488" s="2"/>
      <c r="J488" s="10" t="s">
        <v>5</v>
      </c>
      <c r="K488" s="10"/>
      <c r="L488" s="10"/>
      <c r="M488" s="10" t="str">
        <f t="shared" ref="M488:M489" si="9">E8</f>
        <v>очно-заочная</v>
      </c>
      <c r="N488" s="10"/>
      <c r="O488" s="10"/>
      <c r="P488" s="10"/>
    </row>
    <row r="489" ht="15.75" spans="1:16">
      <c r="A489" s="2"/>
      <c r="B489" s="10" t="s">
        <v>7</v>
      </c>
      <c r="C489" s="10"/>
      <c r="D489" s="10"/>
      <c r="E489" s="10">
        <f t="shared" si="8"/>
        <v>3</v>
      </c>
      <c r="F489" s="10"/>
      <c r="G489" s="10"/>
      <c r="H489" s="15"/>
      <c r="I489" s="2"/>
      <c r="J489" s="10" t="s">
        <v>7</v>
      </c>
      <c r="K489" s="10"/>
      <c r="L489" s="10"/>
      <c r="M489" s="10">
        <f t="shared" si="9"/>
        <v>3</v>
      </c>
      <c r="N489" s="10"/>
      <c r="O489" s="10"/>
      <c r="P489" s="15"/>
    </row>
    <row r="490" ht="16.5" spans="1:16">
      <c r="A490" s="2"/>
      <c r="B490" s="16" t="s">
        <v>8</v>
      </c>
      <c r="C490" s="16"/>
      <c r="D490" s="16"/>
      <c r="E490" s="16">
        <f>M430+1</f>
        <v>17</v>
      </c>
      <c r="F490" s="16"/>
      <c r="G490" s="16"/>
      <c r="H490" s="17"/>
      <c r="I490" s="2"/>
      <c r="J490" s="16" t="s">
        <v>8</v>
      </c>
      <c r="K490" s="16"/>
      <c r="L490" s="16"/>
      <c r="M490" s="16">
        <f>E490+1</f>
        <v>18</v>
      </c>
      <c r="N490" s="16"/>
      <c r="O490" s="16"/>
      <c r="P490" s="17"/>
    </row>
    <row r="491" ht="60.75" customHeight="1" spans="1:16">
      <c r="A491" s="19" t="s">
        <v>9</v>
      </c>
      <c r="B491" s="20"/>
      <c r="C491" s="21" t="s">
        <v>10</v>
      </c>
      <c r="D491" s="22" t="s">
        <v>11</v>
      </c>
      <c r="E491" s="23" t="s">
        <v>12</v>
      </c>
      <c r="F491" s="24" t="s">
        <v>13</v>
      </c>
      <c r="G491" s="25"/>
      <c r="H491" s="26" t="s">
        <v>14</v>
      </c>
      <c r="I491" s="19" t="s">
        <v>9</v>
      </c>
      <c r="J491" s="20"/>
      <c r="K491" s="21" t="s">
        <v>10</v>
      </c>
      <c r="L491" s="22" t="s">
        <v>11</v>
      </c>
      <c r="M491" s="23" t="s">
        <v>12</v>
      </c>
      <c r="N491" s="24" t="s">
        <v>13</v>
      </c>
      <c r="O491" s="25"/>
      <c r="P491" s="26" t="s">
        <v>14</v>
      </c>
    </row>
    <row r="492" ht="32.25" customHeight="1" spans="1:16">
      <c r="A492" s="27">
        <v>46377</v>
      </c>
      <c r="B492" s="28" t="s">
        <v>15</v>
      </c>
      <c r="C492" s="29" t="s">
        <v>16</v>
      </c>
      <c r="D492" s="30">
        <f>'[4]17нед'!S260</f>
        <v>0</v>
      </c>
      <c r="E492" s="31">
        <f>'[4]17нед'!T260</f>
        <v>0</v>
      </c>
      <c r="F492" s="32">
        <f>'[4]17нед'!W260</f>
        <v>0</v>
      </c>
      <c r="G492" s="33" t="str">
        <f>'[4]17нед'!X260</f>
        <v/>
      </c>
      <c r="H492" s="34"/>
      <c r="I492" s="27">
        <v>46384</v>
      </c>
      <c r="J492" s="35" t="s">
        <v>15</v>
      </c>
      <c r="K492" s="29" t="s">
        <v>16</v>
      </c>
      <c r="L492" s="30">
        <f>'[4]18нед'!S260</f>
        <v>0</v>
      </c>
      <c r="M492" s="31">
        <f>'[4]18нед'!T260</f>
        <v>0</v>
      </c>
      <c r="N492" s="32">
        <f>'[4]18нед'!W260</f>
        <v>0</v>
      </c>
      <c r="O492" s="33" t="str">
        <f>'[4]18нед'!X260</f>
        <v/>
      </c>
      <c r="P492" s="34"/>
    </row>
    <row r="493" ht="31.5" spans="1:16">
      <c r="A493" s="36"/>
      <c r="B493" s="37"/>
      <c r="C493" s="29" t="s">
        <v>17</v>
      </c>
      <c r="D493" s="38">
        <f>'[4]17нед'!S261</f>
        <v>0</v>
      </c>
      <c r="E493" s="39">
        <f>'[4]17нед'!T261</f>
        <v>0</v>
      </c>
      <c r="F493" s="40">
        <f>'[4]17нед'!W261</f>
        <v>0</v>
      </c>
      <c r="G493" s="41" t="str">
        <f>'[4]17нед'!X261</f>
        <v/>
      </c>
      <c r="H493" s="42"/>
      <c r="I493" s="43"/>
      <c r="J493" s="44"/>
      <c r="K493" s="29" t="s">
        <v>17</v>
      </c>
      <c r="L493" s="38">
        <f>'[4]18нед'!S261</f>
        <v>0</v>
      </c>
      <c r="M493" s="39">
        <f>'[4]18нед'!T261</f>
        <v>0</v>
      </c>
      <c r="N493" s="40">
        <f>'[4]18нед'!W261</f>
        <v>0</v>
      </c>
      <c r="O493" s="41" t="str">
        <f>'[4]18нед'!X261</f>
        <v/>
      </c>
      <c r="P493" s="42"/>
    </row>
    <row r="494" ht="31.5" spans="1:16">
      <c r="A494" s="36"/>
      <c r="B494" s="37"/>
      <c r="C494" s="29" t="s">
        <v>18</v>
      </c>
      <c r="D494" s="38">
        <f>'[4]17нед'!S262</f>
        <v>0</v>
      </c>
      <c r="E494" s="39">
        <f>'[4]17нед'!T262</f>
        <v>0</v>
      </c>
      <c r="F494" s="40">
        <f>'[4]17нед'!W262</f>
        <v>0</v>
      </c>
      <c r="G494" s="41" t="str">
        <f>'[4]17нед'!X262</f>
        <v/>
      </c>
      <c r="H494" s="42"/>
      <c r="I494" s="43"/>
      <c r="J494" s="44"/>
      <c r="K494" s="29" t="s">
        <v>18</v>
      </c>
      <c r="L494" s="38">
        <f>'[4]18нед'!S262</f>
        <v>0</v>
      </c>
      <c r="M494" s="39">
        <f>'[4]18нед'!T262</f>
        <v>0</v>
      </c>
      <c r="N494" s="40">
        <f>'[4]18нед'!W262</f>
        <v>0</v>
      </c>
      <c r="O494" s="41" t="str">
        <f>'[4]18нед'!X262</f>
        <v/>
      </c>
      <c r="P494" s="42"/>
    </row>
    <row r="495" ht="31.5" spans="1:16">
      <c r="A495" s="36"/>
      <c r="B495" s="37"/>
      <c r="C495" s="29" t="s">
        <v>19</v>
      </c>
      <c r="D495" s="38">
        <f>'[4]17нед'!S263</f>
        <v>0</v>
      </c>
      <c r="E495" s="39">
        <f>'[4]17нед'!T263</f>
        <v>0</v>
      </c>
      <c r="F495" s="40">
        <f>'[4]17нед'!W263</f>
        <v>0</v>
      </c>
      <c r="G495" s="41" t="str">
        <f>'[4]17нед'!X263</f>
        <v/>
      </c>
      <c r="H495" s="42"/>
      <c r="I495" s="43"/>
      <c r="J495" s="44"/>
      <c r="K495" s="29" t="s">
        <v>19</v>
      </c>
      <c r="L495" s="38">
        <f>'[4]18нед'!S263</f>
        <v>0</v>
      </c>
      <c r="M495" s="39">
        <f>'[4]18нед'!T263</f>
        <v>0</v>
      </c>
      <c r="N495" s="40">
        <f>'[4]18нед'!W263</f>
        <v>0</v>
      </c>
      <c r="O495" s="41" t="str">
        <f>'[4]18нед'!X263</f>
        <v/>
      </c>
      <c r="P495" s="42"/>
    </row>
    <row r="496" ht="31.5" spans="1:16">
      <c r="A496" s="36"/>
      <c r="B496" s="37"/>
      <c r="C496" s="29" t="s">
        <v>20</v>
      </c>
      <c r="D496" s="38">
        <f>'[4]17нед'!S264</f>
        <v>0</v>
      </c>
      <c r="E496" s="39">
        <f>'[4]17нед'!T264</f>
        <v>0</v>
      </c>
      <c r="F496" s="40">
        <f>'[4]17нед'!W264</f>
        <v>0</v>
      </c>
      <c r="G496" s="41" t="str">
        <f>'[4]17нед'!X264</f>
        <v/>
      </c>
      <c r="H496" s="42"/>
      <c r="I496" s="43"/>
      <c r="J496" s="44"/>
      <c r="K496" s="29" t="s">
        <v>20</v>
      </c>
      <c r="L496" s="38">
        <f>'[4]18нед'!S264</f>
        <v>0</v>
      </c>
      <c r="M496" s="39">
        <f>'[4]18нед'!T264</f>
        <v>0</v>
      </c>
      <c r="N496" s="40">
        <f>'[4]18нед'!W264</f>
        <v>0</v>
      </c>
      <c r="O496" s="41" t="str">
        <f>'[4]18нед'!X264</f>
        <v/>
      </c>
      <c r="P496" s="42"/>
    </row>
    <row r="497" ht="31.5" spans="1:16">
      <c r="A497" s="36"/>
      <c r="B497" s="37"/>
      <c r="C497" s="29" t="s">
        <v>21</v>
      </c>
      <c r="D497" s="38">
        <f>'[4]17нед'!S265</f>
        <v>0</v>
      </c>
      <c r="E497" s="39">
        <f>'[4]17нед'!T265</f>
        <v>0</v>
      </c>
      <c r="F497" s="40">
        <f>'[4]17нед'!W265</f>
        <v>0</v>
      </c>
      <c r="G497" s="41" t="str">
        <f>'[4]17нед'!X265</f>
        <v/>
      </c>
      <c r="H497" s="42"/>
      <c r="I497" s="43"/>
      <c r="J497" s="44"/>
      <c r="K497" s="29" t="s">
        <v>21</v>
      </c>
      <c r="L497" s="38">
        <f>'[4]18нед'!S265</f>
        <v>0</v>
      </c>
      <c r="M497" s="39">
        <f>'[4]18нед'!T265</f>
        <v>0</v>
      </c>
      <c r="N497" s="40">
        <f>'[4]18нед'!W265</f>
        <v>0</v>
      </c>
      <c r="O497" s="41" t="str">
        <f>'[4]18нед'!X265</f>
        <v/>
      </c>
      <c r="P497" s="42"/>
    </row>
    <row r="498" ht="32.25" spans="1:16">
      <c r="A498" s="36"/>
      <c r="B498" s="37"/>
      <c r="C498" s="29" t="s">
        <v>22</v>
      </c>
      <c r="D498" s="38">
        <f>'[4]17нед'!S266</f>
        <v>0</v>
      </c>
      <c r="E498" s="39">
        <f>'[4]17нед'!T266</f>
        <v>0</v>
      </c>
      <c r="F498" s="40">
        <f>'[4]17нед'!W266</f>
        <v>0</v>
      </c>
      <c r="G498" s="41" t="str">
        <f>'[4]17нед'!X266</f>
        <v/>
      </c>
      <c r="H498" s="42"/>
      <c r="I498" s="43"/>
      <c r="J498" s="44"/>
      <c r="K498" s="29" t="s">
        <v>22</v>
      </c>
      <c r="L498" s="38">
        <f>'[4]18нед'!S266</f>
        <v>0</v>
      </c>
      <c r="M498" s="39">
        <f>'[4]18нед'!T266</f>
        <v>0</v>
      </c>
      <c r="N498" s="40">
        <f>'[4]18нед'!W266</f>
        <v>0</v>
      </c>
      <c r="O498" s="41" t="str">
        <f>'[4]18нед'!X266</f>
        <v/>
      </c>
      <c r="P498" s="42"/>
    </row>
    <row r="499" ht="18.4" hidden="1" customHeight="1" spans="1:16">
      <c r="A499" s="45"/>
      <c r="B499" s="46"/>
      <c r="C499" s="47"/>
      <c r="D499" s="48">
        <f>'[4]17нед'!S267</f>
        <v>0</v>
      </c>
      <c r="E499" s="49">
        <f>'[4]17нед'!T267</f>
        <v>0</v>
      </c>
      <c r="F499" s="50">
        <f>'[4]17нед'!W267</f>
        <v>0</v>
      </c>
      <c r="G499" s="51" t="str">
        <f>'[4]17нед'!X267</f>
        <v/>
      </c>
      <c r="H499" s="52"/>
      <c r="I499" s="53"/>
      <c r="J499" s="54"/>
      <c r="K499" s="47"/>
      <c r="L499" s="48">
        <f>'[4]18нед'!S267</f>
        <v>0</v>
      </c>
      <c r="M499" s="49">
        <f>'[4]18нед'!T267</f>
        <v>0</v>
      </c>
      <c r="N499" s="50">
        <f>'[4]18нед'!W267</f>
        <v>0</v>
      </c>
      <c r="O499" s="51" t="str">
        <f>'[4]18нед'!X267</f>
        <v/>
      </c>
      <c r="P499" s="52"/>
    </row>
    <row r="500" ht="32.25" customHeight="1" spans="1:16">
      <c r="A500" s="27">
        <v>46378</v>
      </c>
      <c r="B500" s="28" t="s">
        <v>23</v>
      </c>
      <c r="C500" s="55" t="s">
        <v>16</v>
      </c>
      <c r="D500" s="30">
        <f>'[4]17нед'!S268</f>
        <v>0</v>
      </c>
      <c r="E500" s="31">
        <f>'[4]17нед'!T268</f>
        <v>0</v>
      </c>
      <c r="F500" s="32">
        <f>'[4]17нед'!W268</f>
        <v>0</v>
      </c>
      <c r="G500" s="33" t="str">
        <f>'[4]17нед'!X268</f>
        <v/>
      </c>
      <c r="H500" s="34"/>
      <c r="I500" s="27">
        <v>46385</v>
      </c>
      <c r="J500" s="35" t="s">
        <v>23</v>
      </c>
      <c r="K500" s="55" t="s">
        <v>16</v>
      </c>
      <c r="L500" s="30">
        <f>'[4]18нед'!S268</f>
        <v>0</v>
      </c>
      <c r="M500" s="31">
        <f>'[4]18нед'!T268</f>
        <v>0</v>
      </c>
      <c r="N500" s="32">
        <f>'[4]18нед'!W268</f>
        <v>0</v>
      </c>
      <c r="O500" s="33" t="str">
        <f>'[4]18нед'!X268</f>
        <v/>
      </c>
      <c r="P500" s="34"/>
    </row>
    <row r="501" ht="31.5" spans="1:16">
      <c r="A501" s="36"/>
      <c r="B501" s="37"/>
      <c r="C501" s="29" t="s">
        <v>17</v>
      </c>
      <c r="D501" s="38">
        <f>'[4]17нед'!S269</f>
        <v>0</v>
      </c>
      <c r="E501" s="39">
        <f>'[4]17нед'!T269</f>
        <v>0</v>
      </c>
      <c r="F501" s="40">
        <f>'[4]17нед'!W269</f>
        <v>0</v>
      </c>
      <c r="G501" s="41" t="str">
        <f>'[4]17нед'!X269</f>
        <v/>
      </c>
      <c r="H501" s="42"/>
      <c r="I501" s="43"/>
      <c r="J501" s="44"/>
      <c r="K501" s="29" t="s">
        <v>17</v>
      </c>
      <c r="L501" s="38">
        <f>'[4]18нед'!S269</f>
        <v>0</v>
      </c>
      <c r="M501" s="39">
        <f>'[4]18нед'!T269</f>
        <v>0</v>
      </c>
      <c r="N501" s="40">
        <f>'[4]18нед'!W269</f>
        <v>0</v>
      </c>
      <c r="O501" s="41" t="str">
        <f>'[4]18нед'!X269</f>
        <v/>
      </c>
      <c r="P501" s="42"/>
    </row>
    <row r="502" ht="31.5" spans="1:16">
      <c r="A502" s="36"/>
      <c r="B502" s="37"/>
      <c r="C502" s="29" t="s">
        <v>18</v>
      </c>
      <c r="D502" s="38">
        <f>'[4]17нед'!S270</f>
        <v>0</v>
      </c>
      <c r="E502" s="39">
        <f>'[4]17нед'!T270</f>
        <v>0</v>
      </c>
      <c r="F502" s="40">
        <f>'[4]17нед'!W270</f>
        <v>0</v>
      </c>
      <c r="G502" s="41" t="str">
        <f>'[4]17нед'!X270</f>
        <v/>
      </c>
      <c r="H502" s="42"/>
      <c r="I502" s="43"/>
      <c r="J502" s="44"/>
      <c r="K502" s="29" t="s">
        <v>18</v>
      </c>
      <c r="L502" s="38">
        <f>'[4]18нед'!S270</f>
        <v>0</v>
      </c>
      <c r="M502" s="39">
        <f>'[4]18нед'!T270</f>
        <v>0</v>
      </c>
      <c r="N502" s="40">
        <f>'[4]18нед'!W270</f>
        <v>0</v>
      </c>
      <c r="O502" s="41" t="str">
        <f>'[4]18нед'!X270</f>
        <v/>
      </c>
      <c r="P502" s="42"/>
    </row>
    <row r="503" ht="31.5" spans="1:16">
      <c r="A503" s="36"/>
      <c r="B503" s="37"/>
      <c r="C503" s="29" t="s">
        <v>19</v>
      </c>
      <c r="D503" s="38">
        <f>'[4]17нед'!S271</f>
        <v>0</v>
      </c>
      <c r="E503" s="39">
        <f>'[4]17нед'!T271</f>
        <v>0</v>
      </c>
      <c r="F503" s="40">
        <f>'[4]17нед'!W271</f>
        <v>0</v>
      </c>
      <c r="G503" s="41" t="str">
        <f>'[4]17нед'!X271</f>
        <v/>
      </c>
      <c r="H503" s="42"/>
      <c r="I503" s="43"/>
      <c r="J503" s="44"/>
      <c r="K503" s="29" t="s">
        <v>19</v>
      </c>
      <c r="L503" s="38">
        <f>'[4]18нед'!S271</f>
        <v>0</v>
      </c>
      <c r="M503" s="39">
        <f>'[4]18нед'!T271</f>
        <v>0</v>
      </c>
      <c r="N503" s="40">
        <f>'[4]18нед'!W271</f>
        <v>0</v>
      </c>
      <c r="O503" s="41" t="str">
        <f>'[4]18нед'!X271</f>
        <v/>
      </c>
      <c r="P503" s="42"/>
    </row>
    <row r="504" ht="31.5" spans="1:16">
      <c r="A504" s="36"/>
      <c r="B504" s="37"/>
      <c r="C504" s="29" t="s">
        <v>20</v>
      </c>
      <c r="D504" s="38">
        <f>'[4]17нед'!S272</f>
        <v>0</v>
      </c>
      <c r="E504" s="39">
        <f>'[4]17нед'!T272</f>
        <v>0</v>
      </c>
      <c r="F504" s="40">
        <f>'[4]17нед'!W272</f>
        <v>0</v>
      </c>
      <c r="G504" s="41" t="str">
        <f>'[4]17нед'!X272</f>
        <v/>
      </c>
      <c r="H504" s="42"/>
      <c r="I504" s="43"/>
      <c r="J504" s="44"/>
      <c r="K504" s="29" t="s">
        <v>20</v>
      </c>
      <c r="L504" s="38">
        <f>'[4]18нед'!S272</f>
        <v>0</v>
      </c>
      <c r="M504" s="39">
        <f>'[4]18нед'!T272</f>
        <v>0</v>
      </c>
      <c r="N504" s="40">
        <f>'[4]18нед'!W272</f>
        <v>0</v>
      </c>
      <c r="O504" s="41" t="str">
        <f>'[4]18нед'!X272</f>
        <v/>
      </c>
      <c r="P504" s="42"/>
    </row>
    <row r="505" ht="31.5" spans="1:16">
      <c r="A505" s="36"/>
      <c r="B505" s="37"/>
      <c r="C505" s="29" t="s">
        <v>21</v>
      </c>
      <c r="D505" s="38">
        <f>'[4]17нед'!S273</f>
        <v>0</v>
      </c>
      <c r="E505" s="39">
        <f>'[4]17нед'!T273</f>
        <v>0</v>
      </c>
      <c r="F505" s="40">
        <f>'[4]17нед'!W273</f>
        <v>0</v>
      </c>
      <c r="G505" s="41" t="str">
        <f>'[4]17нед'!X273</f>
        <v/>
      </c>
      <c r="H505" s="56"/>
      <c r="I505" s="43"/>
      <c r="J505" s="44"/>
      <c r="K505" s="29" t="s">
        <v>21</v>
      </c>
      <c r="L505" s="38">
        <f>'[4]18нед'!S273</f>
        <v>0</v>
      </c>
      <c r="M505" s="39">
        <f>'[4]18нед'!T273</f>
        <v>0</v>
      </c>
      <c r="N505" s="40">
        <f>'[4]18нед'!W273</f>
        <v>0</v>
      </c>
      <c r="O505" s="41" t="str">
        <f>'[4]18нед'!X273</f>
        <v/>
      </c>
      <c r="P505" s="56"/>
    </row>
    <row r="506" ht="32.25" spans="1:16">
      <c r="A506" s="36"/>
      <c r="B506" s="37"/>
      <c r="C506" s="29" t="s">
        <v>22</v>
      </c>
      <c r="D506" s="38">
        <f>'[4]17нед'!S274</f>
        <v>0</v>
      </c>
      <c r="E506" s="39">
        <f>'[4]17нед'!T274</f>
        <v>0</v>
      </c>
      <c r="F506" s="40">
        <f>'[4]17нед'!W274</f>
        <v>0</v>
      </c>
      <c r="G506" s="41" t="str">
        <f>'[4]17нед'!X274</f>
        <v/>
      </c>
      <c r="H506" s="56"/>
      <c r="I506" s="43"/>
      <c r="J506" s="44"/>
      <c r="K506" s="29" t="s">
        <v>22</v>
      </c>
      <c r="L506" s="38">
        <f>'[4]18нед'!S274</f>
        <v>0</v>
      </c>
      <c r="M506" s="39">
        <f>'[4]18нед'!T274</f>
        <v>0</v>
      </c>
      <c r="N506" s="40">
        <f>'[4]18нед'!W274</f>
        <v>0</v>
      </c>
      <c r="O506" s="41" t="str">
        <f>'[4]18нед'!X274</f>
        <v/>
      </c>
      <c r="P506" s="56"/>
    </row>
    <row r="507" ht="18.4" hidden="1" customHeight="1" spans="1:16">
      <c r="A507" s="45"/>
      <c r="B507" s="46"/>
      <c r="C507" s="47"/>
      <c r="D507" s="48">
        <f>'[4]17нед'!S275</f>
        <v>0</v>
      </c>
      <c r="E507" s="49">
        <f>'[4]17нед'!T275</f>
        <v>0</v>
      </c>
      <c r="F507" s="50">
        <f>'[4]17нед'!W275</f>
        <v>0</v>
      </c>
      <c r="G507" s="51" t="str">
        <f>'[4]17нед'!X275</f>
        <v/>
      </c>
      <c r="H507" s="52"/>
      <c r="I507" s="53"/>
      <c r="J507" s="54"/>
      <c r="K507" s="47"/>
      <c r="L507" s="48">
        <f>'[4]18нед'!S275</f>
        <v>0</v>
      </c>
      <c r="M507" s="49">
        <f>'[4]18нед'!T275</f>
        <v>0</v>
      </c>
      <c r="N507" s="50">
        <f>'[4]18нед'!W275</f>
        <v>0</v>
      </c>
      <c r="O507" s="51" t="str">
        <f>'[4]18нед'!X275</f>
        <v/>
      </c>
      <c r="P507" s="52"/>
    </row>
    <row r="508" ht="48" customHeight="1" spans="1:16">
      <c r="A508" s="27">
        <v>46379</v>
      </c>
      <c r="B508" s="57" t="s">
        <v>24</v>
      </c>
      <c r="C508" s="55" t="s">
        <v>16</v>
      </c>
      <c r="D508" s="30">
        <f>'[4]17нед'!S276</f>
        <v>0</v>
      </c>
      <c r="E508" s="31">
        <f>'[4]17нед'!T276</f>
        <v>0</v>
      </c>
      <c r="F508" s="32">
        <f>'[4]17нед'!W276</f>
        <v>0</v>
      </c>
      <c r="G508" s="33" t="str">
        <f>'[4]17нед'!X276</f>
        <v/>
      </c>
      <c r="H508" s="34"/>
      <c r="I508" s="27">
        <v>46386</v>
      </c>
      <c r="J508" s="58" t="s">
        <v>24</v>
      </c>
      <c r="K508" s="55" t="s">
        <v>16</v>
      </c>
      <c r="L508" s="30">
        <f>'[4]18нед'!S276</f>
        <v>0</v>
      </c>
      <c r="M508" s="31">
        <f>'[4]18нед'!T276</f>
        <v>0</v>
      </c>
      <c r="N508" s="32">
        <f>'[4]18нед'!W276</f>
        <v>0</v>
      </c>
      <c r="O508" s="33" t="str">
        <f>'[4]18нед'!X276</f>
        <v/>
      </c>
      <c r="P508" s="34"/>
    </row>
    <row r="509" ht="31.5" spans="1:16">
      <c r="A509" s="36"/>
      <c r="B509" s="59"/>
      <c r="C509" s="29" t="s">
        <v>17</v>
      </c>
      <c r="D509" s="38">
        <f>'[4]17нед'!S277</f>
        <v>0</v>
      </c>
      <c r="E509" s="39">
        <f>'[4]17нед'!T277</f>
        <v>0</v>
      </c>
      <c r="F509" s="40">
        <f>'[4]17нед'!W277</f>
        <v>0</v>
      </c>
      <c r="G509" s="41" t="str">
        <f>'[4]17нед'!X277</f>
        <v/>
      </c>
      <c r="H509" s="42"/>
      <c r="I509" s="43"/>
      <c r="J509" s="60"/>
      <c r="K509" s="29" t="s">
        <v>17</v>
      </c>
      <c r="L509" s="38">
        <f>'[4]18нед'!S277</f>
        <v>0</v>
      </c>
      <c r="M509" s="39">
        <f>'[4]18нед'!T277</f>
        <v>0</v>
      </c>
      <c r="N509" s="40">
        <f>'[4]18нед'!W277</f>
        <v>0</v>
      </c>
      <c r="O509" s="41" t="str">
        <f>'[4]18нед'!X277</f>
        <v/>
      </c>
      <c r="P509" s="42"/>
    </row>
    <row r="510" ht="31.5" spans="1:16">
      <c r="A510" s="36"/>
      <c r="B510" s="59"/>
      <c r="C510" s="29" t="s">
        <v>18</v>
      </c>
      <c r="D510" s="38">
        <f>'[4]17нед'!S278</f>
        <v>0</v>
      </c>
      <c r="E510" s="39">
        <f>'[4]17нед'!T278</f>
        <v>0</v>
      </c>
      <c r="F510" s="40">
        <f>'[4]17нед'!W278</f>
        <v>0</v>
      </c>
      <c r="G510" s="41" t="str">
        <f>'[4]17нед'!X278</f>
        <v/>
      </c>
      <c r="H510" s="42"/>
      <c r="I510" s="43"/>
      <c r="J510" s="60"/>
      <c r="K510" s="29" t="s">
        <v>18</v>
      </c>
      <c r="L510" s="38">
        <f>'[4]18нед'!S278</f>
        <v>0</v>
      </c>
      <c r="M510" s="39">
        <f>'[4]18нед'!T278</f>
        <v>0</v>
      </c>
      <c r="N510" s="40">
        <f>'[4]18нед'!W278</f>
        <v>0</v>
      </c>
      <c r="O510" s="41" t="str">
        <f>'[4]18нед'!X278</f>
        <v/>
      </c>
      <c r="P510" s="42"/>
    </row>
    <row r="511" ht="31.5" spans="1:16">
      <c r="A511" s="36"/>
      <c r="B511" s="59"/>
      <c r="C511" s="29" t="s">
        <v>19</v>
      </c>
      <c r="D511" s="38">
        <f>'[4]17нед'!S279</f>
        <v>0</v>
      </c>
      <c r="E511" s="39">
        <f>'[4]17нед'!T279</f>
        <v>0</v>
      </c>
      <c r="F511" s="40">
        <f>'[4]17нед'!W279</f>
        <v>0</v>
      </c>
      <c r="G511" s="41" t="str">
        <f>'[4]17нед'!X279</f>
        <v/>
      </c>
      <c r="H511" s="42"/>
      <c r="I511" s="43"/>
      <c r="J511" s="60"/>
      <c r="K511" s="29" t="s">
        <v>19</v>
      </c>
      <c r="L511" s="38">
        <f>'[4]18нед'!S279</f>
        <v>0</v>
      </c>
      <c r="M511" s="39">
        <f>'[4]18нед'!T279</f>
        <v>0</v>
      </c>
      <c r="N511" s="40">
        <f>'[4]18нед'!W279</f>
        <v>0</v>
      </c>
      <c r="O511" s="41" t="str">
        <f>'[4]18нед'!X279</f>
        <v/>
      </c>
      <c r="P511" s="42"/>
    </row>
    <row r="512" ht="31.5" spans="1:16">
      <c r="A512" s="36"/>
      <c r="B512" s="59"/>
      <c r="C512" s="29" t="s">
        <v>20</v>
      </c>
      <c r="D512" s="38">
        <f>'[4]17нед'!S280</f>
        <v>0</v>
      </c>
      <c r="E512" s="39">
        <f>'[4]17нед'!T280</f>
        <v>0</v>
      </c>
      <c r="F512" s="40">
        <f>'[4]17нед'!W280</f>
        <v>0</v>
      </c>
      <c r="G512" s="41" t="str">
        <f>'[4]17нед'!X280</f>
        <v/>
      </c>
      <c r="H512" s="42"/>
      <c r="I512" s="43"/>
      <c r="J512" s="60"/>
      <c r="K512" s="29" t="s">
        <v>20</v>
      </c>
      <c r="L512" s="38">
        <f>'[4]18нед'!S280</f>
        <v>0</v>
      </c>
      <c r="M512" s="39">
        <f>'[4]18нед'!T280</f>
        <v>0</v>
      </c>
      <c r="N512" s="40">
        <f>'[4]18нед'!W280</f>
        <v>0</v>
      </c>
      <c r="O512" s="41" t="str">
        <f>'[4]18нед'!X280</f>
        <v/>
      </c>
      <c r="P512" s="42"/>
    </row>
    <row r="513" ht="31.5" spans="1:16">
      <c r="A513" s="36"/>
      <c r="B513" s="59"/>
      <c r="C513" s="29" t="s">
        <v>21</v>
      </c>
      <c r="D513" s="38">
        <f>'[4]17нед'!S281</f>
        <v>0</v>
      </c>
      <c r="E513" s="39">
        <f>'[4]17нед'!T281</f>
        <v>0</v>
      </c>
      <c r="F513" s="40">
        <f>'[4]17нед'!W281</f>
        <v>0</v>
      </c>
      <c r="G513" s="41" t="str">
        <f>'[4]17нед'!X281</f>
        <v/>
      </c>
      <c r="H513" s="56"/>
      <c r="I513" s="43"/>
      <c r="J513" s="60"/>
      <c r="K513" s="29" t="s">
        <v>21</v>
      </c>
      <c r="L513" s="38">
        <f>'[4]18нед'!S281</f>
        <v>0</v>
      </c>
      <c r="M513" s="39">
        <f>'[4]18нед'!T281</f>
        <v>0</v>
      </c>
      <c r="N513" s="40">
        <f>'[4]18нед'!W281</f>
        <v>0</v>
      </c>
      <c r="O513" s="41" t="str">
        <f>'[4]18нед'!X281</f>
        <v/>
      </c>
      <c r="P513" s="56"/>
    </row>
    <row r="514" ht="32.25" spans="1:16">
      <c r="A514" s="36"/>
      <c r="B514" s="59"/>
      <c r="C514" s="29" t="s">
        <v>22</v>
      </c>
      <c r="D514" s="38">
        <f>'[4]17нед'!S282</f>
        <v>0</v>
      </c>
      <c r="E514" s="39">
        <f>'[4]17нед'!T282</f>
        <v>0</v>
      </c>
      <c r="F514" s="40">
        <f>'[4]17нед'!W282</f>
        <v>0</v>
      </c>
      <c r="G514" s="41" t="str">
        <f>'[4]17нед'!X282</f>
        <v/>
      </c>
      <c r="H514" s="56"/>
      <c r="I514" s="43"/>
      <c r="J514" s="60"/>
      <c r="K514" s="29" t="s">
        <v>22</v>
      </c>
      <c r="L514" s="38">
        <f>'[4]18нед'!S282</f>
        <v>0</v>
      </c>
      <c r="M514" s="39">
        <f>'[4]18нед'!T282</f>
        <v>0</v>
      </c>
      <c r="N514" s="40">
        <f>'[4]18нед'!W282</f>
        <v>0</v>
      </c>
      <c r="O514" s="41" t="str">
        <f>'[4]18нед'!X282</f>
        <v/>
      </c>
      <c r="P514" s="56"/>
    </row>
    <row r="515" ht="18.4" hidden="1" customHeight="1" spans="1:16">
      <c r="A515" s="45"/>
      <c r="B515" s="61"/>
      <c r="C515" s="47"/>
      <c r="D515" s="48">
        <f>'[4]17нед'!S283</f>
        <v>0</v>
      </c>
      <c r="E515" s="49">
        <f>'[4]17нед'!T283</f>
        <v>0</v>
      </c>
      <c r="F515" s="50">
        <f>'[4]17нед'!W283</f>
        <v>0</v>
      </c>
      <c r="G515" s="51" t="str">
        <f>'[4]17нед'!X283</f>
        <v/>
      </c>
      <c r="H515" s="52"/>
      <c r="I515" s="53"/>
      <c r="J515" s="62"/>
      <c r="K515" s="47"/>
      <c r="L515" s="48">
        <f>'[4]18нед'!S283</f>
        <v>0</v>
      </c>
      <c r="M515" s="49">
        <f>'[4]18нед'!T283</f>
        <v>0</v>
      </c>
      <c r="N515" s="50">
        <f>'[4]18нед'!W283</f>
        <v>0</v>
      </c>
      <c r="O515" s="51" t="str">
        <f>'[4]18нед'!X283</f>
        <v/>
      </c>
      <c r="P515" s="52"/>
    </row>
    <row r="516" ht="48" customHeight="1" spans="1:16">
      <c r="A516" s="27">
        <v>46380</v>
      </c>
      <c r="B516" s="28" t="s">
        <v>25</v>
      </c>
      <c r="C516" s="55" t="s">
        <v>16</v>
      </c>
      <c r="D516" s="30">
        <f>'[4]17нед'!S284</f>
        <v>0</v>
      </c>
      <c r="E516" s="31">
        <f>'[4]17нед'!T284</f>
        <v>0</v>
      </c>
      <c r="F516" s="32">
        <f>'[4]17нед'!W284</f>
        <v>0</v>
      </c>
      <c r="G516" s="33" t="str">
        <f>'[4]17нед'!X284</f>
        <v/>
      </c>
      <c r="H516" s="34"/>
      <c r="I516" s="27">
        <v>46387</v>
      </c>
      <c r="J516" s="35" t="s">
        <v>25</v>
      </c>
      <c r="K516" s="55" t="s">
        <v>16</v>
      </c>
      <c r="L516" s="30">
        <f>'[4]18нед'!S284</f>
        <v>0</v>
      </c>
      <c r="M516" s="31">
        <f>'[4]18нед'!T284</f>
        <v>0</v>
      </c>
      <c r="N516" s="32">
        <f>'[4]18нед'!W284</f>
        <v>0</v>
      </c>
      <c r="O516" s="33" t="str">
        <f>'[4]18нед'!X284</f>
        <v/>
      </c>
      <c r="P516" s="34"/>
    </row>
    <row r="517" ht="31.5" spans="1:16">
      <c r="A517" s="36"/>
      <c r="B517" s="37"/>
      <c r="C517" s="29" t="s">
        <v>17</v>
      </c>
      <c r="D517" s="38">
        <f>'[4]17нед'!S285</f>
        <v>0</v>
      </c>
      <c r="E517" s="39">
        <f>'[4]17нед'!T285</f>
        <v>0</v>
      </c>
      <c r="F517" s="40">
        <f>'[4]17нед'!W285</f>
        <v>0</v>
      </c>
      <c r="G517" s="41" t="str">
        <f>'[4]17нед'!X285</f>
        <v/>
      </c>
      <c r="H517" s="42"/>
      <c r="I517" s="43"/>
      <c r="J517" s="44"/>
      <c r="K517" s="29" t="s">
        <v>17</v>
      </c>
      <c r="L517" s="38">
        <f>'[4]18нед'!S285</f>
        <v>0</v>
      </c>
      <c r="M517" s="39">
        <f>'[4]18нед'!T285</f>
        <v>0</v>
      </c>
      <c r="N517" s="40">
        <f>'[4]18нед'!W285</f>
        <v>0</v>
      </c>
      <c r="O517" s="41" t="str">
        <f>'[4]18нед'!X285</f>
        <v/>
      </c>
      <c r="P517" s="42"/>
    </row>
    <row r="518" ht="31.5" spans="1:16">
      <c r="A518" s="36"/>
      <c r="B518" s="37"/>
      <c r="C518" s="29" t="s">
        <v>18</v>
      </c>
      <c r="D518" s="38">
        <f>'[4]17нед'!S286</f>
        <v>0</v>
      </c>
      <c r="E518" s="39">
        <f>'[4]17нед'!T286</f>
        <v>0</v>
      </c>
      <c r="F518" s="40">
        <f>'[4]17нед'!W286</f>
        <v>0</v>
      </c>
      <c r="G518" s="41" t="str">
        <f>'[4]17нед'!X286</f>
        <v/>
      </c>
      <c r="H518" s="42"/>
      <c r="I518" s="43"/>
      <c r="J518" s="44"/>
      <c r="K518" s="29" t="s">
        <v>18</v>
      </c>
      <c r="L518" s="38">
        <f>'[4]18нед'!S286</f>
        <v>0</v>
      </c>
      <c r="M518" s="39">
        <f>'[4]18нед'!T286</f>
        <v>0</v>
      </c>
      <c r="N518" s="40">
        <f>'[4]18нед'!W286</f>
        <v>0</v>
      </c>
      <c r="O518" s="41" t="str">
        <f>'[4]18нед'!X286</f>
        <v/>
      </c>
      <c r="P518" s="42"/>
    </row>
    <row r="519" ht="31.5" spans="1:16">
      <c r="A519" s="36"/>
      <c r="B519" s="37"/>
      <c r="C519" s="29" t="s">
        <v>19</v>
      </c>
      <c r="D519" s="38">
        <f>'[4]17нед'!S287</f>
        <v>0</v>
      </c>
      <c r="E519" s="39">
        <f>'[4]17нед'!T287</f>
        <v>0</v>
      </c>
      <c r="F519" s="40">
        <f>'[4]17нед'!W287</f>
        <v>0</v>
      </c>
      <c r="G519" s="41" t="str">
        <f>'[4]17нед'!X287</f>
        <v/>
      </c>
      <c r="H519" s="42"/>
      <c r="I519" s="43"/>
      <c r="J519" s="44"/>
      <c r="K519" s="29" t="s">
        <v>19</v>
      </c>
      <c r="L519" s="38">
        <f>'[4]18нед'!S287</f>
        <v>0</v>
      </c>
      <c r="M519" s="39">
        <f>'[4]18нед'!T287</f>
        <v>0</v>
      </c>
      <c r="N519" s="40">
        <f>'[4]18нед'!W287</f>
        <v>0</v>
      </c>
      <c r="O519" s="41" t="str">
        <f>'[4]18нед'!X287</f>
        <v/>
      </c>
      <c r="P519" s="42"/>
    </row>
    <row r="520" ht="31.5" spans="1:16">
      <c r="A520" s="36"/>
      <c r="B520" s="37"/>
      <c r="C520" s="29" t="s">
        <v>20</v>
      </c>
      <c r="D520" s="38">
        <f>'[4]17нед'!S288</f>
        <v>0</v>
      </c>
      <c r="E520" s="39">
        <f>'[4]17нед'!T288</f>
        <v>0</v>
      </c>
      <c r="F520" s="40">
        <f>'[4]17нед'!W288</f>
        <v>0</v>
      </c>
      <c r="G520" s="41" t="str">
        <f>'[4]17нед'!X288</f>
        <v/>
      </c>
      <c r="H520" s="42"/>
      <c r="I520" s="43"/>
      <c r="J520" s="44"/>
      <c r="K520" s="29" t="s">
        <v>20</v>
      </c>
      <c r="L520" s="38">
        <f>'[4]18нед'!S288</f>
        <v>0</v>
      </c>
      <c r="M520" s="39">
        <f>'[4]18нед'!T288</f>
        <v>0</v>
      </c>
      <c r="N520" s="40">
        <f>'[4]18нед'!W288</f>
        <v>0</v>
      </c>
      <c r="O520" s="41" t="str">
        <f>'[4]18нед'!X288</f>
        <v/>
      </c>
      <c r="P520" s="42"/>
    </row>
    <row r="521" ht="31.5" spans="1:16">
      <c r="A521" s="36"/>
      <c r="B521" s="37"/>
      <c r="C521" s="29" t="s">
        <v>21</v>
      </c>
      <c r="D521" s="38">
        <f>'[4]17нед'!S289</f>
        <v>0</v>
      </c>
      <c r="E521" s="39">
        <f>'[4]17нед'!T289</f>
        <v>0</v>
      </c>
      <c r="F521" s="40">
        <f>'[4]17нед'!W289</f>
        <v>0</v>
      </c>
      <c r="G521" s="41" t="str">
        <f>'[4]17нед'!X289</f>
        <v/>
      </c>
      <c r="H521" s="56"/>
      <c r="I521" s="43"/>
      <c r="J521" s="44"/>
      <c r="K521" s="29" t="s">
        <v>21</v>
      </c>
      <c r="L521" s="38">
        <f>'[4]18нед'!S289</f>
        <v>0</v>
      </c>
      <c r="M521" s="39">
        <f>'[4]18нед'!T289</f>
        <v>0</v>
      </c>
      <c r="N521" s="40">
        <f>'[4]18нед'!W289</f>
        <v>0</v>
      </c>
      <c r="O521" s="41" t="str">
        <f>'[4]18нед'!X289</f>
        <v/>
      </c>
      <c r="P521" s="56"/>
    </row>
    <row r="522" ht="32.25" spans="1:16">
      <c r="A522" s="36"/>
      <c r="B522" s="37"/>
      <c r="C522" s="29" t="s">
        <v>22</v>
      </c>
      <c r="D522" s="38">
        <f>'[4]17нед'!S290</f>
        <v>0</v>
      </c>
      <c r="E522" s="39">
        <f>'[4]17нед'!T290</f>
        <v>0</v>
      </c>
      <c r="F522" s="40">
        <f>'[4]17нед'!W290</f>
        <v>0</v>
      </c>
      <c r="G522" s="41" t="str">
        <f>'[4]17нед'!X290</f>
        <v/>
      </c>
      <c r="H522" s="56"/>
      <c r="I522" s="43"/>
      <c r="J522" s="44"/>
      <c r="K522" s="29" t="s">
        <v>22</v>
      </c>
      <c r="L522" s="38">
        <f>'[4]18нед'!S290</f>
        <v>0</v>
      </c>
      <c r="M522" s="39">
        <f>'[4]18нед'!T290</f>
        <v>0</v>
      </c>
      <c r="N522" s="40">
        <f>'[4]18нед'!W290</f>
        <v>0</v>
      </c>
      <c r="O522" s="41" t="str">
        <f>'[4]18нед'!X290</f>
        <v/>
      </c>
      <c r="P522" s="56"/>
    </row>
    <row r="523" ht="18.4" hidden="1" customHeight="1" spans="1:16">
      <c r="A523" s="45"/>
      <c r="B523" s="46"/>
      <c r="C523" s="47"/>
      <c r="D523" s="48">
        <f>'[4]17нед'!S291</f>
        <v>0</v>
      </c>
      <c r="E523" s="49">
        <f>'[4]17нед'!T291</f>
        <v>0</v>
      </c>
      <c r="F523" s="50">
        <f>'[4]17нед'!W291</f>
        <v>0</v>
      </c>
      <c r="G523" s="51" t="str">
        <f>'[4]17нед'!X291</f>
        <v/>
      </c>
      <c r="H523" s="52"/>
      <c r="I523" s="53"/>
      <c r="J523" s="54"/>
      <c r="K523" s="47"/>
      <c r="L523" s="48">
        <f>'[4]18нед'!S291</f>
        <v>0</v>
      </c>
      <c r="M523" s="49">
        <f>'[4]18нед'!T291</f>
        <v>0</v>
      </c>
      <c r="N523" s="50">
        <f>'[4]18нед'!W291</f>
        <v>0</v>
      </c>
      <c r="O523" s="51" t="str">
        <f>'[4]18нед'!X291</f>
        <v/>
      </c>
      <c r="P523" s="52"/>
    </row>
    <row r="524" ht="48" customHeight="1" spans="1:16">
      <c r="A524" s="27">
        <v>46381</v>
      </c>
      <c r="B524" s="28" t="s">
        <v>26</v>
      </c>
      <c r="C524" s="55" t="s">
        <v>16</v>
      </c>
      <c r="D524" s="30">
        <f>'[4]17нед'!S292</f>
        <v>0</v>
      </c>
      <c r="E524" s="31">
        <f>'[4]17нед'!T292</f>
        <v>0</v>
      </c>
      <c r="F524" s="32">
        <f>'[4]17нед'!W292</f>
        <v>0</v>
      </c>
      <c r="G524" s="33" t="str">
        <f>'[4]17нед'!X292</f>
        <v/>
      </c>
      <c r="H524" s="34"/>
      <c r="I524" s="27">
        <v>46388</v>
      </c>
      <c r="J524" s="35" t="s">
        <v>26</v>
      </c>
      <c r="K524" s="55" t="s">
        <v>16</v>
      </c>
      <c r="L524" s="30">
        <f>'[4]18нед'!S292</f>
        <v>0</v>
      </c>
      <c r="M524" s="31">
        <f>'[4]18нед'!T292</f>
        <v>0</v>
      </c>
      <c r="N524" s="32">
        <f>'[4]18нед'!W292</f>
        <v>0</v>
      </c>
      <c r="O524" s="33" t="str">
        <f>'[4]18нед'!X292</f>
        <v/>
      </c>
      <c r="P524" s="34"/>
    </row>
    <row r="525" ht="31.5" spans="1:16">
      <c r="A525" s="36"/>
      <c r="B525" s="37"/>
      <c r="C525" s="29" t="s">
        <v>17</v>
      </c>
      <c r="D525" s="38">
        <f>'[4]17нед'!S293</f>
        <v>0</v>
      </c>
      <c r="E525" s="39">
        <f>'[4]17нед'!T293</f>
        <v>0</v>
      </c>
      <c r="F525" s="40">
        <f>'[4]17нед'!W293</f>
        <v>0</v>
      </c>
      <c r="G525" s="41" t="str">
        <f>'[4]17нед'!X293</f>
        <v/>
      </c>
      <c r="H525" s="42"/>
      <c r="I525" s="43"/>
      <c r="J525" s="44"/>
      <c r="K525" s="29" t="s">
        <v>17</v>
      </c>
      <c r="L525" s="38">
        <f>'[4]18нед'!S293</f>
        <v>0</v>
      </c>
      <c r="M525" s="39">
        <f>'[4]18нед'!T293</f>
        <v>0</v>
      </c>
      <c r="N525" s="40">
        <f>'[4]18нед'!W293</f>
        <v>0</v>
      </c>
      <c r="O525" s="41" t="str">
        <f>'[4]18нед'!X293</f>
        <v/>
      </c>
      <c r="P525" s="42"/>
    </row>
    <row r="526" ht="31.5" spans="1:16">
      <c r="A526" s="36"/>
      <c r="B526" s="37"/>
      <c r="C526" s="29" t="s">
        <v>18</v>
      </c>
      <c r="D526" s="38">
        <f>'[4]17нед'!S294</f>
        <v>0</v>
      </c>
      <c r="E526" s="39">
        <f>'[4]17нед'!T294</f>
        <v>0</v>
      </c>
      <c r="F526" s="40">
        <f>'[4]17нед'!W294</f>
        <v>0</v>
      </c>
      <c r="G526" s="41" t="str">
        <f>'[4]17нед'!X294</f>
        <v/>
      </c>
      <c r="H526" s="42"/>
      <c r="I526" s="43"/>
      <c r="J526" s="44"/>
      <c r="K526" s="29" t="s">
        <v>18</v>
      </c>
      <c r="L526" s="38">
        <f>'[4]18нед'!S294</f>
        <v>0</v>
      </c>
      <c r="M526" s="39">
        <f>'[4]18нед'!T294</f>
        <v>0</v>
      </c>
      <c r="N526" s="40">
        <f>'[4]18нед'!W294</f>
        <v>0</v>
      </c>
      <c r="O526" s="41" t="str">
        <f>'[4]18нед'!X294</f>
        <v/>
      </c>
      <c r="P526" s="42"/>
    </row>
    <row r="527" ht="31.5" spans="1:16">
      <c r="A527" s="36"/>
      <c r="B527" s="37"/>
      <c r="C527" s="29" t="s">
        <v>19</v>
      </c>
      <c r="D527" s="38">
        <f>'[4]17нед'!S295</f>
        <v>0</v>
      </c>
      <c r="E527" s="39">
        <f>'[4]17нед'!T295</f>
        <v>0</v>
      </c>
      <c r="F527" s="40">
        <f>'[4]17нед'!W295</f>
        <v>0</v>
      </c>
      <c r="G527" s="41" t="str">
        <f>'[4]17нед'!X295</f>
        <v/>
      </c>
      <c r="H527" s="42"/>
      <c r="I527" s="43"/>
      <c r="J527" s="44"/>
      <c r="K527" s="29" t="s">
        <v>19</v>
      </c>
      <c r="L527" s="38">
        <f>'[4]18нед'!S295</f>
        <v>0</v>
      </c>
      <c r="M527" s="39">
        <f>'[4]18нед'!T295</f>
        <v>0</v>
      </c>
      <c r="N527" s="40">
        <f>'[4]18нед'!W295</f>
        <v>0</v>
      </c>
      <c r="O527" s="41" t="str">
        <f>'[4]18нед'!X295</f>
        <v/>
      </c>
      <c r="P527" s="42"/>
    </row>
    <row r="528" ht="31.5" spans="1:16">
      <c r="A528" s="36"/>
      <c r="B528" s="37"/>
      <c r="C528" s="29" t="s">
        <v>20</v>
      </c>
      <c r="D528" s="38">
        <f>'[4]17нед'!S296</f>
        <v>0</v>
      </c>
      <c r="E528" s="39">
        <f>'[4]17нед'!T296</f>
        <v>0</v>
      </c>
      <c r="F528" s="40">
        <f>'[4]17нед'!W296</f>
        <v>0</v>
      </c>
      <c r="G528" s="41" t="str">
        <f>'[4]17нед'!X296</f>
        <v/>
      </c>
      <c r="H528" s="42"/>
      <c r="I528" s="43"/>
      <c r="J528" s="44"/>
      <c r="K528" s="29" t="s">
        <v>20</v>
      </c>
      <c r="L528" s="38">
        <f>'[4]18нед'!S296</f>
        <v>0</v>
      </c>
      <c r="M528" s="39">
        <f>'[4]18нед'!T296</f>
        <v>0</v>
      </c>
      <c r="N528" s="40">
        <f>'[4]18нед'!W296</f>
        <v>0</v>
      </c>
      <c r="O528" s="41" t="str">
        <f>'[4]18нед'!X296</f>
        <v/>
      </c>
      <c r="P528" s="42"/>
    </row>
    <row r="529" ht="31.5" spans="1:16">
      <c r="A529" s="36"/>
      <c r="B529" s="37"/>
      <c r="C529" s="29" t="s">
        <v>21</v>
      </c>
      <c r="D529" s="38">
        <f>'[4]17нед'!S297</f>
        <v>0</v>
      </c>
      <c r="E529" s="39">
        <f>'[4]17нед'!T297</f>
        <v>0</v>
      </c>
      <c r="F529" s="40">
        <f>'[4]17нед'!W297</f>
        <v>0</v>
      </c>
      <c r="G529" s="41" t="str">
        <f>'[4]17нед'!X297</f>
        <v/>
      </c>
      <c r="H529" s="42"/>
      <c r="I529" s="43"/>
      <c r="J529" s="44"/>
      <c r="K529" s="29" t="s">
        <v>21</v>
      </c>
      <c r="L529" s="38">
        <f>'[4]18нед'!S297</f>
        <v>0</v>
      </c>
      <c r="M529" s="39">
        <f>'[4]18нед'!T297</f>
        <v>0</v>
      </c>
      <c r="N529" s="40">
        <f>'[4]18нед'!W297</f>
        <v>0</v>
      </c>
      <c r="O529" s="41" t="str">
        <f>'[4]18нед'!X297</f>
        <v/>
      </c>
      <c r="P529" s="42"/>
    </row>
    <row r="530" ht="32.25" spans="1:16">
      <c r="A530" s="36"/>
      <c r="B530" s="37"/>
      <c r="C530" s="29" t="s">
        <v>22</v>
      </c>
      <c r="D530" s="38">
        <f>'[4]17нед'!S298</f>
        <v>0</v>
      </c>
      <c r="E530" s="39">
        <f>'[4]17нед'!T298</f>
        <v>0</v>
      </c>
      <c r="F530" s="40">
        <f>'[4]17нед'!W298</f>
        <v>0</v>
      </c>
      <c r="G530" s="41" t="str">
        <f>'[4]17нед'!X298</f>
        <v/>
      </c>
      <c r="H530" s="42"/>
      <c r="I530" s="43"/>
      <c r="J530" s="44"/>
      <c r="K530" s="29" t="s">
        <v>22</v>
      </c>
      <c r="L530" s="38">
        <f>'[4]18нед'!S298</f>
        <v>0</v>
      </c>
      <c r="M530" s="39">
        <f>'[4]18нед'!T298</f>
        <v>0</v>
      </c>
      <c r="N530" s="40">
        <f>'[4]18нед'!W298</f>
        <v>0</v>
      </c>
      <c r="O530" s="41" t="str">
        <f>'[4]18нед'!X298</f>
        <v/>
      </c>
      <c r="P530" s="42"/>
    </row>
    <row r="531" ht="18.4" hidden="1" customHeight="1" spans="1:16">
      <c r="A531" s="45"/>
      <c r="B531" s="46"/>
      <c r="C531" s="47"/>
      <c r="D531" s="48">
        <f>'[4]17нед'!S299</f>
        <v>0</v>
      </c>
      <c r="E531" s="49">
        <f>'[4]17нед'!T299</f>
        <v>0</v>
      </c>
      <c r="F531" s="50">
        <f>'[4]17нед'!W299</f>
        <v>0</v>
      </c>
      <c r="G531" s="51" t="str">
        <f>'[4]17нед'!X299</f>
        <v/>
      </c>
      <c r="H531" s="52"/>
      <c r="I531" s="53"/>
      <c r="J531" s="54"/>
      <c r="K531" s="47"/>
      <c r="L531" s="48">
        <f>'[4]18нед'!S299</f>
        <v>0</v>
      </c>
      <c r="M531" s="49">
        <f>'[4]18нед'!T299</f>
        <v>0</v>
      </c>
      <c r="N531" s="50">
        <f>'[4]18нед'!W299</f>
        <v>0</v>
      </c>
      <c r="O531" s="51" t="str">
        <f>'[4]18нед'!X299</f>
        <v/>
      </c>
      <c r="P531" s="52"/>
    </row>
    <row r="532" ht="48" customHeight="1" spans="1:16">
      <c r="A532" s="27">
        <v>46382</v>
      </c>
      <c r="B532" s="28" t="s">
        <v>27</v>
      </c>
      <c r="C532" s="55" t="s">
        <v>16</v>
      </c>
      <c r="D532" s="30">
        <f>'[4]17нед'!S300</f>
        <v>0</v>
      </c>
      <c r="E532" s="31">
        <f>'[4]17нед'!T300</f>
        <v>0</v>
      </c>
      <c r="F532" s="32">
        <f>'[4]17нед'!W300</f>
        <v>0</v>
      </c>
      <c r="G532" s="33" t="str">
        <f>'[4]17нед'!X300</f>
        <v/>
      </c>
      <c r="H532" s="34"/>
      <c r="I532" s="27">
        <v>46389</v>
      </c>
      <c r="J532" s="35" t="s">
        <v>27</v>
      </c>
      <c r="K532" s="55" t="s">
        <v>16</v>
      </c>
      <c r="L532" s="30">
        <f>'[4]18нед'!S300</f>
        <v>0</v>
      </c>
      <c r="M532" s="31">
        <f>'[4]18нед'!T300</f>
        <v>0</v>
      </c>
      <c r="N532" s="32">
        <f>'[4]18нед'!W300</f>
        <v>0</v>
      </c>
      <c r="O532" s="33" t="str">
        <f>'[4]18нед'!X300</f>
        <v/>
      </c>
      <c r="P532" s="34"/>
    </row>
    <row r="533" ht="31.5" spans="1:16">
      <c r="A533" s="36"/>
      <c r="B533" s="37"/>
      <c r="C533" s="29" t="s">
        <v>17</v>
      </c>
      <c r="D533" s="38">
        <f>'[4]17нед'!S301</f>
        <v>0</v>
      </c>
      <c r="E533" s="39">
        <f>'[4]17нед'!T301</f>
        <v>0</v>
      </c>
      <c r="F533" s="40">
        <f>'[4]17нед'!W301</f>
        <v>0</v>
      </c>
      <c r="G533" s="41" t="str">
        <f>'[4]17нед'!X301</f>
        <v/>
      </c>
      <c r="H533" s="42"/>
      <c r="I533" s="43"/>
      <c r="J533" s="44"/>
      <c r="K533" s="29" t="s">
        <v>17</v>
      </c>
      <c r="L533" s="38">
        <f>'[4]18нед'!S301</f>
        <v>0</v>
      </c>
      <c r="M533" s="39">
        <f>'[4]18нед'!T301</f>
        <v>0</v>
      </c>
      <c r="N533" s="40">
        <f>'[4]18нед'!W301</f>
        <v>0</v>
      </c>
      <c r="O533" s="41" t="str">
        <f>'[4]18нед'!X301</f>
        <v/>
      </c>
      <c r="P533" s="42"/>
    </row>
    <row r="534" ht="31.5" spans="1:16">
      <c r="A534" s="36"/>
      <c r="B534" s="37"/>
      <c r="C534" s="29" t="s">
        <v>18</v>
      </c>
      <c r="D534" s="38">
        <f>'[4]17нед'!S302</f>
        <v>0</v>
      </c>
      <c r="E534" s="39">
        <f>'[4]17нед'!T302</f>
        <v>0</v>
      </c>
      <c r="F534" s="40">
        <f>'[4]17нед'!W302</f>
        <v>0</v>
      </c>
      <c r="G534" s="41" t="str">
        <f>'[4]17нед'!X302</f>
        <v/>
      </c>
      <c r="H534" s="63"/>
      <c r="I534" s="43"/>
      <c r="J534" s="44"/>
      <c r="K534" s="29" t="s">
        <v>18</v>
      </c>
      <c r="L534" s="38">
        <f>'[4]18нед'!S302</f>
        <v>0</v>
      </c>
      <c r="M534" s="39">
        <f>'[4]18нед'!T302</f>
        <v>0</v>
      </c>
      <c r="N534" s="40">
        <f>'[4]18нед'!W302</f>
        <v>0</v>
      </c>
      <c r="O534" s="41" t="str">
        <f>'[4]18нед'!X302</f>
        <v/>
      </c>
      <c r="P534" s="63"/>
    </row>
    <row r="535" ht="31.5" spans="1:16">
      <c r="A535" s="36"/>
      <c r="B535" s="37"/>
      <c r="C535" s="29" t="s">
        <v>19</v>
      </c>
      <c r="D535" s="38">
        <f>'[4]17нед'!S303</f>
        <v>0</v>
      </c>
      <c r="E535" s="39">
        <f>'[4]17нед'!T303</f>
        <v>0</v>
      </c>
      <c r="F535" s="40">
        <f>'[4]17нед'!W303</f>
        <v>0</v>
      </c>
      <c r="G535" s="41" t="str">
        <f>'[4]17нед'!X303</f>
        <v/>
      </c>
      <c r="H535" s="42"/>
      <c r="I535" s="43"/>
      <c r="J535" s="44"/>
      <c r="K535" s="29" t="s">
        <v>19</v>
      </c>
      <c r="L535" s="38">
        <f>'[4]18нед'!S303</f>
        <v>0</v>
      </c>
      <c r="M535" s="39">
        <f>'[4]18нед'!T303</f>
        <v>0</v>
      </c>
      <c r="N535" s="40">
        <f>'[4]18нед'!W303</f>
        <v>0</v>
      </c>
      <c r="O535" s="41" t="str">
        <f>'[4]18нед'!X303</f>
        <v/>
      </c>
      <c r="P535" s="42"/>
    </row>
    <row r="536" ht="31.5" spans="1:16">
      <c r="A536" s="36"/>
      <c r="B536" s="37"/>
      <c r="C536" s="29" t="s">
        <v>20</v>
      </c>
      <c r="D536" s="38">
        <f>'[4]17нед'!S304</f>
        <v>0</v>
      </c>
      <c r="E536" s="39">
        <f>'[4]17нед'!T304</f>
        <v>0</v>
      </c>
      <c r="F536" s="40">
        <f>'[4]17нед'!W304</f>
        <v>0</v>
      </c>
      <c r="G536" s="41" t="str">
        <f>'[4]17нед'!X304</f>
        <v/>
      </c>
      <c r="H536" s="42"/>
      <c r="I536" s="43"/>
      <c r="J536" s="44"/>
      <c r="K536" s="29" t="s">
        <v>20</v>
      </c>
      <c r="L536" s="38">
        <f>'[4]18нед'!S304</f>
        <v>0</v>
      </c>
      <c r="M536" s="39">
        <f>'[4]18нед'!T304</f>
        <v>0</v>
      </c>
      <c r="N536" s="40">
        <f>'[4]18нед'!W304</f>
        <v>0</v>
      </c>
      <c r="O536" s="41" t="str">
        <f>'[4]18нед'!X304</f>
        <v/>
      </c>
      <c r="P536" s="42"/>
    </row>
    <row r="537" ht="31.5" spans="1:16">
      <c r="A537" s="36"/>
      <c r="B537" s="37"/>
      <c r="C537" s="29" t="s">
        <v>21</v>
      </c>
      <c r="D537" s="38">
        <f>'[4]17нед'!S305</f>
        <v>0</v>
      </c>
      <c r="E537" s="39">
        <f>'[4]17нед'!T305</f>
        <v>0</v>
      </c>
      <c r="F537" s="40">
        <f>'[4]17нед'!W305</f>
        <v>0</v>
      </c>
      <c r="G537" s="41" t="str">
        <f>'[4]17нед'!X305</f>
        <v/>
      </c>
      <c r="H537" s="42"/>
      <c r="I537" s="43"/>
      <c r="J537" s="44"/>
      <c r="K537" s="29" t="s">
        <v>21</v>
      </c>
      <c r="L537" s="38">
        <f>'[4]18нед'!S305</f>
        <v>0</v>
      </c>
      <c r="M537" s="39">
        <f>'[4]18нед'!T305</f>
        <v>0</v>
      </c>
      <c r="N537" s="40">
        <f>'[4]18нед'!W305</f>
        <v>0</v>
      </c>
      <c r="O537" s="41" t="str">
        <f>'[4]18нед'!X305</f>
        <v/>
      </c>
      <c r="P537" s="42"/>
    </row>
    <row r="538" ht="32.25" spans="1:16">
      <c r="A538" s="36"/>
      <c r="B538" s="37"/>
      <c r="C538" s="29" t="s">
        <v>22</v>
      </c>
      <c r="D538" s="38">
        <f>'[4]17нед'!S306</f>
        <v>0</v>
      </c>
      <c r="E538" s="39">
        <f>'[4]17нед'!T306</f>
        <v>0</v>
      </c>
      <c r="F538" s="40">
        <f>'[4]17нед'!W306</f>
        <v>0</v>
      </c>
      <c r="G538" s="41" t="str">
        <f>'[4]17нед'!X306</f>
        <v/>
      </c>
      <c r="H538" s="42"/>
      <c r="I538" s="43"/>
      <c r="J538" s="44"/>
      <c r="K538" s="29" t="s">
        <v>22</v>
      </c>
      <c r="L538" s="38">
        <f>'[4]18нед'!S306</f>
        <v>0</v>
      </c>
      <c r="M538" s="39">
        <f>'[4]18нед'!T306</f>
        <v>0</v>
      </c>
      <c r="N538" s="40">
        <f>'[4]18нед'!W306</f>
        <v>0</v>
      </c>
      <c r="O538" s="41" t="str">
        <f>'[4]18нед'!X306</f>
        <v/>
      </c>
      <c r="P538" s="42"/>
    </row>
    <row r="539" ht="18.4" hidden="1" customHeight="1" spans="1:16">
      <c r="A539" s="45"/>
      <c r="B539" s="46"/>
      <c r="C539" s="47"/>
      <c r="D539" s="48">
        <f>'[4]17нед'!S59</f>
        <v>0</v>
      </c>
      <c r="E539" s="49">
        <f>'[4]17нед'!T59</f>
        <v>0</v>
      </c>
      <c r="F539" s="50">
        <f>'[4]17нед'!W59</f>
        <v>0</v>
      </c>
      <c r="G539" s="51" t="str">
        <f>'[4]17нед'!X59</f>
        <v/>
      </c>
      <c r="H539" s="52"/>
      <c r="I539" s="53"/>
      <c r="J539" s="54"/>
      <c r="K539" s="47"/>
      <c r="L539" s="48">
        <f>'[4]18нед'!S183</f>
        <v>0</v>
      </c>
      <c r="M539" s="49">
        <f>'[4]18нед'!T183</f>
        <v>0</v>
      </c>
      <c r="N539" s="50">
        <f>'[4]18нед'!W183</f>
        <v>0</v>
      </c>
      <c r="O539" s="51" t="str">
        <f>'[4]18нед'!X183</f>
        <v/>
      </c>
      <c r="P539" s="52"/>
    </row>
    <row r="540" ht="39" customHeight="1" spans="1:16">
      <c r="A540" s="64"/>
      <c r="B540" s="65"/>
      <c r="C540" s="66"/>
      <c r="D540" s="67"/>
      <c r="E540" s="67" t="s">
        <v>28</v>
      </c>
      <c r="F540" s="67"/>
      <c r="G540" s="68" t="s">
        <v>29</v>
      </c>
      <c r="H540" s="69"/>
      <c r="I540" s="64"/>
      <c r="J540" s="65"/>
      <c r="K540" s="66"/>
      <c r="L540" s="67"/>
      <c r="M540" s="67" t="s">
        <v>28</v>
      </c>
      <c r="N540" s="67"/>
      <c r="O540" s="68" t="s">
        <v>29</v>
      </c>
      <c r="P540" s="69"/>
    </row>
  </sheetData>
  <mergeCells count="342">
    <mergeCell ref="B6:H6"/>
    <mergeCell ref="J6:P6"/>
    <mergeCell ref="B8:D8"/>
    <mergeCell ref="E8:H8"/>
    <mergeCell ref="J8:L8"/>
    <mergeCell ref="M8:P8"/>
    <mergeCell ref="B9:D9"/>
    <mergeCell ref="J9:L9"/>
    <mergeCell ref="B10:D10"/>
    <mergeCell ref="J10:L10"/>
    <mergeCell ref="A11:B11"/>
    <mergeCell ref="F11:G11"/>
    <mergeCell ref="I11:J11"/>
    <mergeCell ref="N11:O11"/>
    <mergeCell ref="B66:H66"/>
    <mergeCell ref="J66:P66"/>
    <mergeCell ref="B68:D68"/>
    <mergeCell ref="E68:H68"/>
    <mergeCell ref="J68:L68"/>
    <mergeCell ref="M68:P68"/>
    <mergeCell ref="B69:D69"/>
    <mergeCell ref="J69:L69"/>
    <mergeCell ref="B70:D70"/>
    <mergeCell ref="J70:L70"/>
    <mergeCell ref="A71:B71"/>
    <mergeCell ref="F71:G71"/>
    <mergeCell ref="I71:J71"/>
    <mergeCell ref="N71:O71"/>
    <mergeCell ref="B126:H126"/>
    <mergeCell ref="J126:P126"/>
    <mergeCell ref="B128:D128"/>
    <mergeCell ref="E128:H128"/>
    <mergeCell ref="J128:L128"/>
    <mergeCell ref="M128:P128"/>
    <mergeCell ref="B129:D129"/>
    <mergeCell ref="J129:L129"/>
    <mergeCell ref="B130:D130"/>
    <mergeCell ref="J130:L130"/>
    <mergeCell ref="A131:B131"/>
    <mergeCell ref="F131:G131"/>
    <mergeCell ref="I131:J131"/>
    <mergeCell ref="N131:O131"/>
    <mergeCell ref="B186:H186"/>
    <mergeCell ref="J186:P186"/>
    <mergeCell ref="B188:D188"/>
    <mergeCell ref="E188:H188"/>
    <mergeCell ref="J188:L188"/>
    <mergeCell ref="M188:P188"/>
    <mergeCell ref="B189:D189"/>
    <mergeCell ref="J189:L189"/>
    <mergeCell ref="B190:D190"/>
    <mergeCell ref="J190:L190"/>
    <mergeCell ref="A191:B191"/>
    <mergeCell ref="F191:G191"/>
    <mergeCell ref="I191:J191"/>
    <mergeCell ref="N191:O191"/>
    <mergeCell ref="B246:H246"/>
    <mergeCell ref="J246:P246"/>
    <mergeCell ref="B248:D248"/>
    <mergeCell ref="E248:H248"/>
    <mergeCell ref="J248:L248"/>
    <mergeCell ref="M248:P248"/>
    <mergeCell ref="B249:D249"/>
    <mergeCell ref="J249:L249"/>
    <mergeCell ref="B250:D250"/>
    <mergeCell ref="J250:L250"/>
    <mergeCell ref="A251:B251"/>
    <mergeCell ref="F251:G251"/>
    <mergeCell ref="I251:J251"/>
    <mergeCell ref="N251:O251"/>
    <mergeCell ref="B306:H306"/>
    <mergeCell ref="J306:P306"/>
    <mergeCell ref="B308:D308"/>
    <mergeCell ref="E308:H308"/>
    <mergeCell ref="J308:L308"/>
    <mergeCell ref="M308:P308"/>
    <mergeCell ref="B309:D309"/>
    <mergeCell ref="J309:L309"/>
    <mergeCell ref="B310:D310"/>
    <mergeCell ref="J310:L310"/>
    <mergeCell ref="A311:B311"/>
    <mergeCell ref="F311:G311"/>
    <mergeCell ref="I311:J311"/>
    <mergeCell ref="N311:O311"/>
    <mergeCell ref="B366:H366"/>
    <mergeCell ref="J366:P366"/>
    <mergeCell ref="B368:D368"/>
    <mergeCell ref="E368:H368"/>
    <mergeCell ref="J368:L368"/>
    <mergeCell ref="M368:P368"/>
    <mergeCell ref="B369:D369"/>
    <mergeCell ref="J369:L369"/>
    <mergeCell ref="B370:D370"/>
    <mergeCell ref="J370:L370"/>
    <mergeCell ref="A371:B371"/>
    <mergeCell ref="F371:G371"/>
    <mergeCell ref="I371:J371"/>
    <mergeCell ref="N371:O371"/>
    <mergeCell ref="B426:H426"/>
    <mergeCell ref="J426:P426"/>
    <mergeCell ref="B428:D428"/>
    <mergeCell ref="E428:H428"/>
    <mergeCell ref="J428:L428"/>
    <mergeCell ref="M428:P428"/>
    <mergeCell ref="B429:D429"/>
    <mergeCell ref="J429:L429"/>
    <mergeCell ref="B430:D430"/>
    <mergeCell ref="J430:L430"/>
    <mergeCell ref="A431:B431"/>
    <mergeCell ref="F431:G431"/>
    <mergeCell ref="I431:J431"/>
    <mergeCell ref="N431:O431"/>
    <mergeCell ref="B486:H486"/>
    <mergeCell ref="J486:P486"/>
    <mergeCell ref="B488:D488"/>
    <mergeCell ref="E488:H488"/>
    <mergeCell ref="J488:L488"/>
    <mergeCell ref="M488:P488"/>
    <mergeCell ref="B489:D489"/>
    <mergeCell ref="J489:L489"/>
    <mergeCell ref="B490:D490"/>
    <mergeCell ref="J490:L490"/>
    <mergeCell ref="A491:B491"/>
    <mergeCell ref="F491:G491"/>
    <mergeCell ref="I491:J491"/>
    <mergeCell ref="N491:O491"/>
    <mergeCell ref="A12:A19"/>
    <mergeCell ref="A20:A27"/>
    <mergeCell ref="A28:A35"/>
    <mergeCell ref="A36:A43"/>
    <mergeCell ref="A44:A51"/>
    <mergeCell ref="A52:A59"/>
    <mergeCell ref="A72:A79"/>
    <mergeCell ref="A80:A87"/>
    <mergeCell ref="A88:A95"/>
    <mergeCell ref="A96:A103"/>
    <mergeCell ref="A104:A111"/>
    <mergeCell ref="A112:A119"/>
    <mergeCell ref="A132:A139"/>
    <mergeCell ref="A140:A147"/>
    <mergeCell ref="A148:A155"/>
    <mergeCell ref="A156:A163"/>
    <mergeCell ref="A164:A171"/>
    <mergeCell ref="A172:A179"/>
    <mergeCell ref="A192:A199"/>
    <mergeCell ref="A200:A207"/>
    <mergeCell ref="A208:A215"/>
    <mergeCell ref="A216:A223"/>
    <mergeCell ref="A224:A231"/>
    <mergeCell ref="A232:A239"/>
    <mergeCell ref="A252:A259"/>
    <mergeCell ref="A260:A267"/>
    <mergeCell ref="A268:A275"/>
    <mergeCell ref="A276:A283"/>
    <mergeCell ref="A284:A291"/>
    <mergeCell ref="A292:A299"/>
    <mergeCell ref="A312:A319"/>
    <mergeCell ref="A320:A327"/>
    <mergeCell ref="A328:A335"/>
    <mergeCell ref="A336:A343"/>
    <mergeCell ref="A344:A351"/>
    <mergeCell ref="A352:A359"/>
    <mergeCell ref="A372:A379"/>
    <mergeCell ref="A380:A387"/>
    <mergeCell ref="A388:A395"/>
    <mergeCell ref="A396:A403"/>
    <mergeCell ref="A404:A411"/>
    <mergeCell ref="A412:A419"/>
    <mergeCell ref="A432:A439"/>
    <mergeCell ref="A440:A447"/>
    <mergeCell ref="A448:A455"/>
    <mergeCell ref="A456:A463"/>
    <mergeCell ref="A464:A471"/>
    <mergeCell ref="A472:A479"/>
    <mergeCell ref="A492:A499"/>
    <mergeCell ref="A500:A507"/>
    <mergeCell ref="A508:A515"/>
    <mergeCell ref="A516:A523"/>
    <mergeCell ref="A524:A531"/>
    <mergeCell ref="A532:A539"/>
    <mergeCell ref="B12:B19"/>
    <mergeCell ref="B20:B27"/>
    <mergeCell ref="B28:B35"/>
    <mergeCell ref="B36:B43"/>
    <mergeCell ref="B44:B51"/>
    <mergeCell ref="B52:B59"/>
    <mergeCell ref="B72:B79"/>
    <mergeCell ref="B80:B87"/>
    <mergeCell ref="B88:B95"/>
    <mergeCell ref="B96:B103"/>
    <mergeCell ref="B104:B111"/>
    <mergeCell ref="B112:B119"/>
    <mergeCell ref="B132:B139"/>
    <mergeCell ref="B140:B147"/>
    <mergeCell ref="B148:B155"/>
    <mergeCell ref="B156:B163"/>
    <mergeCell ref="B164:B171"/>
    <mergeCell ref="B172:B179"/>
    <mergeCell ref="B192:B199"/>
    <mergeCell ref="B200:B207"/>
    <mergeCell ref="B208:B215"/>
    <mergeCell ref="B216:B223"/>
    <mergeCell ref="B224:B231"/>
    <mergeCell ref="B232:B239"/>
    <mergeCell ref="B252:B259"/>
    <mergeCell ref="B260:B267"/>
    <mergeCell ref="B268:B275"/>
    <mergeCell ref="B276:B283"/>
    <mergeCell ref="B284:B291"/>
    <mergeCell ref="B292:B299"/>
    <mergeCell ref="B312:B319"/>
    <mergeCell ref="B320:B327"/>
    <mergeCell ref="B328:B335"/>
    <mergeCell ref="B336:B343"/>
    <mergeCell ref="B344:B351"/>
    <mergeCell ref="B352:B359"/>
    <mergeCell ref="B372:B379"/>
    <mergeCell ref="B380:B387"/>
    <mergeCell ref="B388:B395"/>
    <mergeCell ref="B396:B403"/>
    <mergeCell ref="B404:B411"/>
    <mergeCell ref="B412:B419"/>
    <mergeCell ref="B432:B439"/>
    <mergeCell ref="B440:B447"/>
    <mergeCell ref="B448:B455"/>
    <mergeCell ref="B456:B463"/>
    <mergeCell ref="B464:B471"/>
    <mergeCell ref="B472:B479"/>
    <mergeCell ref="B492:B499"/>
    <mergeCell ref="B500:B507"/>
    <mergeCell ref="B508:B515"/>
    <mergeCell ref="B516:B523"/>
    <mergeCell ref="B524:B531"/>
    <mergeCell ref="B532:B539"/>
    <mergeCell ref="I12:I19"/>
    <mergeCell ref="I20:I27"/>
    <mergeCell ref="I28:I35"/>
    <mergeCell ref="I36:I43"/>
    <mergeCell ref="I44:I51"/>
    <mergeCell ref="I52:I59"/>
    <mergeCell ref="I72:I79"/>
    <mergeCell ref="I80:I87"/>
    <mergeCell ref="I88:I95"/>
    <mergeCell ref="I96:I103"/>
    <mergeCell ref="I104:I111"/>
    <mergeCell ref="I112:I119"/>
    <mergeCell ref="I132:I139"/>
    <mergeCell ref="I140:I147"/>
    <mergeCell ref="I148:I155"/>
    <mergeCell ref="I156:I163"/>
    <mergeCell ref="I164:I171"/>
    <mergeCell ref="I172:I179"/>
    <mergeCell ref="I192:I199"/>
    <mergeCell ref="I200:I207"/>
    <mergeCell ref="I208:I215"/>
    <mergeCell ref="I216:I223"/>
    <mergeCell ref="I224:I231"/>
    <mergeCell ref="I232:I239"/>
    <mergeCell ref="I252:I259"/>
    <mergeCell ref="I260:I267"/>
    <mergeCell ref="I268:I275"/>
    <mergeCell ref="I276:I283"/>
    <mergeCell ref="I284:I291"/>
    <mergeCell ref="I292:I299"/>
    <mergeCell ref="I312:I319"/>
    <mergeCell ref="I320:I327"/>
    <mergeCell ref="I328:I335"/>
    <mergeCell ref="I336:I343"/>
    <mergeCell ref="I344:I351"/>
    <mergeCell ref="I352:I359"/>
    <mergeCell ref="I372:I379"/>
    <mergeCell ref="I380:I387"/>
    <mergeCell ref="I388:I395"/>
    <mergeCell ref="I396:I403"/>
    <mergeCell ref="I404:I411"/>
    <mergeCell ref="I412:I419"/>
    <mergeCell ref="I432:I439"/>
    <mergeCell ref="I440:I447"/>
    <mergeCell ref="I448:I455"/>
    <mergeCell ref="I456:I463"/>
    <mergeCell ref="I464:I471"/>
    <mergeCell ref="I472:I479"/>
    <mergeCell ref="I492:I499"/>
    <mergeCell ref="I500:I507"/>
    <mergeCell ref="I508:I515"/>
    <mergeCell ref="I516:I523"/>
    <mergeCell ref="I524:I531"/>
    <mergeCell ref="I532:I539"/>
    <mergeCell ref="J12:J19"/>
    <mergeCell ref="J20:J27"/>
    <mergeCell ref="J28:J35"/>
    <mergeCell ref="J36:J43"/>
    <mergeCell ref="J44:J51"/>
    <mergeCell ref="J52:J59"/>
    <mergeCell ref="J72:J79"/>
    <mergeCell ref="J80:J87"/>
    <mergeCell ref="J88:J95"/>
    <mergeCell ref="J96:J103"/>
    <mergeCell ref="J104:J111"/>
    <mergeCell ref="J112:J119"/>
    <mergeCell ref="J132:J139"/>
    <mergeCell ref="J140:J147"/>
    <mergeCell ref="J148:J155"/>
    <mergeCell ref="J156:J163"/>
    <mergeCell ref="J164:J171"/>
    <mergeCell ref="J172:J179"/>
    <mergeCell ref="J192:J199"/>
    <mergeCell ref="J200:J207"/>
    <mergeCell ref="J208:J215"/>
    <mergeCell ref="J216:J223"/>
    <mergeCell ref="J224:J231"/>
    <mergeCell ref="J232:J239"/>
    <mergeCell ref="J252:J259"/>
    <mergeCell ref="J260:J267"/>
    <mergeCell ref="J268:J275"/>
    <mergeCell ref="J276:J283"/>
    <mergeCell ref="J284:J291"/>
    <mergeCell ref="J292:J299"/>
    <mergeCell ref="J312:J319"/>
    <mergeCell ref="J320:J327"/>
    <mergeCell ref="J328:J335"/>
    <mergeCell ref="J336:J343"/>
    <mergeCell ref="J344:J351"/>
    <mergeCell ref="J352:J359"/>
    <mergeCell ref="J372:J379"/>
    <mergeCell ref="J380:J387"/>
    <mergeCell ref="J388:J395"/>
    <mergeCell ref="J396:J403"/>
    <mergeCell ref="J404:J411"/>
    <mergeCell ref="J412:J419"/>
    <mergeCell ref="J432:J439"/>
    <mergeCell ref="J440:J447"/>
    <mergeCell ref="J448:J455"/>
    <mergeCell ref="J456:J463"/>
    <mergeCell ref="J464:J471"/>
    <mergeCell ref="J472:J479"/>
    <mergeCell ref="J492:J499"/>
    <mergeCell ref="J500:J507"/>
    <mergeCell ref="J508:J515"/>
    <mergeCell ref="J516:J523"/>
    <mergeCell ref="J524:J531"/>
    <mergeCell ref="J532:J539"/>
  </mergeCells>
  <pageMargins left="0.708661417322835" right="0.708661417322835" top="0.748031496062992" bottom="0.748031496062992" header="0.31496062992126" footer="0.31496062992126"/>
  <pageSetup paperSize="9" scale="33" orientation="portrait"/>
  <headerFooter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12-26</vt:lpstr>
      <vt:lpstr>12-26ПИ</vt:lpstr>
      <vt:lpstr>12-26МИ</vt:lpstr>
      <vt:lpstr>12-26ФИ</vt:lpstr>
      <vt:lpstr>12-25ПИ</vt:lpstr>
      <vt:lpstr>12-24ПИ</vt:lpstr>
      <vt:lpstr>12-23ПИ</vt:lpstr>
      <vt:lpstr>12-25РПм</vt:lpstr>
      <vt:lpstr>12-25ПИоз</vt:lpstr>
      <vt:lpstr>12-25МИоз</vt:lpstr>
      <vt:lpstr>12-25МЭоз</vt:lpstr>
      <vt:lpstr>12-24ПИоз</vt:lpstr>
      <vt:lpstr>12-24МИоз</vt:lpstr>
      <vt:lpstr>12-24МЭоз</vt:lpstr>
      <vt:lpstr>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Виктория</dc:creator>
  <cp:lastModifiedBy>Абалдуй</cp:lastModifiedBy>
  <dcterms:created xsi:type="dcterms:W3CDTF">2019-11-04T14:27:00Z</dcterms:created>
  <dcterms:modified xsi:type="dcterms:W3CDTF">2026-08-31T10:44:00Z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9FC6AE77DF9841E48767B1BA4E2F2EE1_12</vt:lpwstr>
  </property>
  <property fmtid="{D5CDD505-2E9C-101B-9397-08002B2CF9AE}" pid="3" name="KSOProductBuildVer">
    <vt:lpwstr>1049-12.1.0.28032</vt:lpwstr>
  </property>
  <property fmtid="{D5CDD505-2E9C-101B-9397-08002B2CF9AE}" pid="4" name="CalculationRule">
    <vt:i4>0</vt:i4>
  </property>
</Properties>
</file>