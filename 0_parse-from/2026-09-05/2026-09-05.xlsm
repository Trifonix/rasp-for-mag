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балдуй\Desktop\расписание\"/>
    </mc:Choice>
  </mc:AlternateContent>
  <xr:revisionPtr revIDLastSave="0" documentId="13_ncr:1_{5B1785F3-BB9C-4BB7-9116-776FFEE62542}" xr6:coauthVersionLast="47" xr6:coauthVersionMax="47" xr10:uidLastSave="{00000000-0000-0000-0000-000000000000}"/>
  <bookViews>
    <workbookView xWindow="705" yWindow="540" windowWidth="18120" windowHeight="9825" tabRatio="747" firstSheet="1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'12-23ПИ'!$A$1:$P$60</definedName>
    <definedName name="_xlnm.Print_Area" localSheetId="12">'12-24МИоз'!$A$1:$P$60</definedName>
    <definedName name="_xlnm.Print_Area" localSheetId="13">'12-24МЭоз'!$A$1:$P$60</definedName>
    <definedName name="_xlnm.Print_Area" localSheetId="5">'12-24ПИ'!$A$1:$P$60</definedName>
    <definedName name="_xlnm.Print_Area" localSheetId="11">'12-24ПИоз'!$A$1:$P$60</definedName>
    <definedName name="_xlnm.Print_Area" localSheetId="9">'12-25МИоз'!$A$1:$P$60</definedName>
    <definedName name="_xlnm.Print_Area" localSheetId="10">'12-25МЭоз'!$A$1:$P$60</definedName>
    <definedName name="_xlnm.Print_Area" localSheetId="4">'12-25ПИ'!$A$1:$P$60</definedName>
    <definedName name="_xlnm.Print_Area" localSheetId="8">'12-25ПИоз'!$A$1:$P$60</definedName>
    <definedName name="_xlnm.Print_Area" localSheetId="7">'12-25РПм'!$A$1:$P$60</definedName>
    <definedName name="_xlnm.Print_Area" localSheetId="0">'12-26'!$A$1:$P$540</definedName>
    <definedName name="_xlnm.Print_Area" localSheetId="2">'12-26МИ'!$A$1:$P$60</definedName>
    <definedName name="_xlnm.Print_Area" localSheetId="1">'12-26ПИ'!$A$1:$P$60</definedName>
    <definedName name="_xlnm.Print_Area" localSheetId="3">'12-26ФИ'!$A$1:$P$60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6" i="42" l="1"/>
  <c r="R27" i="42"/>
  <c r="R28" i="42"/>
  <c r="R29" i="42"/>
  <c r="R30" i="42"/>
  <c r="R31" i="42"/>
  <c r="R32" i="42"/>
  <c r="R33" i="42"/>
  <c r="R16" i="34"/>
  <c r="N9" i="43"/>
  <c r="F9" i="43"/>
  <c r="N9" i="42"/>
  <c r="F9" i="42"/>
  <c r="N9" i="41"/>
  <c r="F9" i="41"/>
  <c r="N9" i="40"/>
  <c r="F9" i="40"/>
  <c r="N9" i="33"/>
  <c r="F9" i="33"/>
  <c r="N9" i="39"/>
  <c r="F9" i="39"/>
  <c r="N9" i="38"/>
  <c r="F9" i="38"/>
  <c r="N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R12" i="34" l="1"/>
  <c r="R13" i="15" l="1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L493" i="44" l="1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O12" i="43"/>
  <c r="N12" i="43"/>
  <c r="M12" i="43"/>
  <c r="P12" i="43" s="1"/>
  <c r="L12" i="43"/>
  <c r="G12" i="43"/>
  <c r="F12" i="43"/>
  <c r="E12" i="43"/>
  <c r="H12" i="43" s="1"/>
  <c r="D12" i="43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E7" i="42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G59" i="43"/>
  <c r="F59" i="43"/>
  <c r="E59" i="43"/>
  <c r="H59" i="43" s="1"/>
  <c r="D59" i="43"/>
  <c r="M10" i="43"/>
  <c r="M9" i="43"/>
  <c r="M8" i="43"/>
  <c r="J7" i="43"/>
  <c r="B7" i="43"/>
  <c r="O59" i="42"/>
  <c r="N59" i="42"/>
  <c r="M59" i="42"/>
  <c r="L59" i="42"/>
  <c r="G59" i="42"/>
  <c r="F59" i="42"/>
  <c r="E59" i="42"/>
  <c r="H59" i="42" s="1"/>
  <c r="D59" i="42"/>
  <c r="M10" i="42"/>
  <c r="M9" i="42"/>
  <c r="M8" i="42"/>
  <c r="J7" i="42"/>
  <c r="B7" i="42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O12" i="41"/>
  <c r="N12" i="41"/>
  <c r="M12" i="41"/>
  <c r="P12" i="41" s="1"/>
  <c r="L12" i="41"/>
  <c r="G12" i="41"/>
  <c r="F12" i="41"/>
  <c r="E12" i="41"/>
  <c r="H12" i="41" s="1"/>
  <c r="D12" i="41"/>
  <c r="E7" i="41"/>
  <c r="M59" i="41"/>
  <c r="L59" i="41"/>
  <c r="E59" i="41"/>
  <c r="H59" i="41" s="1"/>
  <c r="D59" i="41"/>
  <c r="M10" i="41"/>
  <c r="M9" i="41"/>
  <c r="M8" i="41"/>
  <c r="J7" i="41"/>
  <c r="B7" i="41"/>
  <c r="P487" i="44" l="1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M7" i="43"/>
  <c r="M7" i="42"/>
  <c r="M7" i="41"/>
  <c r="E487" i="44" l="1"/>
  <c r="M487" i="44"/>
  <c r="M8" i="32"/>
  <c r="G7" i="37" l="1"/>
  <c r="G7" i="36"/>
  <c r="G7" i="31"/>
  <c r="G7" i="35"/>
  <c r="G7" i="34"/>
  <c r="O427" i="15"/>
  <c r="G127" i="15" l="1"/>
  <c r="G367" i="15"/>
  <c r="O7" i="15"/>
  <c r="O247" i="15"/>
  <c r="O487" i="15"/>
  <c r="O7" i="36"/>
  <c r="O67" i="15"/>
  <c r="G187" i="15"/>
  <c r="G307" i="15"/>
  <c r="G427" i="15"/>
  <c r="G247" i="15"/>
  <c r="G487" i="15"/>
  <c r="O127" i="15"/>
  <c r="O367" i="15"/>
  <c r="O7" i="35"/>
  <c r="G67" i="15"/>
  <c r="O187" i="15"/>
  <c r="O307" i="15"/>
  <c r="O7" i="34"/>
  <c r="O7" i="31"/>
  <c r="O7" i="37"/>
  <c r="E7" i="40"/>
  <c r="M7" i="40" s="1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10" i="40"/>
  <c r="M9" i="40"/>
  <c r="M8" i="40"/>
  <c r="J7" i="40"/>
  <c r="B7" i="40"/>
  <c r="E7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10" i="39"/>
  <c r="M9" i="39"/>
  <c r="M8" i="39"/>
  <c r="J7" i="39"/>
  <c r="B7" i="39"/>
  <c r="M7" i="39" l="1"/>
  <c r="E7" i="38"/>
  <c r="N59" i="38"/>
  <c r="F59" i="38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10" i="38"/>
  <c r="M9" i="38"/>
  <c r="M8" i="38"/>
  <c r="J7" i="38"/>
  <c r="B7" i="38"/>
  <c r="M7" i="38" l="1"/>
  <c r="E7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10" i="37"/>
  <c r="M9" i="37"/>
  <c r="M8" i="37"/>
  <c r="J7" i="37"/>
  <c r="B7" i="37"/>
  <c r="M7" i="37" l="1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10" i="36"/>
  <c r="M9" i="36"/>
  <c r="M8" i="36"/>
  <c r="J7" i="36"/>
  <c r="B7" i="36"/>
  <c r="M7" i="36" l="1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10" i="35"/>
  <c r="M9" i="35"/>
  <c r="M8" i="35"/>
  <c r="J7" i="35"/>
  <c r="B7" i="35"/>
  <c r="M7" i="35" l="1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10" i="34"/>
  <c r="M9" i="34"/>
  <c r="M8" i="34"/>
  <c r="J7" i="34"/>
  <c r="B7" i="34"/>
  <c r="E7" i="33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12" i="33"/>
  <c r="P12" i="33" s="1"/>
  <c r="L12" i="33"/>
  <c r="E12" i="33"/>
  <c r="H12" i="33" s="1"/>
  <c r="D12" i="33"/>
  <c r="N59" i="33"/>
  <c r="M59" i="33"/>
  <c r="L59" i="33"/>
  <c r="F59" i="33"/>
  <c r="E59" i="33"/>
  <c r="H59" i="33" s="1"/>
  <c r="D59" i="33"/>
  <c r="M10" i="33"/>
  <c r="M9" i="33"/>
  <c r="M8" i="33"/>
  <c r="J7" i="33"/>
  <c r="B7" i="33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D12" i="32"/>
  <c r="M12" i="32"/>
  <c r="P12" i="32" s="1"/>
  <c r="L12" i="32"/>
  <c r="F12" i="32"/>
  <c r="E12" i="32"/>
  <c r="H12" i="32" s="1"/>
  <c r="E7" i="32"/>
  <c r="N59" i="32"/>
  <c r="M59" i="32"/>
  <c r="L59" i="32"/>
  <c r="F59" i="32"/>
  <c r="E59" i="32"/>
  <c r="H59" i="32" s="1"/>
  <c r="D59" i="32"/>
  <c r="M10" i="32"/>
  <c r="M9" i="32"/>
  <c r="J7" i="32"/>
  <c r="B7" i="32"/>
  <c r="M7" i="32" l="1"/>
  <c r="M7" i="34"/>
  <c r="M7" i="33"/>
  <c r="E7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12" i="31"/>
  <c r="M12" i="31"/>
  <c r="P12" i="31" s="1"/>
  <c r="L12" i="31"/>
  <c r="F12" i="31"/>
  <c r="E12" i="31"/>
  <c r="H12" i="31" s="1"/>
  <c r="D12" i="31"/>
  <c r="N59" i="31"/>
  <c r="M59" i="31"/>
  <c r="L59" i="31"/>
  <c r="F59" i="31"/>
  <c r="E59" i="31"/>
  <c r="H59" i="31" s="1"/>
  <c r="D59" i="31"/>
  <c r="M10" i="31"/>
  <c r="M9" i="31"/>
  <c r="M8" i="31"/>
  <c r="J7" i="31"/>
  <c r="B7" i="31"/>
  <c r="L433" i="15"/>
  <c r="M433" i="15"/>
  <c r="N433" i="15"/>
  <c r="L434" i="15"/>
  <c r="M434" i="15"/>
  <c r="N434" i="15"/>
  <c r="L435" i="15"/>
  <c r="M435" i="15"/>
  <c r="N435" i="15"/>
  <c r="L436" i="15"/>
  <c r="M436" i="15"/>
  <c r="N436" i="15"/>
  <c r="L437" i="15"/>
  <c r="M437" i="15"/>
  <c r="N437" i="15"/>
  <c r="L438" i="15"/>
  <c r="M438" i="15"/>
  <c r="N438" i="15"/>
  <c r="L439" i="15"/>
  <c r="M439" i="15"/>
  <c r="N439" i="15"/>
  <c r="L440" i="15"/>
  <c r="M440" i="15"/>
  <c r="N440" i="15"/>
  <c r="L441" i="15"/>
  <c r="M441" i="15"/>
  <c r="N441" i="15"/>
  <c r="L442" i="15"/>
  <c r="M442" i="15"/>
  <c r="N442" i="15"/>
  <c r="L443" i="15"/>
  <c r="M443" i="15"/>
  <c r="N443" i="15"/>
  <c r="L444" i="15"/>
  <c r="M444" i="15"/>
  <c r="N444" i="15"/>
  <c r="L445" i="15"/>
  <c r="M445" i="15"/>
  <c r="N445" i="15"/>
  <c r="L446" i="15"/>
  <c r="M446" i="15"/>
  <c r="N446" i="15"/>
  <c r="L447" i="15"/>
  <c r="M447" i="15"/>
  <c r="N447" i="15"/>
  <c r="L448" i="15"/>
  <c r="M448" i="15"/>
  <c r="N448" i="15"/>
  <c r="L449" i="15"/>
  <c r="M449" i="15"/>
  <c r="N449" i="15"/>
  <c r="L450" i="15"/>
  <c r="M450" i="15"/>
  <c r="N450" i="15"/>
  <c r="L451" i="15"/>
  <c r="M451" i="15"/>
  <c r="N451" i="15"/>
  <c r="L452" i="15"/>
  <c r="M452" i="15"/>
  <c r="N452" i="15"/>
  <c r="L453" i="15"/>
  <c r="M453" i="15"/>
  <c r="N453" i="15"/>
  <c r="L454" i="15"/>
  <c r="M454" i="15"/>
  <c r="N454" i="15"/>
  <c r="L455" i="15"/>
  <c r="M455" i="15"/>
  <c r="N455" i="15"/>
  <c r="L456" i="15"/>
  <c r="M456" i="15"/>
  <c r="N456" i="15"/>
  <c r="L457" i="15"/>
  <c r="M457" i="15"/>
  <c r="N457" i="15"/>
  <c r="L458" i="15"/>
  <c r="M458" i="15"/>
  <c r="N458" i="15"/>
  <c r="L459" i="15"/>
  <c r="M459" i="15"/>
  <c r="N459" i="15"/>
  <c r="L460" i="15"/>
  <c r="M460" i="15"/>
  <c r="N460" i="15"/>
  <c r="L461" i="15"/>
  <c r="M461" i="15"/>
  <c r="N461" i="15"/>
  <c r="L462" i="15"/>
  <c r="M462" i="15"/>
  <c r="N462" i="15"/>
  <c r="L463" i="15"/>
  <c r="M463" i="15"/>
  <c r="N463" i="15"/>
  <c r="L464" i="15"/>
  <c r="M464" i="15"/>
  <c r="N464" i="15"/>
  <c r="L465" i="15"/>
  <c r="M465" i="15"/>
  <c r="N465" i="15"/>
  <c r="L466" i="15"/>
  <c r="M466" i="15"/>
  <c r="N466" i="15"/>
  <c r="L467" i="15"/>
  <c r="M467" i="15"/>
  <c r="N467" i="15"/>
  <c r="L468" i="15"/>
  <c r="M468" i="15"/>
  <c r="N468" i="15"/>
  <c r="L469" i="15"/>
  <c r="M469" i="15"/>
  <c r="N469" i="15"/>
  <c r="L470" i="15"/>
  <c r="M470" i="15"/>
  <c r="N470" i="15"/>
  <c r="L471" i="15"/>
  <c r="M471" i="15"/>
  <c r="N471" i="15"/>
  <c r="L472" i="15"/>
  <c r="M472" i="15"/>
  <c r="N472" i="15"/>
  <c r="L473" i="15"/>
  <c r="M473" i="15"/>
  <c r="N473" i="15"/>
  <c r="L474" i="15"/>
  <c r="M474" i="15"/>
  <c r="N474" i="15"/>
  <c r="L475" i="15"/>
  <c r="M475" i="15"/>
  <c r="N475" i="15"/>
  <c r="L476" i="15"/>
  <c r="M476" i="15"/>
  <c r="N476" i="15"/>
  <c r="L477" i="15"/>
  <c r="M477" i="15"/>
  <c r="N477" i="15"/>
  <c r="L478" i="15"/>
  <c r="M478" i="15"/>
  <c r="N478" i="15"/>
  <c r="D433" i="15"/>
  <c r="E433" i="15"/>
  <c r="F433" i="15"/>
  <c r="D434" i="15"/>
  <c r="E434" i="15"/>
  <c r="F434" i="15"/>
  <c r="D435" i="15"/>
  <c r="E435" i="15"/>
  <c r="F435" i="15"/>
  <c r="D436" i="15"/>
  <c r="E436" i="15"/>
  <c r="F436" i="15"/>
  <c r="D437" i="15"/>
  <c r="E437" i="15"/>
  <c r="F437" i="15"/>
  <c r="D438" i="15"/>
  <c r="E438" i="15"/>
  <c r="F438" i="15"/>
  <c r="D439" i="15"/>
  <c r="E439" i="15"/>
  <c r="F439" i="15"/>
  <c r="D440" i="15"/>
  <c r="E440" i="15"/>
  <c r="F440" i="15"/>
  <c r="D441" i="15"/>
  <c r="E441" i="15"/>
  <c r="F441" i="15"/>
  <c r="D442" i="15"/>
  <c r="E442" i="15"/>
  <c r="F442" i="15"/>
  <c r="D443" i="15"/>
  <c r="E443" i="15"/>
  <c r="F443" i="15"/>
  <c r="D444" i="15"/>
  <c r="E444" i="15"/>
  <c r="F444" i="15"/>
  <c r="D445" i="15"/>
  <c r="E445" i="15"/>
  <c r="F445" i="15"/>
  <c r="D446" i="15"/>
  <c r="E446" i="15"/>
  <c r="F446" i="15"/>
  <c r="D447" i="15"/>
  <c r="E447" i="15"/>
  <c r="F447" i="15"/>
  <c r="D448" i="15"/>
  <c r="E448" i="15"/>
  <c r="F448" i="15"/>
  <c r="D449" i="15"/>
  <c r="E449" i="15"/>
  <c r="F449" i="15"/>
  <c r="D450" i="15"/>
  <c r="E450" i="15"/>
  <c r="F450" i="15"/>
  <c r="D451" i="15"/>
  <c r="E451" i="15"/>
  <c r="F451" i="15"/>
  <c r="D452" i="15"/>
  <c r="E452" i="15"/>
  <c r="F452" i="15"/>
  <c r="D453" i="15"/>
  <c r="E453" i="15"/>
  <c r="F453" i="15"/>
  <c r="D454" i="15"/>
  <c r="E454" i="15"/>
  <c r="F454" i="15"/>
  <c r="D455" i="15"/>
  <c r="E455" i="15"/>
  <c r="F455" i="15"/>
  <c r="D456" i="15"/>
  <c r="E456" i="15"/>
  <c r="F456" i="15"/>
  <c r="D457" i="15"/>
  <c r="E457" i="15"/>
  <c r="F457" i="15"/>
  <c r="D458" i="15"/>
  <c r="E458" i="15"/>
  <c r="F458" i="15"/>
  <c r="D459" i="15"/>
  <c r="E459" i="15"/>
  <c r="F459" i="15"/>
  <c r="D460" i="15"/>
  <c r="E460" i="15"/>
  <c r="F460" i="15"/>
  <c r="D461" i="15"/>
  <c r="E461" i="15"/>
  <c r="F461" i="15"/>
  <c r="D462" i="15"/>
  <c r="E462" i="15"/>
  <c r="F462" i="15"/>
  <c r="D463" i="15"/>
  <c r="E463" i="15"/>
  <c r="F463" i="15"/>
  <c r="D464" i="15"/>
  <c r="E464" i="15"/>
  <c r="F464" i="15"/>
  <c r="D465" i="15"/>
  <c r="E465" i="15"/>
  <c r="F465" i="15"/>
  <c r="D466" i="15"/>
  <c r="E466" i="15"/>
  <c r="F466" i="15"/>
  <c r="D467" i="15"/>
  <c r="E467" i="15"/>
  <c r="F467" i="15"/>
  <c r="D468" i="15"/>
  <c r="E468" i="15"/>
  <c r="F468" i="15"/>
  <c r="D469" i="15"/>
  <c r="E469" i="15"/>
  <c r="F469" i="15"/>
  <c r="D470" i="15"/>
  <c r="E470" i="15"/>
  <c r="F470" i="15"/>
  <c r="D471" i="15"/>
  <c r="E471" i="15"/>
  <c r="F471" i="15"/>
  <c r="D472" i="15"/>
  <c r="E472" i="15"/>
  <c r="F472" i="15"/>
  <c r="D473" i="15"/>
  <c r="E473" i="15"/>
  <c r="F473" i="15"/>
  <c r="D474" i="15"/>
  <c r="E474" i="15"/>
  <c r="F474" i="15"/>
  <c r="D475" i="15"/>
  <c r="E475" i="15"/>
  <c r="F475" i="15"/>
  <c r="D476" i="15"/>
  <c r="E476" i="15"/>
  <c r="F476" i="15"/>
  <c r="D477" i="15"/>
  <c r="E477" i="15"/>
  <c r="F477" i="15"/>
  <c r="D478" i="15"/>
  <c r="E478" i="15"/>
  <c r="F478" i="15"/>
  <c r="D493" i="15"/>
  <c r="E493" i="15"/>
  <c r="F493" i="15"/>
  <c r="D494" i="15"/>
  <c r="E494" i="15"/>
  <c r="F494" i="15"/>
  <c r="D495" i="15"/>
  <c r="E495" i="15"/>
  <c r="F495" i="15"/>
  <c r="D496" i="15"/>
  <c r="E496" i="15"/>
  <c r="F496" i="15"/>
  <c r="D497" i="15"/>
  <c r="E497" i="15"/>
  <c r="F497" i="15"/>
  <c r="D498" i="15"/>
  <c r="E498" i="15"/>
  <c r="F498" i="15"/>
  <c r="D499" i="15"/>
  <c r="E499" i="15"/>
  <c r="F499" i="15"/>
  <c r="D500" i="15"/>
  <c r="E500" i="15"/>
  <c r="F500" i="15"/>
  <c r="D501" i="15"/>
  <c r="E501" i="15"/>
  <c r="F501" i="15"/>
  <c r="D502" i="15"/>
  <c r="E502" i="15"/>
  <c r="F502" i="15"/>
  <c r="D503" i="15"/>
  <c r="E503" i="15"/>
  <c r="F503" i="15"/>
  <c r="D504" i="15"/>
  <c r="E504" i="15"/>
  <c r="F504" i="15"/>
  <c r="D505" i="15"/>
  <c r="E505" i="15"/>
  <c r="F505" i="15"/>
  <c r="D506" i="15"/>
  <c r="E506" i="15"/>
  <c r="F506" i="15"/>
  <c r="D507" i="15"/>
  <c r="E507" i="15"/>
  <c r="F507" i="15"/>
  <c r="D508" i="15"/>
  <c r="E508" i="15"/>
  <c r="F508" i="15"/>
  <c r="D509" i="15"/>
  <c r="E509" i="15"/>
  <c r="F509" i="15"/>
  <c r="D510" i="15"/>
  <c r="E510" i="15"/>
  <c r="F510" i="15"/>
  <c r="D511" i="15"/>
  <c r="E511" i="15"/>
  <c r="F511" i="15"/>
  <c r="D512" i="15"/>
  <c r="E512" i="15"/>
  <c r="F512" i="15"/>
  <c r="D513" i="15"/>
  <c r="E513" i="15"/>
  <c r="F513" i="15"/>
  <c r="D514" i="15"/>
  <c r="E514" i="15"/>
  <c r="F514" i="15"/>
  <c r="D515" i="15"/>
  <c r="E515" i="15"/>
  <c r="F515" i="15"/>
  <c r="D516" i="15"/>
  <c r="E516" i="15"/>
  <c r="F516" i="15"/>
  <c r="D517" i="15"/>
  <c r="E517" i="15"/>
  <c r="F517" i="15"/>
  <c r="D518" i="15"/>
  <c r="E518" i="15"/>
  <c r="F518" i="15"/>
  <c r="D519" i="15"/>
  <c r="E519" i="15"/>
  <c r="F519" i="15"/>
  <c r="D520" i="15"/>
  <c r="E520" i="15"/>
  <c r="F520" i="15"/>
  <c r="D521" i="15"/>
  <c r="E521" i="15"/>
  <c r="F521" i="15"/>
  <c r="D522" i="15"/>
  <c r="E522" i="15"/>
  <c r="F522" i="15"/>
  <c r="D523" i="15"/>
  <c r="E523" i="15"/>
  <c r="F523" i="15"/>
  <c r="D524" i="15"/>
  <c r="E524" i="15"/>
  <c r="F524" i="15"/>
  <c r="D525" i="15"/>
  <c r="E525" i="15"/>
  <c r="F525" i="15"/>
  <c r="D526" i="15"/>
  <c r="E526" i="15"/>
  <c r="F526" i="15"/>
  <c r="D527" i="15"/>
  <c r="E527" i="15"/>
  <c r="F527" i="15"/>
  <c r="D528" i="15"/>
  <c r="E528" i="15"/>
  <c r="F528" i="15"/>
  <c r="D529" i="15"/>
  <c r="E529" i="15"/>
  <c r="F529" i="15"/>
  <c r="D530" i="15"/>
  <c r="E530" i="15"/>
  <c r="F530" i="15"/>
  <c r="D531" i="15"/>
  <c r="E531" i="15"/>
  <c r="F531" i="15"/>
  <c r="D532" i="15"/>
  <c r="E532" i="15"/>
  <c r="F532" i="15"/>
  <c r="D533" i="15"/>
  <c r="E533" i="15"/>
  <c r="F533" i="15"/>
  <c r="D534" i="15"/>
  <c r="E534" i="15"/>
  <c r="F534" i="15"/>
  <c r="D535" i="15"/>
  <c r="E535" i="15"/>
  <c r="F535" i="15"/>
  <c r="D536" i="15"/>
  <c r="E536" i="15"/>
  <c r="F536" i="15"/>
  <c r="D537" i="15"/>
  <c r="E537" i="15"/>
  <c r="F537" i="15"/>
  <c r="D538" i="15"/>
  <c r="E538" i="15"/>
  <c r="F538" i="15"/>
  <c r="L493" i="15"/>
  <c r="M493" i="15"/>
  <c r="N493" i="15"/>
  <c r="L494" i="15"/>
  <c r="M494" i="15"/>
  <c r="N494" i="15"/>
  <c r="L495" i="15"/>
  <c r="M495" i="15"/>
  <c r="N495" i="15"/>
  <c r="L496" i="15"/>
  <c r="M496" i="15"/>
  <c r="N496" i="15"/>
  <c r="L497" i="15"/>
  <c r="M497" i="15"/>
  <c r="N497" i="15"/>
  <c r="L498" i="15"/>
  <c r="M498" i="15"/>
  <c r="N498" i="15"/>
  <c r="L499" i="15"/>
  <c r="M499" i="15"/>
  <c r="N499" i="15"/>
  <c r="L500" i="15"/>
  <c r="M500" i="15"/>
  <c r="N500" i="15"/>
  <c r="L501" i="15"/>
  <c r="M501" i="15"/>
  <c r="N501" i="15"/>
  <c r="L502" i="15"/>
  <c r="M502" i="15"/>
  <c r="N502" i="15"/>
  <c r="L503" i="15"/>
  <c r="M503" i="15"/>
  <c r="N503" i="15"/>
  <c r="L504" i="15"/>
  <c r="M504" i="15"/>
  <c r="N504" i="15"/>
  <c r="L505" i="15"/>
  <c r="M505" i="15"/>
  <c r="N505" i="15"/>
  <c r="L506" i="15"/>
  <c r="M506" i="15"/>
  <c r="N506" i="15"/>
  <c r="L507" i="15"/>
  <c r="M507" i="15"/>
  <c r="N507" i="15"/>
  <c r="L508" i="15"/>
  <c r="M508" i="15"/>
  <c r="N508" i="15"/>
  <c r="L509" i="15"/>
  <c r="M509" i="15"/>
  <c r="N509" i="15"/>
  <c r="L510" i="15"/>
  <c r="M510" i="15"/>
  <c r="N510" i="15"/>
  <c r="L511" i="15"/>
  <c r="M511" i="15"/>
  <c r="N511" i="15"/>
  <c r="L512" i="15"/>
  <c r="M512" i="15"/>
  <c r="N512" i="15"/>
  <c r="L513" i="15"/>
  <c r="M513" i="15"/>
  <c r="N513" i="15"/>
  <c r="L514" i="15"/>
  <c r="M514" i="15"/>
  <c r="N514" i="15"/>
  <c r="L515" i="15"/>
  <c r="M515" i="15"/>
  <c r="N515" i="15"/>
  <c r="L516" i="15"/>
  <c r="M516" i="15"/>
  <c r="N516" i="15"/>
  <c r="L517" i="15"/>
  <c r="M517" i="15"/>
  <c r="N517" i="15"/>
  <c r="L518" i="15"/>
  <c r="M518" i="15"/>
  <c r="N518" i="15"/>
  <c r="L519" i="15"/>
  <c r="M519" i="15"/>
  <c r="N519" i="15"/>
  <c r="L520" i="15"/>
  <c r="M520" i="15"/>
  <c r="N520" i="15"/>
  <c r="L521" i="15"/>
  <c r="M521" i="15"/>
  <c r="N521" i="15"/>
  <c r="L522" i="15"/>
  <c r="M522" i="15"/>
  <c r="N522" i="15"/>
  <c r="L523" i="15"/>
  <c r="M523" i="15"/>
  <c r="N523" i="15"/>
  <c r="L524" i="15"/>
  <c r="M524" i="15"/>
  <c r="N524" i="15"/>
  <c r="L525" i="15"/>
  <c r="M525" i="15"/>
  <c r="N525" i="15"/>
  <c r="L526" i="15"/>
  <c r="M526" i="15"/>
  <c r="N526" i="15"/>
  <c r="L527" i="15"/>
  <c r="M527" i="15"/>
  <c r="N527" i="15"/>
  <c r="L528" i="15"/>
  <c r="M528" i="15"/>
  <c r="N528" i="15"/>
  <c r="L529" i="15"/>
  <c r="M529" i="15"/>
  <c r="N529" i="15"/>
  <c r="L530" i="15"/>
  <c r="M530" i="15"/>
  <c r="N530" i="15"/>
  <c r="L531" i="15"/>
  <c r="M531" i="15"/>
  <c r="N531" i="15"/>
  <c r="L532" i="15"/>
  <c r="M532" i="15"/>
  <c r="N532" i="15"/>
  <c r="L533" i="15"/>
  <c r="M533" i="15"/>
  <c r="N533" i="15"/>
  <c r="L534" i="15"/>
  <c r="M534" i="15"/>
  <c r="N534" i="15"/>
  <c r="L535" i="15"/>
  <c r="M535" i="15"/>
  <c r="N535" i="15"/>
  <c r="L536" i="15"/>
  <c r="M536" i="15"/>
  <c r="N536" i="15"/>
  <c r="L537" i="15"/>
  <c r="M537" i="15"/>
  <c r="N537" i="15"/>
  <c r="L538" i="15"/>
  <c r="M538" i="15"/>
  <c r="N538" i="15"/>
  <c r="N492" i="15"/>
  <c r="M492" i="15"/>
  <c r="P492" i="15" s="1"/>
  <c r="L492" i="15"/>
  <c r="F492" i="15"/>
  <c r="E492" i="15"/>
  <c r="H492" i="15" s="1"/>
  <c r="D492" i="15"/>
  <c r="N432" i="15"/>
  <c r="M432" i="15"/>
  <c r="P432" i="15" s="1"/>
  <c r="L432" i="15"/>
  <c r="F432" i="15"/>
  <c r="E432" i="15"/>
  <c r="H432" i="15" s="1"/>
  <c r="D432" i="15"/>
  <c r="L373" i="15"/>
  <c r="M373" i="15"/>
  <c r="N373" i="15"/>
  <c r="L374" i="15"/>
  <c r="M374" i="15"/>
  <c r="N374" i="15"/>
  <c r="L375" i="15"/>
  <c r="M375" i="15"/>
  <c r="N375" i="15"/>
  <c r="L376" i="15"/>
  <c r="M376" i="15"/>
  <c r="N376" i="15"/>
  <c r="L377" i="15"/>
  <c r="M377" i="15"/>
  <c r="N377" i="15"/>
  <c r="L378" i="15"/>
  <c r="M378" i="15"/>
  <c r="N378" i="15"/>
  <c r="L379" i="15"/>
  <c r="M379" i="15"/>
  <c r="N379" i="15"/>
  <c r="L380" i="15"/>
  <c r="M380" i="15"/>
  <c r="N380" i="15"/>
  <c r="L381" i="15"/>
  <c r="M381" i="15"/>
  <c r="N381" i="15"/>
  <c r="L382" i="15"/>
  <c r="M382" i="15"/>
  <c r="N382" i="15"/>
  <c r="L383" i="15"/>
  <c r="M383" i="15"/>
  <c r="N383" i="15"/>
  <c r="L384" i="15"/>
  <c r="M384" i="15"/>
  <c r="N384" i="15"/>
  <c r="L385" i="15"/>
  <c r="M385" i="15"/>
  <c r="N385" i="15"/>
  <c r="L386" i="15"/>
  <c r="M386" i="15"/>
  <c r="N386" i="15"/>
  <c r="L387" i="15"/>
  <c r="M387" i="15"/>
  <c r="N387" i="15"/>
  <c r="L388" i="15"/>
  <c r="M388" i="15"/>
  <c r="N388" i="15"/>
  <c r="L389" i="15"/>
  <c r="M389" i="15"/>
  <c r="N389" i="15"/>
  <c r="L390" i="15"/>
  <c r="M390" i="15"/>
  <c r="N390" i="15"/>
  <c r="L391" i="15"/>
  <c r="M391" i="15"/>
  <c r="N391" i="15"/>
  <c r="L392" i="15"/>
  <c r="M392" i="15"/>
  <c r="N392" i="15"/>
  <c r="L393" i="15"/>
  <c r="M393" i="15"/>
  <c r="N393" i="15"/>
  <c r="L394" i="15"/>
  <c r="M394" i="15"/>
  <c r="N394" i="15"/>
  <c r="L395" i="15"/>
  <c r="M395" i="15"/>
  <c r="N395" i="15"/>
  <c r="L396" i="15"/>
  <c r="M396" i="15"/>
  <c r="N396" i="15"/>
  <c r="L397" i="15"/>
  <c r="M397" i="15"/>
  <c r="N397" i="15"/>
  <c r="L398" i="15"/>
  <c r="M398" i="15"/>
  <c r="N398" i="15"/>
  <c r="L399" i="15"/>
  <c r="M399" i="15"/>
  <c r="N399" i="15"/>
  <c r="L400" i="15"/>
  <c r="M400" i="15"/>
  <c r="N400" i="15"/>
  <c r="L401" i="15"/>
  <c r="M401" i="15"/>
  <c r="N401" i="15"/>
  <c r="L402" i="15"/>
  <c r="M402" i="15"/>
  <c r="N402" i="15"/>
  <c r="L403" i="15"/>
  <c r="M403" i="15"/>
  <c r="N403" i="15"/>
  <c r="L404" i="15"/>
  <c r="M404" i="15"/>
  <c r="N404" i="15"/>
  <c r="L405" i="15"/>
  <c r="M405" i="15"/>
  <c r="N405" i="15"/>
  <c r="L406" i="15"/>
  <c r="M406" i="15"/>
  <c r="N406" i="15"/>
  <c r="L407" i="15"/>
  <c r="M407" i="15"/>
  <c r="N407" i="15"/>
  <c r="L408" i="15"/>
  <c r="M408" i="15"/>
  <c r="N408" i="15"/>
  <c r="L409" i="15"/>
  <c r="M409" i="15"/>
  <c r="N409" i="15"/>
  <c r="L410" i="15"/>
  <c r="M410" i="15"/>
  <c r="N410" i="15"/>
  <c r="L411" i="15"/>
  <c r="M411" i="15"/>
  <c r="N411" i="15"/>
  <c r="L412" i="15"/>
  <c r="M412" i="15"/>
  <c r="N412" i="15"/>
  <c r="L413" i="15"/>
  <c r="M413" i="15"/>
  <c r="N413" i="15"/>
  <c r="L414" i="15"/>
  <c r="M414" i="15"/>
  <c r="N414" i="15"/>
  <c r="L415" i="15"/>
  <c r="M415" i="15"/>
  <c r="N415" i="15"/>
  <c r="L416" i="15"/>
  <c r="M416" i="15"/>
  <c r="N416" i="15"/>
  <c r="L417" i="15"/>
  <c r="M417" i="15"/>
  <c r="N417" i="15"/>
  <c r="L418" i="15"/>
  <c r="M418" i="15"/>
  <c r="N418" i="15"/>
  <c r="D373" i="15"/>
  <c r="E373" i="15"/>
  <c r="F373" i="15"/>
  <c r="D374" i="15"/>
  <c r="E374" i="15"/>
  <c r="F374" i="15"/>
  <c r="D375" i="15"/>
  <c r="E375" i="15"/>
  <c r="F375" i="15"/>
  <c r="D376" i="15"/>
  <c r="E376" i="15"/>
  <c r="F376" i="15"/>
  <c r="D377" i="15"/>
  <c r="E377" i="15"/>
  <c r="F377" i="15"/>
  <c r="D378" i="15"/>
  <c r="E378" i="15"/>
  <c r="F378" i="15"/>
  <c r="D379" i="15"/>
  <c r="E379" i="15"/>
  <c r="F379" i="15"/>
  <c r="D380" i="15"/>
  <c r="E380" i="15"/>
  <c r="F380" i="15"/>
  <c r="D381" i="15"/>
  <c r="E381" i="15"/>
  <c r="F381" i="15"/>
  <c r="D382" i="15"/>
  <c r="E382" i="15"/>
  <c r="F382" i="15"/>
  <c r="D383" i="15"/>
  <c r="E383" i="15"/>
  <c r="F383" i="15"/>
  <c r="D384" i="15"/>
  <c r="E384" i="15"/>
  <c r="F384" i="15"/>
  <c r="D385" i="15"/>
  <c r="E385" i="15"/>
  <c r="F385" i="15"/>
  <c r="D386" i="15"/>
  <c r="E386" i="15"/>
  <c r="F386" i="15"/>
  <c r="D387" i="15"/>
  <c r="E387" i="15"/>
  <c r="F387" i="15"/>
  <c r="D388" i="15"/>
  <c r="E388" i="15"/>
  <c r="F388" i="15"/>
  <c r="D389" i="15"/>
  <c r="E389" i="15"/>
  <c r="F389" i="15"/>
  <c r="D390" i="15"/>
  <c r="E390" i="15"/>
  <c r="F390" i="15"/>
  <c r="D391" i="15"/>
  <c r="E391" i="15"/>
  <c r="F391" i="15"/>
  <c r="D392" i="15"/>
  <c r="E392" i="15"/>
  <c r="F392" i="15"/>
  <c r="D393" i="15"/>
  <c r="E393" i="15"/>
  <c r="F393" i="15"/>
  <c r="D394" i="15"/>
  <c r="E394" i="15"/>
  <c r="F394" i="15"/>
  <c r="D395" i="15"/>
  <c r="E395" i="15"/>
  <c r="F395" i="15"/>
  <c r="D396" i="15"/>
  <c r="E396" i="15"/>
  <c r="F396" i="15"/>
  <c r="D397" i="15"/>
  <c r="E397" i="15"/>
  <c r="F397" i="15"/>
  <c r="D398" i="15"/>
  <c r="E398" i="15"/>
  <c r="F398" i="15"/>
  <c r="D399" i="15"/>
  <c r="E399" i="15"/>
  <c r="F399" i="15"/>
  <c r="D400" i="15"/>
  <c r="E400" i="15"/>
  <c r="F400" i="15"/>
  <c r="D401" i="15"/>
  <c r="E401" i="15"/>
  <c r="F401" i="15"/>
  <c r="D402" i="15"/>
  <c r="E402" i="15"/>
  <c r="F402" i="15"/>
  <c r="D403" i="15"/>
  <c r="E403" i="15"/>
  <c r="F403" i="15"/>
  <c r="D404" i="15"/>
  <c r="E404" i="15"/>
  <c r="F404" i="15"/>
  <c r="D405" i="15"/>
  <c r="E405" i="15"/>
  <c r="F405" i="15"/>
  <c r="D406" i="15"/>
  <c r="E406" i="15"/>
  <c r="F406" i="15"/>
  <c r="D407" i="15"/>
  <c r="E407" i="15"/>
  <c r="F407" i="15"/>
  <c r="D408" i="15"/>
  <c r="E408" i="15"/>
  <c r="F408" i="15"/>
  <c r="D409" i="15"/>
  <c r="E409" i="15"/>
  <c r="F409" i="15"/>
  <c r="D410" i="15"/>
  <c r="E410" i="15"/>
  <c r="F410" i="15"/>
  <c r="D411" i="15"/>
  <c r="E411" i="15"/>
  <c r="F411" i="15"/>
  <c r="D412" i="15"/>
  <c r="E412" i="15"/>
  <c r="F412" i="15"/>
  <c r="D413" i="15"/>
  <c r="E413" i="15"/>
  <c r="F413" i="15"/>
  <c r="D414" i="15"/>
  <c r="E414" i="15"/>
  <c r="F414" i="15"/>
  <c r="D415" i="15"/>
  <c r="E415" i="15"/>
  <c r="F415" i="15"/>
  <c r="D416" i="15"/>
  <c r="E416" i="15"/>
  <c r="F416" i="15"/>
  <c r="D417" i="15"/>
  <c r="E417" i="15"/>
  <c r="F417" i="15"/>
  <c r="D418" i="15"/>
  <c r="E418" i="15"/>
  <c r="F418" i="15"/>
  <c r="N372" i="15"/>
  <c r="M372" i="15"/>
  <c r="P372" i="15" s="1"/>
  <c r="L372" i="15"/>
  <c r="F372" i="15"/>
  <c r="E372" i="15"/>
  <c r="H372" i="15" s="1"/>
  <c r="D372" i="15"/>
  <c r="L313" i="15"/>
  <c r="M313" i="15"/>
  <c r="N313" i="15"/>
  <c r="L314" i="15"/>
  <c r="M314" i="15"/>
  <c r="N314" i="15"/>
  <c r="L315" i="15"/>
  <c r="M315" i="15"/>
  <c r="N315" i="15"/>
  <c r="L316" i="15"/>
  <c r="M316" i="15"/>
  <c r="N316" i="15"/>
  <c r="L317" i="15"/>
  <c r="M317" i="15"/>
  <c r="N317" i="15"/>
  <c r="L318" i="15"/>
  <c r="M318" i="15"/>
  <c r="N318" i="15"/>
  <c r="L319" i="15"/>
  <c r="M319" i="15"/>
  <c r="N319" i="15"/>
  <c r="L320" i="15"/>
  <c r="M320" i="15"/>
  <c r="N320" i="15"/>
  <c r="L321" i="15"/>
  <c r="M321" i="15"/>
  <c r="N321" i="15"/>
  <c r="L322" i="15"/>
  <c r="M322" i="15"/>
  <c r="N322" i="15"/>
  <c r="L323" i="15"/>
  <c r="M323" i="15"/>
  <c r="N323" i="15"/>
  <c r="L324" i="15"/>
  <c r="M324" i="15"/>
  <c r="N324" i="15"/>
  <c r="L325" i="15"/>
  <c r="M325" i="15"/>
  <c r="N325" i="15"/>
  <c r="L326" i="15"/>
  <c r="M326" i="15"/>
  <c r="N326" i="15"/>
  <c r="L327" i="15"/>
  <c r="M327" i="15"/>
  <c r="N327" i="15"/>
  <c r="L328" i="15"/>
  <c r="M328" i="15"/>
  <c r="N328" i="15"/>
  <c r="L329" i="15"/>
  <c r="M329" i="15"/>
  <c r="N329" i="15"/>
  <c r="L330" i="15"/>
  <c r="M330" i="15"/>
  <c r="N330" i="15"/>
  <c r="L331" i="15"/>
  <c r="M331" i="15"/>
  <c r="N331" i="15"/>
  <c r="L332" i="15"/>
  <c r="M332" i="15"/>
  <c r="N332" i="15"/>
  <c r="L333" i="15"/>
  <c r="M333" i="15"/>
  <c r="N333" i="15"/>
  <c r="L334" i="15"/>
  <c r="M334" i="15"/>
  <c r="N334" i="15"/>
  <c r="L335" i="15"/>
  <c r="M335" i="15"/>
  <c r="N335" i="15"/>
  <c r="L336" i="15"/>
  <c r="M336" i="15"/>
  <c r="N336" i="15"/>
  <c r="L337" i="15"/>
  <c r="M337" i="15"/>
  <c r="N337" i="15"/>
  <c r="L338" i="15"/>
  <c r="M338" i="15"/>
  <c r="N338" i="15"/>
  <c r="L339" i="15"/>
  <c r="M339" i="15"/>
  <c r="N339" i="15"/>
  <c r="L340" i="15"/>
  <c r="M340" i="15"/>
  <c r="N340" i="15"/>
  <c r="L341" i="15"/>
  <c r="M341" i="15"/>
  <c r="N341" i="15"/>
  <c r="L342" i="15"/>
  <c r="M342" i="15"/>
  <c r="N342" i="15"/>
  <c r="L343" i="15"/>
  <c r="M343" i="15"/>
  <c r="N343" i="15"/>
  <c r="L344" i="15"/>
  <c r="M344" i="15"/>
  <c r="N344" i="15"/>
  <c r="L345" i="15"/>
  <c r="M345" i="15"/>
  <c r="N345" i="15"/>
  <c r="L346" i="15"/>
  <c r="M346" i="15"/>
  <c r="N346" i="15"/>
  <c r="L347" i="15"/>
  <c r="M347" i="15"/>
  <c r="N347" i="15"/>
  <c r="L348" i="15"/>
  <c r="M348" i="15"/>
  <c r="N348" i="15"/>
  <c r="L349" i="15"/>
  <c r="M349" i="15"/>
  <c r="N349" i="15"/>
  <c r="L350" i="15"/>
  <c r="M350" i="15"/>
  <c r="N350" i="15"/>
  <c r="L351" i="15"/>
  <c r="M351" i="15"/>
  <c r="N351" i="15"/>
  <c r="L352" i="15"/>
  <c r="M352" i="15"/>
  <c r="N352" i="15"/>
  <c r="L353" i="15"/>
  <c r="M353" i="15"/>
  <c r="N353" i="15"/>
  <c r="L354" i="15"/>
  <c r="M354" i="15"/>
  <c r="N354" i="15"/>
  <c r="L355" i="15"/>
  <c r="M355" i="15"/>
  <c r="N355" i="15"/>
  <c r="L356" i="15"/>
  <c r="M356" i="15"/>
  <c r="N356" i="15"/>
  <c r="L357" i="15"/>
  <c r="M357" i="15"/>
  <c r="N357" i="15"/>
  <c r="L358" i="15"/>
  <c r="M358" i="15"/>
  <c r="N358" i="15"/>
  <c r="N312" i="15"/>
  <c r="M312" i="15"/>
  <c r="P312" i="15" s="1"/>
  <c r="L312" i="15"/>
  <c r="M7" i="31" l="1"/>
  <c r="L539" i="15"/>
  <c r="M539" i="15"/>
  <c r="D539" i="15"/>
  <c r="E539" i="15"/>
  <c r="L479" i="15"/>
  <c r="M479" i="15"/>
  <c r="D479" i="15"/>
  <c r="E479" i="15"/>
  <c r="B7" i="15"/>
  <c r="M488" i="15"/>
  <c r="E488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89" i="15"/>
  <c r="E489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E490" i="15" s="1"/>
  <c r="M490" i="15" s="1"/>
  <c r="L419" i="15"/>
  <c r="M419" i="15"/>
  <c r="D419" i="15"/>
  <c r="E419" i="15"/>
  <c r="L359" i="15"/>
  <c r="M359" i="15"/>
  <c r="D313" i="15"/>
  <c r="E313" i="15"/>
  <c r="D314" i="15"/>
  <c r="E314" i="15"/>
  <c r="D315" i="15"/>
  <c r="E315" i="15"/>
  <c r="D316" i="15"/>
  <c r="E316" i="15"/>
  <c r="D317" i="15"/>
  <c r="E317" i="15"/>
  <c r="D318" i="15"/>
  <c r="E318" i="15"/>
  <c r="D319" i="15"/>
  <c r="E319" i="15"/>
  <c r="D320" i="15"/>
  <c r="E320" i="15"/>
  <c r="D321" i="15"/>
  <c r="E321" i="15"/>
  <c r="D322" i="15"/>
  <c r="E322" i="15"/>
  <c r="D323" i="15"/>
  <c r="E323" i="15"/>
  <c r="D324" i="15"/>
  <c r="E324" i="15"/>
  <c r="D325" i="15"/>
  <c r="E325" i="15"/>
  <c r="D326" i="15"/>
  <c r="E326" i="15"/>
  <c r="D327" i="15"/>
  <c r="E327" i="15"/>
  <c r="D328" i="15"/>
  <c r="E328" i="15"/>
  <c r="D329" i="15"/>
  <c r="E329" i="15"/>
  <c r="D330" i="15"/>
  <c r="E330" i="15"/>
  <c r="D331" i="15"/>
  <c r="E331" i="15"/>
  <c r="D332" i="15"/>
  <c r="E332" i="15"/>
  <c r="D333" i="15"/>
  <c r="E333" i="15"/>
  <c r="D334" i="15"/>
  <c r="E334" i="15"/>
  <c r="D335" i="15"/>
  <c r="E335" i="15"/>
  <c r="D336" i="15"/>
  <c r="E336" i="15"/>
  <c r="D337" i="15"/>
  <c r="E337" i="15"/>
  <c r="D338" i="15"/>
  <c r="E338" i="15"/>
  <c r="D339" i="15"/>
  <c r="E339" i="15"/>
  <c r="D340" i="15"/>
  <c r="E340" i="15"/>
  <c r="D341" i="15"/>
  <c r="E341" i="15"/>
  <c r="D342" i="15"/>
  <c r="E342" i="15"/>
  <c r="D343" i="15"/>
  <c r="E343" i="15"/>
  <c r="D344" i="15"/>
  <c r="E344" i="15"/>
  <c r="D345" i="15"/>
  <c r="E345" i="15"/>
  <c r="D346" i="15"/>
  <c r="E346" i="15"/>
  <c r="D347" i="15"/>
  <c r="E347" i="15"/>
  <c r="D348" i="15"/>
  <c r="E348" i="15"/>
  <c r="D349" i="15"/>
  <c r="E349" i="15"/>
  <c r="D350" i="15"/>
  <c r="E350" i="15"/>
  <c r="D351" i="15"/>
  <c r="E351" i="15"/>
  <c r="D352" i="15"/>
  <c r="E352" i="15"/>
  <c r="D353" i="15"/>
  <c r="E353" i="15"/>
  <c r="D354" i="15"/>
  <c r="E354" i="15"/>
  <c r="D355" i="15"/>
  <c r="E355" i="15"/>
  <c r="D356" i="15"/>
  <c r="E356" i="15"/>
  <c r="D357" i="15"/>
  <c r="E357" i="15"/>
  <c r="D358" i="15"/>
  <c r="E358" i="15"/>
  <c r="D359" i="15"/>
  <c r="E359" i="15"/>
  <c r="E312" i="15"/>
  <c r="H312" i="15" s="1"/>
  <c r="D312" i="15"/>
  <c r="L253" i="15"/>
  <c r="M253" i="15"/>
  <c r="L254" i="15"/>
  <c r="M254" i="15"/>
  <c r="L255" i="15"/>
  <c r="M255" i="15"/>
  <c r="L256" i="15"/>
  <c r="M256" i="15"/>
  <c r="L257" i="15"/>
  <c r="M257" i="15"/>
  <c r="L258" i="15"/>
  <c r="M258" i="15"/>
  <c r="L259" i="15"/>
  <c r="M259" i="15"/>
  <c r="L260" i="15"/>
  <c r="M260" i="15"/>
  <c r="L261" i="15"/>
  <c r="M261" i="15"/>
  <c r="L262" i="15"/>
  <c r="M262" i="15"/>
  <c r="L263" i="15"/>
  <c r="M263" i="15"/>
  <c r="L264" i="15"/>
  <c r="M264" i="15"/>
  <c r="L265" i="15"/>
  <c r="M265" i="15"/>
  <c r="L266" i="15"/>
  <c r="M266" i="15"/>
  <c r="L267" i="15"/>
  <c r="M267" i="15"/>
  <c r="L268" i="15"/>
  <c r="M268" i="15"/>
  <c r="L269" i="15"/>
  <c r="M269" i="15"/>
  <c r="L270" i="15"/>
  <c r="M270" i="15"/>
  <c r="L271" i="15"/>
  <c r="M271" i="15"/>
  <c r="L272" i="15"/>
  <c r="M272" i="15"/>
  <c r="L273" i="15"/>
  <c r="M273" i="15"/>
  <c r="L274" i="15"/>
  <c r="M274" i="15"/>
  <c r="L275" i="15"/>
  <c r="M275" i="15"/>
  <c r="L276" i="15"/>
  <c r="M276" i="15"/>
  <c r="L277" i="15"/>
  <c r="M277" i="15"/>
  <c r="L278" i="15"/>
  <c r="M278" i="15"/>
  <c r="L279" i="15"/>
  <c r="M279" i="15"/>
  <c r="L280" i="15"/>
  <c r="M280" i="15"/>
  <c r="L281" i="15"/>
  <c r="M281" i="15"/>
  <c r="L282" i="15"/>
  <c r="M282" i="15"/>
  <c r="L283" i="15"/>
  <c r="M283" i="15"/>
  <c r="L284" i="15"/>
  <c r="M284" i="15"/>
  <c r="L285" i="15"/>
  <c r="M285" i="15"/>
  <c r="L286" i="15"/>
  <c r="M286" i="15"/>
  <c r="L287" i="15"/>
  <c r="M287" i="15"/>
  <c r="L288" i="15"/>
  <c r="M288" i="15"/>
  <c r="L289" i="15"/>
  <c r="M289" i="15"/>
  <c r="L290" i="15"/>
  <c r="M290" i="15"/>
  <c r="L291" i="15"/>
  <c r="M291" i="15"/>
  <c r="L292" i="15"/>
  <c r="M292" i="15"/>
  <c r="L293" i="15"/>
  <c r="M293" i="15"/>
  <c r="L294" i="15"/>
  <c r="M294" i="15"/>
  <c r="L295" i="15"/>
  <c r="M295" i="15"/>
  <c r="L296" i="15"/>
  <c r="M296" i="15"/>
  <c r="L297" i="15"/>
  <c r="M297" i="15"/>
  <c r="L298" i="15"/>
  <c r="M298" i="15"/>
  <c r="L299" i="15"/>
  <c r="M299" i="15"/>
  <c r="M252" i="15"/>
  <c r="P252" i="15" s="1"/>
  <c r="L252" i="15"/>
  <c r="D253" i="15" l="1"/>
  <c r="E253" i="15"/>
  <c r="D254" i="15"/>
  <c r="E254" i="15"/>
  <c r="D255" i="15"/>
  <c r="E255" i="15"/>
  <c r="D256" i="15"/>
  <c r="E256" i="15"/>
  <c r="D257" i="15"/>
  <c r="E257" i="15"/>
  <c r="D258" i="15"/>
  <c r="E258" i="15"/>
  <c r="D259" i="15"/>
  <c r="E259" i="15"/>
  <c r="D260" i="15"/>
  <c r="E260" i="15"/>
  <c r="D261" i="15"/>
  <c r="E261" i="15"/>
  <c r="D262" i="15"/>
  <c r="E262" i="15"/>
  <c r="D263" i="15"/>
  <c r="E263" i="15"/>
  <c r="D264" i="15"/>
  <c r="E264" i="15"/>
  <c r="D265" i="15"/>
  <c r="E265" i="15"/>
  <c r="D266" i="15"/>
  <c r="E266" i="15"/>
  <c r="D267" i="15"/>
  <c r="E267" i="15"/>
  <c r="D268" i="15"/>
  <c r="E268" i="15"/>
  <c r="D269" i="15"/>
  <c r="E269" i="15"/>
  <c r="D270" i="15"/>
  <c r="E270" i="15"/>
  <c r="D271" i="15"/>
  <c r="E271" i="15"/>
  <c r="D272" i="15"/>
  <c r="E272" i="15"/>
  <c r="D273" i="15"/>
  <c r="E273" i="15"/>
  <c r="D274" i="15"/>
  <c r="E274" i="15"/>
  <c r="D275" i="15"/>
  <c r="E275" i="15"/>
  <c r="D276" i="15"/>
  <c r="E276" i="15"/>
  <c r="D277" i="15"/>
  <c r="E277" i="15"/>
  <c r="D278" i="15"/>
  <c r="E278" i="15"/>
  <c r="D279" i="15"/>
  <c r="E279" i="15"/>
  <c r="D280" i="15"/>
  <c r="E280" i="15"/>
  <c r="D281" i="15"/>
  <c r="E281" i="15"/>
  <c r="D282" i="15"/>
  <c r="E282" i="15"/>
  <c r="D283" i="15"/>
  <c r="E283" i="15"/>
  <c r="D284" i="15"/>
  <c r="E284" i="15"/>
  <c r="D285" i="15"/>
  <c r="E285" i="15"/>
  <c r="D286" i="15"/>
  <c r="E286" i="15"/>
  <c r="D287" i="15"/>
  <c r="E287" i="15"/>
  <c r="D288" i="15"/>
  <c r="E288" i="15"/>
  <c r="D289" i="15"/>
  <c r="E289" i="15"/>
  <c r="D290" i="15"/>
  <c r="E290" i="15"/>
  <c r="D291" i="15"/>
  <c r="E291" i="15"/>
  <c r="D292" i="15"/>
  <c r="E292" i="15"/>
  <c r="D293" i="15"/>
  <c r="E293" i="15"/>
  <c r="D294" i="15"/>
  <c r="E294" i="15"/>
  <c r="D295" i="15"/>
  <c r="E295" i="15"/>
  <c r="D296" i="15"/>
  <c r="E296" i="15"/>
  <c r="D297" i="15"/>
  <c r="E297" i="15"/>
  <c r="D298" i="15"/>
  <c r="E298" i="15"/>
  <c r="D299" i="15"/>
  <c r="E299" i="15"/>
  <c r="L193" i="15"/>
  <c r="M193" i="15"/>
  <c r="L194" i="15"/>
  <c r="M194" i="15"/>
  <c r="L195" i="15"/>
  <c r="M195" i="15"/>
  <c r="L196" i="15"/>
  <c r="M196" i="15"/>
  <c r="L197" i="15"/>
  <c r="M197" i="15"/>
  <c r="L198" i="15"/>
  <c r="M198" i="15"/>
  <c r="L199" i="15"/>
  <c r="M199" i="15"/>
  <c r="L200" i="15"/>
  <c r="M200" i="15"/>
  <c r="L201" i="15"/>
  <c r="M201" i="15"/>
  <c r="L202" i="15"/>
  <c r="M202" i="15"/>
  <c r="L203" i="15"/>
  <c r="M203" i="15"/>
  <c r="L204" i="15"/>
  <c r="M204" i="15"/>
  <c r="L205" i="15"/>
  <c r="M205" i="15"/>
  <c r="L206" i="15"/>
  <c r="M206" i="15"/>
  <c r="L207" i="15"/>
  <c r="M207" i="15"/>
  <c r="L208" i="15"/>
  <c r="M208" i="15"/>
  <c r="L209" i="15"/>
  <c r="M209" i="15"/>
  <c r="L210" i="15"/>
  <c r="M210" i="15"/>
  <c r="L211" i="15"/>
  <c r="M211" i="15"/>
  <c r="L212" i="15"/>
  <c r="M212" i="15"/>
  <c r="L213" i="15"/>
  <c r="M213" i="15"/>
  <c r="L214" i="15"/>
  <c r="M214" i="15"/>
  <c r="L215" i="15"/>
  <c r="M215" i="15"/>
  <c r="L216" i="15"/>
  <c r="M216" i="15"/>
  <c r="L217" i="15"/>
  <c r="M217" i="15"/>
  <c r="L218" i="15"/>
  <c r="M218" i="15"/>
  <c r="L219" i="15"/>
  <c r="M219" i="15"/>
  <c r="L220" i="15"/>
  <c r="M220" i="15"/>
  <c r="L221" i="15"/>
  <c r="M221" i="15"/>
  <c r="L222" i="15"/>
  <c r="M222" i="15"/>
  <c r="L223" i="15"/>
  <c r="M223" i="15"/>
  <c r="L224" i="15"/>
  <c r="M224" i="15"/>
  <c r="L225" i="15"/>
  <c r="M225" i="15"/>
  <c r="L226" i="15"/>
  <c r="M226" i="15"/>
  <c r="L227" i="15"/>
  <c r="M227" i="15"/>
  <c r="L228" i="15"/>
  <c r="M228" i="15"/>
  <c r="L229" i="15"/>
  <c r="M229" i="15"/>
  <c r="L230" i="15"/>
  <c r="M230" i="15"/>
  <c r="L231" i="15"/>
  <c r="M231" i="15"/>
  <c r="L232" i="15"/>
  <c r="M232" i="15"/>
  <c r="L233" i="15"/>
  <c r="M233" i="15"/>
  <c r="L234" i="15"/>
  <c r="M234" i="15"/>
  <c r="L235" i="15"/>
  <c r="M235" i="15"/>
  <c r="L236" i="15"/>
  <c r="M236" i="15"/>
  <c r="L237" i="15"/>
  <c r="M237" i="15"/>
  <c r="L238" i="15"/>
  <c r="M238" i="15"/>
  <c r="L239" i="15"/>
  <c r="M239" i="15"/>
  <c r="D193" i="15"/>
  <c r="E193" i="15"/>
  <c r="D194" i="15"/>
  <c r="E194" i="15"/>
  <c r="D195" i="15"/>
  <c r="E195" i="15"/>
  <c r="D196" i="15"/>
  <c r="E196" i="15"/>
  <c r="D197" i="15"/>
  <c r="E197" i="15"/>
  <c r="D198" i="15"/>
  <c r="E198" i="15"/>
  <c r="D199" i="15"/>
  <c r="E199" i="15"/>
  <c r="D200" i="15"/>
  <c r="E200" i="15"/>
  <c r="D201" i="15"/>
  <c r="E201" i="15"/>
  <c r="D202" i="15"/>
  <c r="E202" i="15"/>
  <c r="D203" i="15"/>
  <c r="E203" i="15"/>
  <c r="D204" i="15"/>
  <c r="E204" i="15"/>
  <c r="D205" i="15"/>
  <c r="E205" i="15"/>
  <c r="D206" i="15"/>
  <c r="E206" i="15"/>
  <c r="D207" i="15"/>
  <c r="E207" i="15"/>
  <c r="D208" i="15"/>
  <c r="E208" i="15"/>
  <c r="D209" i="15"/>
  <c r="E209" i="15"/>
  <c r="D210" i="15"/>
  <c r="E210" i="15"/>
  <c r="D211" i="15"/>
  <c r="E211" i="15"/>
  <c r="D212" i="15"/>
  <c r="E212" i="15"/>
  <c r="D213" i="15"/>
  <c r="E213" i="15"/>
  <c r="D214" i="15"/>
  <c r="E214" i="15"/>
  <c r="D215" i="15"/>
  <c r="E215" i="15"/>
  <c r="D216" i="15"/>
  <c r="E216" i="15"/>
  <c r="D217" i="15"/>
  <c r="E217" i="15"/>
  <c r="D218" i="15"/>
  <c r="E218" i="15"/>
  <c r="D219" i="15"/>
  <c r="E219" i="15"/>
  <c r="D220" i="15"/>
  <c r="E220" i="15"/>
  <c r="D221" i="15"/>
  <c r="E221" i="15"/>
  <c r="D222" i="15"/>
  <c r="E222" i="15"/>
  <c r="D223" i="15"/>
  <c r="E223" i="15"/>
  <c r="D224" i="15"/>
  <c r="E224" i="15"/>
  <c r="D225" i="15"/>
  <c r="E225" i="15"/>
  <c r="D226" i="15"/>
  <c r="E226" i="15"/>
  <c r="D227" i="15"/>
  <c r="E227" i="15"/>
  <c r="D228" i="15"/>
  <c r="E228" i="15"/>
  <c r="D229" i="15"/>
  <c r="E229" i="15"/>
  <c r="D230" i="15"/>
  <c r="E230" i="15"/>
  <c r="D231" i="15"/>
  <c r="E231" i="15"/>
  <c r="D232" i="15"/>
  <c r="E232" i="15"/>
  <c r="D233" i="15"/>
  <c r="E233" i="15"/>
  <c r="D234" i="15"/>
  <c r="E234" i="15"/>
  <c r="D235" i="15"/>
  <c r="E235" i="15"/>
  <c r="D236" i="15"/>
  <c r="E236" i="15"/>
  <c r="D237" i="15"/>
  <c r="E237" i="15"/>
  <c r="D238" i="15"/>
  <c r="E238" i="15"/>
  <c r="D239" i="15"/>
  <c r="E239" i="15"/>
  <c r="L133" i="15"/>
  <c r="M133" i="15"/>
  <c r="L134" i="15"/>
  <c r="M134" i="15"/>
  <c r="L135" i="15"/>
  <c r="M135" i="15"/>
  <c r="L136" i="15"/>
  <c r="M136" i="15"/>
  <c r="L137" i="15"/>
  <c r="M137" i="15"/>
  <c r="L138" i="15"/>
  <c r="M138" i="15"/>
  <c r="L139" i="15"/>
  <c r="M139" i="15"/>
  <c r="L140" i="15"/>
  <c r="M140" i="15"/>
  <c r="L141" i="15"/>
  <c r="M141" i="15"/>
  <c r="L142" i="15"/>
  <c r="M142" i="15"/>
  <c r="L143" i="15"/>
  <c r="M143" i="15"/>
  <c r="L144" i="15"/>
  <c r="M144" i="15"/>
  <c r="L145" i="15"/>
  <c r="M145" i="15"/>
  <c r="L146" i="15"/>
  <c r="M146" i="15"/>
  <c r="L147" i="15"/>
  <c r="M147" i="15"/>
  <c r="L148" i="15"/>
  <c r="M148" i="15"/>
  <c r="L149" i="15"/>
  <c r="M149" i="15"/>
  <c r="L150" i="15"/>
  <c r="M150" i="15"/>
  <c r="L151" i="15"/>
  <c r="M151" i="15"/>
  <c r="L152" i="15"/>
  <c r="M152" i="15"/>
  <c r="L153" i="15"/>
  <c r="M153" i="15"/>
  <c r="L154" i="15"/>
  <c r="M154" i="15"/>
  <c r="L155" i="15"/>
  <c r="M155" i="15"/>
  <c r="L156" i="15"/>
  <c r="M156" i="15"/>
  <c r="L157" i="15"/>
  <c r="M157" i="15"/>
  <c r="L158" i="15"/>
  <c r="M158" i="15"/>
  <c r="L159" i="15"/>
  <c r="M159" i="15"/>
  <c r="L160" i="15"/>
  <c r="M160" i="15"/>
  <c r="L161" i="15"/>
  <c r="M161" i="15"/>
  <c r="L162" i="15"/>
  <c r="M162" i="15"/>
  <c r="L163" i="15"/>
  <c r="M163" i="15"/>
  <c r="L164" i="15"/>
  <c r="M164" i="15"/>
  <c r="L165" i="15"/>
  <c r="M165" i="15"/>
  <c r="L166" i="15"/>
  <c r="M166" i="15"/>
  <c r="L167" i="15"/>
  <c r="M167" i="15"/>
  <c r="L168" i="15"/>
  <c r="M168" i="15"/>
  <c r="L169" i="15"/>
  <c r="M169" i="15"/>
  <c r="L170" i="15"/>
  <c r="M170" i="15"/>
  <c r="L171" i="15"/>
  <c r="M171" i="15"/>
  <c r="L172" i="15"/>
  <c r="M172" i="15"/>
  <c r="L173" i="15"/>
  <c r="M173" i="15"/>
  <c r="L174" i="15"/>
  <c r="M174" i="15"/>
  <c r="L175" i="15"/>
  <c r="M175" i="15"/>
  <c r="L176" i="15"/>
  <c r="M176" i="15"/>
  <c r="L177" i="15"/>
  <c r="M177" i="15"/>
  <c r="L178" i="15"/>
  <c r="M178" i="15"/>
  <c r="L179" i="15"/>
  <c r="M179" i="15"/>
  <c r="D133" i="15"/>
  <c r="E133" i="15"/>
  <c r="D134" i="15"/>
  <c r="E134" i="15"/>
  <c r="D135" i="15"/>
  <c r="E135" i="15"/>
  <c r="D136" i="15"/>
  <c r="E136" i="15"/>
  <c r="D137" i="15"/>
  <c r="E137" i="15"/>
  <c r="D138" i="15"/>
  <c r="E138" i="15"/>
  <c r="D139" i="15"/>
  <c r="E139" i="15"/>
  <c r="D140" i="15"/>
  <c r="E140" i="15"/>
  <c r="D141" i="15"/>
  <c r="E141" i="15"/>
  <c r="D142" i="15"/>
  <c r="E142" i="15"/>
  <c r="D143" i="15"/>
  <c r="E143" i="15"/>
  <c r="D144" i="15"/>
  <c r="E144" i="15"/>
  <c r="D145" i="15"/>
  <c r="E145" i="15"/>
  <c r="D146" i="15"/>
  <c r="E146" i="15"/>
  <c r="D147" i="15"/>
  <c r="E147" i="15"/>
  <c r="D148" i="15"/>
  <c r="D149" i="15"/>
  <c r="D150" i="15"/>
  <c r="D151" i="15"/>
  <c r="D152" i="15"/>
  <c r="D153" i="15"/>
  <c r="D154" i="15"/>
  <c r="D155" i="15"/>
  <c r="E155" i="15"/>
  <c r="D156" i="15"/>
  <c r="E156" i="15"/>
  <c r="D157" i="15"/>
  <c r="E157" i="15"/>
  <c r="D158" i="15"/>
  <c r="E158" i="15"/>
  <c r="D159" i="15"/>
  <c r="E159" i="15"/>
  <c r="D160" i="15"/>
  <c r="E160" i="15"/>
  <c r="D161" i="15"/>
  <c r="E161" i="15"/>
  <c r="D162" i="15"/>
  <c r="E162" i="15"/>
  <c r="D163" i="15"/>
  <c r="E163" i="15"/>
  <c r="D164" i="15"/>
  <c r="E164" i="15"/>
  <c r="D165" i="15"/>
  <c r="E165" i="15"/>
  <c r="D166" i="15"/>
  <c r="E166" i="15"/>
  <c r="D167" i="15"/>
  <c r="E167" i="15"/>
  <c r="D168" i="15"/>
  <c r="E168" i="15"/>
  <c r="D169" i="15"/>
  <c r="E169" i="15"/>
  <c r="D170" i="15"/>
  <c r="E170" i="15"/>
  <c r="D171" i="15"/>
  <c r="E171" i="15"/>
  <c r="D172" i="15"/>
  <c r="E172" i="15"/>
  <c r="D173" i="15"/>
  <c r="E173" i="15"/>
  <c r="D174" i="15"/>
  <c r="E174" i="15"/>
  <c r="D175" i="15"/>
  <c r="E175" i="15"/>
  <c r="D176" i="15"/>
  <c r="E176" i="15"/>
  <c r="D177" i="15"/>
  <c r="E177" i="15"/>
  <c r="D178" i="15"/>
  <c r="E178" i="15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D74" i="15"/>
  <c r="E74" i="15"/>
  <c r="D75" i="15"/>
  <c r="E75" i="15"/>
  <c r="D76" i="15"/>
  <c r="E76" i="15"/>
  <c r="D77" i="15"/>
  <c r="E77" i="15"/>
  <c r="D78" i="15"/>
  <c r="E78" i="15"/>
  <c r="D79" i="15"/>
  <c r="E79" i="15"/>
  <c r="D80" i="15"/>
  <c r="E80" i="15"/>
  <c r="D81" i="15"/>
  <c r="E81" i="15"/>
  <c r="D82" i="15"/>
  <c r="E82" i="15"/>
  <c r="D83" i="15"/>
  <c r="E83" i="15"/>
  <c r="D84" i="15"/>
  <c r="E84" i="15"/>
  <c r="D85" i="15"/>
  <c r="E85" i="15"/>
  <c r="D86" i="15"/>
  <c r="E86" i="15"/>
  <c r="D87" i="15"/>
  <c r="E87" i="15"/>
  <c r="D88" i="15"/>
  <c r="E88" i="15"/>
  <c r="D89" i="15"/>
  <c r="E89" i="15"/>
  <c r="D90" i="15"/>
  <c r="E90" i="15"/>
  <c r="D91" i="15"/>
  <c r="E91" i="15"/>
  <c r="D92" i="15"/>
  <c r="E92" i="15"/>
  <c r="D93" i="15"/>
  <c r="E93" i="15"/>
  <c r="D94" i="15"/>
  <c r="E94" i="15"/>
  <c r="D95" i="15"/>
  <c r="E95" i="15"/>
  <c r="D96" i="15"/>
  <c r="E96" i="15"/>
  <c r="D97" i="15"/>
  <c r="E97" i="15"/>
  <c r="D98" i="15"/>
  <c r="E98" i="15"/>
  <c r="D99" i="15"/>
  <c r="E99" i="15"/>
  <c r="D100" i="15"/>
  <c r="E100" i="15"/>
  <c r="D101" i="15"/>
  <c r="E101" i="15"/>
  <c r="D102" i="15"/>
  <c r="E102" i="15"/>
  <c r="D103" i="15"/>
  <c r="E103" i="15"/>
  <c r="D104" i="15"/>
  <c r="E104" i="15"/>
  <c r="D105" i="15"/>
  <c r="E105" i="15"/>
  <c r="D106" i="15"/>
  <c r="E106" i="15"/>
  <c r="D107" i="15"/>
  <c r="E107" i="15"/>
  <c r="D108" i="15"/>
  <c r="E108" i="15"/>
  <c r="D109" i="15"/>
  <c r="E109" i="15"/>
  <c r="D110" i="15"/>
  <c r="E110" i="15"/>
  <c r="D111" i="15"/>
  <c r="E111" i="15"/>
  <c r="D112" i="15"/>
  <c r="E112" i="15"/>
  <c r="D113" i="15"/>
  <c r="E113" i="15"/>
  <c r="D114" i="15"/>
  <c r="E114" i="15"/>
  <c r="D115" i="15"/>
  <c r="E115" i="15"/>
  <c r="D116" i="15"/>
  <c r="E116" i="15"/>
  <c r="D117" i="15"/>
  <c r="E117" i="15"/>
  <c r="D118" i="15"/>
  <c r="E118" i="15"/>
  <c r="D119" i="15"/>
  <c r="E119" i="15"/>
  <c r="L73" i="15"/>
  <c r="M73" i="15"/>
  <c r="L74" i="15"/>
  <c r="M74" i="15"/>
  <c r="L75" i="15"/>
  <c r="M75" i="15"/>
  <c r="L76" i="15"/>
  <c r="M76" i="15"/>
  <c r="L77" i="15"/>
  <c r="M77" i="15"/>
  <c r="L78" i="15"/>
  <c r="M78" i="15"/>
  <c r="L79" i="15"/>
  <c r="M79" i="15"/>
  <c r="L80" i="15"/>
  <c r="M80" i="15"/>
  <c r="L81" i="15"/>
  <c r="M81" i="15"/>
  <c r="L82" i="15"/>
  <c r="M82" i="15"/>
  <c r="L83" i="15"/>
  <c r="M83" i="15"/>
  <c r="L84" i="15"/>
  <c r="M84" i="15"/>
  <c r="L85" i="15"/>
  <c r="M85" i="15"/>
  <c r="L86" i="15"/>
  <c r="M86" i="15"/>
  <c r="L87" i="15"/>
  <c r="M87" i="15"/>
  <c r="L88" i="15"/>
  <c r="M88" i="15"/>
  <c r="L89" i="15"/>
  <c r="M89" i="15"/>
  <c r="L90" i="15"/>
  <c r="M90" i="15"/>
  <c r="L91" i="15"/>
  <c r="M91" i="15"/>
  <c r="L92" i="15"/>
  <c r="M92" i="15"/>
  <c r="L93" i="15"/>
  <c r="M93" i="15"/>
  <c r="L94" i="15"/>
  <c r="M94" i="15"/>
  <c r="L95" i="15"/>
  <c r="M95" i="15"/>
  <c r="L96" i="15"/>
  <c r="M96" i="15"/>
  <c r="L97" i="15"/>
  <c r="M97" i="15"/>
  <c r="L98" i="15"/>
  <c r="M98" i="15"/>
  <c r="L99" i="15"/>
  <c r="M99" i="15"/>
  <c r="L100" i="15"/>
  <c r="M100" i="15"/>
  <c r="L101" i="15"/>
  <c r="M101" i="15"/>
  <c r="L102" i="15"/>
  <c r="M102" i="15"/>
  <c r="L103" i="15"/>
  <c r="M103" i="15"/>
  <c r="L104" i="15"/>
  <c r="M104" i="15"/>
  <c r="L105" i="15"/>
  <c r="M105" i="15"/>
  <c r="L106" i="15"/>
  <c r="M106" i="15"/>
  <c r="L107" i="15"/>
  <c r="M107" i="15"/>
  <c r="L108" i="15"/>
  <c r="M108" i="15"/>
  <c r="L109" i="15"/>
  <c r="M109" i="15"/>
  <c r="L110" i="15"/>
  <c r="M110" i="15"/>
  <c r="L111" i="15"/>
  <c r="M111" i="15"/>
  <c r="L112" i="15"/>
  <c r="M112" i="15"/>
  <c r="L113" i="15"/>
  <c r="M113" i="15"/>
  <c r="L114" i="15"/>
  <c r="M114" i="15"/>
  <c r="L115" i="15"/>
  <c r="M115" i="15"/>
  <c r="L116" i="15"/>
  <c r="M116" i="15"/>
  <c r="L117" i="15"/>
  <c r="M117" i="15"/>
  <c r="L118" i="15"/>
  <c r="M118" i="15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87" i="15"/>
  <c r="B487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F539" i="15"/>
  <c r="N53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487" i="15" s="1"/>
  <c r="E127" i="15"/>
  <c r="M487" i="15" l="1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F49" i="33" l="1"/>
  <c r="F42" i="33"/>
  <c r="F28" i="33"/>
  <c r="F32" i="33"/>
  <c r="F57" i="33"/>
  <c r="F55" i="33"/>
  <c r="F45" i="33"/>
  <c r="F31" i="33"/>
  <c r="N53" i="33"/>
  <c r="N45" i="33"/>
  <c r="N37" i="33"/>
  <c r="N29" i="33"/>
  <c r="N17" i="33"/>
  <c r="N56" i="33"/>
  <c r="N48" i="33"/>
  <c r="N40" i="33"/>
  <c r="N32" i="33"/>
  <c r="N24" i="33"/>
  <c r="N16" i="33"/>
  <c r="N51" i="33"/>
  <c r="N43" i="33"/>
  <c r="N35" i="33"/>
  <c r="N27" i="33"/>
  <c r="N19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57" i="33"/>
  <c r="N49" i="33"/>
  <c r="N41" i="33"/>
  <c r="N33" i="33"/>
  <c r="N21" i="33"/>
  <c r="N13" i="33"/>
  <c r="N52" i="33"/>
  <c r="N44" i="33"/>
  <c r="N36" i="33"/>
  <c r="N28" i="33"/>
  <c r="N20" i="33"/>
  <c r="N12" i="33"/>
  <c r="N55" i="33"/>
  <c r="N47" i="33"/>
  <c r="N39" i="33"/>
  <c r="N31" i="33"/>
  <c r="N23" i="33"/>
  <c r="N15" i="33"/>
  <c r="N58" i="33"/>
  <c r="N50" i="33"/>
  <c r="N42" i="33"/>
  <c r="N30" i="33"/>
  <c r="N22" i="33"/>
  <c r="N14" i="33"/>
  <c r="N42" i="32"/>
  <c r="N26" i="32"/>
  <c r="N55" i="38"/>
  <c r="N51" i="38"/>
  <c r="N47" i="38"/>
  <c r="N43" i="38"/>
  <c r="N39" i="38"/>
  <c r="N35" i="38"/>
  <c r="N31" i="38"/>
  <c r="N27" i="38"/>
  <c r="N23" i="38"/>
  <c r="N19" i="38"/>
  <c r="N15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N33" i="32"/>
  <c r="N57" i="38"/>
  <c r="N53" i="38"/>
  <c r="N49" i="38"/>
  <c r="N45" i="38"/>
  <c r="N41" i="38"/>
  <c r="N37" i="38"/>
  <c r="N33" i="38"/>
  <c r="N29" i="38"/>
  <c r="N21" i="38"/>
  <c r="N13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25" i="32" l="1"/>
  <c r="N51" i="32" l="1"/>
  <c r="F57" i="32"/>
  <c r="F30" i="32"/>
  <c r="N53" i="32"/>
  <c r="F45" i="32"/>
  <c r="N27" i="32"/>
  <c r="N52" i="32"/>
  <c r="F37" i="32"/>
  <c r="N48" i="32"/>
  <c r="N24" i="32"/>
  <c r="F36" i="32"/>
  <c r="N21" i="32"/>
  <c r="N36" i="32"/>
  <c r="N22" i="32"/>
  <c r="F47" i="32"/>
  <c r="N13" i="32"/>
  <c r="N38" i="32"/>
  <c r="N54" i="32"/>
  <c r="F43" i="32"/>
  <c r="N50" i="32"/>
  <c r="N30" i="32"/>
  <c r="F28" i="32"/>
  <c r="F39" i="32"/>
  <c r="N23" i="32"/>
  <c r="N39" i="32"/>
  <c r="N17" i="32"/>
  <c r="N12" i="32"/>
  <c r="F49" i="32"/>
  <c r="N15" i="32"/>
  <c r="N40" i="32"/>
  <c r="N56" i="32"/>
  <c r="F44" i="32"/>
  <c r="F32" i="32"/>
  <c r="N55" i="32"/>
  <c r="F52" i="32"/>
  <c r="F46" i="32"/>
  <c r="N28" i="32"/>
  <c r="N29" i="32"/>
  <c r="N19" i="32"/>
  <c r="F31" i="32"/>
  <c r="N14" i="32"/>
  <c r="F51" i="32"/>
  <c r="F56" i="32"/>
  <c r="N47" i="32"/>
  <c r="N58" i="32"/>
  <c r="F53" i="32"/>
  <c r="F34" i="32"/>
  <c r="N57" i="32"/>
  <c r="F54" i="32"/>
  <c r="F48" i="32"/>
  <c r="N31" i="32"/>
  <c r="N43" i="32"/>
  <c r="N32" i="32"/>
  <c r="F33" i="32"/>
  <c r="N16" i="32"/>
  <c r="F40" i="32"/>
  <c r="F58" i="32"/>
  <c r="N49" i="32"/>
  <c r="F55" i="32"/>
  <c r="F38" i="32"/>
  <c r="N44" i="32"/>
  <c r="F27" i="32"/>
  <c r="F50" i="32"/>
  <c r="N45" i="32"/>
  <c r="F29" i="32"/>
  <c r="N46" i="32"/>
  <c r="N37" i="32"/>
  <c r="F35" i="32"/>
  <c r="N18" i="32"/>
  <c r="N35" i="32"/>
  <c r="N20" i="32"/>
  <c r="N41" i="32"/>
  <c r="N34" i="33" l="1"/>
  <c r="N17" i="38"/>
  <c r="F41" i="32" l="1"/>
  <c r="N34" i="32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G419" i="15"/>
  <c r="G359" i="15"/>
  <c r="O299" i="15"/>
  <c r="G372" i="15"/>
  <c r="O312" i="15"/>
  <c r="G312" i="15"/>
  <c r="O252" i="15"/>
  <c r="O321" i="15" l="1"/>
  <c r="O261" i="15"/>
  <c r="G405" i="15"/>
  <c r="G345" i="15"/>
  <c r="O345" i="15"/>
  <c r="O285" i="15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15" l="1"/>
  <c r="G179" i="15"/>
  <c r="O239" i="15"/>
  <c r="O179" i="15"/>
  <c r="G299" i="15"/>
  <c r="O141" i="15" l="1"/>
  <c r="O201" i="15"/>
  <c r="G165" i="15"/>
  <c r="G285" i="15"/>
  <c r="G225" i="15"/>
  <c r="O225" i="15"/>
  <c r="O165" i="15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O37" i="37"/>
  <c r="O41" i="37"/>
  <c r="O45" i="37"/>
  <c r="O49" i="37"/>
  <c r="O53" i="37"/>
  <c r="O5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O15" i="39"/>
  <c r="O19" i="39"/>
  <c r="O23" i="39"/>
  <c r="O27" i="39"/>
  <c r="O31" i="39"/>
  <c r="O35" i="39"/>
  <c r="O39" i="39"/>
  <c r="O43" i="39"/>
  <c r="O47" i="39"/>
  <c r="O51" i="39"/>
  <c r="O55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O35" i="37"/>
  <c r="O39" i="37"/>
  <c r="O43" i="37"/>
  <c r="O47" i="37"/>
  <c r="O51" i="37"/>
  <c r="O5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O26" i="40"/>
  <c r="O42" i="40"/>
  <c r="O33" i="40"/>
  <c r="G49" i="33" l="1"/>
  <c r="G42" i="33"/>
  <c r="G28" i="33"/>
  <c r="G32" i="33"/>
  <c r="G57" i="33"/>
  <c r="G55" i="33"/>
  <c r="G45" i="33"/>
  <c r="G31" i="33"/>
  <c r="O53" i="33"/>
  <c r="O45" i="33"/>
  <c r="O37" i="33"/>
  <c r="O29" i="33"/>
  <c r="O17" i="33"/>
  <c r="O56" i="33"/>
  <c r="O48" i="33"/>
  <c r="O40" i="33"/>
  <c r="O32" i="33"/>
  <c r="O24" i="33"/>
  <c r="O16" i="33"/>
  <c r="O51" i="33"/>
  <c r="O43" i="33"/>
  <c r="O35" i="33"/>
  <c r="O27" i="33"/>
  <c r="O19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57" i="33"/>
  <c r="O49" i="33"/>
  <c r="O41" i="33"/>
  <c r="O33" i="33"/>
  <c r="O21" i="33"/>
  <c r="O13" i="33"/>
  <c r="O52" i="33"/>
  <c r="O44" i="33"/>
  <c r="O36" i="33"/>
  <c r="O28" i="33"/>
  <c r="O20" i="33"/>
  <c r="O12" i="33"/>
  <c r="O55" i="33"/>
  <c r="O47" i="33"/>
  <c r="O39" i="33"/>
  <c r="O31" i="33"/>
  <c r="O23" i="33"/>
  <c r="O15" i="33"/>
  <c r="O58" i="33"/>
  <c r="O50" i="33"/>
  <c r="O42" i="33"/>
  <c r="O30" i="33"/>
  <c r="O22" i="33"/>
  <c r="O14" i="33"/>
  <c r="O42" i="32"/>
  <c r="O26" i="32"/>
  <c r="O55" i="38"/>
  <c r="O51" i="38"/>
  <c r="O47" i="38"/>
  <c r="O43" i="38"/>
  <c r="O39" i="38"/>
  <c r="O35" i="38"/>
  <c r="O31" i="38"/>
  <c r="O27" i="38"/>
  <c r="O23" i="38"/>
  <c r="O19" i="38"/>
  <c r="O15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O33" i="32"/>
  <c r="O57" i="38"/>
  <c r="O53" i="38"/>
  <c r="O49" i="38"/>
  <c r="O45" i="38"/>
  <c r="O41" i="38"/>
  <c r="O37" i="38"/>
  <c r="O33" i="38"/>
  <c r="O29" i="38"/>
  <c r="O21" i="38"/>
  <c r="O13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25" i="36"/>
  <c r="O38" i="35" l="1"/>
  <c r="O46" i="35"/>
  <c r="G44" i="35"/>
  <c r="O15" i="35"/>
  <c r="O23" i="35"/>
  <c r="O40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34" i="34"/>
  <c r="O58" i="34"/>
  <c r="G37" i="34"/>
  <c r="G54" i="34"/>
  <c r="G19" i="34"/>
  <c r="G43" i="34"/>
  <c r="G50" i="34"/>
  <c r="G48" i="34"/>
  <c r="G47" i="34"/>
  <c r="G53" i="34"/>
  <c r="O21" i="34"/>
  <c r="O37" i="34"/>
  <c r="O53" i="34"/>
  <c r="O44" i="34"/>
  <c r="O52" i="34"/>
  <c r="G25" i="34"/>
  <c r="G17" i="34"/>
  <c r="G51" i="34"/>
  <c r="G42" i="34"/>
  <c r="G15" i="34"/>
  <c r="G26" i="34"/>
  <c r="O19" i="34"/>
  <c r="O35" i="34"/>
  <c r="O51" i="34"/>
  <c r="O26" i="34"/>
  <c r="O50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O14" i="34"/>
  <c r="O22" i="34"/>
  <c r="O30" i="34"/>
  <c r="O38" i="34"/>
  <c r="O46" i="34"/>
  <c r="O54" i="34"/>
  <c r="G31" i="34"/>
  <c r="G56" i="34"/>
  <c r="O27" i="34"/>
  <c r="O43" i="34"/>
  <c r="O18" i="34"/>
  <c r="O42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O16" i="34"/>
  <c r="O24" i="34"/>
  <c r="O32" i="34"/>
  <c r="O40" i="34"/>
  <c r="O48" i="34"/>
  <c r="O56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O59" i="40"/>
  <c r="O59" i="38"/>
  <c r="O59" i="36"/>
  <c r="O59" i="34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G4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15"/>
  <c r="O119" i="15"/>
  <c r="G59" i="33"/>
  <c r="G59" i="31"/>
  <c r="G59" i="32"/>
  <c r="G59" i="15"/>
  <c r="O26" i="37" l="1"/>
  <c r="O13" i="34"/>
  <c r="O25" i="33" l="1"/>
  <c r="O25" i="38"/>
  <c r="O25" i="40" l="1"/>
  <c r="O41" i="40"/>
  <c r="G18" i="31"/>
  <c r="G32" i="31"/>
  <c r="G52" i="31"/>
  <c r="O20" i="31"/>
  <c r="O40" i="31"/>
  <c r="O55" i="31"/>
  <c r="G12" i="31"/>
  <c r="G31" i="31"/>
  <c r="G45" i="31"/>
  <c r="O31" i="31"/>
  <c r="O44" i="31"/>
  <c r="G16" i="31"/>
  <c r="G29" i="31"/>
  <c r="G37" i="31"/>
  <c r="G49" i="31"/>
  <c r="O16" i="31"/>
  <c r="O29" i="31"/>
  <c r="O53" i="31"/>
  <c r="G19" i="31"/>
  <c r="G41" i="31"/>
  <c r="O15" i="31"/>
  <c r="O33" i="31"/>
  <c r="O52" i="31"/>
  <c r="G20" i="31"/>
  <c r="G40" i="31"/>
  <c r="G56" i="31"/>
  <c r="O24" i="31"/>
  <c r="O45" i="31"/>
  <c r="G13" i="31"/>
  <c r="G35" i="31"/>
  <c r="G46" i="31"/>
  <c r="O13" i="31"/>
  <c r="O35" i="31"/>
  <c r="O49" i="31"/>
  <c r="G23" i="31"/>
  <c r="G30" i="31"/>
  <c r="G38" i="31"/>
  <c r="G54" i="31"/>
  <c r="O22" i="31"/>
  <c r="O30" i="31"/>
  <c r="O38" i="31"/>
  <c r="O57" i="31"/>
  <c r="G22" i="31"/>
  <c r="G48" i="31"/>
  <c r="O19" i="31"/>
  <c r="O41" i="31"/>
  <c r="O56" i="31"/>
  <c r="G21" i="31"/>
  <c r="G47" i="31"/>
  <c r="O14" i="31"/>
  <c r="O26" i="31"/>
  <c r="O46" i="31"/>
  <c r="G17" i="31"/>
  <c r="G39" i="31"/>
  <c r="G50" i="31"/>
  <c r="O17" i="31"/>
  <c r="O39" i="31"/>
  <c r="O54" i="31"/>
  <c r="G27" i="31"/>
  <c r="G34" i="31"/>
  <c r="G42" i="31"/>
  <c r="G58" i="31"/>
  <c r="O27" i="31"/>
  <c r="O34" i="31"/>
  <c r="O42" i="31"/>
  <c r="G26" i="31"/>
  <c r="G53" i="31"/>
  <c r="O21" i="31"/>
  <c r="O47" i="31"/>
  <c r="G14" i="31"/>
  <c r="G25" i="31"/>
  <c r="G51" i="31"/>
  <c r="O18" i="31"/>
  <c r="O32" i="31"/>
  <c r="O50" i="31"/>
  <c r="G24" i="31"/>
  <c r="G43" i="31"/>
  <c r="G55" i="31"/>
  <c r="O23" i="31"/>
  <c r="O43" i="31"/>
  <c r="O58" i="31"/>
  <c r="G28" i="31"/>
  <c r="G36" i="31"/>
  <c r="G44" i="31"/>
  <c r="O12" i="31"/>
  <c r="O28" i="31"/>
  <c r="O36" i="31"/>
  <c r="O48" i="31"/>
  <c r="G15" i="31"/>
  <c r="G33" i="31"/>
  <c r="G57" i="31"/>
  <c r="O25" i="31"/>
  <c r="O51" i="31"/>
  <c r="O25" i="32" l="1"/>
  <c r="O45" i="15"/>
  <c r="G105" i="15"/>
  <c r="G45" i="15"/>
  <c r="O105" i="15"/>
  <c r="O21" i="15"/>
  <c r="O81" i="15"/>
  <c r="O16" i="40" l="1"/>
  <c r="O30" i="40"/>
  <c r="G28" i="40"/>
  <c r="G52" i="40"/>
  <c r="G58" i="40"/>
  <c r="O39" i="40"/>
  <c r="O22" i="40"/>
  <c r="O57" i="40"/>
  <c r="G54" i="40"/>
  <c r="O24" i="40"/>
  <c r="O15" i="40"/>
  <c r="O52" i="40"/>
  <c r="G39" i="40"/>
  <c r="O12" i="40"/>
  <c r="O31" i="40"/>
  <c r="G50" i="40"/>
  <c r="O40" i="40"/>
  <c r="G24" i="40"/>
  <c r="O50" i="40"/>
  <c r="G38" i="40"/>
  <c r="O18" i="40"/>
  <c r="G53" i="40"/>
  <c r="O43" i="40"/>
  <c r="G31" i="40"/>
  <c r="O53" i="40"/>
  <c r="G44" i="40"/>
  <c r="O20" i="40"/>
  <c r="G33" i="40"/>
  <c r="O49" i="40"/>
  <c r="G35" i="40"/>
  <c r="G21" i="40"/>
  <c r="O38" i="40"/>
  <c r="G30" i="40"/>
  <c r="O29" i="40"/>
  <c r="G55" i="40"/>
  <c r="G27" i="40"/>
  <c r="O44" i="40"/>
  <c r="O19" i="40"/>
  <c r="O56" i="40"/>
  <c r="G43" i="40"/>
  <c r="G13" i="40"/>
  <c r="O47" i="40"/>
  <c r="O21" i="40"/>
  <c r="G45" i="40"/>
  <c r="G14" i="40"/>
  <c r="O36" i="40"/>
  <c r="G57" i="40"/>
  <c r="G48" i="40"/>
  <c r="G16" i="40"/>
  <c r="G37" i="40"/>
  <c r="O54" i="40"/>
  <c r="G12" i="40"/>
  <c r="O45" i="40"/>
  <c r="O23" i="40"/>
  <c r="G20" i="40"/>
  <c r="G40" i="40"/>
  <c r="O58" i="40"/>
  <c r="G47" i="40"/>
  <c r="O32" i="40"/>
  <c r="G29" i="40"/>
  <c r="G51" i="40"/>
  <c r="O35" i="40"/>
  <c r="O13" i="40"/>
  <c r="G32" i="40"/>
  <c r="O51" i="40"/>
  <c r="O27" i="40"/>
  <c r="O17" i="40"/>
  <c r="G34" i="40"/>
  <c r="G56" i="40"/>
  <c r="G46" i="40"/>
  <c r="O37" i="40"/>
  <c r="G19" i="40"/>
  <c r="O46" i="40"/>
  <c r="G36" i="40"/>
  <c r="O14" i="40"/>
  <c r="G15" i="40"/>
  <c r="O48" i="40"/>
  <c r="O28" i="40"/>
  <c r="G23" i="40"/>
  <c r="G49" i="40"/>
  <c r="G22" i="40"/>
  <c r="O55" i="40"/>
  <c r="G23" i="32"/>
  <c r="G19" i="32"/>
  <c r="G21" i="32"/>
  <c r="G15" i="32"/>
  <c r="G24" i="32"/>
  <c r="G22" i="32"/>
  <c r="G16" i="32"/>
  <c r="G13" i="32"/>
  <c r="G12" i="32"/>
  <c r="G14" i="32"/>
  <c r="G20" i="32"/>
  <c r="G34" i="36"/>
  <c r="O29" i="36"/>
  <c r="O55" i="36"/>
  <c r="G33" i="36"/>
  <c r="O26" i="36"/>
  <c r="G35" i="36"/>
  <c r="O14" i="36"/>
  <c r="O30" i="36"/>
  <c r="G21" i="36"/>
  <c r="G27" i="36"/>
  <c r="G49" i="36"/>
  <c r="O37" i="36"/>
  <c r="G38" i="36"/>
  <c r="G15" i="36"/>
  <c r="G36" i="36"/>
  <c r="G54" i="36"/>
  <c r="G58" i="36"/>
  <c r="O22" i="36"/>
  <c r="O28" i="36"/>
  <c r="O40" i="36"/>
  <c r="O49" i="36"/>
  <c r="G44" i="36"/>
  <c r="O52" i="36"/>
  <c r="O56" i="36"/>
  <c r="O13" i="36"/>
  <c r="O36" i="36"/>
  <c r="G39" i="36"/>
  <c r="O15" i="36"/>
  <c r="O31" i="36"/>
  <c r="G22" i="36"/>
  <c r="G46" i="36"/>
  <c r="G50" i="36"/>
  <c r="O44" i="36"/>
  <c r="G40" i="36"/>
  <c r="G16" i="36"/>
  <c r="G43" i="36"/>
  <c r="G55" i="36"/>
  <c r="O23" i="36"/>
  <c r="O35" i="36"/>
  <c r="O46" i="36"/>
  <c r="O50" i="36"/>
  <c r="G29" i="36"/>
  <c r="O53" i="36"/>
  <c r="O57" i="36"/>
  <c r="O16" i="36"/>
  <c r="O43" i="36"/>
  <c r="G20" i="36"/>
  <c r="G45" i="36"/>
  <c r="O17" i="36"/>
  <c r="O32" i="36"/>
  <c r="G23" i="36"/>
  <c r="G47" i="36"/>
  <c r="G51" i="36"/>
  <c r="O45" i="36"/>
  <c r="G13" i="36"/>
  <c r="G19" i="36"/>
  <c r="G52" i="36"/>
  <c r="G56" i="36"/>
  <c r="O20" i="36"/>
  <c r="O24" i="36"/>
  <c r="O38" i="36"/>
  <c r="O47" i="36"/>
  <c r="O51" i="36"/>
  <c r="G30" i="36"/>
  <c r="G37" i="36"/>
  <c r="O54" i="36"/>
  <c r="O58" i="36"/>
  <c r="O19" i="36"/>
  <c r="G31" i="36"/>
  <c r="O12" i="36"/>
  <c r="O18" i="36"/>
  <c r="G12" i="36"/>
  <c r="G24" i="36"/>
  <c r="G48" i="36"/>
  <c r="O27" i="36"/>
  <c r="G32" i="36"/>
  <c r="G14" i="36"/>
  <c r="G28" i="36"/>
  <c r="G53" i="36"/>
  <c r="G57" i="36"/>
  <c r="O21" i="36"/>
  <c r="O25" i="36"/>
  <c r="O39" i="36"/>
  <c r="O48" i="36"/>
  <c r="O51" i="32" l="1"/>
  <c r="G57" i="32"/>
  <c r="G30" i="32"/>
  <c r="O53" i="32"/>
  <c r="G45" i="32"/>
  <c r="O27" i="32"/>
  <c r="O52" i="32"/>
  <c r="G37" i="32"/>
  <c r="O48" i="32"/>
  <c r="O24" i="32"/>
  <c r="G36" i="32"/>
  <c r="O21" i="32"/>
  <c r="O36" i="32"/>
  <c r="O22" i="32"/>
  <c r="G47" i="32"/>
  <c r="O13" i="32"/>
  <c r="O38" i="32"/>
  <c r="O54" i="32"/>
  <c r="G43" i="32"/>
  <c r="O50" i="32"/>
  <c r="O30" i="32"/>
  <c r="G28" i="32"/>
  <c r="G39" i="32"/>
  <c r="O23" i="32"/>
  <c r="O39" i="32"/>
  <c r="O17" i="32"/>
  <c r="O12" i="32"/>
  <c r="G49" i="32"/>
  <c r="O15" i="32"/>
  <c r="O40" i="32"/>
  <c r="O56" i="32"/>
  <c r="G44" i="32"/>
  <c r="G32" i="32"/>
  <c r="O55" i="32"/>
  <c r="G52" i="32"/>
  <c r="G46" i="32"/>
  <c r="O28" i="32"/>
  <c r="O29" i="32"/>
  <c r="O19" i="32"/>
  <c r="G31" i="32"/>
  <c r="O14" i="32"/>
  <c r="G51" i="32"/>
  <c r="G56" i="32"/>
  <c r="O47" i="32"/>
  <c r="O58" i="32"/>
  <c r="G53" i="32"/>
  <c r="G34" i="32"/>
  <c r="O57" i="32"/>
  <c r="G54" i="32"/>
  <c r="G48" i="32"/>
  <c r="O31" i="32"/>
  <c r="O43" i="32"/>
  <c r="O32" i="32"/>
  <c r="G33" i="32"/>
  <c r="O16" i="32"/>
  <c r="G40" i="32"/>
  <c r="G58" i="32"/>
  <c r="O49" i="32"/>
  <c r="G55" i="32"/>
  <c r="G38" i="32"/>
  <c r="O44" i="32"/>
  <c r="G27" i="32"/>
  <c r="G50" i="32"/>
  <c r="O45" i="32"/>
  <c r="G29" i="32"/>
  <c r="O46" i="32"/>
  <c r="O37" i="32"/>
  <c r="G35" i="32"/>
  <c r="O18" i="32"/>
  <c r="O35" i="32"/>
  <c r="O20" i="32"/>
  <c r="O41" i="32"/>
  <c r="O52" i="15"/>
  <c r="O44" i="15"/>
  <c r="G88" i="15"/>
  <c r="G28" i="15"/>
  <c r="O112" i="15"/>
  <c r="O39" i="34" l="1"/>
  <c r="G39" i="34"/>
  <c r="G26" i="37"/>
  <c r="G25" i="37"/>
  <c r="O37" i="31"/>
  <c r="O36" i="34"/>
  <c r="G36" i="34"/>
  <c r="G21" i="34"/>
  <c r="O34" i="33" l="1"/>
  <c r="O17" i="38"/>
  <c r="O34" i="40" l="1"/>
  <c r="G41" i="40"/>
  <c r="G41" i="32" l="1"/>
  <c r="O34" i="32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96" i="15"/>
  <c r="G504" i="15"/>
  <c r="G512" i="15"/>
  <c r="G520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G495" i="15"/>
  <c r="G503" i="15"/>
  <c r="G511" i="15"/>
  <c r="G519" i="15"/>
  <c r="G527" i="15"/>
  <c r="G535" i="15"/>
  <c r="O495" i="15"/>
  <c r="O503" i="15"/>
  <c r="O511" i="15"/>
  <c r="O519" i="15"/>
  <c r="O527" i="15"/>
  <c r="O535" i="15"/>
  <c r="G528" i="15"/>
  <c r="G536" i="15"/>
  <c r="O496" i="15"/>
  <c r="O504" i="15"/>
  <c r="O512" i="15"/>
  <c r="O520" i="15"/>
  <c r="O528" i="15"/>
  <c r="O536" i="15"/>
  <c r="O434" i="15"/>
  <c r="O442" i="15"/>
  <c r="O450" i="15"/>
  <c r="O458" i="15"/>
  <c r="O466" i="15"/>
  <c r="O474" i="15"/>
  <c r="G494" i="15"/>
  <c r="G502" i="15"/>
  <c r="G510" i="15"/>
  <c r="G518" i="15"/>
  <c r="G433" i="15"/>
  <c r="G441" i="15"/>
  <c r="G449" i="15"/>
  <c r="G457" i="15"/>
  <c r="G473" i="15"/>
  <c r="O433" i="15"/>
  <c r="O449" i="15"/>
  <c r="O457" i="15"/>
  <c r="O473" i="15"/>
  <c r="G493" i="15"/>
  <c r="G501" i="15"/>
  <c r="G509" i="15"/>
  <c r="G517" i="15"/>
  <c r="G533" i="15"/>
  <c r="O493" i="15"/>
  <c r="O509" i="15"/>
  <c r="O517" i="15"/>
  <c r="O533" i="15"/>
  <c r="G526" i="15"/>
  <c r="G534" i="15"/>
  <c r="O494" i="15"/>
  <c r="O502" i="15"/>
  <c r="O510" i="15"/>
  <c r="O518" i="15"/>
  <c r="O526" i="15"/>
  <c r="O534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92" i="15"/>
  <c r="G500" i="15"/>
  <c r="G508" i="15"/>
  <c r="G516" i="15"/>
  <c r="G524" i="15"/>
  <c r="G439" i="15"/>
  <c r="G447" i="15"/>
  <c r="G455" i="15"/>
  <c r="G463" i="15"/>
  <c r="G471" i="15"/>
  <c r="O439" i="15"/>
  <c r="O447" i="15"/>
  <c r="O455" i="15"/>
  <c r="O463" i="15"/>
  <c r="O471" i="15"/>
  <c r="G499" i="15"/>
  <c r="G507" i="15"/>
  <c r="G515" i="15"/>
  <c r="G523" i="15"/>
  <c r="G531" i="15"/>
  <c r="O499" i="15"/>
  <c r="O507" i="15"/>
  <c r="O515" i="15"/>
  <c r="O523" i="15"/>
  <c r="O531" i="15"/>
  <c r="O539" i="15"/>
  <c r="G532" i="15"/>
  <c r="O492" i="15"/>
  <c r="O500" i="15"/>
  <c r="O508" i="15"/>
  <c r="O516" i="15"/>
  <c r="O524" i="15"/>
  <c r="O532" i="15"/>
  <c r="G478" i="15"/>
  <c r="O438" i="15"/>
  <c r="O446" i="15"/>
  <c r="O454" i="15"/>
  <c r="O462" i="15"/>
  <c r="O470" i="15"/>
  <c r="O478" i="15"/>
  <c r="G498" i="15"/>
  <c r="G506" i="15"/>
  <c r="G514" i="15"/>
  <c r="G522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97" i="15"/>
  <c r="G505" i="15"/>
  <c r="G513" i="15"/>
  <c r="G521" i="15"/>
  <c r="G529" i="15"/>
  <c r="G537" i="15"/>
  <c r="O497" i="15"/>
  <c r="O505" i="15"/>
  <c r="O513" i="15"/>
  <c r="O521" i="15"/>
  <c r="O529" i="15"/>
  <c r="O537" i="15"/>
  <c r="G530" i="15"/>
  <c r="G538" i="15"/>
  <c r="O498" i="15"/>
  <c r="O506" i="15"/>
  <c r="O514" i="15"/>
  <c r="O522" i="15"/>
  <c r="O530" i="15"/>
  <c r="O538" i="15"/>
  <c r="G539" i="15" l="1"/>
  <c r="G479" i="15"/>
  <c r="O419" i="15"/>
  <c r="O479" i="15"/>
  <c r="O381" i="15" l="1"/>
  <c r="O501" i="15"/>
  <c r="O441" i="15"/>
  <c r="O405" i="15"/>
  <c r="G465" i="15"/>
  <c r="G525" i="15"/>
  <c r="O525" i="15"/>
  <c r="O465" i="15"/>
  <c r="O39" i="35" l="1"/>
  <c r="N39" i="35"/>
  <c r="N51" i="35"/>
  <c r="N26" i="35"/>
  <c r="N25" i="35"/>
  <c r="N55" i="35"/>
  <c r="N20" i="35"/>
  <c r="F53" i="35"/>
  <c r="N47" i="35"/>
  <c r="F42" i="35"/>
  <c r="N58" i="35"/>
  <c r="F51" i="35"/>
  <c r="F54" i="35"/>
  <c r="N36" i="35"/>
  <c r="F56" i="35"/>
  <c r="N50" i="35"/>
  <c r="F30" i="35"/>
  <c r="F21" i="35"/>
  <c r="F23" i="35"/>
  <c r="N16" i="35"/>
  <c r="F59" i="44"/>
  <c r="F59" i="41"/>
  <c r="F59" i="39"/>
  <c r="F59" i="37"/>
  <c r="F59" i="35"/>
  <c r="F48" i="35"/>
  <c r="N53" i="35"/>
  <c r="N52" i="35"/>
  <c r="F39" i="35"/>
  <c r="N42" i="35"/>
  <c r="F43" i="35"/>
  <c r="F16" i="35"/>
  <c r="N32" i="35"/>
  <c r="N27" i="35"/>
  <c r="F52" i="35"/>
  <c r="N19" i="35"/>
  <c r="F35" i="35"/>
  <c r="F32" i="35"/>
  <c r="N37" i="35"/>
  <c r="F31" i="35"/>
  <c r="F22" i="35"/>
  <c r="N48" i="35"/>
  <c r="N33" i="35"/>
  <c r="F47" i="35"/>
  <c r="F29" i="35"/>
  <c r="F49" i="35"/>
  <c r="N57" i="35"/>
  <c r="F12" i="35"/>
  <c r="N49" i="35"/>
  <c r="N18" i="35"/>
  <c r="F19" i="35"/>
  <c r="N21" i="35"/>
  <c r="F55" i="35"/>
  <c r="F14" i="35"/>
  <c r="F38" i="35"/>
  <c r="F26" i="35"/>
  <c r="F18" i="35"/>
  <c r="F40" i="35"/>
  <c r="F15" i="35"/>
  <c r="N43" i="35"/>
  <c r="N41" i="35"/>
  <c r="N35" i="35"/>
  <c r="F25" i="35"/>
  <c r="N54" i="35"/>
  <c r="F58" i="35"/>
  <c r="N24" i="35"/>
  <c r="F20" i="35"/>
  <c r="F50" i="35"/>
  <c r="F41" i="35"/>
  <c r="F34" i="35"/>
  <c r="F27" i="35"/>
  <c r="F33" i="35"/>
  <c r="N17" i="35"/>
  <c r="F13" i="35"/>
  <c r="F24" i="35"/>
  <c r="N56" i="35"/>
  <c r="F57" i="35"/>
  <c r="N59" i="41"/>
  <c r="N59" i="44"/>
  <c r="N59" i="39"/>
  <c r="N59" i="37"/>
  <c r="N59" i="35"/>
  <c r="N31" i="35"/>
  <c r="F17" i="35"/>
  <c r="N34" i="35"/>
  <c r="G27" i="35" l="1"/>
  <c r="O18" i="35"/>
  <c r="O57" i="35"/>
  <c r="G52" i="35"/>
  <c r="O42" i="35"/>
  <c r="G48" i="35"/>
  <c r="O55" i="35"/>
  <c r="G24" i="35"/>
  <c r="G33" i="35"/>
  <c r="O43" i="35"/>
  <c r="G40" i="35"/>
  <c r="G14" i="35"/>
  <c r="G12" i="35"/>
  <c r="G31" i="35"/>
  <c r="O19" i="35"/>
  <c r="O32" i="35"/>
  <c r="O26" i="35"/>
  <c r="G17" i="35"/>
  <c r="O35" i="35"/>
  <c r="O41" i="35"/>
  <c r="G15" i="35"/>
  <c r="G22" i="35"/>
  <c r="O37" i="35"/>
  <c r="G43" i="35"/>
  <c r="O52" i="35"/>
  <c r="G54" i="35"/>
  <c r="G42" i="35"/>
  <c r="G53" i="35"/>
  <c r="O34" i="35"/>
  <c r="O59" i="44"/>
  <c r="O59" i="41"/>
  <c r="O59" i="35"/>
  <c r="O59" i="39"/>
  <c r="O59" i="37"/>
  <c r="G57" i="35"/>
  <c r="O17" i="35"/>
  <c r="G25" i="35"/>
  <c r="O49" i="35"/>
  <c r="G49" i="35"/>
  <c r="G32" i="35"/>
  <c r="G59" i="44"/>
  <c r="G59" i="41"/>
  <c r="G59" i="39"/>
  <c r="G59" i="35"/>
  <c r="G59" i="37"/>
  <c r="G23" i="35"/>
  <c r="O36" i="35"/>
  <c r="G51" i="35"/>
  <c r="O31" i="35"/>
  <c r="G13" i="35"/>
  <c r="G20" i="35"/>
  <c r="G47" i="35"/>
  <c r="O33" i="35"/>
  <c r="G16" i="35"/>
  <c r="O16" i="35"/>
  <c r="G21" i="35"/>
  <c r="O50" i="35"/>
  <c r="O58" i="35"/>
  <c r="G41" i="35"/>
  <c r="G38" i="35"/>
  <c r="G19" i="35"/>
  <c r="G29" i="35"/>
  <c r="G30" i="35"/>
  <c r="O47" i="35"/>
  <c r="O20" i="35"/>
  <c r="O56" i="35"/>
  <c r="G34" i="35"/>
  <c r="G50" i="35"/>
  <c r="G58" i="35"/>
  <c r="G26" i="35"/>
  <c r="O21" i="35"/>
  <c r="G35" i="35"/>
  <c r="O53" i="35"/>
  <c r="O25" i="35"/>
  <c r="O24" i="35"/>
  <c r="O54" i="35"/>
  <c r="G18" i="35"/>
  <c r="G55" i="35"/>
  <c r="O48" i="35"/>
  <c r="O27" i="35"/>
  <c r="G39" i="35"/>
  <c r="G56" i="35"/>
  <c r="O51" i="35"/>
</calcChain>
</file>

<file path=xl/sharedStrings.xml><?xml version="1.0" encoding="utf-8"?>
<sst xmlns="http://schemas.openxmlformats.org/spreadsheetml/2006/main" count="4183" uniqueCount="72">
  <si>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</si>
  <si>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</si>
  <si>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</si>
  <si>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</si>
  <si>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</si>
  <si>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</si>
  <si>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</si>
  <si>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</si>
  <si>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</si>
  <si>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</si>
  <si>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</si>
  <si>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</si>
  <si>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</si>
  <si>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</si>
  <si>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</si>
  <si>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</si>
  <si>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</si>
  <si>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</si>
  <si>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</si>
  <si>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</si>
  <si>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</si>
  <si>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</si>
  <si>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</si>
  <si>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</si>
  <si>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</si>
  <si>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</si>
  <si>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</si>
  <si>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</si>
  <si>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</si>
  <si>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</si>
  <si>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</si>
  <si>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</si>
  <si>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</si>
  <si>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</si>
  <si>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</si>
  <si>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</si>
  <si>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</si>
  <si>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</si>
  <si>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</si>
  <si>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</si>
  <si>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</si>
  <si>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</si>
  <si>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</si>
  <si>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</si>
  <si>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</si>
  <si>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</si>
  <si>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</si>
  <si>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</si>
  <si>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</si>
  <si>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</si>
  <si>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</si>
  <si>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https://max.ru/join/M7wDISGvmShFMnRwwNWABqv4bmIdPah2zAI1ryedWA4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</si>
  <si>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</si>
  <si>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</si>
  <si>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</si>
  <si>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</si>
  <si>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</si>
  <si>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</si>
  <si>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</si>
  <si>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</si>
  <si>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</si>
  <si>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https://max.ru/join/DN-Al3Hn8BwzumxU2F0z1ZrdkkOKrJJlr2N-X5z2j-A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</si>
  <si>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</si>
  <si>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</si>
  <si>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</si>
  <si>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</si>
  <si>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</si>
  <si>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</si>
  <si>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https://max.ru/join/xVfUag6N_YqTK2FYY9dw1yr1OX0njFL0kEBUFOsnrKU</t>
  </si>
  <si>
    <t>https://max.ru/join/vVDI4UrM3eCAidVGjy4YDG7oZq_cJEJtK2NywT5ISAk</t>
  </si>
  <si>
    <t>https://max.ru/join/pcqQ76hVH1VM62gdvJpdTUt6hv6a-FL0jPDOixrw4dg</t>
  </si>
  <si>
    <t>https://max.ru/join/ABawVbim1pHAjVVmFjM7O45ddZZYKAUsl0XF3_xyIvw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</si>
</sst>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4" x14ac:knownFonts="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93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3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6" applyBorder="1"/>
    <xf numFmtId="0" fontId="23" fillId="0" borderId="0" xfId="6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12" xfId="1" applyNumberFormat="1" applyFont="1" applyBorder="1" applyAlignment="1">
      <alignment horizontal="center" vertical="center" textRotation="90" wrapText="1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center" vertical="center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left" vertical="center"/>
    </xf>
    <xf numFmtId="0" fontId="15" fillId="0" borderId="0" xfId="5"/>
  </cellXfs>
  <cellStyles count="7">
    <cellStyle name="Hyperlink" xfId="6" xr:uid="{00000000-000B-0000-0000-000008000000}"/>
    <cellStyle name="Гиперссылка" xfId="5" builtinId="8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5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00</v>
          </cell>
        </row>
        <row r="258">
          <cell r="D258" t="str">
            <v>12-24МИоз</v>
          </cell>
          <cell r="L258" t="str">
            <v>12-24МЭоз</v>
          </cell>
          <cell r="T258">
            <v>0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/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HWJDG1wxuQDCiC0TUN5E66zyt7VXJqMWtv_aHX-fd1o" TargetMode="External"/><Relationship Id="rId2" Type="http://schemas.openxmlformats.org/officeDocument/2006/relationships/hyperlink" Target="https://max.ru/join/HWJDG1wxuQDCiC0TUN5E66zyt7VXJqMWtv_aHX-fd1o" TargetMode="External"/><Relationship Id="rId1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ABawVbim1pHAjVVmFjM7O45ddZZYKAUsl0XF3_xyIvw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printerSettings" Target="../printerSettings/printerSettings12.bin"/><Relationship Id="rId5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pcqQ76hVH1VM62gdvJpdTUt6hv6a-FL0jPDOixrw4dg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540"/>
  <sheetViews>
    <sheetView view="pageBreakPreview" zoomScale="40" zoomScaleNormal="55" zoomScaleSheetLayoutView="40" workbookViewId="0">
      <selection activeCell="H14" sqref="H1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7109375" style="42" customWidth="1"/>
    <col min="18" max="18" width="48.7109375" customWidth="1"/>
    <col min="19" max="19" width="3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1</v>
      </c>
      <c r="F9" s="62"/>
      <c r="G9" s="62"/>
      <c r="H9" s="35"/>
      <c r="I9" s="45"/>
      <c r="J9" s="86" t="s">
        <v>7</v>
      </c>
      <c r="K9" s="86"/>
      <c r="L9" s="86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3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0" t="s">
        <v>15</v>
      </c>
      <c r="S11" s="50" t="s">
        <v>16</v>
      </c>
    </row>
    <row r="12" spans="1:19" ht="32.25" customHeight="1" thickTop="1" x14ac:dyDescent="0.2">
      <c r="A12" s="64">
        <v>46265</v>
      </c>
      <c r="B12" s="67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40">
        <f>VLOOKUP(E12,$R$12:$S$332,2,FALSE)</f>
        <v>0</v>
      </c>
      <c r="I12" s="64">
        <v>46272</v>
      </c>
      <c r="J12" s="72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40">
        <f>VLOOKUP(M12,$R$12:$S$332,2,FALSE)</f>
        <v>0</v>
      </c>
      <c r="R12" s="51">
        <f>[2]Уч.План!B12</f>
        <v>0</v>
      </c>
      <c r="S12" s="52"/>
    </row>
    <row r="13" spans="1:19" ht="31.5" x14ac:dyDescent="0.2">
      <c r="A13" s="65"/>
      <c r="B13" s="68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38">
        <f t="shared" ref="H13:H58" si="1">VLOOKUP(E13,$R$12:$S$332,2,FALSE)</f>
        <v>0</v>
      </c>
      <c r="I13" s="70"/>
      <c r="J13" s="73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38">
        <f t="shared" ref="P13:P58" si="2">VLOOKUP(M13,$R$12:$S$332,2,FALSE)</f>
        <v>0</v>
      </c>
      <c r="R13" s="51">
        <f>[2]Уч.План!B13</f>
        <v>0</v>
      </c>
      <c r="S13" s="51"/>
    </row>
    <row r="14" spans="1:19" ht="31.5" x14ac:dyDescent="0.2">
      <c r="A14" s="65"/>
      <c r="B14" s="68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38">
        <f t="shared" si="1"/>
        <v>0</v>
      </c>
      <c r="I14" s="70"/>
      <c r="J14" s="73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38">
        <f t="shared" si="2"/>
        <v>0</v>
      </c>
      <c r="R14" s="51">
        <f>[2]Уч.План!B14</f>
        <v>0</v>
      </c>
      <c r="S14" s="51"/>
    </row>
    <row r="15" spans="1:19" ht="31.5" x14ac:dyDescent="0.2">
      <c r="A15" s="65"/>
      <c r="B15" s="68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38">
        <f t="shared" si="1"/>
        <v>0</v>
      </c>
      <c r="I15" s="70"/>
      <c r="J15" s="73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38">
        <f t="shared" si="2"/>
        <v>0</v>
      </c>
      <c r="R15" s="51">
        <f>[2]Уч.План!B15</f>
        <v>0</v>
      </c>
      <c r="S15" s="51"/>
    </row>
    <row r="16" spans="1:19" ht="31.5" x14ac:dyDescent="0.2">
      <c r="A16" s="65"/>
      <c r="B16" s="68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38">
        <f t="shared" si="1"/>
        <v>0</v>
      </c>
      <c r="I16" s="70"/>
      <c r="J16" s="73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38">
        <f t="shared" si="2"/>
        <v>0</v>
      </c>
      <c r="R16" s="51">
        <f>[2]Уч.План!B16</f>
        <v>0</v>
      </c>
      <c r="S16" s="51"/>
    </row>
    <row r="17" spans="1:19" ht="31.5" x14ac:dyDescent="0.2">
      <c r="A17" s="65"/>
      <c r="B17" s="68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34">
        <f t="shared" si="1"/>
        <v>0</v>
      </c>
      <c r="I17" s="70"/>
      <c r="J17" s="73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34">
        <f t="shared" si="2"/>
        <v>0</v>
      </c>
      <c r="R17" s="51">
        <f>[2]Уч.План!B17</f>
        <v>0</v>
      </c>
      <c r="S17" s="51"/>
    </row>
    <row r="18" spans="1:19" ht="32.25" thickBot="1" x14ac:dyDescent="0.25">
      <c r="A18" s="65"/>
      <c r="B18" s="68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34">
        <f t="shared" si="1"/>
        <v>0</v>
      </c>
      <c r="I18" s="70"/>
      <c r="J18" s="73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34">
        <f t="shared" si="2"/>
        <v>0</v>
      </c>
      <c r="R18" s="51">
        <f>[2]Уч.План!B18</f>
        <v>0</v>
      </c>
      <c r="S18" s="51"/>
    </row>
    <row r="19" spans="1:19" ht="18.399999999999999" hidden="1" customHeight="1" thickBot="1" x14ac:dyDescent="0.25">
      <c r="A19" s="66"/>
      <c r="B19" s="69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39">
        <f t="shared" si="1"/>
        <v>0</v>
      </c>
      <c r="I19" s="71"/>
      <c r="J19" s="74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39">
        <f t="shared" si="2"/>
        <v>0</v>
      </c>
      <c r="R19" s="51">
        <f>[2]Уч.План!B19</f>
        <v>0</v>
      </c>
      <c r="S19" s="51"/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40">
        <f t="shared" si="1"/>
        <v>0</v>
      </c>
      <c r="I20" s="64">
        <v>46273</v>
      </c>
      <c r="J20" s="72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40">
        <f t="shared" si="2"/>
        <v>0</v>
      </c>
      <c r="R20" s="51">
        <f>[2]Уч.План!B20</f>
        <v>0</v>
      </c>
      <c r="S20" s="51"/>
    </row>
    <row r="21" spans="1:19" ht="31.5" x14ac:dyDescent="0.2">
      <c r="A21" s="65"/>
      <c r="B21" s="68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38">
        <f t="shared" si="1"/>
        <v>0</v>
      </c>
      <c r="I21" s="70"/>
      <c r="J21" s="73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38">
        <f t="shared" si="2"/>
        <v>0</v>
      </c>
      <c r="R21" s="51">
        <f>[2]Уч.План!B21</f>
        <v>0</v>
      </c>
      <c r="S21" s="51"/>
    </row>
    <row r="22" spans="1:19" ht="31.5" x14ac:dyDescent="0.2">
      <c r="A22" s="65"/>
      <c r="B22" s="68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38">
        <f t="shared" si="1"/>
        <v>0</v>
      </c>
      <c r="I22" s="70"/>
      <c r="J22" s="73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38">
        <f t="shared" si="2"/>
        <v>0</v>
      </c>
      <c r="R22" s="51">
        <f>[2]Уч.План!B22</f>
        <v>0</v>
      </c>
      <c r="S22" s="51"/>
    </row>
    <row r="23" spans="1:19" ht="31.5" x14ac:dyDescent="0.2">
      <c r="A23" s="65"/>
      <c r="B23" s="68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38">
        <f t="shared" si="1"/>
        <v>0</v>
      </c>
      <c r="I23" s="70"/>
      <c r="J23" s="73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38">
        <f t="shared" si="2"/>
        <v>0</v>
      </c>
      <c r="R23" s="51">
        <f>[2]Уч.План!B23</f>
        <v>0</v>
      </c>
      <c r="S23" s="51"/>
    </row>
    <row r="24" spans="1:19" ht="31.5" x14ac:dyDescent="0.2">
      <c r="A24" s="65"/>
      <c r="B24" s="68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38">
        <f t="shared" si="1"/>
        <v>0</v>
      </c>
      <c r="I24" s="70"/>
      <c r="J24" s="73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38">
        <f t="shared" si="2"/>
        <v>0</v>
      </c>
      <c r="R24" s="51">
        <f>[2]Уч.План!B24</f>
        <v>0</v>
      </c>
      <c r="S24" s="51"/>
    </row>
    <row r="25" spans="1:19" ht="31.5" x14ac:dyDescent="0.2">
      <c r="A25" s="65"/>
      <c r="B25" s="68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38">
        <f t="shared" si="1"/>
        <v>0</v>
      </c>
      <c r="I25" s="70"/>
      <c r="J25" s="73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38">
        <f t="shared" si="2"/>
        <v>0</v>
      </c>
      <c r="R25" s="51">
        <f>[2]Уч.План!B25</f>
        <v>0</v>
      </c>
      <c r="S25" s="51"/>
    </row>
    <row r="26" spans="1:19" ht="32.25" thickBot="1" x14ac:dyDescent="0.25">
      <c r="A26" s="65"/>
      <c r="B26" s="68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38">
        <f t="shared" si="1"/>
        <v>0</v>
      </c>
      <c r="I26" s="70"/>
      <c r="J26" s="73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38">
        <f t="shared" si="2"/>
        <v>0</v>
      </c>
      <c r="R26" s="51"/>
      <c r="S26" s="51"/>
    </row>
    <row r="27" spans="1:19" ht="18.399999999999999" hidden="1" customHeight="1" thickBot="1" x14ac:dyDescent="0.25">
      <c r="A27" s="66"/>
      <c r="B27" s="69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39">
        <f t="shared" si="1"/>
        <v>0</v>
      </c>
      <c r="I27" s="71"/>
      <c r="J27" s="74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39">
        <f t="shared" si="2"/>
        <v>0</v>
      </c>
      <c r="R27" s="51"/>
      <c r="S27" s="51"/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40">
        <f t="shared" si="1"/>
        <v>0</v>
      </c>
      <c r="I28" s="64">
        <v>46274</v>
      </c>
      <c r="J28" s="78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40">
        <f t="shared" si="2"/>
        <v>0</v>
      </c>
      <c r="R28" s="51"/>
      <c r="S28" s="51"/>
    </row>
    <row r="29" spans="1:19" ht="31.5" x14ac:dyDescent="0.2">
      <c r="A29" s="65"/>
      <c r="B29" s="76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38">
        <f t="shared" si="1"/>
        <v>0</v>
      </c>
      <c r="I29" s="70"/>
      <c r="J29" s="79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38">
        <f t="shared" si="2"/>
        <v>0</v>
      </c>
      <c r="R29" s="51"/>
      <c r="S29" s="51"/>
    </row>
    <row r="30" spans="1:19" ht="31.5" x14ac:dyDescent="0.2">
      <c r="A30" s="65"/>
      <c r="B30" s="76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38">
        <f t="shared" si="1"/>
        <v>0</v>
      </c>
      <c r="I30" s="70"/>
      <c r="J30" s="79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38">
        <f t="shared" si="2"/>
        <v>0</v>
      </c>
      <c r="R30" s="51"/>
      <c r="S30" s="51"/>
    </row>
    <row r="31" spans="1:19" ht="31.5" x14ac:dyDescent="0.2">
      <c r="A31" s="65"/>
      <c r="B31" s="76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38">
        <f t="shared" si="1"/>
        <v>0</v>
      </c>
      <c r="I31" s="70"/>
      <c r="J31" s="79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38">
        <f t="shared" si="2"/>
        <v>0</v>
      </c>
      <c r="R31" s="51"/>
      <c r="S31" s="51"/>
    </row>
    <row r="32" spans="1:19" ht="31.5" x14ac:dyDescent="0.2">
      <c r="A32" s="65"/>
      <c r="B32" s="76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38">
        <f t="shared" si="1"/>
        <v>0</v>
      </c>
      <c r="I32" s="70"/>
      <c r="J32" s="79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38">
        <f t="shared" si="2"/>
        <v>0</v>
      </c>
    </row>
    <row r="33" spans="1:16" ht="31.5" x14ac:dyDescent="0.2">
      <c r="A33" s="65"/>
      <c r="B33" s="76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34">
        <f t="shared" si="1"/>
        <v>0</v>
      </c>
      <c r="I33" s="70"/>
      <c r="J33" s="79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34">
        <f t="shared" si="2"/>
        <v>0</v>
      </c>
    </row>
    <row r="34" spans="1:16" ht="32.25" thickBot="1" x14ac:dyDescent="0.25">
      <c r="A34" s="65"/>
      <c r="B34" s="76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34">
        <f t="shared" si="1"/>
        <v>0</v>
      </c>
      <c r="I34" s="70"/>
      <c r="J34" s="79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34">
        <f t="shared" si="2"/>
        <v>0</v>
      </c>
    </row>
    <row r="35" spans="1:16" ht="18.399999999999999" hidden="1" customHeight="1" thickBot="1" x14ac:dyDescent="0.25">
      <c r="A35" s="66"/>
      <c r="B35" s="77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39">
        <f t="shared" si="1"/>
        <v>0</v>
      </c>
      <c r="I35" s="71"/>
      <c r="J35" s="80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39">
        <f t="shared" si="2"/>
        <v>0</v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40">
        <f t="shared" si="1"/>
        <v>0</v>
      </c>
      <c r="I36" s="64">
        <v>46275</v>
      </c>
      <c r="J36" s="72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40">
        <f t="shared" si="2"/>
        <v>0</v>
      </c>
    </row>
    <row r="37" spans="1:16" ht="31.5" x14ac:dyDescent="0.2">
      <c r="A37" s="65"/>
      <c r="B37" s="68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38">
        <f t="shared" si="1"/>
        <v>0</v>
      </c>
      <c r="I37" s="70"/>
      <c r="J37" s="73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38">
        <f t="shared" si="2"/>
        <v>0</v>
      </c>
    </row>
    <row r="38" spans="1:16" ht="31.5" x14ac:dyDescent="0.2">
      <c r="A38" s="65"/>
      <c r="B38" s="68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38">
        <f t="shared" si="1"/>
        <v>0</v>
      </c>
      <c r="I38" s="70"/>
      <c r="J38" s="73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38">
        <f t="shared" si="2"/>
        <v>0</v>
      </c>
    </row>
    <row r="39" spans="1:16" ht="31.5" x14ac:dyDescent="0.2">
      <c r="A39" s="65"/>
      <c r="B39" s="68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38">
        <f t="shared" si="1"/>
        <v>0</v>
      </c>
      <c r="I39" s="70"/>
      <c r="J39" s="73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38">
        <f t="shared" si="2"/>
        <v>0</v>
      </c>
    </row>
    <row r="40" spans="1:16" ht="31.5" x14ac:dyDescent="0.2">
      <c r="A40" s="65"/>
      <c r="B40" s="68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38">
        <f t="shared" si="1"/>
        <v>0</v>
      </c>
      <c r="I40" s="70"/>
      <c r="J40" s="73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38">
        <f t="shared" si="2"/>
        <v>0</v>
      </c>
    </row>
    <row r="41" spans="1:16" ht="31.5" x14ac:dyDescent="0.2">
      <c r="A41" s="65"/>
      <c r="B41" s="68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34">
        <f t="shared" si="1"/>
        <v>0</v>
      </c>
      <c r="I41" s="70"/>
      <c r="J41" s="73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34">
        <f t="shared" si="2"/>
        <v>0</v>
      </c>
    </row>
    <row r="42" spans="1:16" ht="32.25" thickBot="1" x14ac:dyDescent="0.25">
      <c r="A42" s="65"/>
      <c r="B42" s="68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34">
        <f t="shared" si="1"/>
        <v>0</v>
      </c>
      <c r="I42" s="70"/>
      <c r="J42" s="73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34">
        <f t="shared" si="2"/>
        <v>0</v>
      </c>
    </row>
    <row r="43" spans="1:16" ht="18.399999999999999" hidden="1" customHeight="1" thickBot="1" x14ac:dyDescent="0.25">
      <c r="A43" s="66"/>
      <c r="B43" s="69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39">
        <f t="shared" si="1"/>
        <v>0</v>
      </c>
      <c r="I43" s="71"/>
      <c r="J43" s="74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39">
        <f t="shared" si="2"/>
        <v>0</v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40">
        <f t="shared" si="1"/>
        <v>0</v>
      </c>
      <c r="I44" s="64">
        <v>46276</v>
      </c>
      <c r="J44" s="72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40">
        <f t="shared" si="2"/>
        <v>0</v>
      </c>
    </row>
    <row r="45" spans="1:16" ht="31.5" x14ac:dyDescent="0.2">
      <c r="A45" s="65"/>
      <c r="B45" s="68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38">
        <f t="shared" si="1"/>
        <v>0</v>
      </c>
      <c r="I45" s="70"/>
      <c r="J45" s="73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38">
        <f t="shared" si="2"/>
        <v>0</v>
      </c>
    </row>
    <row r="46" spans="1:16" ht="31.5" x14ac:dyDescent="0.2">
      <c r="A46" s="65"/>
      <c r="B46" s="68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38">
        <f t="shared" si="1"/>
        <v>0</v>
      </c>
      <c r="I46" s="70"/>
      <c r="J46" s="73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38">
        <f t="shared" si="2"/>
        <v>0</v>
      </c>
    </row>
    <row r="47" spans="1:16" ht="31.5" x14ac:dyDescent="0.2">
      <c r="A47" s="65"/>
      <c r="B47" s="68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38">
        <f t="shared" si="1"/>
        <v>0</v>
      </c>
      <c r="I47" s="70"/>
      <c r="J47" s="73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38">
        <f t="shared" si="2"/>
        <v>0</v>
      </c>
    </row>
    <row r="48" spans="1:16" ht="31.5" x14ac:dyDescent="0.2">
      <c r="A48" s="65"/>
      <c r="B48" s="68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38">
        <f t="shared" si="1"/>
        <v>0</v>
      </c>
      <c r="I48" s="70"/>
      <c r="J48" s="73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38">
        <f t="shared" si="2"/>
        <v>0</v>
      </c>
    </row>
    <row r="49" spans="1:16" ht="31.5" x14ac:dyDescent="0.2">
      <c r="A49" s="65"/>
      <c r="B49" s="68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38">
        <f t="shared" si="1"/>
        <v>0</v>
      </c>
      <c r="I49" s="70"/>
      <c r="J49" s="73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38">
        <f t="shared" si="2"/>
        <v>0</v>
      </c>
    </row>
    <row r="50" spans="1:16" ht="32.25" thickBot="1" x14ac:dyDescent="0.25">
      <c r="A50" s="65"/>
      <c r="B50" s="68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38">
        <f t="shared" si="1"/>
        <v>0</v>
      </c>
      <c r="I50" s="70"/>
      <c r="J50" s="73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38">
        <f t="shared" si="2"/>
        <v>0</v>
      </c>
    </row>
    <row r="51" spans="1:16" ht="18.399999999999999" hidden="1" customHeight="1" thickBot="1" x14ac:dyDescent="0.25">
      <c r="A51" s="66"/>
      <c r="B51" s="69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39">
        <f t="shared" si="1"/>
        <v>0</v>
      </c>
      <c r="I51" s="71"/>
      <c r="J51" s="74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39">
        <f t="shared" si="2"/>
        <v>0</v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40">
        <f t="shared" si="1"/>
        <v>0</v>
      </c>
      <c r="I52" s="64">
        <v>46277</v>
      </c>
      <c r="J52" s="72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40">
        <f t="shared" si="2"/>
        <v>0</v>
      </c>
    </row>
    <row r="53" spans="1:16" ht="31.5" x14ac:dyDescent="0.2">
      <c r="A53" s="65"/>
      <c r="B53" s="68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38">
        <f t="shared" si="1"/>
        <v>0</v>
      </c>
      <c r="I53" s="70"/>
      <c r="J53" s="73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38">
        <f t="shared" si="2"/>
        <v>0</v>
      </c>
    </row>
    <row r="54" spans="1:16" ht="31.5" x14ac:dyDescent="0.2">
      <c r="A54" s="65"/>
      <c r="B54" s="68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38">
        <f t="shared" si="1"/>
        <v>0</v>
      </c>
      <c r="I54" s="70"/>
      <c r="J54" s="73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38">
        <f t="shared" si="2"/>
        <v>0</v>
      </c>
    </row>
    <row r="55" spans="1:16" ht="31.5" x14ac:dyDescent="0.2">
      <c r="A55" s="65"/>
      <c r="B55" s="68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38">
        <f t="shared" si="1"/>
        <v>0</v>
      </c>
      <c r="I55" s="70"/>
      <c r="J55" s="73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38">
        <f t="shared" si="2"/>
        <v>0</v>
      </c>
    </row>
    <row r="56" spans="1:16" ht="31.5" x14ac:dyDescent="0.2">
      <c r="A56" s="65"/>
      <c r="B56" s="68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38">
        <f t="shared" si="1"/>
        <v>0</v>
      </c>
      <c r="I56" s="70"/>
      <c r="J56" s="73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38">
        <f t="shared" si="2"/>
        <v>0</v>
      </c>
    </row>
    <row r="57" spans="1:16" ht="31.5" x14ac:dyDescent="0.2">
      <c r="A57" s="65"/>
      <c r="B57" s="68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38">
        <f t="shared" si="1"/>
        <v>0</v>
      </c>
      <c r="I57" s="70"/>
      <c r="J57" s="73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38">
        <f t="shared" si="2"/>
        <v>0</v>
      </c>
    </row>
    <row r="58" spans="1:16" ht="32.25" thickBot="1" x14ac:dyDescent="0.25">
      <c r="A58" s="65"/>
      <c r="B58" s="68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38">
        <f t="shared" si="1"/>
        <v>0</v>
      </c>
      <c r="I58" s="70"/>
      <c r="J58" s="73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38">
        <f t="shared" si="2"/>
        <v>0</v>
      </c>
    </row>
    <row r="59" spans="1:16" ht="18.399999999999999" hidden="1" customHeight="1" thickBot="1" x14ac:dyDescent="0.25">
      <c r="A59" s="66"/>
      <c r="B59" s="69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39"/>
      <c r="I59" s="71"/>
      <c r="J59" s="7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87" t="s">
        <v>4</v>
      </c>
      <c r="C66" s="87"/>
      <c r="D66" s="87"/>
      <c r="E66" s="87"/>
      <c r="F66" s="87"/>
      <c r="G66" s="87"/>
      <c r="H66" s="87"/>
      <c r="I66" s="45"/>
      <c r="J66" s="87" t="s">
        <v>4</v>
      </c>
      <c r="K66" s="87"/>
      <c r="L66" s="87"/>
      <c r="M66" s="87"/>
      <c r="N66" s="87"/>
      <c r="O66" s="87"/>
      <c r="P66" s="87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75" x14ac:dyDescent="0.25">
      <c r="A68" s="45"/>
      <c r="B68" s="86" t="s">
        <v>5</v>
      </c>
      <c r="C68" s="86"/>
      <c r="D68" s="86"/>
      <c r="E68" s="86" t="str">
        <f>E8</f>
        <v>очная</v>
      </c>
      <c r="F68" s="86"/>
      <c r="G68" s="86"/>
      <c r="H68" s="86"/>
      <c r="I68" s="45"/>
      <c r="J68" s="86" t="s">
        <v>5</v>
      </c>
      <c r="K68" s="86"/>
      <c r="L68" s="86"/>
      <c r="M68" s="86" t="str">
        <f>E8</f>
        <v>очная</v>
      </c>
      <c r="N68" s="86"/>
      <c r="O68" s="86"/>
      <c r="P68" s="86"/>
    </row>
    <row r="69" spans="1:16" ht="15.75" x14ac:dyDescent="0.25">
      <c r="A69" s="45"/>
      <c r="B69" s="86" t="s">
        <v>7</v>
      </c>
      <c r="C69" s="86"/>
      <c r="D69" s="86"/>
      <c r="E69" s="62">
        <f>E9</f>
        <v>1</v>
      </c>
      <c r="F69" s="62"/>
      <c r="G69" s="62"/>
      <c r="H69" s="35"/>
      <c r="I69" s="45"/>
      <c r="J69" s="86" t="s">
        <v>7</v>
      </c>
      <c r="K69" s="86"/>
      <c r="L69" s="86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83" t="s">
        <v>8</v>
      </c>
      <c r="C70" s="83"/>
      <c r="D70" s="83"/>
      <c r="E70" s="63">
        <f>M10+1</f>
        <v>3</v>
      </c>
      <c r="F70" s="63"/>
      <c r="G70" s="63"/>
      <c r="H70" s="37"/>
      <c r="I70" s="45"/>
      <c r="J70" s="83" t="s">
        <v>8</v>
      </c>
      <c r="K70" s="83"/>
      <c r="L70" s="8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84" t="s">
        <v>9</v>
      </c>
      <c r="B71" s="85"/>
      <c r="C71" s="10" t="s">
        <v>10</v>
      </c>
      <c r="D71" s="11" t="s">
        <v>11</v>
      </c>
      <c r="E71" s="12" t="s">
        <v>12</v>
      </c>
      <c r="F71" s="81" t="s">
        <v>13</v>
      </c>
      <c r="G71" s="82"/>
      <c r="H71" s="13" t="s">
        <v>14</v>
      </c>
      <c r="I71" s="84" t="s">
        <v>9</v>
      </c>
      <c r="J71" s="85"/>
      <c r="K71" s="10" t="s">
        <v>10</v>
      </c>
      <c r="L71" s="11" t="s">
        <v>11</v>
      </c>
      <c r="M71" s="12" t="s">
        <v>12</v>
      </c>
      <c r="N71" s="81" t="s">
        <v>13</v>
      </c>
      <c r="O71" s="82"/>
      <c r="P71" s="13" t="s">
        <v>14</v>
      </c>
    </row>
    <row r="72" spans="1:16" ht="32.25" customHeight="1" thickTop="1" x14ac:dyDescent="0.2">
      <c r="A72" s="64">
        <v>46279</v>
      </c>
      <c r="B72" s="67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40">
        <f>VLOOKUP(E72,$R$12:$S$332,2,FALSE)</f>
        <v>0</v>
      </c>
      <c r="I72" s="64">
        <v>46286</v>
      </c>
      <c r="J72" s="72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40">
        <f>VLOOKUP(M72,$R$12:$S$332,2,FALSE)</f>
        <v>0</v>
      </c>
    </row>
    <row r="73" spans="1:16" ht="31.5" x14ac:dyDescent="0.2">
      <c r="A73" s="65"/>
      <c r="B73" s="68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38"/>
      <c r="I73" s="70"/>
      <c r="J73" s="73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38"/>
    </row>
    <row r="74" spans="1:16" ht="31.5" x14ac:dyDescent="0.2">
      <c r="A74" s="65"/>
      <c r="B74" s="68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38"/>
      <c r="I74" s="70"/>
      <c r="J74" s="73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38"/>
    </row>
    <row r="75" spans="1:16" ht="31.5" x14ac:dyDescent="0.2">
      <c r="A75" s="65"/>
      <c r="B75" s="68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38"/>
      <c r="I75" s="70"/>
      <c r="J75" s="73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38"/>
    </row>
    <row r="76" spans="1:16" ht="31.5" x14ac:dyDescent="0.2">
      <c r="A76" s="65"/>
      <c r="B76" s="68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38"/>
      <c r="I76" s="70"/>
      <c r="J76" s="73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38"/>
    </row>
    <row r="77" spans="1:16" ht="31.5" x14ac:dyDescent="0.2">
      <c r="A77" s="65"/>
      <c r="B77" s="68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34"/>
      <c r="I77" s="70"/>
      <c r="J77" s="73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34"/>
    </row>
    <row r="78" spans="1:16" ht="32.25" thickBot="1" x14ac:dyDescent="0.25">
      <c r="A78" s="65"/>
      <c r="B78" s="68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34"/>
      <c r="I78" s="70"/>
      <c r="J78" s="73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34"/>
    </row>
    <row r="79" spans="1:16" ht="18.399999999999999" hidden="1" customHeight="1" thickBot="1" x14ac:dyDescent="0.25">
      <c r="A79" s="66"/>
      <c r="B79" s="69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39"/>
      <c r="I79" s="71"/>
      <c r="J79" s="74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39"/>
    </row>
    <row r="80" spans="1:16" ht="32.25" customHeight="1" thickTop="1" x14ac:dyDescent="0.2">
      <c r="A80" s="64">
        <v>46280</v>
      </c>
      <c r="B80" s="67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40"/>
      <c r="I80" s="64">
        <v>46287</v>
      </c>
      <c r="J80" s="72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40"/>
    </row>
    <row r="81" spans="1:16" ht="31.5" x14ac:dyDescent="0.2">
      <c r="A81" s="65"/>
      <c r="B81" s="68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38"/>
      <c r="I81" s="70"/>
      <c r="J81" s="73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38"/>
    </row>
    <row r="82" spans="1:16" ht="31.5" x14ac:dyDescent="0.2">
      <c r="A82" s="65"/>
      <c r="B82" s="68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38"/>
      <c r="I82" s="70"/>
      <c r="J82" s="73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38"/>
    </row>
    <row r="83" spans="1:16" ht="31.5" x14ac:dyDescent="0.2">
      <c r="A83" s="65"/>
      <c r="B83" s="68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38"/>
      <c r="I83" s="70"/>
      <c r="J83" s="73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38"/>
    </row>
    <row r="84" spans="1:16" ht="31.5" x14ac:dyDescent="0.2">
      <c r="A84" s="65"/>
      <c r="B84" s="68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38"/>
      <c r="I84" s="70"/>
      <c r="J84" s="73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38"/>
    </row>
    <row r="85" spans="1:16" ht="31.5" x14ac:dyDescent="0.2">
      <c r="A85" s="65"/>
      <c r="B85" s="68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38"/>
      <c r="I85" s="70"/>
      <c r="J85" s="73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38"/>
    </row>
    <row r="86" spans="1:16" ht="32.25" thickBot="1" x14ac:dyDescent="0.25">
      <c r="A86" s="65"/>
      <c r="B86" s="68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38"/>
      <c r="I86" s="70"/>
      <c r="J86" s="73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38"/>
    </row>
    <row r="87" spans="1:16" ht="18.399999999999999" hidden="1" customHeight="1" thickBot="1" x14ac:dyDescent="0.25">
      <c r="A87" s="66"/>
      <c r="B87" s="69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39"/>
      <c r="I87" s="71"/>
      <c r="J87" s="74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39"/>
    </row>
    <row r="88" spans="1:16" ht="48" customHeight="1" thickTop="1" x14ac:dyDescent="0.2">
      <c r="A88" s="64">
        <v>46281</v>
      </c>
      <c r="B88" s="75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40"/>
      <c r="I88" s="64">
        <v>46288</v>
      </c>
      <c r="J88" s="78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40"/>
    </row>
    <row r="89" spans="1:16" ht="31.5" x14ac:dyDescent="0.2">
      <c r="A89" s="65"/>
      <c r="B89" s="76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38"/>
      <c r="I89" s="70"/>
      <c r="J89" s="79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38"/>
    </row>
    <row r="90" spans="1:16" ht="31.5" x14ac:dyDescent="0.2">
      <c r="A90" s="65"/>
      <c r="B90" s="76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38"/>
      <c r="I90" s="70"/>
      <c r="J90" s="79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38"/>
    </row>
    <row r="91" spans="1:16" ht="31.5" x14ac:dyDescent="0.2">
      <c r="A91" s="65"/>
      <c r="B91" s="76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38"/>
      <c r="I91" s="70"/>
      <c r="J91" s="79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38"/>
    </row>
    <row r="92" spans="1:16" ht="31.5" x14ac:dyDescent="0.2">
      <c r="A92" s="65"/>
      <c r="B92" s="76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38"/>
      <c r="I92" s="70"/>
      <c r="J92" s="79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38"/>
    </row>
    <row r="93" spans="1:16" ht="31.5" x14ac:dyDescent="0.2">
      <c r="A93" s="65"/>
      <c r="B93" s="76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34"/>
      <c r="I93" s="70"/>
      <c r="J93" s="79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34"/>
    </row>
    <row r="94" spans="1:16" ht="32.25" thickBot="1" x14ac:dyDescent="0.25">
      <c r="A94" s="65"/>
      <c r="B94" s="76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34"/>
      <c r="I94" s="70"/>
      <c r="J94" s="79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34"/>
    </row>
    <row r="95" spans="1:16" ht="18.399999999999999" hidden="1" customHeight="1" thickBot="1" x14ac:dyDescent="0.25">
      <c r="A95" s="66"/>
      <c r="B95" s="77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39"/>
      <c r="I95" s="71"/>
      <c r="J95" s="80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39"/>
    </row>
    <row r="96" spans="1:16" ht="48" customHeight="1" thickTop="1" x14ac:dyDescent="0.2">
      <c r="A96" s="64">
        <v>46282</v>
      </c>
      <c r="B96" s="67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40"/>
      <c r="I96" s="64">
        <v>46289</v>
      </c>
      <c r="J96" s="72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40"/>
    </row>
    <row r="97" spans="1:16" ht="31.5" x14ac:dyDescent="0.2">
      <c r="A97" s="65"/>
      <c r="B97" s="68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38"/>
      <c r="I97" s="70"/>
      <c r="J97" s="73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38"/>
    </row>
    <row r="98" spans="1:16" ht="31.5" x14ac:dyDescent="0.2">
      <c r="A98" s="65"/>
      <c r="B98" s="68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38"/>
      <c r="I98" s="70"/>
      <c r="J98" s="73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38"/>
    </row>
    <row r="99" spans="1:16" ht="31.5" x14ac:dyDescent="0.2">
      <c r="A99" s="65"/>
      <c r="B99" s="68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38"/>
      <c r="I99" s="70"/>
      <c r="J99" s="73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38"/>
    </row>
    <row r="100" spans="1:16" ht="31.5" x14ac:dyDescent="0.2">
      <c r="A100" s="65"/>
      <c r="B100" s="68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38"/>
      <c r="I100" s="70"/>
      <c r="J100" s="73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38"/>
    </row>
    <row r="101" spans="1:16" ht="31.5" x14ac:dyDescent="0.2">
      <c r="A101" s="65"/>
      <c r="B101" s="68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34"/>
      <c r="I101" s="70"/>
      <c r="J101" s="73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34"/>
    </row>
    <row r="102" spans="1:16" ht="32.25" thickBot="1" x14ac:dyDescent="0.25">
      <c r="A102" s="65"/>
      <c r="B102" s="68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34"/>
      <c r="I102" s="70"/>
      <c r="J102" s="73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34"/>
    </row>
    <row r="103" spans="1:16" ht="18.399999999999999" hidden="1" customHeight="1" thickBot="1" x14ac:dyDescent="0.25">
      <c r="A103" s="66"/>
      <c r="B103" s="69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39"/>
      <c r="I103" s="71"/>
      <c r="J103" s="74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39"/>
    </row>
    <row r="104" spans="1:16" ht="48" customHeight="1" thickTop="1" x14ac:dyDescent="0.2">
      <c r="A104" s="64">
        <v>46283</v>
      </c>
      <c r="B104" s="67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40"/>
      <c r="I104" s="64">
        <v>46290</v>
      </c>
      <c r="J104" s="72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40"/>
    </row>
    <row r="105" spans="1:16" ht="31.5" x14ac:dyDescent="0.2">
      <c r="A105" s="65"/>
      <c r="B105" s="68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38"/>
      <c r="I105" s="70"/>
      <c r="J105" s="73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38"/>
    </row>
    <row r="106" spans="1:16" ht="31.5" x14ac:dyDescent="0.2">
      <c r="A106" s="65"/>
      <c r="B106" s="68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38"/>
      <c r="I106" s="70"/>
      <c r="J106" s="73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38"/>
    </row>
    <row r="107" spans="1:16" ht="31.5" x14ac:dyDescent="0.2">
      <c r="A107" s="65"/>
      <c r="B107" s="68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38"/>
      <c r="I107" s="70"/>
      <c r="J107" s="73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38"/>
    </row>
    <row r="108" spans="1:16" ht="31.5" x14ac:dyDescent="0.2">
      <c r="A108" s="65"/>
      <c r="B108" s="68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38"/>
      <c r="I108" s="70"/>
      <c r="J108" s="73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38"/>
    </row>
    <row r="109" spans="1:16" ht="31.5" x14ac:dyDescent="0.2">
      <c r="A109" s="65"/>
      <c r="B109" s="68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38"/>
      <c r="I109" s="70"/>
      <c r="J109" s="73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38"/>
    </row>
    <row r="110" spans="1:16" ht="32.25" thickBot="1" x14ac:dyDescent="0.25">
      <c r="A110" s="65"/>
      <c r="B110" s="68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38"/>
      <c r="I110" s="70"/>
      <c r="J110" s="73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38"/>
    </row>
    <row r="111" spans="1:16" ht="18.399999999999999" hidden="1" customHeight="1" thickBot="1" x14ac:dyDescent="0.25">
      <c r="A111" s="66"/>
      <c r="B111" s="69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39"/>
      <c r="I111" s="71"/>
      <c r="J111" s="74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39"/>
    </row>
    <row r="112" spans="1:16" ht="48" customHeight="1" thickTop="1" x14ac:dyDescent="0.2">
      <c r="A112" s="64">
        <v>46284</v>
      </c>
      <c r="B112" s="67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40"/>
      <c r="I112" s="64">
        <v>46291</v>
      </c>
      <c r="J112" s="72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40"/>
    </row>
    <row r="113" spans="1:16" ht="31.5" x14ac:dyDescent="0.2">
      <c r="A113" s="65"/>
      <c r="B113" s="68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38"/>
      <c r="I113" s="70"/>
      <c r="J113" s="73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38"/>
    </row>
    <row r="114" spans="1:16" ht="31.5" x14ac:dyDescent="0.2">
      <c r="A114" s="65"/>
      <c r="B114" s="68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38"/>
      <c r="I114" s="70"/>
      <c r="J114" s="73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38"/>
    </row>
    <row r="115" spans="1:16" ht="31.5" x14ac:dyDescent="0.2">
      <c r="A115" s="65"/>
      <c r="B115" s="68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38"/>
      <c r="I115" s="70"/>
      <c r="J115" s="73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38"/>
    </row>
    <row r="116" spans="1:16" ht="31.5" x14ac:dyDescent="0.2">
      <c r="A116" s="65"/>
      <c r="B116" s="68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38"/>
      <c r="I116" s="70"/>
      <c r="J116" s="73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38"/>
    </row>
    <row r="117" spans="1:16" ht="31.5" x14ac:dyDescent="0.2">
      <c r="A117" s="65"/>
      <c r="B117" s="68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38"/>
      <c r="I117" s="70"/>
      <c r="J117" s="73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38"/>
    </row>
    <row r="118" spans="1:16" ht="32.25" thickBot="1" x14ac:dyDescent="0.25">
      <c r="A118" s="65"/>
      <c r="B118" s="68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38"/>
      <c r="I118" s="70"/>
      <c r="J118" s="73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38"/>
    </row>
    <row r="119" spans="1:16" ht="18.399999999999999" hidden="1" customHeight="1" thickBot="1" x14ac:dyDescent="0.25">
      <c r="A119" s="66"/>
      <c r="B119" s="69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1"/>
      <c r="J119" s="74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87" t="s">
        <v>4</v>
      </c>
      <c r="C126" s="87"/>
      <c r="D126" s="87"/>
      <c r="E126" s="87"/>
      <c r="F126" s="87"/>
      <c r="G126" s="87"/>
      <c r="H126" s="87"/>
      <c r="I126" s="45"/>
      <c r="J126" s="87" t="s">
        <v>4</v>
      </c>
      <c r="K126" s="87"/>
      <c r="L126" s="87"/>
      <c r="M126" s="87"/>
      <c r="N126" s="87"/>
      <c r="O126" s="87"/>
      <c r="P126" s="87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75" x14ac:dyDescent="0.25">
      <c r="A128" s="45"/>
      <c r="B128" s="86" t="s">
        <v>5</v>
      </c>
      <c r="C128" s="86"/>
      <c r="D128" s="86"/>
      <c r="E128" s="86" t="str">
        <f>E8</f>
        <v>очная</v>
      </c>
      <c r="F128" s="86"/>
      <c r="G128" s="86"/>
      <c r="H128" s="86"/>
      <c r="I128" s="45"/>
      <c r="J128" s="86" t="s">
        <v>5</v>
      </c>
      <c r="K128" s="86"/>
      <c r="L128" s="86"/>
      <c r="M128" s="86" t="str">
        <f t="shared" ref="M128" si="3">E8</f>
        <v>очная</v>
      </c>
      <c r="N128" s="86"/>
      <c r="O128" s="86"/>
      <c r="P128" s="86"/>
    </row>
    <row r="129" spans="1:16" ht="15.75" x14ac:dyDescent="0.25">
      <c r="A129" s="45"/>
      <c r="B129" s="86" t="s">
        <v>7</v>
      </c>
      <c r="C129" s="86"/>
      <c r="D129" s="86"/>
      <c r="E129" s="62">
        <f>E9</f>
        <v>1</v>
      </c>
      <c r="F129" s="62"/>
      <c r="G129" s="62"/>
      <c r="H129" s="35"/>
      <c r="I129" s="45"/>
      <c r="J129" s="86" t="s">
        <v>7</v>
      </c>
      <c r="K129" s="86"/>
      <c r="L129" s="86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83" t="s">
        <v>8</v>
      </c>
      <c r="C130" s="83"/>
      <c r="D130" s="83"/>
      <c r="E130" s="63">
        <f>M70+1</f>
        <v>5</v>
      </c>
      <c r="F130" s="63"/>
      <c r="G130" s="63"/>
      <c r="H130" s="37"/>
      <c r="I130" s="45"/>
      <c r="J130" s="83" t="s">
        <v>8</v>
      </c>
      <c r="K130" s="83"/>
      <c r="L130" s="8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84" t="s">
        <v>9</v>
      </c>
      <c r="B131" s="85"/>
      <c r="C131" s="10" t="s">
        <v>10</v>
      </c>
      <c r="D131" s="11" t="s">
        <v>11</v>
      </c>
      <c r="E131" s="12" t="s">
        <v>12</v>
      </c>
      <c r="F131" s="81" t="s">
        <v>13</v>
      </c>
      <c r="G131" s="82"/>
      <c r="H131" s="13" t="s">
        <v>14</v>
      </c>
      <c r="I131" s="84" t="s">
        <v>9</v>
      </c>
      <c r="J131" s="85"/>
      <c r="K131" s="10" t="s">
        <v>10</v>
      </c>
      <c r="L131" s="11" t="s">
        <v>11</v>
      </c>
      <c r="M131" s="12" t="s">
        <v>12</v>
      </c>
      <c r="N131" s="81" t="s">
        <v>13</v>
      </c>
      <c r="O131" s="82"/>
      <c r="P131" s="13" t="s">
        <v>14</v>
      </c>
    </row>
    <row r="132" spans="1:16" ht="32.25" customHeight="1" thickTop="1" x14ac:dyDescent="0.2">
      <c r="A132" s="64">
        <v>46293</v>
      </c>
      <c r="B132" s="67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40">
        <f>VLOOKUP(E132,$R$12:$S$332,2,FALSE)</f>
        <v>0</v>
      </c>
      <c r="I132" s="64">
        <v>46300</v>
      </c>
      <c r="J132" s="72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40">
        <f>VLOOKUP(M132,$R$12:$S$332,2,FALSE)</f>
        <v>0</v>
      </c>
    </row>
    <row r="133" spans="1:16" ht="31.5" x14ac:dyDescent="0.2">
      <c r="A133" s="65"/>
      <c r="B133" s="68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38"/>
      <c r="I133" s="70"/>
      <c r="J133" s="73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38"/>
    </row>
    <row r="134" spans="1:16" ht="31.5" x14ac:dyDescent="0.2">
      <c r="A134" s="65"/>
      <c r="B134" s="68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38"/>
      <c r="I134" s="70"/>
      <c r="J134" s="73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38"/>
    </row>
    <row r="135" spans="1:16" ht="31.5" x14ac:dyDescent="0.2">
      <c r="A135" s="65"/>
      <c r="B135" s="68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38"/>
      <c r="I135" s="70"/>
      <c r="J135" s="73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38"/>
    </row>
    <row r="136" spans="1:16" ht="31.5" x14ac:dyDescent="0.2">
      <c r="A136" s="65"/>
      <c r="B136" s="68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38"/>
      <c r="I136" s="70"/>
      <c r="J136" s="73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38"/>
    </row>
    <row r="137" spans="1:16" ht="31.5" x14ac:dyDescent="0.2">
      <c r="A137" s="65"/>
      <c r="B137" s="68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34"/>
      <c r="I137" s="70"/>
      <c r="J137" s="73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34"/>
    </row>
    <row r="138" spans="1:16" ht="32.25" thickBot="1" x14ac:dyDescent="0.25">
      <c r="A138" s="65"/>
      <c r="B138" s="68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34"/>
      <c r="I138" s="70"/>
      <c r="J138" s="73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34"/>
    </row>
    <row r="139" spans="1:16" ht="18.399999999999999" hidden="1" customHeight="1" thickBot="1" x14ac:dyDescent="0.25">
      <c r="A139" s="66"/>
      <c r="B139" s="69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39"/>
      <c r="I139" s="71"/>
      <c r="J139" s="74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39"/>
    </row>
    <row r="140" spans="1:16" ht="32.25" customHeight="1" thickTop="1" x14ac:dyDescent="0.2">
      <c r="A140" s="64">
        <v>46294</v>
      </c>
      <c r="B140" s="67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40"/>
      <c r="I140" s="64">
        <v>46301</v>
      </c>
      <c r="J140" s="72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40"/>
    </row>
    <row r="141" spans="1:16" ht="31.5" x14ac:dyDescent="0.2">
      <c r="A141" s="65"/>
      <c r="B141" s="68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38"/>
      <c r="I141" s="70"/>
      <c r="J141" s="73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38"/>
    </row>
    <row r="142" spans="1:16" ht="31.5" x14ac:dyDescent="0.2">
      <c r="A142" s="65"/>
      <c r="B142" s="68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38"/>
      <c r="I142" s="70"/>
      <c r="J142" s="73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38"/>
    </row>
    <row r="143" spans="1:16" ht="31.5" x14ac:dyDescent="0.2">
      <c r="A143" s="65"/>
      <c r="B143" s="68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38"/>
      <c r="I143" s="70"/>
      <c r="J143" s="73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38"/>
    </row>
    <row r="144" spans="1:16" ht="31.5" x14ac:dyDescent="0.2">
      <c r="A144" s="65"/>
      <c r="B144" s="68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38"/>
      <c r="I144" s="70"/>
      <c r="J144" s="73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38"/>
    </row>
    <row r="145" spans="1:16" ht="31.5" x14ac:dyDescent="0.2">
      <c r="A145" s="65"/>
      <c r="B145" s="68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38"/>
      <c r="I145" s="70"/>
      <c r="J145" s="73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38"/>
    </row>
    <row r="146" spans="1:16" ht="32.25" thickBot="1" x14ac:dyDescent="0.25">
      <c r="A146" s="65"/>
      <c r="B146" s="68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38"/>
      <c r="I146" s="70"/>
      <c r="J146" s="73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38"/>
    </row>
    <row r="147" spans="1:16" ht="18.399999999999999" hidden="1" customHeight="1" thickBot="1" x14ac:dyDescent="0.25">
      <c r="A147" s="66"/>
      <c r="B147" s="69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39"/>
      <c r="I147" s="71"/>
      <c r="J147" s="74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39"/>
    </row>
    <row r="148" spans="1:16" ht="48" customHeight="1" thickTop="1" x14ac:dyDescent="0.2">
      <c r="A148" s="64">
        <v>46295</v>
      </c>
      <c r="B148" s="75" t="s">
        <v>26</v>
      </c>
      <c r="C148" s="29" t="s">
        <v>18</v>
      </c>
      <c r="D148" s="16">
        <f>'[3]5нед'!C28</f>
        <v>0</v>
      </c>
      <c r="E148" s="88" t="s">
        <v>32</v>
      </c>
      <c r="F148" s="17">
        <f>'[3]5нед'!G28</f>
        <v>0</v>
      </c>
      <c r="G148" s="18" t="str">
        <f>'[3]5нед'!H28</f>
        <v/>
      </c>
      <c r="H148" s="40"/>
      <c r="I148" s="64">
        <v>46302</v>
      </c>
      <c r="J148" s="78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40"/>
    </row>
    <row r="149" spans="1:16" ht="31.5" x14ac:dyDescent="0.2">
      <c r="A149" s="65"/>
      <c r="B149" s="76"/>
      <c r="C149" s="14" t="s">
        <v>19</v>
      </c>
      <c r="D149" s="20">
        <f>'[3]5нед'!C29</f>
        <v>0</v>
      </c>
      <c r="E149" s="89"/>
      <c r="F149" s="21">
        <f>'[3]5нед'!G29</f>
        <v>0</v>
      </c>
      <c r="G149" s="22" t="str">
        <f>'[3]5нед'!H29</f>
        <v/>
      </c>
      <c r="H149" s="38"/>
      <c r="I149" s="70"/>
      <c r="J149" s="79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38"/>
    </row>
    <row r="150" spans="1:16" ht="31.5" x14ac:dyDescent="0.2">
      <c r="A150" s="65"/>
      <c r="B150" s="76"/>
      <c r="C150" s="14" t="s">
        <v>20</v>
      </c>
      <c r="D150" s="20">
        <f>'[3]5нед'!C30</f>
        <v>0</v>
      </c>
      <c r="E150" s="89"/>
      <c r="F150" s="21">
        <f>'[3]5нед'!G30</f>
        <v>0</v>
      </c>
      <c r="G150" s="22" t="str">
        <f>'[3]5нед'!H30</f>
        <v/>
      </c>
      <c r="H150" s="38"/>
      <c r="I150" s="70"/>
      <c r="J150" s="79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38"/>
    </row>
    <row r="151" spans="1:16" ht="31.5" x14ac:dyDescent="0.2">
      <c r="A151" s="65"/>
      <c r="B151" s="76"/>
      <c r="C151" s="14" t="s">
        <v>21</v>
      </c>
      <c r="D151" s="20">
        <f>'[3]5нед'!C31</f>
        <v>0</v>
      </c>
      <c r="E151" s="89"/>
      <c r="F151" s="21">
        <f>'[3]5нед'!G31</f>
        <v>0</v>
      </c>
      <c r="G151" s="22" t="str">
        <f>'[3]5нед'!H31</f>
        <v/>
      </c>
      <c r="H151" s="38"/>
      <c r="I151" s="70"/>
      <c r="J151" s="79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38"/>
    </row>
    <row r="152" spans="1:16" ht="31.5" x14ac:dyDescent="0.2">
      <c r="A152" s="65"/>
      <c r="B152" s="76"/>
      <c r="C152" s="14" t="s">
        <v>22</v>
      </c>
      <c r="D152" s="20">
        <f>'[3]5нед'!C32</f>
        <v>0</v>
      </c>
      <c r="E152" s="89"/>
      <c r="F152" s="21">
        <f>'[3]5нед'!G32</f>
        <v>0</v>
      </c>
      <c r="G152" s="22" t="str">
        <f>'[3]5нед'!H32</f>
        <v/>
      </c>
      <c r="H152" s="38"/>
      <c r="I152" s="70"/>
      <c r="J152" s="79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38"/>
    </row>
    <row r="153" spans="1:16" ht="31.5" x14ac:dyDescent="0.2">
      <c r="A153" s="65"/>
      <c r="B153" s="76"/>
      <c r="C153" s="14" t="s">
        <v>23</v>
      </c>
      <c r="D153" s="20">
        <f>'[3]5нед'!C33</f>
        <v>0</v>
      </c>
      <c r="E153" s="89"/>
      <c r="F153" s="21">
        <f>'[3]5нед'!G33</f>
        <v>0</v>
      </c>
      <c r="G153" s="22" t="str">
        <f>'[3]5нед'!H33</f>
        <v/>
      </c>
      <c r="H153" s="34"/>
      <c r="I153" s="70"/>
      <c r="J153" s="79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34"/>
    </row>
    <row r="154" spans="1:16" ht="32.25" thickBot="1" x14ac:dyDescent="0.25">
      <c r="A154" s="65"/>
      <c r="B154" s="76"/>
      <c r="C154" s="14" t="s">
        <v>24</v>
      </c>
      <c r="D154" s="20">
        <f>'[3]5нед'!C34</f>
        <v>0</v>
      </c>
      <c r="E154" s="90"/>
      <c r="F154" s="21">
        <f>'[3]5нед'!G34</f>
        <v>0</v>
      </c>
      <c r="G154" s="22" t="str">
        <f>'[3]5нед'!H34</f>
        <v/>
      </c>
      <c r="H154" s="34"/>
      <c r="I154" s="70"/>
      <c r="J154" s="79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34"/>
    </row>
    <row r="155" spans="1:16" ht="18.399999999999999" hidden="1" customHeight="1" thickBot="1" x14ac:dyDescent="0.25">
      <c r="A155" s="66"/>
      <c r="B155" s="77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39"/>
      <c r="I155" s="71"/>
      <c r="J155" s="80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39"/>
    </row>
    <row r="156" spans="1:16" ht="48" customHeight="1" thickTop="1" x14ac:dyDescent="0.2">
      <c r="A156" s="64">
        <v>46296</v>
      </c>
      <c r="B156" s="67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40"/>
      <c r="I156" s="64">
        <v>46303</v>
      </c>
      <c r="J156" s="72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40"/>
    </row>
    <row r="157" spans="1:16" ht="31.5" x14ac:dyDescent="0.2">
      <c r="A157" s="65"/>
      <c r="B157" s="68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38"/>
      <c r="I157" s="70"/>
      <c r="J157" s="73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38"/>
    </row>
    <row r="158" spans="1:16" ht="31.5" x14ac:dyDescent="0.2">
      <c r="A158" s="65"/>
      <c r="B158" s="68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38"/>
      <c r="I158" s="70"/>
      <c r="J158" s="73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38"/>
    </row>
    <row r="159" spans="1:16" ht="31.5" x14ac:dyDescent="0.2">
      <c r="A159" s="65"/>
      <c r="B159" s="68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38"/>
      <c r="I159" s="70"/>
      <c r="J159" s="73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38"/>
    </row>
    <row r="160" spans="1:16" ht="31.5" x14ac:dyDescent="0.2">
      <c r="A160" s="65"/>
      <c r="B160" s="68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38"/>
      <c r="I160" s="70"/>
      <c r="J160" s="73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38"/>
    </row>
    <row r="161" spans="1:16" ht="31.5" x14ac:dyDescent="0.2">
      <c r="A161" s="65"/>
      <c r="B161" s="68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34"/>
      <c r="I161" s="70"/>
      <c r="J161" s="73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34"/>
    </row>
    <row r="162" spans="1:16" ht="32.25" thickBot="1" x14ac:dyDescent="0.25">
      <c r="A162" s="65"/>
      <c r="B162" s="68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34"/>
      <c r="I162" s="70"/>
      <c r="J162" s="73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34"/>
    </row>
    <row r="163" spans="1:16" ht="18.399999999999999" hidden="1" customHeight="1" thickBot="1" x14ac:dyDescent="0.25">
      <c r="A163" s="66"/>
      <c r="B163" s="69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39"/>
      <c r="I163" s="71"/>
      <c r="J163" s="74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39"/>
    </row>
    <row r="164" spans="1:16" ht="48" customHeight="1" thickTop="1" x14ac:dyDescent="0.2">
      <c r="A164" s="64">
        <v>46297</v>
      </c>
      <c r="B164" s="67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40"/>
      <c r="I164" s="64">
        <v>46304</v>
      </c>
      <c r="J164" s="72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40"/>
    </row>
    <row r="165" spans="1:16" ht="31.5" x14ac:dyDescent="0.2">
      <c r="A165" s="65"/>
      <c r="B165" s="68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38"/>
      <c r="I165" s="70"/>
      <c r="J165" s="73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38"/>
    </row>
    <row r="166" spans="1:16" ht="31.5" x14ac:dyDescent="0.2">
      <c r="A166" s="65"/>
      <c r="B166" s="68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38"/>
      <c r="I166" s="70"/>
      <c r="J166" s="73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38"/>
    </row>
    <row r="167" spans="1:16" ht="31.5" x14ac:dyDescent="0.2">
      <c r="A167" s="65"/>
      <c r="B167" s="68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38"/>
      <c r="I167" s="70"/>
      <c r="J167" s="73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38"/>
    </row>
    <row r="168" spans="1:16" ht="31.5" x14ac:dyDescent="0.2">
      <c r="A168" s="65"/>
      <c r="B168" s="68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38"/>
      <c r="I168" s="70"/>
      <c r="J168" s="73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38"/>
    </row>
    <row r="169" spans="1:16" ht="31.5" x14ac:dyDescent="0.2">
      <c r="A169" s="65"/>
      <c r="B169" s="68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38"/>
      <c r="I169" s="70"/>
      <c r="J169" s="73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38"/>
    </row>
    <row r="170" spans="1:16" ht="32.25" thickBot="1" x14ac:dyDescent="0.25">
      <c r="A170" s="65"/>
      <c r="B170" s="68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38"/>
      <c r="I170" s="70"/>
      <c r="J170" s="73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38"/>
    </row>
    <row r="171" spans="1:16" ht="18.399999999999999" hidden="1" customHeight="1" thickBot="1" x14ac:dyDescent="0.25">
      <c r="A171" s="66"/>
      <c r="B171" s="69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39"/>
      <c r="I171" s="71"/>
      <c r="J171" s="74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39"/>
    </row>
    <row r="172" spans="1:16" ht="48" customHeight="1" thickTop="1" x14ac:dyDescent="0.2">
      <c r="A172" s="64">
        <v>46298</v>
      </c>
      <c r="B172" s="67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40"/>
      <c r="I172" s="64">
        <v>46305</v>
      </c>
      <c r="J172" s="72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40"/>
    </row>
    <row r="173" spans="1:16" ht="31.5" x14ac:dyDescent="0.2">
      <c r="A173" s="65"/>
      <c r="B173" s="68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38"/>
      <c r="I173" s="70"/>
      <c r="J173" s="73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38"/>
    </row>
    <row r="174" spans="1:16" ht="31.5" x14ac:dyDescent="0.2">
      <c r="A174" s="65"/>
      <c r="B174" s="68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38"/>
      <c r="I174" s="70"/>
      <c r="J174" s="73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38"/>
    </row>
    <row r="175" spans="1:16" ht="31.5" x14ac:dyDescent="0.2">
      <c r="A175" s="65"/>
      <c r="B175" s="68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38"/>
      <c r="I175" s="70"/>
      <c r="J175" s="73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38"/>
    </row>
    <row r="176" spans="1:16" ht="31.5" x14ac:dyDescent="0.2">
      <c r="A176" s="65"/>
      <c r="B176" s="68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38"/>
      <c r="I176" s="70"/>
      <c r="J176" s="73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38"/>
    </row>
    <row r="177" spans="1:16" ht="31.5" x14ac:dyDescent="0.2">
      <c r="A177" s="65"/>
      <c r="B177" s="68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38"/>
      <c r="I177" s="70"/>
      <c r="J177" s="73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38"/>
    </row>
    <row r="178" spans="1:16" ht="32.25" thickBot="1" x14ac:dyDescent="0.25">
      <c r="A178" s="65"/>
      <c r="B178" s="68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38"/>
      <c r="I178" s="70"/>
      <c r="J178" s="73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38"/>
    </row>
    <row r="179" spans="1:16" ht="18.399999999999999" hidden="1" customHeight="1" thickBot="1" x14ac:dyDescent="0.25">
      <c r="A179" s="66"/>
      <c r="B179" s="69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1"/>
      <c r="J179" s="74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87" t="s">
        <v>4</v>
      </c>
      <c r="C186" s="87"/>
      <c r="D186" s="87"/>
      <c r="E186" s="87"/>
      <c r="F186" s="87"/>
      <c r="G186" s="87"/>
      <c r="H186" s="87"/>
      <c r="I186" s="45"/>
      <c r="J186" s="87" t="s">
        <v>4</v>
      </c>
      <c r="K186" s="87"/>
      <c r="L186" s="87"/>
      <c r="M186" s="87"/>
      <c r="N186" s="87"/>
      <c r="O186" s="87"/>
      <c r="P186" s="87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75" x14ac:dyDescent="0.25">
      <c r="A188" s="45"/>
      <c r="B188" s="86" t="s">
        <v>5</v>
      </c>
      <c r="C188" s="86"/>
      <c r="D188" s="86"/>
      <c r="E188" s="86" t="str">
        <f>E8</f>
        <v>очная</v>
      </c>
      <c r="F188" s="86"/>
      <c r="G188" s="86"/>
      <c r="H188" s="86"/>
      <c r="I188" s="45"/>
      <c r="J188" s="86" t="s">
        <v>5</v>
      </c>
      <c r="K188" s="86"/>
      <c r="L188" s="86"/>
      <c r="M188" s="86" t="str">
        <f>E8</f>
        <v>очная</v>
      </c>
      <c r="N188" s="86"/>
      <c r="O188" s="86"/>
      <c r="P188" s="86"/>
    </row>
    <row r="189" spans="1:16" ht="15.75" x14ac:dyDescent="0.25">
      <c r="A189" s="45"/>
      <c r="B189" s="86" t="s">
        <v>7</v>
      </c>
      <c r="C189" s="86"/>
      <c r="D189" s="86"/>
      <c r="E189" s="62">
        <f>E9</f>
        <v>1</v>
      </c>
      <c r="F189" s="62"/>
      <c r="G189" s="62"/>
      <c r="H189" s="35"/>
      <c r="I189" s="45"/>
      <c r="J189" s="86" t="s">
        <v>7</v>
      </c>
      <c r="K189" s="86"/>
      <c r="L189" s="86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83" t="s">
        <v>8</v>
      </c>
      <c r="C190" s="83"/>
      <c r="D190" s="83"/>
      <c r="E190" s="63">
        <f>M130+1</f>
        <v>7</v>
      </c>
      <c r="F190" s="63"/>
      <c r="G190" s="63"/>
      <c r="H190" s="37"/>
      <c r="I190" s="45"/>
      <c r="J190" s="83" t="s">
        <v>8</v>
      </c>
      <c r="K190" s="83"/>
      <c r="L190" s="8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84" t="s">
        <v>9</v>
      </c>
      <c r="B191" s="85"/>
      <c r="C191" s="10" t="s">
        <v>10</v>
      </c>
      <c r="D191" s="11" t="s">
        <v>11</v>
      </c>
      <c r="E191" s="12" t="s">
        <v>12</v>
      </c>
      <c r="F191" s="81" t="s">
        <v>13</v>
      </c>
      <c r="G191" s="82"/>
      <c r="H191" s="13" t="s">
        <v>14</v>
      </c>
      <c r="I191" s="84" t="s">
        <v>9</v>
      </c>
      <c r="J191" s="85"/>
      <c r="K191" s="10" t="s">
        <v>10</v>
      </c>
      <c r="L191" s="11" t="s">
        <v>11</v>
      </c>
      <c r="M191" s="12" t="s">
        <v>12</v>
      </c>
      <c r="N191" s="81" t="s">
        <v>13</v>
      </c>
      <c r="O191" s="82"/>
      <c r="P191" s="13" t="s">
        <v>14</v>
      </c>
    </row>
    <row r="192" spans="1:16" ht="32.25" customHeight="1" thickTop="1" x14ac:dyDescent="0.2">
      <c r="A192" s="64">
        <v>46307</v>
      </c>
      <c r="B192" s="67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40">
        <f>VLOOKUP(E192,$R$12:$S$332,2,FALSE)</f>
        <v>0</v>
      </c>
      <c r="I192" s="64">
        <v>46314</v>
      </c>
      <c r="J192" s="72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40">
        <f>VLOOKUP(M192,$R$12:$S$332,2,FALSE)</f>
        <v>0</v>
      </c>
    </row>
    <row r="193" spans="1:16" ht="31.5" x14ac:dyDescent="0.2">
      <c r="A193" s="65"/>
      <c r="B193" s="68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38"/>
      <c r="I193" s="70"/>
      <c r="J193" s="73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38"/>
    </row>
    <row r="194" spans="1:16" ht="31.5" x14ac:dyDescent="0.2">
      <c r="A194" s="65"/>
      <c r="B194" s="68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38"/>
      <c r="I194" s="70"/>
      <c r="J194" s="73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38"/>
    </row>
    <row r="195" spans="1:16" ht="31.5" x14ac:dyDescent="0.2">
      <c r="A195" s="65"/>
      <c r="B195" s="68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38"/>
      <c r="I195" s="70"/>
      <c r="J195" s="73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38"/>
    </row>
    <row r="196" spans="1:16" ht="31.5" x14ac:dyDescent="0.2">
      <c r="A196" s="65"/>
      <c r="B196" s="68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38"/>
      <c r="I196" s="70"/>
      <c r="J196" s="73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38"/>
    </row>
    <row r="197" spans="1:16" ht="31.5" x14ac:dyDescent="0.2">
      <c r="A197" s="65"/>
      <c r="B197" s="68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34"/>
      <c r="I197" s="70"/>
      <c r="J197" s="73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34"/>
    </row>
    <row r="198" spans="1:16" ht="32.25" thickBot="1" x14ac:dyDescent="0.25">
      <c r="A198" s="65"/>
      <c r="B198" s="68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34"/>
      <c r="I198" s="70"/>
      <c r="J198" s="73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34"/>
    </row>
    <row r="199" spans="1:16" ht="18.399999999999999" hidden="1" customHeight="1" thickBot="1" x14ac:dyDescent="0.25">
      <c r="A199" s="66"/>
      <c r="B199" s="69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39"/>
      <c r="I199" s="71"/>
      <c r="J199" s="74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39"/>
    </row>
    <row r="200" spans="1:16" ht="32.25" customHeight="1" thickTop="1" x14ac:dyDescent="0.2">
      <c r="A200" s="64">
        <v>46308</v>
      </c>
      <c r="B200" s="67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40"/>
      <c r="I200" s="64">
        <v>46315</v>
      </c>
      <c r="J200" s="72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40"/>
    </row>
    <row r="201" spans="1:16" ht="31.5" x14ac:dyDescent="0.2">
      <c r="A201" s="65"/>
      <c r="B201" s="68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38"/>
      <c r="I201" s="70"/>
      <c r="J201" s="73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38"/>
    </row>
    <row r="202" spans="1:16" ht="31.5" x14ac:dyDescent="0.2">
      <c r="A202" s="65"/>
      <c r="B202" s="68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38"/>
      <c r="I202" s="70"/>
      <c r="J202" s="73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38"/>
    </row>
    <row r="203" spans="1:16" ht="31.5" x14ac:dyDescent="0.2">
      <c r="A203" s="65"/>
      <c r="B203" s="68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38"/>
      <c r="I203" s="70"/>
      <c r="J203" s="73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38"/>
    </row>
    <row r="204" spans="1:16" ht="31.5" x14ac:dyDescent="0.2">
      <c r="A204" s="65"/>
      <c r="B204" s="68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38"/>
      <c r="I204" s="70"/>
      <c r="J204" s="73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38"/>
    </row>
    <row r="205" spans="1:16" ht="31.5" x14ac:dyDescent="0.2">
      <c r="A205" s="65"/>
      <c r="B205" s="68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38"/>
      <c r="I205" s="70"/>
      <c r="J205" s="73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38"/>
    </row>
    <row r="206" spans="1:16" ht="32.25" thickBot="1" x14ac:dyDescent="0.25">
      <c r="A206" s="65"/>
      <c r="B206" s="68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38"/>
      <c r="I206" s="70"/>
      <c r="J206" s="73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38"/>
    </row>
    <row r="207" spans="1:16" ht="18.399999999999999" hidden="1" customHeight="1" thickBot="1" x14ac:dyDescent="0.25">
      <c r="A207" s="66"/>
      <c r="B207" s="69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39"/>
      <c r="I207" s="71"/>
      <c r="J207" s="74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39"/>
    </row>
    <row r="208" spans="1:16" ht="48" customHeight="1" thickTop="1" x14ac:dyDescent="0.2">
      <c r="A208" s="64">
        <v>46309</v>
      </c>
      <c r="B208" s="75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40"/>
      <c r="I208" s="64">
        <v>46316</v>
      </c>
      <c r="J208" s="78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40"/>
    </row>
    <row r="209" spans="1:16" ht="31.5" x14ac:dyDescent="0.2">
      <c r="A209" s="65"/>
      <c r="B209" s="76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38"/>
      <c r="I209" s="70"/>
      <c r="J209" s="79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38"/>
    </row>
    <row r="210" spans="1:16" ht="31.5" x14ac:dyDescent="0.2">
      <c r="A210" s="65"/>
      <c r="B210" s="76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38"/>
      <c r="I210" s="70"/>
      <c r="J210" s="79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38"/>
    </row>
    <row r="211" spans="1:16" ht="31.5" x14ac:dyDescent="0.2">
      <c r="A211" s="65"/>
      <c r="B211" s="76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38"/>
      <c r="I211" s="70"/>
      <c r="J211" s="79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38"/>
    </row>
    <row r="212" spans="1:16" ht="31.5" x14ac:dyDescent="0.2">
      <c r="A212" s="65"/>
      <c r="B212" s="76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38"/>
      <c r="I212" s="70"/>
      <c r="J212" s="79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38"/>
    </row>
    <row r="213" spans="1:16" ht="31.5" x14ac:dyDescent="0.2">
      <c r="A213" s="65"/>
      <c r="B213" s="76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34"/>
      <c r="I213" s="70"/>
      <c r="J213" s="79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34"/>
    </row>
    <row r="214" spans="1:16" ht="32.25" thickBot="1" x14ac:dyDescent="0.25">
      <c r="A214" s="65"/>
      <c r="B214" s="76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34"/>
      <c r="I214" s="70"/>
      <c r="J214" s="79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34"/>
    </row>
    <row r="215" spans="1:16" ht="18.399999999999999" hidden="1" customHeight="1" thickBot="1" x14ac:dyDescent="0.25">
      <c r="A215" s="66"/>
      <c r="B215" s="77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39"/>
      <c r="I215" s="71"/>
      <c r="J215" s="80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39"/>
    </row>
    <row r="216" spans="1:16" ht="48" customHeight="1" thickTop="1" x14ac:dyDescent="0.2">
      <c r="A216" s="64">
        <v>46310</v>
      </c>
      <c r="B216" s="67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40"/>
      <c r="I216" s="64">
        <v>46317</v>
      </c>
      <c r="J216" s="72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40"/>
    </row>
    <row r="217" spans="1:16" ht="31.5" x14ac:dyDescent="0.2">
      <c r="A217" s="65"/>
      <c r="B217" s="68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38"/>
      <c r="I217" s="70"/>
      <c r="J217" s="73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38"/>
    </row>
    <row r="218" spans="1:16" ht="31.5" x14ac:dyDescent="0.2">
      <c r="A218" s="65"/>
      <c r="B218" s="68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38"/>
      <c r="I218" s="70"/>
      <c r="J218" s="73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38"/>
    </row>
    <row r="219" spans="1:16" ht="31.5" x14ac:dyDescent="0.2">
      <c r="A219" s="65"/>
      <c r="B219" s="68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38"/>
      <c r="I219" s="70"/>
      <c r="J219" s="73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38"/>
    </row>
    <row r="220" spans="1:16" ht="31.5" x14ac:dyDescent="0.2">
      <c r="A220" s="65"/>
      <c r="B220" s="68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38"/>
      <c r="I220" s="70"/>
      <c r="J220" s="73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38"/>
    </row>
    <row r="221" spans="1:16" ht="31.5" x14ac:dyDescent="0.2">
      <c r="A221" s="65"/>
      <c r="B221" s="68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34"/>
      <c r="I221" s="70"/>
      <c r="J221" s="73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34"/>
    </row>
    <row r="222" spans="1:16" ht="32.25" thickBot="1" x14ac:dyDescent="0.25">
      <c r="A222" s="65"/>
      <c r="B222" s="68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34"/>
      <c r="I222" s="70"/>
      <c r="J222" s="73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34"/>
    </row>
    <row r="223" spans="1:16" ht="18.399999999999999" hidden="1" customHeight="1" thickBot="1" x14ac:dyDescent="0.25">
      <c r="A223" s="66"/>
      <c r="B223" s="69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39"/>
      <c r="I223" s="71"/>
      <c r="J223" s="74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39"/>
    </row>
    <row r="224" spans="1:16" ht="48" customHeight="1" thickTop="1" x14ac:dyDescent="0.2">
      <c r="A224" s="64">
        <v>46311</v>
      </c>
      <c r="B224" s="67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40"/>
      <c r="I224" s="64">
        <v>46318</v>
      </c>
      <c r="J224" s="72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40"/>
    </row>
    <row r="225" spans="1:16" ht="31.5" x14ac:dyDescent="0.2">
      <c r="A225" s="65"/>
      <c r="B225" s="68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38"/>
      <c r="I225" s="70"/>
      <c r="J225" s="73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38"/>
    </row>
    <row r="226" spans="1:16" ht="31.5" x14ac:dyDescent="0.2">
      <c r="A226" s="65"/>
      <c r="B226" s="68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38"/>
      <c r="I226" s="70"/>
      <c r="J226" s="73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38"/>
    </row>
    <row r="227" spans="1:16" ht="31.5" x14ac:dyDescent="0.2">
      <c r="A227" s="65"/>
      <c r="B227" s="68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38"/>
      <c r="I227" s="70"/>
      <c r="J227" s="73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38"/>
    </row>
    <row r="228" spans="1:16" ht="31.5" x14ac:dyDescent="0.2">
      <c r="A228" s="65"/>
      <c r="B228" s="68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38"/>
      <c r="I228" s="70"/>
      <c r="J228" s="73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38"/>
    </row>
    <row r="229" spans="1:16" ht="31.5" x14ac:dyDescent="0.2">
      <c r="A229" s="65"/>
      <c r="B229" s="68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38"/>
      <c r="I229" s="70"/>
      <c r="J229" s="73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38"/>
    </row>
    <row r="230" spans="1:16" ht="32.25" thickBot="1" x14ac:dyDescent="0.25">
      <c r="A230" s="65"/>
      <c r="B230" s="68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38"/>
      <c r="I230" s="70"/>
      <c r="J230" s="73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38"/>
    </row>
    <row r="231" spans="1:16" ht="18.399999999999999" hidden="1" customHeight="1" thickBot="1" x14ac:dyDescent="0.25">
      <c r="A231" s="66"/>
      <c r="B231" s="69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39"/>
      <c r="I231" s="71"/>
      <c r="J231" s="74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39"/>
    </row>
    <row r="232" spans="1:16" ht="48" customHeight="1" thickTop="1" x14ac:dyDescent="0.2">
      <c r="A232" s="64">
        <v>46312</v>
      </c>
      <c r="B232" s="67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40"/>
      <c r="I232" s="64">
        <v>46319</v>
      </c>
      <c r="J232" s="72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40"/>
    </row>
    <row r="233" spans="1:16" ht="31.5" x14ac:dyDescent="0.2">
      <c r="A233" s="65"/>
      <c r="B233" s="68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38"/>
      <c r="I233" s="70"/>
      <c r="J233" s="73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38"/>
    </row>
    <row r="234" spans="1:16" ht="31.5" x14ac:dyDescent="0.2">
      <c r="A234" s="65"/>
      <c r="B234" s="68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38"/>
      <c r="I234" s="70"/>
      <c r="J234" s="73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38"/>
    </row>
    <row r="235" spans="1:16" ht="31.5" x14ac:dyDescent="0.2">
      <c r="A235" s="65"/>
      <c r="B235" s="68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38"/>
      <c r="I235" s="70"/>
      <c r="J235" s="73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38"/>
    </row>
    <row r="236" spans="1:16" ht="31.5" x14ac:dyDescent="0.2">
      <c r="A236" s="65"/>
      <c r="B236" s="68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38"/>
      <c r="I236" s="70"/>
      <c r="J236" s="73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38"/>
    </row>
    <row r="237" spans="1:16" ht="31.5" x14ac:dyDescent="0.2">
      <c r="A237" s="65"/>
      <c r="B237" s="68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38"/>
      <c r="I237" s="70"/>
      <c r="J237" s="73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38"/>
    </row>
    <row r="238" spans="1:16" ht="32.25" thickBot="1" x14ac:dyDescent="0.25">
      <c r="A238" s="65"/>
      <c r="B238" s="68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38"/>
      <c r="I238" s="70"/>
      <c r="J238" s="73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38"/>
    </row>
    <row r="239" spans="1:16" ht="18.399999999999999" hidden="1" customHeight="1" thickBot="1" x14ac:dyDescent="0.25">
      <c r="A239" s="66"/>
      <c r="B239" s="69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1"/>
      <c r="J239" s="74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87" t="s">
        <v>4</v>
      </c>
      <c r="C246" s="87"/>
      <c r="D246" s="87"/>
      <c r="E246" s="87"/>
      <c r="F246" s="87"/>
      <c r="G246" s="87"/>
      <c r="H246" s="87"/>
      <c r="I246" s="45"/>
      <c r="J246" s="87" t="s">
        <v>4</v>
      </c>
      <c r="K246" s="87"/>
      <c r="L246" s="87"/>
      <c r="M246" s="87"/>
      <c r="N246" s="87"/>
      <c r="O246" s="87"/>
      <c r="P246" s="87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75" x14ac:dyDescent="0.25">
      <c r="A248" s="45"/>
      <c r="B248" s="86" t="s">
        <v>5</v>
      </c>
      <c r="C248" s="86"/>
      <c r="D248" s="86"/>
      <c r="E248" s="86" t="str">
        <f t="shared" ref="E248" si="4">E8</f>
        <v>очная</v>
      </c>
      <c r="F248" s="86"/>
      <c r="G248" s="86"/>
      <c r="H248" s="86"/>
      <c r="I248" s="45"/>
      <c r="J248" s="86" t="s">
        <v>5</v>
      </c>
      <c r="K248" s="86"/>
      <c r="L248" s="86"/>
      <c r="M248" s="86" t="str">
        <f t="shared" ref="M248" si="5">E8</f>
        <v>очная</v>
      </c>
      <c r="N248" s="86"/>
      <c r="O248" s="86"/>
      <c r="P248" s="86"/>
    </row>
    <row r="249" spans="1:16" ht="15.75" x14ac:dyDescent="0.25">
      <c r="A249" s="45"/>
      <c r="B249" s="86" t="s">
        <v>7</v>
      </c>
      <c r="C249" s="86"/>
      <c r="D249" s="86"/>
      <c r="E249" s="62">
        <f>E9</f>
        <v>1</v>
      </c>
      <c r="F249" s="62"/>
      <c r="G249" s="62"/>
      <c r="H249" s="35"/>
      <c r="I249" s="45"/>
      <c r="J249" s="86" t="s">
        <v>7</v>
      </c>
      <c r="K249" s="86"/>
      <c r="L249" s="86"/>
      <c r="M249" s="62">
        <f>E9</f>
        <v>1</v>
      </c>
      <c r="N249" s="62"/>
      <c r="O249" s="62"/>
      <c r="P249" s="35"/>
    </row>
    <row r="250" spans="1:16" ht="16.5" thickBot="1" x14ac:dyDescent="0.3">
      <c r="A250" s="45"/>
      <c r="B250" s="83" t="s">
        <v>8</v>
      </c>
      <c r="C250" s="83"/>
      <c r="D250" s="83"/>
      <c r="E250" s="63">
        <f>M190+1</f>
        <v>9</v>
      </c>
      <c r="F250" s="63"/>
      <c r="G250" s="63"/>
      <c r="H250" s="37"/>
      <c r="I250" s="45"/>
      <c r="J250" s="83" t="s">
        <v>8</v>
      </c>
      <c r="K250" s="83"/>
      <c r="L250" s="8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84" t="s">
        <v>9</v>
      </c>
      <c r="B251" s="85"/>
      <c r="C251" s="10" t="s">
        <v>10</v>
      </c>
      <c r="D251" s="11" t="s">
        <v>11</v>
      </c>
      <c r="E251" s="12" t="s">
        <v>12</v>
      </c>
      <c r="F251" s="81" t="s">
        <v>13</v>
      </c>
      <c r="G251" s="82"/>
      <c r="H251" s="13" t="s">
        <v>14</v>
      </c>
      <c r="I251" s="84" t="s">
        <v>9</v>
      </c>
      <c r="J251" s="85"/>
      <c r="K251" s="10" t="s">
        <v>10</v>
      </c>
      <c r="L251" s="11" t="s">
        <v>11</v>
      </c>
      <c r="M251" s="12" t="s">
        <v>12</v>
      </c>
      <c r="N251" s="81" t="s">
        <v>13</v>
      </c>
      <c r="O251" s="82"/>
      <c r="P251" s="13" t="s">
        <v>14</v>
      </c>
    </row>
    <row r="252" spans="1:16" ht="32.25" customHeight="1" thickTop="1" x14ac:dyDescent="0.2">
      <c r="A252" s="64">
        <v>46321</v>
      </c>
      <c r="B252" s="67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40">
        <f>VLOOKUP(E252,$R$12:$S$332,2,FALSE)</f>
        <v>0</v>
      </c>
      <c r="I252" s="64">
        <v>46328</v>
      </c>
      <c r="J252" s="72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40">
        <f>VLOOKUP(M252,$R$12:$S$332,2,FALSE)</f>
        <v>0</v>
      </c>
    </row>
    <row r="253" spans="1:16" ht="31.5" x14ac:dyDescent="0.2">
      <c r="A253" s="65"/>
      <c r="B253" s="68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38"/>
      <c r="I253" s="70"/>
      <c r="J253" s="73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38"/>
    </row>
    <row r="254" spans="1:16" ht="31.5" x14ac:dyDescent="0.2">
      <c r="A254" s="65"/>
      <c r="B254" s="68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38"/>
      <c r="I254" s="70"/>
      <c r="J254" s="73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38"/>
    </row>
    <row r="255" spans="1:16" ht="31.5" x14ac:dyDescent="0.2">
      <c r="A255" s="65"/>
      <c r="B255" s="68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38"/>
      <c r="I255" s="70"/>
      <c r="J255" s="73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38"/>
    </row>
    <row r="256" spans="1:16" ht="31.5" x14ac:dyDescent="0.2">
      <c r="A256" s="65"/>
      <c r="B256" s="68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38"/>
      <c r="I256" s="70"/>
      <c r="J256" s="73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38"/>
    </row>
    <row r="257" spans="1:16" ht="31.5" x14ac:dyDescent="0.2">
      <c r="A257" s="65"/>
      <c r="B257" s="68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34"/>
      <c r="I257" s="70"/>
      <c r="J257" s="73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34"/>
    </row>
    <row r="258" spans="1:16" ht="32.25" thickBot="1" x14ac:dyDescent="0.25">
      <c r="A258" s="65"/>
      <c r="B258" s="68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34"/>
      <c r="I258" s="70"/>
      <c r="J258" s="73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34"/>
    </row>
    <row r="259" spans="1:16" ht="18.399999999999999" hidden="1" customHeight="1" thickBot="1" x14ac:dyDescent="0.25">
      <c r="A259" s="66"/>
      <c r="B259" s="69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39"/>
      <c r="I259" s="71"/>
      <c r="J259" s="74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39"/>
    </row>
    <row r="260" spans="1:16" ht="32.25" customHeight="1" thickTop="1" x14ac:dyDescent="0.2">
      <c r="A260" s="64">
        <v>46322</v>
      </c>
      <c r="B260" s="67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40"/>
      <c r="I260" s="64">
        <v>46329</v>
      </c>
      <c r="J260" s="72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40"/>
    </row>
    <row r="261" spans="1:16" ht="31.5" x14ac:dyDescent="0.2">
      <c r="A261" s="65"/>
      <c r="B261" s="68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38"/>
      <c r="I261" s="70"/>
      <c r="J261" s="73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38"/>
    </row>
    <row r="262" spans="1:16" ht="31.5" x14ac:dyDescent="0.2">
      <c r="A262" s="65"/>
      <c r="B262" s="68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38"/>
      <c r="I262" s="70"/>
      <c r="J262" s="73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38"/>
    </row>
    <row r="263" spans="1:16" ht="31.5" x14ac:dyDescent="0.2">
      <c r="A263" s="65"/>
      <c r="B263" s="68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38"/>
      <c r="I263" s="70"/>
      <c r="J263" s="73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38"/>
    </row>
    <row r="264" spans="1:16" ht="31.5" x14ac:dyDescent="0.2">
      <c r="A264" s="65"/>
      <c r="B264" s="68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38"/>
      <c r="I264" s="70"/>
      <c r="J264" s="73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38"/>
    </row>
    <row r="265" spans="1:16" ht="31.5" x14ac:dyDescent="0.2">
      <c r="A265" s="65"/>
      <c r="B265" s="68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38"/>
      <c r="I265" s="70"/>
      <c r="J265" s="73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38"/>
    </row>
    <row r="266" spans="1:16" ht="32.25" thickBot="1" x14ac:dyDescent="0.25">
      <c r="A266" s="65"/>
      <c r="B266" s="68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38"/>
      <c r="I266" s="70"/>
      <c r="J266" s="73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38"/>
    </row>
    <row r="267" spans="1:16" ht="18.399999999999999" hidden="1" customHeight="1" thickBot="1" x14ac:dyDescent="0.25">
      <c r="A267" s="66"/>
      <c r="B267" s="69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39"/>
      <c r="I267" s="71"/>
      <c r="J267" s="74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39"/>
    </row>
    <row r="268" spans="1:16" ht="48" customHeight="1" thickTop="1" x14ac:dyDescent="0.2">
      <c r="A268" s="64">
        <v>46323</v>
      </c>
      <c r="B268" s="75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40"/>
      <c r="I268" s="64">
        <v>46330</v>
      </c>
      <c r="J268" s="78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40"/>
    </row>
    <row r="269" spans="1:16" ht="31.5" x14ac:dyDescent="0.2">
      <c r="A269" s="65"/>
      <c r="B269" s="76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38"/>
      <c r="I269" s="70"/>
      <c r="J269" s="79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38"/>
    </row>
    <row r="270" spans="1:16" ht="31.5" x14ac:dyDescent="0.2">
      <c r="A270" s="65"/>
      <c r="B270" s="76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38"/>
      <c r="I270" s="70"/>
      <c r="J270" s="79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38"/>
    </row>
    <row r="271" spans="1:16" ht="31.5" x14ac:dyDescent="0.2">
      <c r="A271" s="65"/>
      <c r="B271" s="76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38"/>
      <c r="I271" s="70"/>
      <c r="J271" s="79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38"/>
    </row>
    <row r="272" spans="1:16" ht="31.5" x14ac:dyDescent="0.2">
      <c r="A272" s="65"/>
      <c r="B272" s="76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38"/>
      <c r="I272" s="70"/>
      <c r="J272" s="79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38"/>
    </row>
    <row r="273" spans="1:16" ht="31.5" x14ac:dyDescent="0.2">
      <c r="A273" s="65"/>
      <c r="B273" s="76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34"/>
      <c r="I273" s="70"/>
      <c r="J273" s="79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34"/>
    </row>
    <row r="274" spans="1:16" ht="32.25" thickBot="1" x14ac:dyDescent="0.25">
      <c r="A274" s="65"/>
      <c r="B274" s="76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34"/>
      <c r="I274" s="70"/>
      <c r="J274" s="79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34"/>
    </row>
    <row r="275" spans="1:16" ht="18.399999999999999" hidden="1" customHeight="1" thickBot="1" x14ac:dyDescent="0.25">
      <c r="A275" s="66"/>
      <c r="B275" s="77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39"/>
      <c r="I275" s="71"/>
      <c r="J275" s="80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39"/>
    </row>
    <row r="276" spans="1:16" ht="48" customHeight="1" thickTop="1" x14ac:dyDescent="0.2">
      <c r="A276" s="64">
        <v>46324</v>
      </c>
      <c r="B276" s="67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40"/>
      <c r="I276" s="64">
        <v>46331</v>
      </c>
      <c r="J276" s="72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40"/>
    </row>
    <row r="277" spans="1:16" ht="31.5" x14ac:dyDescent="0.2">
      <c r="A277" s="65"/>
      <c r="B277" s="68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38"/>
      <c r="I277" s="70"/>
      <c r="J277" s="73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38"/>
    </row>
    <row r="278" spans="1:16" ht="31.5" x14ac:dyDescent="0.2">
      <c r="A278" s="65"/>
      <c r="B278" s="68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38"/>
      <c r="I278" s="70"/>
      <c r="J278" s="73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38"/>
    </row>
    <row r="279" spans="1:16" ht="31.5" x14ac:dyDescent="0.2">
      <c r="A279" s="65"/>
      <c r="B279" s="68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38"/>
      <c r="I279" s="70"/>
      <c r="J279" s="73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38"/>
    </row>
    <row r="280" spans="1:16" ht="31.5" x14ac:dyDescent="0.2">
      <c r="A280" s="65"/>
      <c r="B280" s="68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38"/>
      <c r="I280" s="70"/>
      <c r="J280" s="73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38"/>
    </row>
    <row r="281" spans="1:16" ht="31.5" x14ac:dyDescent="0.2">
      <c r="A281" s="65"/>
      <c r="B281" s="68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34"/>
      <c r="I281" s="70"/>
      <c r="J281" s="73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34"/>
    </row>
    <row r="282" spans="1:16" ht="32.25" thickBot="1" x14ac:dyDescent="0.25">
      <c r="A282" s="65"/>
      <c r="B282" s="68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34"/>
      <c r="I282" s="70"/>
      <c r="J282" s="73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34"/>
    </row>
    <row r="283" spans="1:16" ht="18.399999999999999" hidden="1" customHeight="1" thickBot="1" x14ac:dyDescent="0.25">
      <c r="A283" s="66"/>
      <c r="B283" s="69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39"/>
      <c r="I283" s="71"/>
      <c r="J283" s="74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39"/>
    </row>
    <row r="284" spans="1:16" ht="48" customHeight="1" thickTop="1" x14ac:dyDescent="0.2">
      <c r="A284" s="64">
        <v>46325</v>
      </c>
      <c r="B284" s="67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40"/>
      <c r="I284" s="64">
        <v>46332</v>
      </c>
      <c r="J284" s="72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40"/>
    </row>
    <row r="285" spans="1:16" ht="31.5" x14ac:dyDescent="0.2">
      <c r="A285" s="65"/>
      <c r="B285" s="68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38"/>
      <c r="I285" s="70"/>
      <c r="J285" s="73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38"/>
    </row>
    <row r="286" spans="1:16" ht="31.5" x14ac:dyDescent="0.2">
      <c r="A286" s="65"/>
      <c r="B286" s="68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38"/>
      <c r="I286" s="70"/>
      <c r="J286" s="73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38"/>
    </row>
    <row r="287" spans="1:16" ht="31.5" x14ac:dyDescent="0.2">
      <c r="A287" s="65"/>
      <c r="B287" s="68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38"/>
      <c r="I287" s="70"/>
      <c r="J287" s="73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38"/>
    </row>
    <row r="288" spans="1:16" ht="31.5" x14ac:dyDescent="0.2">
      <c r="A288" s="65"/>
      <c r="B288" s="68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38"/>
      <c r="I288" s="70"/>
      <c r="J288" s="73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38"/>
    </row>
    <row r="289" spans="1:16" ht="31.5" x14ac:dyDescent="0.2">
      <c r="A289" s="65"/>
      <c r="B289" s="68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38"/>
      <c r="I289" s="70"/>
      <c r="J289" s="73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38"/>
    </row>
    <row r="290" spans="1:16" ht="32.25" thickBot="1" x14ac:dyDescent="0.25">
      <c r="A290" s="65"/>
      <c r="B290" s="68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38"/>
      <c r="I290" s="70"/>
      <c r="J290" s="73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38"/>
    </row>
    <row r="291" spans="1:16" ht="18.399999999999999" hidden="1" customHeight="1" thickBot="1" x14ac:dyDescent="0.25">
      <c r="A291" s="66"/>
      <c r="B291" s="69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39"/>
      <c r="I291" s="71"/>
      <c r="J291" s="74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39"/>
    </row>
    <row r="292" spans="1:16" ht="48" customHeight="1" thickTop="1" x14ac:dyDescent="0.2">
      <c r="A292" s="64">
        <v>46326</v>
      </c>
      <c r="B292" s="67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40"/>
      <c r="I292" s="64">
        <v>46333</v>
      </c>
      <c r="J292" s="72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40"/>
    </row>
    <row r="293" spans="1:16" ht="31.5" x14ac:dyDescent="0.2">
      <c r="A293" s="65"/>
      <c r="B293" s="68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38"/>
      <c r="I293" s="70"/>
      <c r="J293" s="73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38"/>
    </row>
    <row r="294" spans="1:16" ht="31.5" x14ac:dyDescent="0.2">
      <c r="A294" s="65"/>
      <c r="B294" s="68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38"/>
      <c r="I294" s="70"/>
      <c r="J294" s="73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38"/>
    </row>
    <row r="295" spans="1:16" ht="31.5" x14ac:dyDescent="0.2">
      <c r="A295" s="65"/>
      <c r="B295" s="68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38"/>
      <c r="I295" s="70"/>
      <c r="J295" s="73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38"/>
    </row>
    <row r="296" spans="1:16" ht="31.5" x14ac:dyDescent="0.2">
      <c r="A296" s="65"/>
      <c r="B296" s="68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38"/>
      <c r="I296" s="70"/>
      <c r="J296" s="73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38"/>
    </row>
    <row r="297" spans="1:16" ht="31.5" x14ac:dyDescent="0.2">
      <c r="A297" s="65"/>
      <c r="B297" s="68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38"/>
      <c r="I297" s="70"/>
      <c r="J297" s="73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38"/>
    </row>
    <row r="298" spans="1:16" ht="32.25" thickBot="1" x14ac:dyDescent="0.25">
      <c r="A298" s="65"/>
      <c r="B298" s="68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38"/>
      <c r="I298" s="70"/>
      <c r="J298" s="73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38"/>
    </row>
    <row r="299" spans="1:16" ht="18.399999999999999" hidden="1" customHeight="1" thickBot="1" x14ac:dyDescent="0.25">
      <c r="A299" s="66"/>
      <c r="B299" s="69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1"/>
      <c r="J299" s="74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87" t="s">
        <v>4</v>
      </c>
      <c r="C306" s="87"/>
      <c r="D306" s="87"/>
      <c r="E306" s="87"/>
      <c r="F306" s="87"/>
      <c r="G306" s="87"/>
      <c r="H306" s="87"/>
      <c r="I306" s="45"/>
      <c r="J306" s="87" t="s">
        <v>4</v>
      </c>
      <c r="K306" s="87"/>
      <c r="L306" s="87"/>
      <c r="M306" s="87"/>
      <c r="N306" s="87"/>
      <c r="O306" s="87"/>
      <c r="P306" s="87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75" x14ac:dyDescent="0.25">
      <c r="A308" s="45"/>
      <c r="B308" s="86" t="s">
        <v>5</v>
      </c>
      <c r="C308" s="86"/>
      <c r="D308" s="86"/>
      <c r="E308" s="86" t="str">
        <f>E8</f>
        <v>очная</v>
      </c>
      <c r="F308" s="86"/>
      <c r="G308" s="86"/>
      <c r="H308" s="86"/>
      <c r="I308" s="45"/>
      <c r="J308" s="86" t="s">
        <v>5</v>
      </c>
      <c r="K308" s="86"/>
      <c r="L308" s="86"/>
      <c r="M308" s="86" t="str">
        <f>E8</f>
        <v>очная</v>
      </c>
      <c r="N308" s="86"/>
      <c r="O308" s="86"/>
      <c r="P308" s="86"/>
    </row>
    <row r="309" spans="1:16" ht="15.75" x14ac:dyDescent="0.25">
      <c r="A309" s="45"/>
      <c r="B309" s="86" t="s">
        <v>7</v>
      </c>
      <c r="C309" s="86"/>
      <c r="D309" s="86"/>
      <c r="E309" s="62">
        <f>E9</f>
        <v>1</v>
      </c>
      <c r="F309" s="62"/>
      <c r="G309" s="62"/>
      <c r="H309" s="35"/>
      <c r="I309" s="45"/>
      <c r="J309" s="86" t="s">
        <v>7</v>
      </c>
      <c r="K309" s="86"/>
      <c r="L309" s="86"/>
      <c r="M309" s="62">
        <f>E9</f>
        <v>1</v>
      </c>
      <c r="N309" s="62"/>
      <c r="O309" s="62"/>
      <c r="P309" s="35"/>
    </row>
    <row r="310" spans="1:16" ht="16.5" thickBot="1" x14ac:dyDescent="0.3">
      <c r="A310" s="45"/>
      <c r="B310" s="83" t="s">
        <v>8</v>
      </c>
      <c r="C310" s="83"/>
      <c r="D310" s="83"/>
      <c r="E310" s="63">
        <f>M250+1</f>
        <v>11</v>
      </c>
      <c r="F310" s="63"/>
      <c r="G310" s="63"/>
      <c r="H310" s="37"/>
      <c r="I310" s="45"/>
      <c r="J310" s="83" t="s">
        <v>8</v>
      </c>
      <c r="K310" s="83"/>
      <c r="L310" s="8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84" t="s">
        <v>9</v>
      </c>
      <c r="B311" s="85"/>
      <c r="C311" s="10" t="s">
        <v>10</v>
      </c>
      <c r="D311" s="11" t="s">
        <v>11</v>
      </c>
      <c r="E311" s="12" t="s">
        <v>12</v>
      </c>
      <c r="F311" s="81" t="s">
        <v>13</v>
      </c>
      <c r="G311" s="82"/>
      <c r="H311" s="13" t="s">
        <v>14</v>
      </c>
      <c r="I311" s="84" t="s">
        <v>9</v>
      </c>
      <c r="J311" s="85"/>
      <c r="K311" s="10" t="s">
        <v>10</v>
      </c>
      <c r="L311" s="11" t="s">
        <v>11</v>
      </c>
      <c r="M311" s="12" t="s">
        <v>12</v>
      </c>
      <c r="N311" s="81" t="s">
        <v>13</v>
      </c>
      <c r="O311" s="82"/>
      <c r="P311" s="13" t="s">
        <v>14</v>
      </c>
    </row>
    <row r="312" spans="1:16" ht="32.25" customHeight="1" thickTop="1" x14ac:dyDescent="0.2">
      <c r="A312" s="64">
        <v>46335</v>
      </c>
      <c r="B312" s="67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40">
        <f>VLOOKUP(E312,$R$12:$S$332,2,FALSE)</f>
        <v>0</v>
      </c>
      <c r="I312" s="64">
        <v>46342</v>
      </c>
      <c r="J312" s="72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40">
        <f>VLOOKUP(M312,$R$12:$S$332,2,FALSE)</f>
        <v>0</v>
      </c>
    </row>
    <row r="313" spans="1:16" ht="31.5" x14ac:dyDescent="0.2">
      <c r="A313" s="65"/>
      <c r="B313" s="68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38"/>
      <c r="I313" s="70"/>
      <c r="J313" s="73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38"/>
    </row>
    <row r="314" spans="1:16" ht="31.5" x14ac:dyDescent="0.2">
      <c r="A314" s="65"/>
      <c r="B314" s="68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38"/>
      <c r="I314" s="70"/>
      <c r="J314" s="73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38"/>
    </row>
    <row r="315" spans="1:16" ht="31.5" x14ac:dyDescent="0.2">
      <c r="A315" s="65"/>
      <c r="B315" s="68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38"/>
      <c r="I315" s="70"/>
      <c r="J315" s="73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38"/>
    </row>
    <row r="316" spans="1:16" ht="31.5" x14ac:dyDescent="0.2">
      <c r="A316" s="65"/>
      <c r="B316" s="68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38"/>
      <c r="I316" s="70"/>
      <c r="J316" s="73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38"/>
    </row>
    <row r="317" spans="1:16" ht="31.5" x14ac:dyDescent="0.2">
      <c r="A317" s="65"/>
      <c r="B317" s="68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34"/>
      <c r="I317" s="70"/>
      <c r="J317" s="73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34"/>
    </row>
    <row r="318" spans="1:16" ht="32.25" thickBot="1" x14ac:dyDescent="0.25">
      <c r="A318" s="65"/>
      <c r="B318" s="68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34"/>
      <c r="I318" s="70"/>
      <c r="J318" s="73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34"/>
    </row>
    <row r="319" spans="1:16" ht="18.600000000000001" hidden="1" customHeight="1" thickBot="1" x14ac:dyDescent="0.25">
      <c r="A319" s="66"/>
      <c r="B319" s="69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39"/>
      <c r="I319" s="71"/>
      <c r="J319" s="74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39"/>
    </row>
    <row r="320" spans="1:16" ht="32.25" customHeight="1" thickTop="1" x14ac:dyDescent="0.2">
      <c r="A320" s="64">
        <v>46336</v>
      </c>
      <c r="B320" s="67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40"/>
      <c r="I320" s="64">
        <v>46343</v>
      </c>
      <c r="J320" s="72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40"/>
    </row>
    <row r="321" spans="1:16" ht="31.5" x14ac:dyDescent="0.2">
      <c r="A321" s="65"/>
      <c r="B321" s="68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38"/>
      <c r="I321" s="70"/>
      <c r="J321" s="73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38"/>
    </row>
    <row r="322" spans="1:16" ht="31.5" x14ac:dyDescent="0.2">
      <c r="A322" s="65"/>
      <c r="B322" s="68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38"/>
      <c r="I322" s="70"/>
      <c r="J322" s="73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38"/>
    </row>
    <row r="323" spans="1:16" ht="31.5" x14ac:dyDescent="0.2">
      <c r="A323" s="65"/>
      <c r="B323" s="68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38"/>
      <c r="I323" s="70"/>
      <c r="J323" s="73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38"/>
    </row>
    <row r="324" spans="1:16" ht="31.5" x14ac:dyDescent="0.2">
      <c r="A324" s="65"/>
      <c r="B324" s="68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38"/>
      <c r="I324" s="70"/>
      <c r="J324" s="73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38"/>
    </row>
    <row r="325" spans="1:16" ht="31.5" x14ac:dyDescent="0.2">
      <c r="A325" s="65"/>
      <c r="B325" s="68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38"/>
      <c r="I325" s="70"/>
      <c r="J325" s="73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38"/>
    </row>
    <row r="326" spans="1:16" ht="32.25" thickBot="1" x14ac:dyDescent="0.25">
      <c r="A326" s="65"/>
      <c r="B326" s="68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38"/>
      <c r="I326" s="70"/>
      <c r="J326" s="73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38"/>
    </row>
    <row r="327" spans="1:16" ht="18.600000000000001" hidden="1" customHeight="1" thickBot="1" x14ac:dyDescent="0.25">
      <c r="A327" s="66"/>
      <c r="B327" s="69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39"/>
      <c r="I327" s="71"/>
      <c r="J327" s="74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39"/>
    </row>
    <row r="328" spans="1:16" ht="48" customHeight="1" thickTop="1" x14ac:dyDescent="0.2">
      <c r="A328" s="64">
        <v>46337</v>
      </c>
      <c r="B328" s="75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40"/>
      <c r="I328" s="64">
        <v>46344</v>
      </c>
      <c r="J328" s="78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40"/>
    </row>
    <row r="329" spans="1:16" ht="31.5" x14ac:dyDescent="0.2">
      <c r="A329" s="65"/>
      <c r="B329" s="76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38"/>
      <c r="I329" s="70"/>
      <c r="J329" s="79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38"/>
    </row>
    <row r="330" spans="1:16" ht="31.5" x14ac:dyDescent="0.2">
      <c r="A330" s="65"/>
      <c r="B330" s="76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38"/>
      <c r="I330" s="70"/>
      <c r="J330" s="79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38"/>
    </row>
    <row r="331" spans="1:16" ht="31.5" x14ac:dyDescent="0.2">
      <c r="A331" s="65"/>
      <c r="B331" s="76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38"/>
      <c r="I331" s="70"/>
      <c r="J331" s="79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38"/>
    </row>
    <row r="332" spans="1:16" ht="31.5" x14ac:dyDescent="0.2">
      <c r="A332" s="65"/>
      <c r="B332" s="76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38"/>
      <c r="I332" s="70"/>
      <c r="J332" s="79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38"/>
    </row>
    <row r="333" spans="1:16" ht="31.5" x14ac:dyDescent="0.2">
      <c r="A333" s="65"/>
      <c r="B333" s="76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34"/>
      <c r="I333" s="70"/>
      <c r="J333" s="79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34"/>
    </row>
    <row r="334" spans="1:16" ht="32.25" thickBot="1" x14ac:dyDescent="0.25">
      <c r="A334" s="65"/>
      <c r="B334" s="76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34"/>
      <c r="I334" s="70"/>
      <c r="J334" s="79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34"/>
    </row>
    <row r="335" spans="1:16" ht="18.600000000000001" hidden="1" customHeight="1" thickBot="1" x14ac:dyDescent="0.25">
      <c r="A335" s="66"/>
      <c r="B335" s="77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39"/>
      <c r="I335" s="71"/>
      <c r="J335" s="80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39"/>
    </row>
    <row r="336" spans="1:16" ht="48" customHeight="1" thickTop="1" x14ac:dyDescent="0.2">
      <c r="A336" s="64">
        <v>46338</v>
      </c>
      <c r="B336" s="67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40"/>
      <c r="I336" s="64">
        <v>46345</v>
      </c>
      <c r="J336" s="72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40"/>
    </row>
    <row r="337" spans="1:16" ht="31.5" x14ac:dyDescent="0.2">
      <c r="A337" s="65"/>
      <c r="B337" s="68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38"/>
      <c r="I337" s="70"/>
      <c r="J337" s="73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38"/>
    </row>
    <row r="338" spans="1:16" ht="31.5" x14ac:dyDescent="0.2">
      <c r="A338" s="65"/>
      <c r="B338" s="68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38"/>
      <c r="I338" s="70"/>
      <c r="J338" s="73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38"/>
    </row>
    <row r="339" spans="1:16" ht="31.5" x14ac:dyDescent="0.2">
      <c r="A339" s="65"/>
      <c r="B339" s="68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38"/>
      <c r="I339" s="70"/>
      <c r="J339" s="73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38"/>
    </row>
    <row r="340" spans="1:16" ht="31.5" x14ac:dyDescent="0.2">
      <c r="A340" s="65"/>
      <c r="B340" s="68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38"/>
      <c r="I340" s="70"/>
      <c r="J340" s="73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38"/>
    </row>
    <row r="341" spans="1:16" ht="31.5" x14ac:dyDescent="0.2">
      <c r="A341" s="65"/>
      <c r="B341" s="68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34"/>
      <c r="I341" s="70"/>
      <c r="J341" s="73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34"/>
    </row>
    <row r="342" spans="1:16" ht="32.25" thickBot="1" x14ac:dyDescent="0.25">
      <c r="A342" s="65"/>
      <c r="B342" s="68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34"/>
      <c r="I342" s="70"/>
      <c r="J342" s="73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34"/>
    </row>
    <row r="343" spans="1:16" ht="18.600000000000001" hidden="1" customHeight="1" thickBot="1" x14ac:dyDescent="0.25">
      <c r="A343" s="66"/>
      <c r="B343" s="69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39"/>
      <c r="I343" s="71"/>
      <c r="J343" s="74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39"/>
    </row>
    <row r="344" spans="1:16" ht="48" customHeight="1" thickTop="1" x14ac:dyDescent="0.2">
      <c r="A344" s="64">
        <v>46339</v>
      </c>
      <c r="B344" s="67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40"/>
      <c r="I344" s="64">
        <v>46346</v>
      </c>
      <c r="J344" s="72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40"/>
    </row>
    <row r="345" spans="1:16" ht="31.5" x14ac:dyDescent="0.2">
      <c r="A345" s="65"/>
      <c r="B345" s="68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38"/>
      <c r="I345" s="70"/>
      <c r="J345" s="73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38"/>
    </row>
    <row r="346" spans="1:16" ht="31.5" x14ac:dyDescent="0.2">
      <c r="A346" s="65"/>
      <c r="B346" s="68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38"/>
      <c r="I346" s="70"/>
      <c r="J346" s="73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38"/>
    </row>
    <row r="347" spans="1:16" ht="31.5" x14ac:dyDescent="0.2">
      <c r="A347" s="65"/>
      <c r="B347" s="68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38"/>
      <c r="I347" s="70"/>
      <c r="J347" s="73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38"/>
    </row>
    <row r="348" spans="1:16" ht="31.5" x14ac:dyDescent="0.2">
      <c r="A348" s="65"/>
      <c r="B348" s="68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38"/>
      <c r="I348" s="70"/>
      <c r="J348" s="73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38"/>
    </row>
    <row r="349" spans="1:16" ht="31.5" x14ac:dyDescent="0.2">
      <c r="A349" s="65"/>
      <c r="B349" s="68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38"/>
      <c r="I349" s="70"/>
      <c r="J349" s="73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38"/>
    </row>
    <row r="350" spans="1:16" ht="32.25" thickBot="1" x14ac:dyDescent="0.25">
      <c r="A350" s="65"/>
      <c r="B350" s="68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38"/>
      <c r="I350" s="70"/>
      <c r="J350" s="73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38"/>
    </row>
    <row r="351" spans="1:16" ht="18.600000000000001" hidden="1" customHeight="1" thickBot="1" x14ac:dyDescent="0.25">
      <c r="A351" s="66"/>
      <c r="B351" s="69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39"/>
      <c r="I351" s="71"/>
      <c r="J351" s="74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39"/>
    </row>
    <row r="352" spans="1:16" ht="48" customHeight="1" thickTop="1" x14ac:dyDescent="0.2">
      <c r="A352" s="64">
        <v>46340</v>
      </c>
      <c r="B352" s="67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40"/>
      <c r="I352" s="64">
        <v>46347</v>
      </c>
      <c r="J352" s="72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40"/>
    </row>
    <row r="353" spans="1:16" ht="31.5" x14ac:dyDescent="0.2">
      <c r="A353" s="65"/>
      <c r="B353" s="68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38"/>
      <c r="I353" s="70"/>
      <c r="J353" s="73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38"/>
    </row>
    <row r="354" spans="1:16" ht="31.5" x14ac:dyDescent="0.2">
      <c r="A354" s="65"/>
      <c r="B354" s="68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38"/>
      <c r="I354" s="70"/>
      <c r="J354" s="73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38"/>
    </row>
    <row r="355" spans="1:16" ht="31.5" x14ac:dyDescent="0.2">
      <c r="A355" s="65"/>
      <c r="B355" s="68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38"/>
      <c r="I355" s="70"/>
      <c r="J355" s="73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38"/>
    </row>
    <row r="356" spans="1:16" ht="31.5" x14ac:dyDescent="0.2">
      <c r="A356" s="65"/>
      <c r="B356" s="68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38"/>
      <c r="I356" s="70"/>
      <c r="J356" s="73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38"/>
    </row>
    <row r="357" spans="1:16" ht="31.5" x14ac:dyDescent="0.2">
      <c r="A357" s="65"/>
      <c r="B357" s="68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38"/>
      <c r="I357" s="70"/>
      <c r="J357" s="73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38"/>
    </row>
    <row r="358" spans="1:16" ht="32.25" thickBot="1" x14ac:dyDescent="0.25">
      <c r="A358" s="65"/>
      <c r="B358" s="68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38"/>
      <c r="I358" s="70"/>
      <c r="J358" s="73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38"/>
    </row>
    <row r="359" spans="1:16" ht="18.600000000000001" hidden="1" customHeight="1" thickBot="1" x14ac:dyDescent="0.25">
      <c r="A359" s="66"/>
      <c r="B359" s="69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1"/>
      <c r="J359" s="74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87" t="s">
        <v>4</v>
      </c>
      <c r="C366" s="87"/>
      <c r="D366" s="87"/>
      <c r="E366" s="87"/>
      <c r="F366" s="87"/>
      <c r="G366" s="87"/>
      <c r="H366" s="87"/>
      <c r="I366" s="45"/>
      <c r="J366" s="87" t="s">
        <v>4</v>
      </c>
      <c r="K366" s="87"/>
      <c r="L366" s="87"/>
      <c r="M366" s="87"/>
      <c r="N366" s="87"/>
      <c r="O366" s="87"/>
      <c r="P366" s="87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75" x14ac:dyDescent="0.25">
      <c r="A368" s="45"/>
      <c r="B368" s="86" t="s">
        <v>5</v>
      </c>
      <c r="C368" s="86"/>
      <c r="D368" s="86"/>
      <c r="E368" s="86" t="str">
        <f t="shared" ref="E368" si="6">E8</f>
        <v>очная</v>
      </c>
      <c r="F368" s="86"/>
      <c r="G368" s="86"/>
      <c r="H368" s="86"/>
      <c r="I368" s="45"/>
      <c r="J368" s="86" t="s">
        <v>5</v>
      </c>
      <c r="K368" s="86"/>
      <c r="L368" s="86"/>
      <c r="M368" s="86" t="str">
        <f t="shared" ref="M368" si="7">E8</f>
        <v>очная</v>
      </c>
      <c r="N368" s="86"/>
      <c r="O368" s="86"/>
      <c r="P368" s="86"/>
    </row>
    <row r="369" spans="1:16" ht="15.75" x14ac:dyDescent="0.25">
      <c r="A369" s="45"/>
      <c r="B369" s="86" t="s">
        <v>7</v>
      </c>
      <c r="C369" s="86"/>
      <c r="D369" s="86"/>
      <c r="E369" s="62">
        <f>E9</f>
        <v>1</v>
      </c>
      <c r="F369" s="62"/>
      <c r="G369" s="62"/>
      <c r="H369" s="35"/>
      <c r="I369" s="45"/>
      <c r="J369" s="86" t="s">
        <v>7</v>
      </c>
      <c r="K369" s="86"/>
      <c r="L369" s="86"/>
      <c r="M369" s="62">
        <f>E9</f>
        <v>1</v>
      </c>
      <c r="N369" s="62"/>
      <c r="O369" s="62"/>
      <c r="P369" s="35"/>
    </row>
    <row r="370" spans="1:16" ht="16.5" thickBot="1" x14ac:dyDescent="0.3">
      <c r="A370" s="45"/>
      <c r="B370" s="83" t="s">
        <v>8</v>
      </c>
      <c r="C370" s="83"/>
      <c r="D370" s="83"/>
      <c r="E370" s="63">
        <f>M310+1</f>
        <v>13</v>
      </c>
      <c r="F370" s="63"/>
      <c r="G370" s="63"/>
      <c r="H370" s="37"/>
      <c r="I370" s="45"/>
      <c r="J370" s="83" t="s">
        <v>8</v>
      </c>
      <c r="K370" s="83"/>
      <c r="L370" s="8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84" t="s">
        <v>9</v>
      </c>
      <c r="B371" s="85"/>
      <c r="C371" s="10" t="s">
        <v>10</v>
      </c>
      <c r="D371" s="11" t="s">
        <v>11</v>
      </c>
      <c r="E371" s="12" t="s">
        <v>12</v>
      </c>
      <c r="F371" s="81" t="s">
        <v>13</v>
      </c>
      <c r="G371" s="82"/>
      <c r="H371" s="13" t="s">
        <v>14</v>
      </c>
      <c r="I371" s="84" t="s">
        <v>9</v>
      </c>
      <c r="J371" s="85"/>
      <c r="K371" s="10" t="s">
        <v>10</v>
      </c>
      <c r="L371" s="11" t="s">
        <v>11</v>
      </c>
      <c r="M371" s="12" t="s">
        <v>12</v>
      </c>
      <c r="N371" s="81" t="s">
        <v>13</v>
      </c>
      <c r="O371" s="82"/>
      <c r="P371" s="13" t="s">
        <v>14</v>
      </c>
    </row>
    <row r="372" spans="1:16" ht="32.25" customHeight="1" thickTop="1" x14ac:dyDescent="0.2">
      <c r="A372" s="64">
        <v>46349</v>
      </c>
      <c r="B372" s="67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40">
        <f>VLOOKUP(E372,$R$12:$S$332,2,FALSE)</f>
        <v>0</v>
      </c>
      <c r="I372" s="64">
        <v>46356</v>
      </c>
      <c r="J372" s="72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40">
        <f>VLOOKUP(M372,$R$12:$S$332,2,FALSE)</f>
        <v>0</v>
      </c>
    </row>
    <row r="373" spans="1:16" ht="31.5" x14ac:dyDescent="0.2">
      <c r="A373" s="65"/>
      <c r="B373" s="68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38"/>
      <c r="I373" s="70"/>
      <c r="J373" s="73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38"/>
    </row>
    <row r="374" spans="1:16" ht="31.5" x14ac:dyDescent="0.2">
      <c r="A374" s="65"/>
      <c r="B374" s="68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38"/>
      <c r="I374" s="70"/>
      <c r="J374" s="73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38"/>
    </row>
    <row r="375" spans="1:16" ht="31.5" x14ac:dyDescent="0.2">
      <c r="A375" s="65"/>
      <c r="B375" s="68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38"/>
      <c r="I375" s="70"/>
      <c r="J375" s="73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38"/>
    </row>
    <row r="376" spans="1:16" ht="31.5" x14ac:dyDescent="0.2">
      <c r="A376" s="65"/>
      <c r="B376" s="68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38"/>
      <c r="I376" s="70"/>
      <c r="J376" s="73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38"/>
    </row>
    <row r="377" spans="1:16" ht="31.5" x14ac:dyDescent="0.2">
      <c r="A377" s="65"/>
      <c r="B377" s="68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34"/>
      <c r="I377" s="70"/>
      <c r="J377" s="73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34"/>
    </row>
    <row r="378" spans="1:16" ht="32.25" thickBot="1" x14ac:dyDescent="0.25">
      <c r="A378" s="65"/>
      <c r="B378" s="68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34"/>
      <c r="I378" s="70"/>
      <c r="J378" s="73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34"/>
    </row>
    <row r="379" spans="1:16" ht="18.399999999999999" hidden="1" customHeight="1" thickBot="1" x14ac:dyDescent="0.25">
      <c r="A379" s="66"/>
      <c r="B379" s="69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39"/>
      <c r="I379" s="71"/>
      <c r="J379" s="74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39"/>
    </row>
    <row r="380" spans="1:16" ht="32.25" customHeight="1" thickTop="1" x14ac:dyDescent="0.2">
      <c r="A380" s="64">
        <v>46350</v>
      </c>
      <c r="B380" s="67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40"/>
      <c r="I380" s="64">
        <v>46357</v>
      </c>
      <c r="J380" s="72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40"/>
    </row>
    <row r="381" spans="1:16" ht="31.5" x14ac:dyDescent="0.2">
      <c r="A381" s="65"/>
      <c r="B381" s="68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38"/>
      <c r="I381" s="70"/>
      <c r="J381" s="73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38"/>
    </row>
    <row r="382" spans="1:16" ht="31.5" x14ac:dyDescent="0.2">
      <c r="A382" s="65"/>
      <c r="B382" s="68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38"/>
      <c r="I382" s="70"/>
      <c r="J382" s="73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38"/>
    </row>
    <row r="383" spans="1:16" ht="31.5" x14ac:dyDescent="0.2">
      <c r="A383" s="65"/>
      <c r="B383" s="68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38"/>
      <c r="I383" s="70"/>
      <c r="J383" s="73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38"/>
    </row>
    <row r="384" spans="1:16" ht="31.5" x14ac:dyDescent="0.2">
      <c r="A384" s="65"/>
      <c r="B384" s="68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38"/>
      <c r="I384" s="70"/>
      <c r="J384" s="73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38"/>
    </row>
    <row r="385" spans="1:16" ht="31.5" x14ac:dyDescent="0.2">
      <c r="A385" s="65"/>
      <c r="B385" s="68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38"/>
      <c r="I385" s="70"/>
      <c r="J385" s="73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38"/>
    </row>
    <row r="386" spans="1:16" ht="32.25" thickBot="1" x14ac:dyDescent="0.25">
      <c r="A386" s="65"/>
      <c r="B386" s="68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38"/>
      <c r="I386" s="70"/>
      <c r="J386" s="73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38"/>
    </row>
    <row r="387" spans="1:16" ht="18.399999999999999" hidden="1" customHeight="1" thickBot="1" x14ac:dyDescent="0.25">
      <c r="A387" s="66"/>
      <c r="B387" s="69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39"/>
      <c r="I387" s="71"/>
      <c r="J387" s="74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39"/>
    </row>
    <row r="388" spans="1:16" ht="48" customHeight="1" thickTop="1" x14ac:dyDescent="0.2">
      <c r="A388" s="64">
        <v>46351</v>
      </c>
      <c r="B388" s="75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40"/>
      <c r="I388" s="64">
        <v>46358</v>
      </c>
      <c r="J388" s="78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40"/>
    </row>
    <row r="389" spans="1:16" ht="31.5" x14ac:dyDescent="0.2">
      <c r="A389" s="65"/>
      <c r="B389" s="76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38"/>
      <c r="I389" s="70"/>
      <c r="J389" s="79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38"/>
    </row>
    <row r="390" spans="1:16" ht="31.5" x14ac:dyDescent="0.2">
      <c r="A390" s="65"/>
      <c r="B390" s="76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38"/>
      <c r="I390" s="70"/>
      <c r="J390" s="79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38"/>
    </row>
    <row r="391" spans="1:16" ht="31.5" x14ac:dyDescent="0.2">
      <c r="A391" s="65"/>
      <c r="B391" s="76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38"/>
      <c r="I391" s="70"/>
      <c r="J391" s="79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38"/>
    </row>
    <row r="392" spans="1:16" ht="31.5" x14ac:dyDescent="0.2">
      <c r="A392" s="65"/>
      <c r="B392" s="76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38"/>
      <c r="I392" s="70"/>
      <c r="J392" s="79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38"/>
    </row>
    <row r="393" spans="1:16" ht="31.5" x14ac:dyDescent="0.2">
      <c r="A393" s="65"/>
      <c r="B393" s="76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34"/>
      <c r="I393" s="70"/>
      <c r="J393" s="79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34"/>
    </row>
    <row r="394" spans="1:16" ht="32.25" thickBot="1" x14ac:dyDescent="0.25">
      <c r="A394" s="65"/>
      <c r="B394" s="76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34"/>
      <c r="I394" s="70"/>
      <c r="J394" s="79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34"/>
    </row>
    <row r="395" spans="1:16" ht="18.399999999999999" hidden="1" customHeight="1" thickBot="1" x14ac:dyDescent="0.25">
      <c r="A395" s="66"/>
      <c r="B395" s="77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39"/>
      <c r="I395" s="71"/>
      <c r="J395" s="80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39"/>
    </row>
    <row r="396" spans="1:16" ht="48" customHeight="1" thickTop="1" x14ac:dyDescent="0.2">
      <c r="A396" s="64">
        <v>46352</v>
      </c>
      <c r="B396" s="67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40"/>
      <c r="I396" s="64">
        <v>46359</v>
      </c>
      <c r="J396" s="72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40"/>
    </row>
    <row r="397" spans="1:16" ht="31.5" x14ac:dyDescent="0.2">
      <c r="A397" s="65"/>
      <c r="B397" s="68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38"/>
      <c r="I397" s="70"/>
      <c r="J397" s="73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38"/>
    </row>
    <row r="398" spans="1:16" ht="31.5" x14ac:dyDescent="0.2">
      <c r="A398" s="65"/>
      <c r="B398" s="68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38"/>
      <c r="I398" s="70"/>
      <c r="J398" s="73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38"/>
    </row>
    <row r="399" spans="1:16" ht="31.5" x14ac:dyDescent="0.2">
      <c r="A399" s="65"/>
      <c r="B399" s="68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38"/>
      <c r="I399" s="70"/>
      <c r="J399" s="73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38"/>
    </row>
    <row r="400" spans="1:16" ht="31.5" x14ac:dyDescent="0.2">
      <c r="A400" s="65"/>
      <c r="B400" s="68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38"/>
      <c r="I400" s="70"/>
      <c r="J400" s="73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38"/>
    </row>
    <row r="401" spans="1:16" ht="31.5" x14ac:dyDescent="0.2">
      <c r="A401" s="65"/>
      <c r="B401" s="68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34"/>
      <c r="I401" s="70"/>
      <c r="J401" s="73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34"/>
    </row>
    <row r="402" spans="1:16" ht="32.25" thickBot="1" x14ac:dyDescent="0.25">
      <c r="A402" s="65"/>
      <c r="B402" s="68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34"/>
      <c r="I402" s="70"/>
      <c r="J402" s="73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34"/>
    </row>
    <row r="403" spans="1:16" ht="18.399999999999999" hidden="1" customHeight="1" thickBot="1" x14ac:dyDescent="0.25">
      <c r="A403" s="66"/>
      <c r="B403" s="69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39"/>
      <c r="I403" s="71"/>
      <c r="J403" s="74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39"/>
    </row>
    <row r="404" spans="1:16" ht="48" customHeight="1" thickTop="1" x14ac:dyDescent="0.2">
      <c r="A404" s="64">
        <v>46353</v>
      </c>
      <c r="B404" s="67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40"/>
      <c r="I404" s="64">
        <v>46360</v>
      </c>
      <c r="J404" s="72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40"/>
    </row>
    <row r="405" spans="1:16" ht="31.5" x14ac:dyDescent="0.2">
      <c r="A405" s="65"/>
      <c r="B405" s="68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38"/>
      <c r="I405" s="70"/>
      <c r="J405" s="73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38"/>
    </row>
    <row r="406" spans="1:16" ht="31.5" x14ac:dyDescent="0.2">
      <c r="A406" s="65"/>
      <c r="B406" s="68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38"/>
      <c r="I406" s="70"/>
      <c r="J406" s="73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38"/>
    </row>
    <row r="407" spans="1:16" ht="31.5" x14ac:dyDescent="0.2">
      <c r="A407" s="65"/>
      <c r="B407" s="68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38"/>
      <c r="I407" s="70"/>
      <c r="J407" s="73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38"/>
    </row>
    <row r="408" spans="1:16" ht="31.5" x14ac:dyDescent="0.2">
      <c r="A408" s="65"/>
      <c r="B408" s="68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38"/>
      <c r="I408" s="70"/>
      <c r="J408" s="73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38"/>
    </row>
    <row r="409" spans="1:16" ht="31.5" x14ac:dyDescent="0.2">
      <c r="A409" s="65"/>
      <c r="B409" s="68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38"/>
      <c r="I409" s="70"/>
      <c r="J409" s="73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38"/>
    </row>
    <row r="410" spans="1:16" ht="32.25" thickBot="1" x14ac:dyDescent="0.25">
      <c r="A410" s="65"/>
      <c r="B410" s="68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38"/>
      <c r="I410" s="70"/>
      <c r="J410" s="73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38"/>
    </row>
    <row r="411" spans="1:16" ht="18.399999999999999" hidden="1" customHeight="1" thickBot="1" x14ac:dyDescent="0.25">
      <c r="A411" s="66"/>
      <c r="B411" s="69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39"/>
      <c r="I411" s="71"/>
      <c r="J411" s="74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39"/>
    </row>
    <row r="412" spans="1:16" ht="48" customHeight="1" thickTop="1" x14ac:dyDescent="0.2">
      <c r="A412" s="64">
        <v>46354</v>
      </c>
      <c r="B412" s="67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40"/>
      <c r="I412" s="64">
        <v>46361</v>
      </c>
      <c r="J412" s="72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40"/>
    </row>
    <row r="413" spans="1:16" ht="31.5" x14ac:dyDescent="0.2">
      <c r="A413" s="65"/>
      <c r="B413" s="68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38"/>
      <c r="I413" s="70"/>
      <c r="J413" s="73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38"/>
    </row>
    <row r="414" spans="1:16" ht="31.5" x14ac:dyDescent="0.2">
      <c r="A414" s="65"/>
      <c r="B414" s="68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38"/>
      <c r="I414" s="70"/>
      <c r="J414" s="73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38"/>
    </row>
    <row r="415" spans="1:16" ht="31.5" x14ac:dyDescent="0.2">
      <c r="A415" s="65"/>
      <c r="B415" s="68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38"/>
      <c r="I415" s="70"/>
      <c r="J415" s="73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38"/>
    </row>
    <row r="416" spans="1:16" ht="31.5" x14ac:dyDescent="0.2">
      <c r="A416" s="65"/>
      <c r="B416" s="68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38"/>
      <c r="I416" s="70"/>
      <c r="J416" s="73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38"/>
    </row>
    <row r="417" spans="1:16" ht="31.5" x14ac:dyDescent="0.2">
      <c r="A417" s="65"/>
      <c r="B417" s="68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38"/>
      <c r="I417" s="70"/>
      <c r="J417" s="73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38"/>
    </row>
    <row r="418" spans="1:16" ht="32.25" thickBot="1" x14ac:dyDescent="0.25">
      <c r="A418" s="65"/>
      <c r="B418" s="68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38"/>
      <c r="I418" s="70"/>
      <c r="J418" s="73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38"/>
    </row>
    <row r="419" spans="1:16" ht="18.399999999999999" hidden="1" customHeight="1" thickBot="1" x14ac:dyDescent="0.25">
      <c r="A419" s="66"/>
      <c r="B419" s="69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1"/>
      <c r="J419" s="74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87" t="s">
        <v>4</v>
      </c>
      <c r="C426" s="87"/>
      <c r="D426" s="87"/>
      <c r="E426" s="87"/>
      <c r="F426" s="87"/>
      <c r="G426" s="87"/>
      <c r="H426" s="87"/>
      <c r="I426" s="45"/>
      <c r="J426" s="87" t="s">
        <v>4</v>
      </c>
      <c r="K426" s="87"/>
      <c r="L426" s="87"/>
      <c r="M426" s="87"/>
      <c r="N426" s="87"/>
      <c r="O426" s="87"/>
      <c r="P426" s="87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75" x14ac:dyDescent="0.25">
      <c r="A428" s="45"/>
      <c r="B428" s="86" t="s">
        <v>5</v>
      </c>
      <c r="C428" s="86"/>
      <c r="D428" s="86"/>
      <c r="E428" s="86" t="str">
        <f t="shared" ref="E428" si="8">E8</f>
        <v>очная</v>
      </c>
      <c r="F428" s="86"/>
      <c r="G428" s="86"/>
      <c r="H428" s="86"/>
      <c r="I428" s="45"/>
      <c r="J428" s="86" t="s">
        <v>5</v>
      </c>
      <c r="K428" s="86"/>
      <c r="L428" s="86"/>
      <c r="M428" s="86" t="str">
        <f t="shared" ref="M428" si="9">E8</f>
        <v>очная</v>
      </c>
      <c r="N428" s="86"/>
      <c r="O428" s="86"/>
      <c r="P428" s="86"/>
    </row>
    <row r="429" spans="1:16" ht="15.75" x14ac:dyDescent="0.25">
      <c r="A429" s="45"/>
      <c r="B429" s="86" t="s">
        <v>7</v>
      </c>
      <c r="C429" s="86"/>
      <c r="D429" s="86"/>
      <c r="E429" s="62">
        <f>E9</f>
        <v>1</v>
      </c>
      <c r="F429" s="62"/>
      <c r="G429" s="62"/>
      <c r="H429" s="35"/>
      <c r="I429" s="45"/>
      <c r="J429" s="86" t="s">
        <v>7</v>
      </c>
      <c r="K429" s="86"/>
      <c r="L429" s="86"/>
      <c r="M429" s="62">
        <f>E9</f>
        <v>1</v>
      </c>
      <c r="N429" s="62"/>
      <c r="O429" s="62"/>
      <c r="P429" s="35"/>
    </row>
    <row r="430" spans="1:16" ht="16.5" thickBot="1" x14ac:dyDescent="0.3">
      <c r="A430" s="45"/>
      <c r="B430" s="83" t="s">
        <v>8</v>
      </c>
      <c r="C430" s="83"/>
      <c r="D430" s="83"/>
      <c r="E430" s="63">
        <f>M370+1</f>
        <v>15</v>
      </c>
      <c r="F430" s="63"/>
      <c r="G430" s="63"/>
      <c r="H430" s="37"/>
      <c r="I430" s="45"/>
      <c r="J430" s="83" t="s">
        <v>8</v>
      </c>
      <c r="K430" s="83"/>
      <c r="L430" s="8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84" t="s">
        <v>9</v>
      </c>
      <c r="B431" s="85"/>
      <c r="C431" s="10" t="s">
        <v>10</v>
      </c>
      <c r="D431" s="11" t="s">
        <v>11</v>
      </c>
      <c r="E431" s="12" t="s">
        <v>12</v>
      </c>
      <c r="F431" s="81" t="s">
        <v>13</v>
      </c>
      <c r="G431" s="82"/>
      <c r="H431" s="13" t="s">
        <v>14</v>
      </c>
      <c r="I431" s="84" t="s">
        <v>9</v>
      </c>
      <c r="J431" s="85"/>
      <c r="K431" s="10" t="s">
        <v>10</v>
      </c>
      <c r="L431" s="11" t="s">
        <v>11</v>
      </c>
      <c r="M431" s="12" t="s">
        <v>12</v>
      </c>
      <c r="N431" s="81" t="s">
        <v>13</v>
      </c>
      <c r="O431" s="82"/>
      <c r="P431" s="13" t="s">
        <v>14</v>
      </c>
    </row>
    <row r="432" spans="1:16" ht="32.25" customHeight="1" thickTop="1" x14ac:dyDescent="0.2">
      <c r="A432" s="64">
        <v>46363</v>
      </c>
      <c r="B432" s="67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40">
        <f>VLOOKUP(E432,$R$12:$S$332,2,FALSE)</f>
        <v>0</v>
      </c>
      <c r="I432" s="64">
        <v>46370</v>
      </c>
      <c r="J432" s="72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40">
        <f>VLOOKUP(M432,$R$12:$S$332,2,FALSE)</f>
        <v>0</v>
      </c>
    </row>
    <row r="433" spans="1:16" ht="31.5" x14ac:dyDescent="0.2">
      <c r="A433" s="65"/>
      <c r="B433" s="68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38"/>
      <c r="I433" s="70"/>
      <c r="J433" s="73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38"/>
    </row>
    <row r="434" spans="1:16" ht="31.5" x14ac:dyDescent="0.2">
      <c r="A434" s="65"/>
      <c r="B434" s="68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38"/>
      <c r="I434" s="70"/>
      <c r="J434" s="73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38"/>
    </row>
    <row r="435" spans="1:16" ht="31.5" x14ac:dyDescent="0.2">
      <c r="A435" s="65"/>
      <c r="B435" s="68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38"/>
      <c r="I435" s="70"/>
      <c r="J435" s="73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38"/>
    </row>
    <row r="436" spans="1:16" ht="31.5" x14ac:dyDescent="0.2">
      <c r="A436" s="65"/>
      <c r="B436" s="68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38"/>
      <c r="I436" s="70"/>
      <c r="J436" s="73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38"/>
    </row>
    <row r="437" spans="1:16" ht="31.5" x14ac:dyDescent="0.2">
      <c r="A437" s="65"/>
      <c r="B437" s="68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34"/>
      <c r="I437" s="70"/>
      <c r="J437" s="73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34"/>
    </row>
    <row r="438" spans="1:16" ht="32.25" thickBot="1" x14ac:dyDescent="0.25">
      <c r="A438" s="65"/>
      <c r="B438" s="68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34"/>
      <c r="I438" s="70"/>
      <c r="J438" s="73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34"/>
    </row>
    <row r="439" spans="1:16" ht="18.399999999999999" hidden="1" customHeight="1" thickBot="1" x14ac:dyDescent="0.25">
      <c r="A439" s="66"/>
      <c r="B439" s="69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39"/>
      <c r="I439" s="71"/>
      <c r="J439" s="74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39"/>
    </row>
    <row r="440" spans="1:16" ht="32.25" customHeight="1" thickTop="1" x14ac:dyDescent="0.2">
      <c r="A440" s="64">
        <v>46364</v>
      </c>
      <c r="B440" s="67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40"/>
      <c r="I440" s="64">
        <v>46371</v>
      </c>
      <c r="J440" s="72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40"/>
    </row>
    <row r="441" spans="1:16" ht="31.5" x14ac:dyDescent="0.2">
      <c r="A441" s="65"/>
      <c r="B441" s="68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38"/>
      <c r="I441" s="70"/>
      <c r="J441" s="73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38"/>
    </row>
    <row r="442" spans="1:16" ht="31.5" x14ac:dyDescent="0.2">
      <c r="A442" s="65"/>
      <c r="B442" s="68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38"/>
      <c r="I442" s="70"/>
      <c r="J442" s="73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38"/>
    </row>
    <row r="443" spans="1:16" ht="31.5" x14ac:dyDescent="0.2">
      <c r="A443" s="65"/>
      <c r="B443" s="68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38"/>
      <c r="I443" s="70"/>
      <c r="J443" s="73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38"/>
    </row>
    <row r="444" spans="1:16" ht="31.5" x14ac:dyDescent="0.2">
      <c r="A444" s="65"/>
      <c r="B444" s="68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38"/>
      <c r="I444" s="70"/>
      <c r="J444" s="73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38"/>
    </row>
    <row r="445" spans="1:16" ht="31.5" x14ac:dyDescent="0.2">
      <c r="A445" s="65"/>
      <c r="B445" s="68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38"/>
      <c r="I445" s="70"/>
      <c r="J445" s="73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38"/>
    </row>
    <row r="446" spans="1:16" ht="32.25" thickBot="1" x14ac:dyDescent="0.25">
      <c r="A446" s="65"/>
      <c r="B446" s="68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38"/>
      <c r="I446" s="70"/>
      <c r="J446" s="73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38"/>
    </row>
    <row r="447" spans="1:16" ht="18.399999999999999" hidden="1" customHeight="1" thickBot="1" x14ac:dyDescent="0.25">
      <c r="A447" s="66"/>
      <c r="B447" s="69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39"/>
      <c r="I447" s="71"/>
      <c r="J447" s="74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39"/>
    </row>
    <row r="448" spans="1:16" ht="48" customHeight="1" thickTop="1" x14ac:dyDescent="0.2">
      <c r="A448" s="64">
        <v>46365</v>
      </c>
      <c r="B448" s="75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40"/>
      <c r="I448" s="64">
        <v>46372</v>
      </c>
      <c r="J448" s="78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40"/>
    </row>
    <row r="449" spans="1:16" ht="31.5" x14ac:dyDescent="0.2">
      <c r="A449" s="65"/>
      <c r="B449" s="76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38"/>
      <c r="I449" s="70"/>
      <c r="J449" s="79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38"/>
    </row>
    <row r="450" spans="1:16" ht="31.5" x14ac:dyDescent="0.2">
      <c r="A450" s="65"/>
      <c r="B450" s="76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38"/>
      <c r="I450" s="70"/>
      <c r="J450" s="79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38"/>
    </row>
    <row r="451" spans="1:16" ht="31.5" x14ac:dyDescent="0.2">
      <c r="A451" s="65"/>
      <c r="B451" s="76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38"/>
      <c r="I451" s="70"/>
      <c r="J451" s="79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38"/>
    </row>
    <row r="452" spans="1:16" ht="31.5" x14ac:dyDescent="0.2">
      <c r="A452" s="65"/>
      <c r="B452" s="76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38"/>
      <c r="I452" s="70"/>
      <c r="J452" s="79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38"/>
    </row>
    <row r="453" spans="1:16" ht="31.5" x14ac:dyDescent="0.2">
      <c r="A453" s="65"/>
      <c r="B453" s="76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34"/>
      <c r="I453" s="70"/>
      <c r="J453" s="79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34"/>
    </row>
    <row r="454" spans="1:16" ht="32.25" thickBot="1" x14ac:dyDescent="0.25">
      <c r="A454" s="65"/>
      <c r="B454" s="76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34"/>
      <c r="I454" s="70"/>
      <c r="J454" s="79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34"/>
    </row>
    <row r="455" spans="1:16" ht="18.399999999999999" hidden="1" customHeight="1" thickBot="1" x14ac:dyDescent="0.25">
      <c r="A455" s="66"/>
      <c r="B455" s="77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39"/>
      <c r="I455" s="71"/>
      <c r="J455" s="80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39"/>
    </row>
    <row r="456" spans="1:16" ht="48" customHeight="1" thickTop="1" x14ac:dyDescent="0.2">
      <c r="A456" s="64">
        <v>46366</v>
      </c>
      <c r="B456" s="67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40"/>
      <c r="I456" s="64">
        <v>46373</v>
      </c>
      <c r="J456" s="72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40"/>
    </row>
    <row r="457" spans="1:16" ht="31.5" x14ac:dyDescent="0.2">
      <c r="A457" s="65"/>
      <c r="B457" s="68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38"/>
      <c r="I457" s="70"/>
      <c r="J457" s="73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38"/>
    </row>
    <row r="458" spans="1:16" ht="31.5" x14ac:dyDescent="0.2">
      <c r="A458" s="65"/>
      <c r="B458" s="68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38"/>
      <c r="I458" s="70"/>
      <c r="J458" s="73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38"/>
    </row>
    <row r="459" spans="1:16" ht="31.5" x14ac:dyDescent="0.2">
      <c r="A459" s="65"/>
      <c r="B459" s="68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38"/>
      <c r="I459" s="70"/>
      <c r="J459" s="73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38"/>
    </row>
    <row r="460" spans="1:16" ht="31.5" x14ac:dyDescent="0.2">
      <c r="A460" s="65"/>
      <c r="B460" s="68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38"/>
      <c r="I460" s="70"/>
      <c r="J460" s="73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38"/>
    </row>
    <row r="461" spans="1:16" ht="31.5" x14ac:dyDescent="0.2">
      <c r="A461" s="65"/>
      <c r="B461" s="68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34"/>
      <c r="I461" s="70"/>
      <c r="J461" s="73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34"/>
    </row>
    <row r="462" spans="1:16" ht="32.25" thickBot="1" x14ac:dyDescent="0.25">
      <c r="A462" s="65"/>
      <c r="B462" s="68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34"/>
      <c r="I462" s="70"/>
      <c r="J462" s="73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34"/>
    </row>
    <row r="463" spans="1:16" ht="18.399999999999999" hidden="1" customHeight="1" thickBot="1" x14ac:dyDescent="0.25">
      <c r="A463" s="66"/>
      <c r="B463" s="69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39"/>
      <c r="I463" s="71"/>
      <c r="J463" s="74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39"/>
    </row>
    <row r="464" spans="1:16" ht="48" customHeight="1" thickTop="1" x14ac:dyDescent="0.2">
      <c r="A464" s="64">
        <v>46367</v>
      </c>
      <c r="B464" s="67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40"/>
      <c r="I464" s="64">
        <v>46374</v>
      </c>
      <c r="J464" s="72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40"/>
    </row>
    <row r="465" spans="1:16" ht="31.5" x14ac:dyDescent="0.2">
      <c r="A465" s="65"/>
      <c r="B465" s="68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38"/>
      <c r="I465" s="70"/>
      <c r="J465" s="73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38"/>
    </row>
    <row r="466" spans="1:16" ht="31.5" x14ac:dyDescent="0.2">
      <c r="A466" s="65"/>
      <c r="B466" s="68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38"/>
      <c r="I466" s="70"/>
      <c r="J466" s="73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38"/>
    </row>
    <row r="467" spans="1:16" ht="31.5" x14ac:dyDescent="0.2">
      <c r="A467" s="65"/>
      <c r="B467" s="68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38"/>
      <c r="I467" s="70"/>
      <c r="J467" s="73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38"/>
    </row>
    <row r="468" spans="1:16" ht="31.5" x14ac:dyDescent="0.2">
      <c r="A468" s="65"/>
      <c r="B468" s="68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38"/>
      <c r="I468" s="70"/>
      <c r="J468" s="73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38"/>
    </row>
    <row r="469" spans="1:16" ht="31.5" x14ac:dyDescent="0.2">
      <c r="A469" s="65"/>
      <c r="B469" s="68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38"/>
      <c r="I469" s="70"/>
      <c r="J469" s="73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38"/>
    </row>
    <row r="470" spans="1:16" ht="32.25" thickBot="1" x14ac:dyDescent="0.25">
      <c r="A470" s="65"/>
      <c r="B470" s="68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38"/>
      <c r="I470" s="70"/>
      <c r="J470" s="73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38"/>
    </row>
    <row r="471" spans="1:16" ht="18.399999999999999" hidden="1" customHeight="1" thickBot="1" x14ac:dyDescent="0.25">
      <c r="A471" s="66"/>
      <c r="B471" s="69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39"/>
      <c r="I471" s="71"/>
      <c r="J471" s="74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39"/>
    </row>
    <row r="472" spans="1:16" ht="48" customHeight="1" thickTop="1" x14ac:dyDescent="0.2">
      <c r="A472" s="64">
        <v>46368</v>
      </c>
      <c r="B472" s="67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40"/>
      <c r="I472" s="64">
        <v>46375</v>
      </c>
      <c r="J472" s="72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40"/>
    </row>
    <row r="473" spans="1:16" ht="31.5" x14ac:dyDescent="0.2">
      <c r="A473" s="65"/>
      <c r="B473" s="68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38"/>
      <c r="I473" s="70"/>
      <c r="J473" s="73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38"/>
    </row>
    <row r="474" spans="1:16" ht="31.5" x14ac:dyDescent="0.2">
      <c r="A474" s="65"/>
      <c r="B474" s="68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38"/>
      <c r="I474" s="70"/>
      <c r="J474" s="73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38"/>
    </row>
    <row r="475" spans="1:16" ht="31.5" x14ac:dyDescent="0.2">
      <c r="A475" s="65"/>
      <c r="B475" s="68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38"/>
      <c r="I475" s="70"/>
      <c r="J475" s="73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38"/>
    </row>
    <row r="476" spans="1:16" ht="31.5" x14ac:dyDescent="0.2">
      <c r="A476" s="65"/>
      <c r="B476" s="68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38"/>
      <c r="I476" s="70"/>
      <c r="J476" s="73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38"/>
    </row>
    <row r="477" spans="1:16" ht="31.5" x14ac:dyDescent="0.2">
      <c r="A477" s="65"/>
      <c r="B477" s="68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38"/>
      <c r="I477" s="70"/>
      <c r="J477" s="73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38"/>
    </row>
    <row r="478" spans="1:16" ht="32.25" thickBot="1" x14ac:dyDescent="0.25">
      <c r="A478" s="65"/>
      <c r="B478" s="68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38"/>
      <c r="I478" s="70"/>
      <c r="J478" s="73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38"/>
    </row>
    <row r="479" spans="1:16" ht="18.399999999999999" hidden="1" customHeight="1" thickBot="1" x14ac:dyDescent="0.25">
      <c r="A479" s="66"/>
      <c r="B479" s="69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1"/>
      <c r="J479" s="74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87" t="s">
        <v>4</v>
      </c>
      <c r="C486" s="87"/>
      <c r="D486" s="87"/>
      <c r="E486" s="87"/>
      <c r="F486" s="87"/>
      <c r="G486" s="87"/>
      <c r="H486" s="87"/>
      <c r="I486" s="45"/>
      <c r="J486" s="87" t="s">
        <v>4</v>
      </c>
      <c r="K486" s="87"/>
      <c r="L486" s="87"/>
      <c r="M486" s="87"/>
      <c r="N486" s="87"/>
      <c r="O486" s="87"/>
      <c r="P486" s="87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75" x14ac:dyDescent="0.25">
      <c r="A488" s="45"/>
      <c r="B488" s="86" t="s">
        <v>5</v>
      </c>
      <c r="C488" s="86"/>
      <c r="D488" s="86"/>
      <c r="E488" s="86" t="str">
        <f t="shared" ref="E488" si="10">E8</f>
        <v>очная</v>
      </c>
      <c r="F488" s="86"/>
      <c r="G488" s="86"/>
      <c r="H488" s="86"/>
      <c r="I488" s="45"/>
      <c r="J488" s="86" t="s">
        <v>5</v>
      </c>
      <c r="K488" s="86"/>
      <c r="L488" s="86"/>
      <c r="M488" s="86" t="str">
        <f t="shared" ref="M488" si="11">E8</f>
        <v>очная</v>
      </c>
      <c r="N488" s="86"/>
      <c r="O488" s="86"/>
      <c r="P488" s="86"/>
    </row>
    <row r="489" spans="1:16" ht="15.75" x14ac:dyDescent="0.25">
      <c r="A489" s="45"/>
      <c r="B489" s="86" t="s">
        <v>7</v>
      </c>
      <c r="C489" s="86"/>
      <c r="D489" s="86"/>
      <c r="E489" s="62">
        <f>E9</f>
        <v>1</v>
      </c>
      <c r="F489" s="62"/>
      <c r="G489" s="62"/>
      <c r="H489" s="35"/>
      <c r="I489" s="45"/>
      <c r="J489" s="86" t="s">
        <v>7</v>
      </c>
      <c r="K489" s="86"/>
      <c r="L489" s="86"/>
      <c r="M489" s="62">
        <f>E9</f>
        <v>1</v>
      </c>
      <c r="N489" s="62"/>
      <c r="O489" s="62"/>
      <c r="P489" s="35"/>
    </row>
    <row r="490" spans="1:16" ht="16.5" thickBot="1" x14ac:dyDescent="0.3">
      <c r="A490" s="45"/>
      <c r="B490" s="83" t="s">
        <v>8</v>
      </c>
      <c r="C490" s="83"/>
      <c r="D490" s="83"/>
      <c r="E490" s="63">
        <f>M430+1</f>
        <v>17</v>
      </c>
      <c r="F490" s="63"/>
      <c r="G490" s="63"/>
      <c r="H490" s="37"/>
      <c r="I490" s="45"/>
      <c r="J490" s="83" t="s">
        <v>8</v>
      </c>
      <c r="K490" s="83"/>
      <c r="L490" s="83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84" t="s">
        <v>9</v>
      </c>
      <c r="B491" s="85"/>
      <c r="C491" s="10" t="s">
        <v>10</v>
      </c>
      <c r="D491" s="11" t="s">
        <v>11</v>
      </c>
      <c r="E491" s="12" t="s">
        <v>12</v>
      </c>
      <c r="F491" s="81" t="s">
        <v>13</v>
      </c>
      <c r="G491" s="82"/>
      <c r="H491" s="13" t="s">
        <v>14</v>
      </c>
      <c r="I491" s="84" t="s">
        <v>9</v>
      </c>
      <c r="J491" s="85"/>
      <c r="K491" s="10" t="s">
        <v>10</v>
      </c>
      <c r="L491" s="11" t="s">
        <v>11</v>
      </c>
      <c r="M491" s="12" t="s">
        <v>12</v>
      </c>
      <c r="N491" s="81" t="s">
        <v>13</v>
      </c>
      <c r="O491" s="82"/>
      <c r="P491" s="13" t="s">
        <v>14</v>
      </c>
    </row>
    <row r="492" spans="1:16" ht="32.25" customHeight="1" thickTop="1" x14ac:dyDescent="0.2">
      <c r="A492" s="64">
        <v>46377</v>
      </c>
      <c r="B492" s="67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40">
        <f>VLOOKUP(E492,$R$12:$S$332,2,FALSE)</f>
        <v>0</v>
      </c>
      <c r="I492" s="64">
        <v>46384</v>
      </c>
      <c r="J492" s="72" t="s">
        <v>17</v>
      </c>
      <c r="K492" s="14" t="s">
        <v>18</v>
      </c>
      <c r="L492" s="16">
        <f>'[5]18нед'!C12</f>
        <v>0</v>
      </c>
      <c r="M492" s="19">
        <f>'[5]18нед'!D12</f>
        <v>0</v>
      </c>
      <c r="N492" s="17">
        <f>'[5]18нед'!G12</f>
        <v>0</v>
      </c>
      <c r="O492" s="18" t="str">
        <f>'[5]18нед'!H12</f>
        <v/>
      </c>
      <c r="P492" s="40">
        <f>VLOOKUP(M492,$R$12:$S$332,2,FALSE)</f>
        <v>0</v>
      </c>
    </row>
    <row r="493" spans="1:16" ht="31.5" x14ac:dyDescent="0.2">
      <c r="A493" s="65"/>
      <c r="B493" s="68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38"/>
      <c r="I493" s="70"/>
      <c r="J493" s="73"/>
      <c r="K493" s="14" t="s">
        <v>19</v>
      </c>
      <c r="L493" s="20">
        <f>'[5]18нед'!C13</f>
        <v>0</v>
      </c>
      <c r="M493" s="23">
        <f>'[5]18нед'!D13</f>
        <v>0</v>
      </c>
      <c r="N493" s="21">
        <f>'[5]18нед'!G13</f>
        <v>0</v>
      </c>
      <c r="O493" s="22" t="str">
        <f>'[5]18нед'!H13</f>
        <v/>
      </c>
      <c r="P493" s="38"/>
    </row>
    <row r="494" spans="1:16" ht="31.5" x14ac:dyDescent="0.2">
      <c r="A494" s="65"/>
      <c r="B494" s="68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38"/>
      <c r="I494" s="70"/>
      <c r="J494" s="73"/>
      <c r="K494" s="14" t="s">
        <v>20</v>
      </c>
      <c r="L494" s="20">
        <f>'[5]18нед'!C14</f>
        <v>0</v>
      </c>
      <c r="M494" s="23">
        <f>'[5]18нед'!D14</f>
        <v>0</v>
      </c>
      <c r="N494" s="21">
        <f>'[5]18нед'!G14</f>
        <v>0</v>
      </c>
      <c r="O494" s="22" t="str">
        <f>'[5]18нед'!H14</f>
        <v/>
      </c>
      <c r="P494" s="38"/>
    </row>
    <row r="495" spans="1:16" ht="31.5" x14ac:dyDescent="0.2">
      <c r="A495" s="65"/>
      <c r="B495" s="68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38"/>
      <c r="I495" s="70"/>
      <c r="J495" s="73"/>
      <c r="K495" s="14" t="s">
        <v>21</v>
      </c>
      <c r="L495" s="20">
        <f>'[5]18нед'!C15</f>
        <v>0</v>
      </c>
      <c r="M495" s="23">
        <f>'[5]18нед'!D15</f>
        <v>0</v>
      </c>
      <c r="N495" s="21">
        <f>'[5]18нед'!G15</f>
        <v>0</v>
      </c>
      <c r="O495" s="22" t="str">
        <f>'[5]18нед'!H15</f>
        <v/>
      </c>
      <c r="P495" s="38"/>
    </row>
    <row r="496" spans="1:16" ht="31.5" x14ac:dyDescent="0.2">
      <c r="A496" s="65"/>
      <c r="B496" s="68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38"/>
      <c r="I496" s="70"/>
      <c r="J496" s="73"/>
      <c r="K496" s="14" t="s">
        <v>22</v>
      </c>
      <c r="L496" s="20">
        <f>'[5]18нед'!C16</f>
        <v>0</v>
      </c>
      <c r="M496" s="23">
        <f>'[5]18нед'!D16</f>
        <v>0</v>
      </c>
      <c r="N496" s="21">
        <f>'[5]18нед'!G16</f>
        <v>0</v>
      </c>
      <c r="O496" s="22" t="str">
        <f>'[5]18нед'!H16</f>
        <v/>
      </c>
      <c r="P496" s="38"/>
    </row>
    <row r="497" spans="1:16" ht="31.5" x14ac:dyDescent="0.2">
      <c r="A497" s="65"/>
      <c r="B497" s="68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34"/>
      <c r="I497" s="70"/>
      <c r="J497" s="73"/>
      <c r="K497" s="14" t="s">
        <v>23</v>
      </c>
      <c r="L497" s="20">
        <f>'[5]18нед'!C17</f>
        <v>0</v>
      </c>
      <c r="M497" s="23">
        <f>'[5]18нед'!D17</f>
        <v>0</v>
      </c>
      <c r="N497" s="21">
        <f>'[5]18нед'!G17</f>
        <v>0</v>
      </c>
      <c r="O497" s="22" t="str">
        <f>'[5]18нед'!H17</f>
        <v/>
      </c>
      <c r="P497" s="34"/>
    </row>
    <row r="498" spans="1:16" ht="32.25" thickBot="1" x14ac:dyDescent="0.25">
      <c r="A498" s="65"/>
      <c r="B498" s="68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34"/>
      <c r="I498" s="70"/>
      <c r="J498" s="73"/>
      <c r="K498" s="14" t="s">
        <v>24</v>
      </c>
      <c r="L498" s="20">
        <f>'[5]18нед'!C18</f>
        <v>0</v>
      </c>
      <c r="M498" s="23">
        <f>'[5]18нед'!D18</f>
        <v>0</v>
      </c>
      <c r="N498" s="21">
        <f>'[5]18нед'!G18</f>
        <v>0</v>
      </c>
      <c r="O498" s="22" t="str">
        <f>'[5]18нед'!H18</f>
        <v/>
      </c>
      <c r="P498" s="34"/>
    </row>
    <row r="499" spans="1:16" ht="18.399999999999999" hidden="1" customHeight="1" thickBot="1" x14ac:dyDescent="0.25">
      <c r="A499" s="66"/>
      <c r="B499" s="69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39"/>
      <c r="I499" s="71"/>
      <c r="J499" s="74"/>
      <c r="K499" s="15"/>
      <c r="L499" s="24">
        <f>'[5]18нед'!C19</f>
        <v>0</v>
      </c>
      <c r="M499" s="25">
        <f>'[5]18нед'!D19</f>
        <v>0</v>
      </c>
      <c r="N499" s="26">
        <f>'[5]18нед'!G19</f>
        <v>0</v>
      </c>
      <c r="O499" s="27" t="str">
        <f>'[5]18нед'!H19</f>
        <v/>
      </c>
      <c r="P499" s="39"/>
    </row>
    <row r="500" spans="1:16" ht="32.25" customHeight="1" thickTop="1" x14ac:dyDescent="0.2">
      <c r="A500" s="64">
        <v>46378</v>
      </c>
      <c r="B500" s="67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40"/>
      <c r="I500" s="64">
        <v>46385</v>
      </c>
      <c r="J500" s="72" t="s">
        <v>25</v>
      </c>
      <c r="K500" s="29" t="s">
        <v>18</v>
      </c>
      <c r="L500" s="16">
        <f>'[5]18нед'!C20</f>
        <v>0</v>
      </c>
      <c r="M500" s="19">
        <f>'[5]18нед'!D20</f>
        <v>0</v>
      </c>
      <c r="N500" s="17">
        <f>'[5]18нед'!G20</f>
        <v>0</v>
      </c>
      <c r="O500" s="18" t="str">
        <f>'[5]18нед'!H20</f>
        <v/>
      </c>
      <c r="P500" s="40"/>
    </row>
    <row r="501" spans="1:16" ht="31.5" x14ac:dyDescent="0.2">
      <c r="A501" s="65"/>
      <c r="B501" s="68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38"/>
      <c r="I501" s="70"/>
      <c r="J501" s="73"/>
      <c r="K501" s="14" t="s">
        <v>19</v>
      </c>
      <c r="L501" s="20">
        <f>'[5]18нед'!C21</f>
        <v>0</v>
      </c>
      <c r="M501" s="23">
        <f>'[5]18нед'!D21</f>
        <v>0</v>
      </c>
      <c r="N501" s="21">
        <f>'[5]18нед'!G21</f>
        <v>0</v>
      </c>
      <c r="O501" s="22" t="str">
        <f>'[5]18нед'!H21</f>
        <v/>
      </c>
      <c r="P501" s="38"/>
    </row>
    <row r="502" spans="1:16" ht="31.5" x14ac:dyDescent="0.2">
      <c r="A502" s="65"/>
      <c r="B502" s="68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38"/>
      <c r="I502" s="70"/>
      <c r="J502" s="73"/>
      <c r="K502" s="14" t="s">
        <v>20</v>
      </c>
      <c r="L502" s="20">
        <f>'[5]18нед'!C22</f>
        <v>0</v>
      </c>
      <c r="M502" s="23">
        <f>'[5]18нед'!D22</f>
        <v>0</v>
      </c>
      <c r="N502" s="21">
        <f>'[5]18нед'!G22</f>
        <v>0</v>
      </c>
      <c r="O502" s="22" t="str">
        <f>'[5]18нед'!H22</f>
        <v/>
      </c>
      <c r="P502" s="38"/>
    </row>
    <row r="503" spans="1:16" ht="31.5" x14ac:dyDescent="0.2">
      <c r="A503" s="65"/>
      <c r="B503" s="68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38"/>
      <c r="I503" s="70"/>
      <c r="J503" s="73"/>
      <c r="K503" s="14" t="s">
        <v>21</v>
      </c>
      <c r="L503" s="20">
        <f>'[5]18нед'!C23</f>
        <v>0</v>
      </c>
      <c r="M503" s="23">
        <f>'[5]18нед'!D23</f>
        <v>0</v>
      </c>
      <c r="N503" s="21">
        <f>'[5]18нед'!G23</f>
        <v>0</v>
      </c>
      <c r="O503" s="22" t="str">
        <f>'[5]18нед'!H23</f>
        <v/>
      </c>
      <c r="P503" s="38"/>
    </row>
    <row r="504" spans="1:16" ht="31.5" x14ac:dyDescent="0.2">
      <c r="A504" s="65"/>
      <c r="B504" s="68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38"/>
      <c r="I504" s="70"/>
      <c r="J504" s="73"/>
      <c r="K504" s="14" t="s">
        <v>22</v>
      </c>
      <c r="L504" s="20">
        <f>'[5]18нед'!C24</f>
        <v>0</v>
      </c>
      <c r="M504" s="23">
        <f>'[5]18нед'!D24</f>
        <v>0</v>
      </c>
      <c r="N504" s="21">
        <f>'[5]18нед'!G24</f>
        <v>0</v>
      </c>
      <c r="O504" s="22" t="str">
        <f>'[5]18нед'!H24</f>
        <v/>
      </c>
      <c r="P504" s="38"/>
    </row>
    <row r="505" spans="1:16" ht="31.5" x14ac:dyDescent="0.2">
      <c r="A505" s="65"/>
      <c r="B505" s="68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38"/>
      <c r="I505" s="70"/>
      <c r="J505" s="73"/>
      <c r="K505" s="14" t="s">
        <v>23</v>
      </c>
      <c r="L505" s="20">
        <f>'[5]18нед'!C25</f>
        <v>0</v>
      </c>
      <c r="M505" s="23">
        <f>'[5]18нед'!D25</f>
        <v>0</v>
      </c>
      <c r="N505" s="21">
        <f>'[5]18нед'!G25</f>
        <v>0</v>
      </c>
      <c r="O505" s="22" t="str">
        <f>'[5]18нед'!H25</f>
        <v/>
      </c>
      <c r="P505" s="38"/>
    </row>
    <row r="506" spans="1:16" ht="32.25" thickBot="1" x14ac:dyDescent="0.25">
      <c r="A506" s="65"/>
      <c r="B506" s="68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38"/>
      <c r="I506" s="70"/>
      <c r="J506" s="73"/>
      <c r="K506" s="14" t="s">
        <v>24</v>
      </c>
      <c r="L506" s="20">
        <f>'[5]18нед'!C26</f>
        <v>0</v>
      </c>
      <c r="M506" s="23">
        <f>'[5]18нед'!D26</f>
        <v>0</v>
      </c>
      <c r="N506" s="21">
        <f>'[5]18нед'!G26</f>
        <v>0</v>
      </c>
      <c r="O506" s="22" t="str">
        <f>'[5]18нед'!H26</f>
        <v/>
      </c>
      <c r="P506" s="38"/>
    </row>
    <row r="507" spans="1:16" ht="18.399999999999999" hidden="1" customHeight="1" thickBot="1" x14ac:dyDescent="0.25">
      <c r="A507" s="66"/>
      <c r="B507" s="69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39"/>
      <c r="I507" s="71"/>
      <c r="J507" s="74"/>
      <c r="K507" s="15"/>
      <c r="L507" s="24">
        <f>'[5]18нед'!C27</f>
        <v>0</v>
      </c>
      <c r="M507" s="25">
        <f>'[5]18нед'!D27</f>
        <v>0</v>
      </c>
      <c r="N507" s="26">
        <f>'[5]18нед'!G27</f>
        <v>0</v>
      </c>
      <c r="O507" s="27" t="str">
        <f>'[5]18нед'!H27</f>
        <v/>
      </c>
      <c r="P507" s="39"/>
    </row>
    <row r="508" spans="1:16" ht="48" customHeight="1" thickTop="1" x14ac:dyDescent="0.2">
      <c r="A508" s="64">
        <v>46379</v>
      </c>
      <c r="B508" s="75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40"/>
      <c r="I508" s="64">
        <v>46386</v>
      </c>
      <c r="J508" s="78" t="s">
        <v>26</v>
      </c>
      <c r="K508" s="29" t="s">
        <v>18</v>
      </c>
      <c r="L508" s="16">
        <f>'[5]18нед'!C28</f>
        <v>0</v>
      </c>
      <c r="M508" s="19">
        <f>'[5]18нед'!D28</f>
        <v>0</v>
      </c>
      <c r="N508" s="17">
        <f>'[5]18нед'!G28</f>
        <v>0</v>
      </c>
      <c r="O508" s="18" t="str">
        <f>'[5]18нед'!H28</f>
        <v/>
      </c>
      <c r="P508" s="40"/>
    </row>
    <row r="509" spans="1:16" ht="31.5" x14ac:dyDescent="0.2">
      <c r="A509" s="65"/>
      <c r="B509" s="76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38"/>
      <c r="I509" s="70"/>
      <c r="J509" s="79"/>
      <c r="K509" s="14" t="s">
        <v>19</v>
      </c>
      <c r="L509" s="20">
        <f>'[5]18нед'!C29</f>
        <v>0</v>
      </c>
      <c r="M509" s="23">
        <f>'[5]18нед'!D29</f>
        <v>0</v>
      </c>
      <c r="N509" s="21">
        <f>'[5]18нед'!G29</f>
        <v>0</v>
      </c>
      <c r="O509" s="22" t="str">
        <f>'[5]18нед'!H29</f>
        <v/>
      </c>
      <c r="P509" s="38"/>
    </row>
    <row r="510" spans="1:16" ht="31.5" x14ac:dyDescent="0.2">
      <c r="A510" s="65"/>
      <c r="B510" s="76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38"/>
      <c r="I510" s="70"/>
      <c r="J510" s="79"/>
      <c r="K510" s="14" t="s">
        <v>20</v>
      </c>
      <c r="L510" s="20">
        <f>'[5]18нед'!C30</f>
        <v>0</v>
      </c>
      <c r="M510" s="23">
        <f>'[5]18нед'!D30</f>
        <v>0</v>
      </c>
      <c r="N510" s="21">
        <f>'[5]18нед'!G30</f>
        <v>0</v>
      </c>
      <c r="O510" s="22" t="str">
        <f>'[5]18нед'!H30</f>
        <v/>
      </c>
      <c r="P510" s="38"/>
    </row>
    <row r="511" spans="1:16" ht="31.5" x14ac:dyDescent="0.2">
      <c r="A511" s="65"/>
      <c r="B511" s="76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38"/>
      <c r="I511" s="70"/>
      <c r="J511" s="79"/>
      <c r="K511" s="14" t="s">
        <v>21</v>
      </c>
      <c r="L511" s="20">
        <f>'[5]18нед'!C31</f>
        <v>0</v>
      </c>
      <c r="M511" s="23">
        <f>'[5]18нед'!D31</f>
        <v>0</v>
      </c>
      <c r="N511" s="21">
        <f>'[5]18нед'!G31</f>
        <v>0</v>
      </c>
      <c r="O511" s="22" t="str">
        <f>'[5]18нед'!H31</f>
        <v/>
      </c>
      <c r="P511" s="38"/>
    </row>
    <row r="512" spans="1:16" ht="31.5" x14ac:dyDescent="0.2">
      <c r="A512" s="65"/>
      <c r="B512" s="76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38"/>
      <c r="I512" s="70"/>
      <c r="J512" s="79"/>
      <c r="K512" s="14" t="s">
        <v>22</v>
      </c>
      <c r="L512" s="20">
        <f>'[5]18нед'!C32</f>
        <v>0</v>
      </c>
      <c r="M512" s="23">
        <f>'[5]18нед'!D32</f>
        <v>0</v>
      </c>
      <c r="N512" s="21">
        <f>'[5]18нед'!G32</f>
        <v>0</v>
      </c>
      <c r="O512" s="22" t="str">
        <f>'[5]18нед'!H32</f>
        <v/>
      </c>
      <c r="P512" s="38"/>
    </row>
    <row r="513" spans="1:16" ht="31.5" x14ac:dyDescent="0.2">
      <c r="A513" s="65"/>
      <c r="B513" s="76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34"/>
      <c r="I513" s="70"/>
      <c r="J513" s="79"/>
      <c r="K513" s="14" t="s">
        <v>23</v>
      </c>
      <c r="L513" s="20">
        <f>'[5]18нед'!C33</f>
        <v>0</v>
      </c>
      <c r="M513" s="23">
        <f>'[5]18нед'!D33</f>
        <v>0</v>
      </c>
      <c r="N513" s="21">
        <f>'[5]18нед'!G33</f>
        <v>0</v>
      </c>
      <c r="O513" s="22" t="str">
        <f>'[5]18нед'!H33</f>
        <v/>
      </c>
      <c r="P513" s="34"/>
    </row>
    <row r="514" spans="1:16" ht="32.25" thickBot="1" x14ac:dyDescent="0.25">
      <c r="A514" s="65"/>
      <c r="B514" s="76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34"/>
      <c r="I514" s="70"/>
      <c r="J514" s="79"/>
      <c r="K514" s="14" t="s">
        <v>24</v>
      </c>
      <c r="L514" s="20">
        <f>'[5]18нед'!C34</f>
        <v>0</v>
      </c>
      <c r="M514" s="23">
        <f>'[5]18нед'!D34</f>
        <v>0</v>
      </c>
      <c r="N514" s="21">
        <f>'[5]18нед'!G34</f>
        <v>0</v>
      </c>
      <c r="O514" s="22" t="str">
        <f>'[5]18нед'!H34</f>
        <v/>
      </c>
      <c r="P514" s="34"/>
    </row>
    <row r="515" spans="1:16" ht="18.399999999999999" hidden="1" customHeight="1" thickBot="1" x14ac:dyDescent="0.25">
      <c r="A515" s="66"/>
      <c r="B515" s="77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39"/>
      <c r="I515" s="71"/>
      <c r="J515" s="80"/>
      <c r="K515" s="15"/>
      <c r="L515" s="24">
        <f>'[5]18нед'!C35</f>
        <v>0</v>
      </c>
      <c r="M515" s="25">
        <f>'[5]18нед'!D35</f>
        <v>0</v>
      </c>
      <c r="N515" s="26">
        <f>'[5]18нед'!G35</f>
        <v>0</v>
      </c>
      <c r="O515" s="27" t="str">
        <f>'[5]18нед'!H35</f>
        <v/>
      </c>
      <c r="P515" s="39"/>
    </row>
    <row r="516" spans="1:16" ht="48" customHeight="1" thickTop="1" x14ac:dyDescent="0.2">
      <c r="A516" s="64">
        <v>46380</v>
      </c>
      <c r="B516" s="67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40"/>
      <c r="I516" s="64">
        <v>46387</v>
      </c>
      <c r="J516" s="72" t="s">
        <v>27</v>
      </c>
      <c r="K516" s="29" t="s">
        <v>18</v>
      </c>
      <c r="L516" s="16">
        <f>'[5]18нед'!C36</f>
        <v>0</v>
      </c>
      <c r="M516" s="19">
        <f>'[5]18нед'!D36</f>
        <v>0</v>
      </c>
      <c r="N516" s="17">
        <f>'[5]18нед'!G36</f>
        <v>0</v>
      </c>
      <c r="O516" s="18" t="str">
        <f>'[5]18нед'!H36</f>
        <v/>
      </c>
      <c r="P516" s="40"/>
    </row>
    <row r="517" spans="1:16" ht="31.5" x14ac:dyDescent="0.2">
      <c r="A517" s="65"/>
      <c r="B517" s="68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38"/>
      <c r="I517" s="70"/>
      <c r="J517" s="73"/>
      <c r="K517" s="14" t="s">
        <v>19</v>
      </c>
      <c r="L517" s="20">
        <f>'[5]18нед'!C37</f>
        <v>0</v>
      </c>
      <c r="M517" s="23">
        <f>'[5]18нед'!D37</f>
        <v>0</v>
      </c>
      <c r="N517" s="21">
        <f>'[5]18нед'!G37</f>
        <v>0</v>
      </c>
      <c r="O517" s="22" t="str">
        <f>'[5]18нед'!H37</f>
        <v/>
      </c>
      <c r="P517" s="38"/>
    </row>
    <row r="518" spans="1:16" ht="31.5" x14ac:dyDescent="0.2">
      <c r="A518" s="65"/>
      <c r="B518" s="68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38"/>
      <c r="I518" s="70"/>
      <c r="J518" s="73"/>
      <c r="K518" s="14" t="s">
        <v>20</v>
      </c>
      <c r="L518" s="20">
        <f>'[5]18нед'!C38</f>
        <v>0</v>
      </c>
      <c r="M518" s="23">
        <f>'[5]18нед'!D38</f>
        <v>0</v>
      </c>
      <c r="N518" s="21">
        <f>'[5]18нед'!G38</f>
        <v>0</v>
      </c>
      <c r="O518" s="22" t="str">
        <f>'[5]18нед'!H38</f>
        <v/>
      </c>
      <c r="P518" s="38"/>
    </row>
    <row r="519" spans="1:16" ht="31.5" x14ac:dyDescent="0.2">
      <c r="A519" s="65"/>
      <c r="B519" s="68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38"/>
      <c r="I519" s="70"/>
      <c r="J519" s="73"/>
      <c r="K519" s="14" t="s">
        <v>21</v>
      </c>
      <c r="L519" s="20">
        <f>'[5]18нед'!C39</f>
        <v>0</v>
      </c>
      <c r="M519" s="23">
        <f>'[5]18нед'!D39</f>
        <v>0</v>
      </c>
      <c r="N519" s="21">
        <f>'[5]18нед'!G39</f>
        <v>0</v>
      </c>
      <c r="O519" s="22" t="str">
        <f>'[5]18нед'!H39</f>
        <v/>
      </c>
      <c r="P519" s="38"/>
    </row>
    <row r="520" spans="1:16" ht="31.5" x14ac:dyDescent="0.2">
      <c r="A520" s="65"/>
      <c r="B520" s="68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38"/>
      <c r="I520" s="70"/>
      <c r="J520" s="73"/>
      <c r="K520" s="14" t="s">
        <v>22</v>
      </c>
      <c r="L520" s="20">
        <f>'[5]18нед'!C40</f>
        <v>0</v>
      </c>
      <c r="M520" s="23">
        <f>'[5]18нед'!D40</f>
        <v>0</v>
      </c>
      <c r="N520" s="21">
        <f>'[5]18нед'!G40</f>
        <v>0</v>
      </c>
      <c r="O520" s="22" t="str">
        <f>'[5]18нед'!H40</f>
        <v/>
      </c>
      <c r="P520" s="38"/>
    </row>
    <row r="521" spans="1:16" ht="31.5" x14ac:dyDescent="0.2">
      <c r="A521" s="65"/>
      <c r="B521" s="68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34"/>
      <c r="I521" s="70"/>
      <c r="J521" s="73"/>
      <c r="K521" s="14" t="s">
        <v>23</v>
      </c>
      <c r="L521" s="20">
        <f>'[5]18нед'!C41</f>
        <v>0</v>
      </c>
      <c r="M521" s="23">
        <f>'[5]18нед'!D41</f>
        <v>0</v>
      </c>
      <c r="N521" s="21">
        <f>'[5]18нед'!G41</f>
        <v>0</v>
      </c>
      <c r="O521" s="22" t="str">
        <f>'[5]18нед'!H41</f>
        <v/>
      </c>
      <c r="P521" s="34"/>
    </row>
    <row r="522" spans="1:16" ht="32.25" thickBot="1" x14ac:dyDescent="0.25">
      <c r="A522" s="65"/>
      <c r="B522" s="68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34"/>
      <c r="I522" s="70"/>
      <c r="J522" s="73"/>
      <c r="K522" s="14" t="s">
        <v>24</v>
      </c>
      <c r="L522" s="20">
        <f>'[5]18нед'!C42</f>
        <v>0</v>
      </c>
      <c r="M522" s="23">
        <f>'[5]18нед'!D42</f>
        <v>0</v>
      </c>
      <c r="N522" s="21">
        <f>'[5]18нед'!G42</f>
        <v>0</v>
      </c>
      <c r="O522" s="22" t="str">
        <f>'[5]18нед'!H42</f>
        <v/>
      </c>
      <c r="P522" s="34"/>
    </row>
    <row r="523" spans="1:16" ht="18.399999999999999" hidden="1" customHeight="1" thickBot="1" x14ac:dyDescent="0.25">
      <c r="A523" s="66"/>
      <c r="B523" s="69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39"/>
      <c r="I523" s="71"/>
      <c r="J523" s="74"/>
      <c r="K523" s="15"/>
      <c r="L523" s="24">
        <f>'[5]18нед'!C43</f>
        <v>0</v>
      </c>
      <c r="M523" s="25">
        <f>'[5]18нед'!D43</f>
        <v>0</v>
      </c>
      <c r="N523" s="26">
        <f>'[5]18нед'!G43</f>
        <v>0</v>
      </c>
      <c r="O523" s="27" t="str">
        <f>'[5]18нед'!H43</f>
        <v/>
      </c>
      <c r="P523" s="39"/>
    </row>
    <row r="524" spans="1:16" ht="48" customHeight="1" thickTop="1" x14ac:dyDescent="0.2">
      <c r="A524" s="64">
        <v>46381</v>
      </c>
      <c r="B524" s="67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40"/>
      <c r="I524" s="64">
        <v>46388</v>
      </c>
      <c r="J524" s="72" t="s">
        <v>28</v>
      </c>
      <c r="K524" s="29" t="s">
        <v>18</v>
      </c>
      <c r="L524" s="16">
        <f>'[5]18нед'!C44</f>
        <v>0</v>
      </c>
      <c r="M524" s="19">
        <f>'[5]18нед'!D44</f>
        <v>0</v>
      </c>
      <c r="N524" s="17">
        <f>'[5]18нед'!G44</f>
        <v>0</v>
      </c>
      <c r="O524" s="18" t="str">
        <f>'[5]18нед'!H44</f>
        <v/>
      </c>
      <c r="P524" s="40"/>
    </row>
    <row r="525" spans="1:16" ht="31.5" x14ac:dyDescent="0.2">
      <c r="A525" s="65"/>
      <c r="B525" s="68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38"/>
      <c r="I525" s="70"/>
      <c r="J525" s="73"/>
      <c r="K525" s="14" t="s">
        <v>19</v>
      </c>
      <c r="L525" s="20">
        <f>'[5]18нед'!C45</f>
        <v>0</v>
      </c>
      <c r="M525" s="23">
        <f>'[5]18нед'!D45</f>
        <v>0</v>
      </c>
      <c r="N525" s="21">
        <f>'[5]18нед'!G45</f>
        <v>0</v>
      </c>
      <c r="O525" s="22" t="str">
        <f>'[5]18нед'!H45</f>
        <v/>
      </c>
      <c r="P525" s="38"/>
    </row>
    <row r="526" spans="1:16" ht="31.5" x14ac:dyDescent="0.2">
      <c r="A526" s="65"/>
      <c r="B526" s="68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38"/>
      <c r="I526" s="70"/>
      <c r="J526" s="73"/>
      <c r="K526" s="14" t="s">
        <v>20</v>
      </c>
      <c r="L526" s="20">
        <f>'[5]18нед'!C46</f>
        <v>0</v>
      </c>
      <c r="M526" s="23">
        <f>'[5]18нед'!D46</f>
        <v>0</v>
      </c>
      <c r="N526" s="21">
        <f>'[5]18нед'!G46</f>
        <v>0</v>
      </c>
      <c r="O526" s="22" t="str">
        <f>'[5]18нед'!H46</f>
        <v/>
      </c>
      <c r="P526" s="38"/>
    </row>
    <row r="527" spans="1:16" ht="31.5" x14ac:dyDescent="0.2">
      <c r="A527" s="65"/>
      <c r="B527" s="68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38"/>
      <c r="I527" s="70"/>
      <c r="J527" s="73"/>
      <c r="K527" s="14" t="s">
        <v>21</v>
      </c>
      <c r="L527" s="20">
        <f>'[5]18нед'!C47</f>
        <v>0</v>
      </c>
      <c r="M527" s="23">
        <f>'[5]18нед'!D47</f>
        <v>0</v>
      </c>
      <c r="N527" s="21">
        <f>'[5]18нед'!G47</f>
        <v>0</v>
      </c>
      <c r="O527" s="22" t="str">
        <f>'[5]18нед'!H47</f>
        <v/>
      </c>
      <c r="P527" s="38"/>
    </row>
    <row r="528" spans="1:16" ht="31.5" x14ac:dyDescent="0.2">
      <c r="A528" s="65"/>
      <c r="B528" s="68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38"/>
      <c r="I528" s="70"/>
      <c r="J528" s="73"/>
      <c r="K528" s="14" t="s">
        <v>22</v>
      </c>
      <c r="L528" s="20">
        <f>'[5]18нед'!C48</f>
        <v>0</v>
      </c>
      <c r="M528" s="23">
        <f>'[5]18нед'!D48</f>
        <v>0</v>
      </c>
      <c r="N528" s="21">
        <f>'[5]18нед'!G48</f>
        <v>0</v>
      </c>
      <c r="O528" s="22" t="str">
        <f>'[5]18нед'!H48</f>
        <v/>
      </c>
      <c r="P528" s="38"/>
    </row>
    <row r="529" spans="1:16" ht="31.5" x14ac:dyDescent="0.2">
      <c r="A529" s="65"/>
      <c r="B529" s="68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38"/>
      <c r="I529" s="70"/>
      <c r="J529" s="73"/>
      <c r="K529" s="14" t="s">
        <v>23</v>
      </c>
      <c r="L529" s="20">
        <f>'[5]18нед'!C49</f>
        <v>0</v>
      </c>
      <c r="M529" s="23">
        <f>'[5]18нед'!D49</f>
        <v>0</v>
      </c>
      <c r="N529" s="21">
        <f>'[5]18нед'!G49</f>
        <v>0</v>
      </c>
      <c r="O529" s="22" t="str">
        <f>'[5]18нед'!H49</f>
        <v/>
      </c>
      <c r="P529" s="38"/>
    </row>
    <row r="530" spans="1:16" ht="32.25" thickBot="1" x14ac:dyDescent="0.25">
      <c r="A530" s="65"/>
      <c r="B530" s="68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38"/>
      <c r="I530" s="70"/>
      <c r="J530" s="73"/>
      <c r="K530" s="14" t="s">
        <v>24</v>
      </c>
      <c r="L530" s="20">
        <f>'[5]18нед'!C50</f>
        <v>0</v>
      </c>
      <c r="M530" s="23">
        <f>'[5]18нед'!D50</f>
        <v>0</v>
      </c>
      <c r="N530" s="21">
        <f>'[5]18нед'!G50</f>
        <v>0</v>
      </c>
      <c r="O530" s="22" t="str">
        <f>'[5]18нед'!H50</f>
        <v/>
      </c>
      <c r="P530" s="38"/>
    </row>
    <row r="531" spans="1:16" ht="18.399999999999999" hidden="1" customHeight="1" thickBot="1" x14ac:dyDescent="0.25">
      <c r="A531" s="66"/>
      <c r="B531" s="69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39"/>
      <c r="I531" s="71"/>
      <c r="J531" s="74"/>
      <c r="K531" s="15"/>
      <c r="L531" s="24">
        <f>'[5]18нед'!C51</f>
        <v>0</v>
      </c>
      <c r="M531" s="25">
        <f>'[5]18нед'!D51</f>
        <v>0</v>
      </c>
      <c r="N531" s="26">
        <f>'[5]18нед'!G51</f>
        <v>0</v>
      </c>
      <c r="O531" s="27" t="str">
        <f>'[5]18нед'!H51</f>
        <v/>
      </c>
      <c r="P531" s="39"/>
    </row>
    <row r="532" spans="1:16" ht="48" customHeight="1" thickTop="1" x14ac:dyDescent="0.2">
      <c r="A532" s="64">
        <v>46382</v>
      </c>
      <c r="B532" s="67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40"/>
      <c r="I532" s="64">
        <v>46389</v>
      </c>
      <c r="J532" s="72" t="s">
        <v>29</v>
      </c>
      <c r="K532" s="29" t="s">
        <v>18</v>
      </c>
      <c r="L532" s="16">
        <f>'[5]18нед'!C52</f>
        <v>0</v>
      </c>
      <c r="M532" s="19">
        <f>'[5]18нед'!D52</f>
        <v>0</v>
      </c>
      <c r="N532" s="17">
        <f>'[5]18нед'!G52</f>
        <v>0</v>
      </c>
      <c r="O532" s="18" t="str">
        <f>'[5]18нед'!H52</f>
        <v/>
      </c>
      <c r="P532" s="40"/>
    </row>
    <row r="533" spans="1:16" ht="31.5" x14ac:dyDescent="0.2">
      <c r="A533" s="65"/>
      <c r="B533" s="68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38"/>
      <c r="I533" s="70"/>
      <c r="J533" s="73"/>
      <c r="K533" s="14" t="s">
        <v>19</v>
      </c>
      <c r="L533" s="20">
        <f>'[5]18нед'!C53</f>
        <v>0</v>
      </c>
      <c r="M533" s="23">
        <f>'[5]18нед'!D53</f>
        <v>0</v>
      </c>
      <c r="N533" s="21">
        <f>'[5]18нед'!G53</f>
        <v>0</v>
      </c>
      <c r="O533" s="22" t="str">
        <f>'[5]18нед'!H53</f>
        <v/>
      </c>
      <c r="P533" s="38"/>
    </row>
    <row r="534" spans="1:16" ht="31.5" x14ac:dyDescent="0.2">
      <c r="A534" s="65"/>
      <c r="B534" s="68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38"/>
      <c r="I534" s="70"/>
      <c r="J534" s="73"/>
      <c r="K534" s="14" t="s">
        <v>20</v>
      </c>
      <c r="L534" s="20">
        <f>'[5]18нед'!C54</f>
        <v>0</v>
      </c>
      <c r="M534" s="23">
        <f>'[5]18нед'!D54</f>
        <v>0</v>
      </c>
      <c r="N534" s="21">
        <f>'[5]18нед'!G54</f>
        <v>0</v>
      </c>
      <c r="O534" s="22" t="str">
        <f>'[5]18нед'!H54</f>
        <v/>
      </c>
      <c r="P534" s="38"/>
    </row>
    <row r="535" spans="1:16" ht="31.5" x14ac:dyDescent="0.2">
      <c r="A535" s="65"/>
      <c r="B535" s="68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38"/>
      <c r="I535" s="70"/>
      <c r="J535" s="73"/>
      <c r="K535" s="14" t="s">
        <v>21</v>
      </c>
      <c r="L535" s="20">
        <f>'[5]18нед'!C55</f>
        <v>0</v>
      </c>
      <c r="M535" s="23">
        <f>'[5]18нед'!D55</f>
        <v>0</v>
      </c>
      <c r="N535" s="21">
        <f>'[5]18нед'!G55</f>
        <v>0</v>
      </c>
      <c r="O535" s="22" t="str">
        <f>'[5]18нед'!H55</f>
        <v/>
      </c>
      <c r="P535" s="38"/>
    </row>
    <row r="536" spans="1:16" ht="31.5" x14ac:dyDescent="0.2">
      <c r="A536" s="65"/>
      <c r="B536" s="68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38"/>
      <c r="I536" s="70"/>
      <c r="J536" s="73"/>
      <c r="K536" s="14" t="s">
        <v>22</v>
      </c>
      <c r="L536" s="20">
        <f>'[5]18нед'!C56</f>
        <v>0</v>
      </c>
      <c r="M536" s="23">
        <f>'[5]18нед'!D56</f>
        <v>0</v>
      </c>
      <c r="N536" s="21">
        <f>'[5]18нед'!G56</f>
        <v>0</v>
      </c>
      <c r="O536" s="22" t="str">
        <f>'[5]18нед'!H56</f>
        <v/>
      </c>
      <c r="P536" s="38"/>
    </row>
    <row r="537" spans="1:16" ht="31.5" x14ac:dyDescent="0.2">
      <c r="A537" s="65"/>
      <c r="B537" s="68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38"/>
      <c r="I537" s="70"/>
      <c r="J537" s="73"/>
      <c r="K537" s="14" t="s">
        <v>23</v>
      </c>
      <c r="L537" s="20">
        <f>'[5]18нед'!C57</f>
        <v>0</v>
      </c>
      <c r="M537" s="23">
        <f>'[5]18нед'!D57</f>
        <v>0</v>
      </c>
      <c r="N537" s="21">
        <f>'[5]18нед'!G57</f>
        <v>0</v>
      </c>
      <c r="O537" s="22" t="str">
        <f>'[5]18нед'!H57</f>
        <v/>
      </c>
      <c r="P537" s="38"/>
    </row>
    <row r="538" spans="1:16" ht="32.25" thickBot="1" x14ac:dyDescent="0.25">
      <c r="A538" s="65"/>
      <c r="B538" s="68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38"/>
      <c r="I538" s="70"/>
      <c r="J538" s="73"/>
      <c r="K538" s="14" t="s">
        <v>24</v>
      </c>
      <c r="L538" s="20">
        <f>'[5]18нед'!C58</f>
        <v>0</v>
      </c>
      <c r="M538" s="23">
        <f>'[5]18нед'!D58</f>
        <v>0</v>
      </c>
      <c r="N538" s="21">
        <f>'[5]18нед'!G58</f>
        <v>0</v>
      </c>
      <c r="O538" s="22" t="str">
        <f>'[5]18нед'!H58</f>
        <v/>
      </c>
      <c r="P538" s="38"/>
    </row>
    <row r="539" spans="1:16" ht="19.149999999999999" hidden="1" customHeight="1" thickTop="1" thickBot="1" x14ac:dyDescent="0.25">
      <c r="A539" s="66"/>
      <c r="B539" s="69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1"/>
      <c r="J539" s="74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3"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G539:H539">
    <cfRule type="cellIs" dxfId="49" priority="3399" operator="equal">
      <formula>"0. ,0, "</formula>
    </cfRule>
  </conditionalFormatting>
  <conditionalFormatting sqref="G539:H539">
    <cfRule type="cellIs" dxfId="48" priority="3398" operator="equal">
      <formula>"0. 0,0, ауд. 0, 0"</formula>
    </cfRule>
  </conditionalFormatting>
  <conditionalFormatting sqref="G539:H539">
    <cfRule type="cellIs" dxfId="47" priority="3397" operator="equal">
      <formula>"0. 0 0, ауд. 0, 0"</formula>
    </cfRule>
  </conditionalFormatting>
  <conditionalFormatting sqref="G539:H539">
    <cfRule type="cellIs" dxfId="46" priority="3396" operator="equal">
      <formula>"0. ,0, "</formula>
    </cfRule>
  </conditionalFormatting>
  <conditionalFormatting sqref="G539:H539">
    <cfRule type="cellIs" dxfId="45" priority="3395" operator="equal">
      <formula>"0. 0,0, ауд. 0, 0"</formula>
    </cfRule>
  </conditionalFormatting>
  <conditionalFormatting sqref="G539:H539">
    <cfRule type="cellIs" dxfId="44" priority="3394" operator="equal">
      <formula>"0. 0 0, ауд. 0, 0"</formula>
    </cfRule>
  </conditionalFormatting>
  <conditionalFormatting sqref="G539:H539">
    <cfRule type="cellIs" dxfId="43" priority="3393" operator="equal">
      <formula>"0. ,0, "</formula>
    </cfRule>
  </conditionalFormatting>
  <conditionalFormatting sqref="G539:H539">
    <cfRule type="cellIs" dxfId="42" priority="3392" operator="equal">
      <formula>"0. 0,0, ауд. 0, 0"</formula>
    </cfRule>
  </conditionalFormatting>
  <conditionalFormatting sqref="G539:H539">
    <cfRule type="cellIs" dxfId="41" priority="3391" operator="equal">
      <formula>"0. 0 0, ауд. 0, 0"</formula>
    </cfRule>
  </conditionalFormatting>
  <conditionalFormatting sqref="G539:H539">
    <cfRule type="cellIs" dxfId="40" priority="3389" operator="equal">
      <formula>"0. 0 0, ауд. 0,"</formula>
    </cfRule>
    <cfRule type="colorScale" priority="3390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60"/>
  <sheetViews>
    <sheetView tabSelected="1" view="pageBreakPreview" zoomScale="40" zoomScaleNormal="55" zoomScaleSheetLayoutView="40" workbookViewId="0">
      <selection activeCell="F16" sqref="F1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hidden="1" customWidth="1"/>
    <col min="19" max="19" width="65.1406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1</v>
      </c>
      <c r="F9" s="62"/>
      <c r="G9" s="62"/>
      <c r="H9" s="3"/>
      <c r="I9" s="45"/>
      <c r="J9" s="86" t="s">
        <v>7</v>
      </c>
      <c r="K9" s="86"/>
      <c r="L9" s="86"/>
      <c r="M9" s="62">
        <f>E9</f>
        <v>1</v>
      </c>
      <c r="N9" s="62"/>
      <c r="O9" s="62"/>
      <c r="P9" s="3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9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9"/>
    </row>
    <row r="11" spans="1:19" ht="46.5" customHeight="1" thickTop="1" thickBot="1" x14ac:dyDescent="0.4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3" t="s">
        <v>15</v>
      </c>
      <c r="S11" s="53" t="s">
        <v>16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HYPERLINK(VLOOKUP(M12,$R$11:$S$60,2,FALSE))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7.5" x14ac:dyDescent="0.2">
      <c r="A13" s="65"/>
      <c r="B13" s="68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>HYPERLINK(VLOOKUP(M13,$R$11:$S$60,2,FALSE))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5" x14ac:dyDescent="0.2">
      <c r="A14" s="65"/>
      <c r="B14" s="68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>HYPERLINK(VLOOKUP(M14,$R$11:$S$60,2,FALSE))</f>
        <v/>
      </c>
      <c r="R14" s="51" t="str">
        <f>[2]Уч.План!B63</f>
        <v>История России</v>
      </c>
      <c r="S14" s="54" t="s">
        <v>34</v>
      </c>
    </row>
    <row r="15" spans="1:19" ht="31.5" x14ac:dyDescent="0.2">
      <c r="A15" s="65"/>
      <c r="B15" s="68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>HYPERLINK(VLOOKUP(M15,$R$11:$S$60,2,FALSE))</f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5" x14ac:dyDescent="0.2">
      <c r="A16" s="65"/>
      <c r="B16" s="68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>HYPERLINK(VLOOKUP(M16,$R$11:$S$60,2,FALSE))</f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5" x14ac:dyDescent="0.2">
      <c r="A17" s="65"/>
      <c r="B17" s="68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>HYPERLINK(VLOOKUP(M17,$R$11:$S$60,2,FALSE))</f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1.5" x14ac:dyDescent="0.2">
      <c r="A18" s="65"/>
      <c r="B18" s="68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>HYPERLINK(VLOOKUP(M18,$R$11:$S$60,2,FALSE))</f>
        <v/>
      </c>
      <c r="R18" s="51" t="str">
        <f>[2]Уч.План!B67</f>
        <v>Алгебра и Геометрия</v>
      </c>
      <c r="S18" s="60" t="s">
        <v>33</v>
      </c>
    </row>
    <row r="19" spans="1:19" ht="19.5" customHeight="1" x14ac:dyDescent="0.2">
      <c r="A19" s="66"/>
      <c r="B19" s="69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>HYPERLINK(VLOOKUP(E19,$R$12:$S$60,2,FALSE))</f>
        <v/>
      </c>
      <c r="I19" s="71"/>
      <c r="J19" s="74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>HYPERLINK(VLOOKUP(M19,$R$11:$S$60,2,FALSE))</f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>HYPERLINK(VLOOKUP(M20,$R$11:$S$60,2,FALSE))</f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7.5" x14ac:dyDescent="0.2">
      <c r="A21" s="65"/>
      <c r="B21" s="68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>HYPERLINK(VLOOKUP(M21,$R$11:$S$60,2,FALSE))</f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7.5" x14ac:dyDescent="0.2">
      <c r="A22" s="65"/>
      <c r="B22" s="68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>HYPERLINK(VLOOKUP(M22,$R$11:$S$60,2,FALSE))</f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7.5" x14ac:dyDescent="0.2">
      <c r="A23" s="65"/>
      <c r="B23" s="68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</v>
      </c>
      <c r="P23" s="57" t="str">
        <f>HYPERLINK(VLOOKUP(M23,$R$11:$S$60,2,FALSE))</f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5" x14ac:dyDescent="0.2">
      <c r="A24" s="65"/>
      <c r="B24" s="68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>HYPERLINK(VLOOKUP(M24,$R$11:$S$60,2,FALSE))</f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5" x14ac:dyDescent="0.2">
      <c r="A25" s="65"/>
      <c r="B25" s="68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>HYPERLINK(VLOOKUP(M25,$R$11:$S$60,2,FALSE))</f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5" x14ac:dyDescent="0.2">
      <c r="A26" s="65"/>
      <c r="B26" s="68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>HYPERLINK(VLOOKUP(M26,$R$11:$S$60,2,FALSE))</f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 x14ac:dyDescent="0.25">
      <c r="A27" s="66"/>
      <c r="B27" s="69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>HYPERLINK(VLOOKUP(E27,$R$12:$S$60,2,FALSE))</f>
        <v/>
      </c>
      <c r="I27" s="71"/>
      <c r="J27" s="74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>HYPERLINK(VLOOKUP(M27,$R$11:$S$60,2,FALSE))</f>
        <v/>
      </c>
      <c r="R27" s="51">
        <f>[2]Уч.План!B76</f>
        <v>0</v>
      </c>
      <c r="S27" s="51"/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>HYPERLINK(VLOOKUP(E28,$R$12:$S$60,2,FALSE))</f>
        <v>https://max.ru/join/UK1-XZ_XTqTQMkUzITZ-AvDWmTQjDawZvR5fkupR8eE</v>
      </c>
      <c r="I28" s="64">
        <v>46274</v>
      </c>
      <c r="J28" s="78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>HYPERLINK(VLOOKUP(M28,$R$11:$S$60,2,FALSE))</f>
        <v>https://max.ru/join/UK1-XZ_XTqTQMkUzITZ-AvDWmTQjDawZvR5fkupR8eE</v>
      </c>
      <c r="R28" s="51">
        <f>[2]Уч.План!B77</f>
        <v>0</v>
      </c>
      <c r="S28" s="52">
        <v>0</v>
      </c>
    </row>
    <row r="29" spans="1:19" ht="37.5" x14ac:dyDescent="0.2">
      <c r="A29" s="65"/>
      <c r="B29" s="76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>HYPERLINK(VLOOKUP(E29,$R$12:$S$60,2,FALSE))</f>
        <v>https://max.ru/join/PF9p4nxFpYkpyJZDiJCXITBLRp8ioqfTBXE3wfeJlHs</v>
      </c>
      <c r="I29" s="70"/>
      <c r="J29" s="79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>HYPERLINK(VLOOKUP(M29,$R$11:$S$60,2,FALSE))</f>
        <v>https://max.ru/join/PF9p4nxFpYkpyJZDiJCXITBLRp8ioqfTBXE3wfeJlHs</v>
      </c>
      <c r="R29" s="51">
        <f>[2]Уч.План!B78</f>
        <v>0</v>
      </c>
      <c r="S29" s="52">
        <v>0</v>
      </c>
    </row>
    <row r="30" spans="1:19" ht="37.5" x14ac:dyDescent="0.2">
      <c r="A30" s="65"/>
      <c r="B30" s="76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>HYPERLINK(VLOOKUP(M30,$R$11:$S$60,2,FALSE))</f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5" x14ac:dyDescent="0.2">
      <c r="A31" s="65"/>
      <c r="B31" s="76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>HYPERLINK(VLOOKUP(M31,$R$11:$S$60,2,FALSE))</f>
        <v/>
      </c>
    </row>
    <row r="32" spans="1:19" ht="31.5" x14ac:dyDescent="0.2">
      <c r="A32" s="65"/>
      <c r="B32" s="76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>HYPERLINK(VLOOKUP(M32,$R$11:$S$60,2,FALSE))</f>
        <v/>
      </c>
    </row>
    <row r="33" spans="1:16" ht="31.5" x14ac:dyDescent="0.2">
      <c r="A33" s="65"/>
      <c r="B33" s="76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>HYPERLINK(VLOOKUP(M33,$R$11:$S$60,2,FALSE))</f>
        <v/>
      </c>
    </row>
    <row r="34" spans="1:16" ht="32.25" thickBot="1" x14ac:dyDescent="0.25">
      <c r="A34" s="65"/>
      <c r="B34" s="76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>HYPERLINK(VLOOKUP(M34,$R$11:$S$60,2,FALSE))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>HYPERLINK(VLOOKUP(E35,$R$12:$S$60,2,FALSE))</f>
        <v/>
      </c>
      <c r="I35" s="71"/>
      <c r="J35" s="80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>HYPERLINK(VLOOKUP(M35,$R$11:$S$60,2,FALSE))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>HYPERLINK(VLOOKUP(M36,$R$11:$S$60,2,FALSE))</f>
        <v/>
      </c>
    </row>
    <row r="37" spans="1:16" ht="31.5" x14ac:dyDescent="0.2">
      <c r="A37" s="65"/>
      <c r="B37" s="68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>HYPERLINK(VLOOKUP(M37,$R$11:$S$60,2,FALSE))</f>
        <v/>
      </c>
    </row>
    <row r="38" spans="1:16" ht="37.5" x14ac:dyDescent="0.2">
      <c r="A38" s="65"/>
      <c r="B38" s="68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>HYPERLINK(VLOOKUP(E38,$R$12:$S$60,2,FALSE))</f>
        <v>https://max.ru/join/PF9p4nxFpYkpyJZDiJCXITBLRp8ioqfTBXE3wfeJlHs</v>
      </c>
      <c r="I38" s="70"/>
      <c r="J38" s="73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>HYPERLINK(VLOOKUP(M38,$R$11:$S$60,2,FALSE))</f>
        <v/>
      </c>
    </row>
    <row r="39" spans="1:16" ht="37.5" x14ac:dyDescent="0.2">
      <c r="A39" s="65"/>
      <c r="B39" s="68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>HYPERLINK(VLOOKUP(E39,$R$12:$S$60,2,FALSE))</f>
        <v>https://max.ru/join/PF9p4nxFpYkpyJZDiJCXITBLRp8ioqfTBXE3wfeJlHs</v>
      </c>
      <c r="I39" s="70"/>
      <c r="J39" s="73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>HYPERLINK(VLOOKUP(M39,$R$11:$S$60,2,FALSE))</f>
        <v>https://max.ru/join/PF9p4nxFpYkpyJZDiJCXITBLRp8ioqfTBXE3wfeJlHs</v>
      </c>
    </row>
    <row r="40" spans="1:16" ht="37.5" x14ac:dyDescent="0.2">
      <c r="A40" s="65"/>
      <c r="B40" s="68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>HYPERLINK(VLOOKUP(M40,$R$11:$S$60,2,FALSE))</f>
        <v>https://max.ru/join/PF9p4nxFpYkpyJZDiJCXITBLRp8ioqfTBXE3wfeJlHs</v>
      </c>
    </row>
    <row r="41" spans="1:16" ht="31.5" x14ac:dyDescent="0.2">
      <c r="A41" s="65"/>
      <c r="B41" s="68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>HYPERLINK(VLOOKUP(M41,$R$11:$S$60,2,FALSE))</f>
        <v/>
      </c>
    </row>
    <row r="42" spans="1:16" ht="32.25" thickBot="1" x14ac:dyDescent="0.25">
      <c r="A42" s="65"/>
      <c r="B42" s="68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>HYPERLINK(VLOOKUP(M42,$R$11:$S$60,2,FALSE))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>HYPERLINK(VLOOKUP(E43,$R$12:$S$60,2,FALSE))</f>
        <v/>
      </c>
      <c r="I43" s="71"/>
      <c r="J43" s="74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>HYPERLINK(VLOOKUP(M43,$R$11:$S$60,2,FALSE))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>HYPERLINK(VLOOKUP(M44,$R$11:$S$60,2,FALSE))</f>
        <v>https://max.ru/join/PF9p4nxFpYkpyJZDiJCXITBLRp8ioqfTBXE3wfeJlHs</v>
      </c>
    </row>
    <row r="45" spans="1:16" ht="37.5" x14ac:dyDescent="0.2">
      <c r="A45" s="65"/>
      <c r="B45" s="68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>HYPERLINK(VLOOKUP(M45,$R$11:$S$60,2,FALSE))</f>
        <v>https://max.ru/join/PF9p4nxFpYkpyJZDiJCXITBLRp8ioqfTBXE3wfeJlHs</v>
      </c>
    </row>
    <row r="46" spans="1:16" ht="37.5" x14ac:dyDescent="0.2">
      <c r="A46" s="65"/>
      <c r="B46" s="68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>HYPERLINK(VLOOKUP(E46,$R$12:$S$60,2,FALSE))</f>
        <v>https://max.ru/join/PF9p4nxFpYkpyJZDiJCXITBLRp8ioqfTBXE3wfeJlHs</v>
      </c>
      <c r="I46" s="70"/>
      <c r="J46" s="73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>HYPERLINK(VLOOKUP(M46,$R$11:$S$60,2,FALSE))</f>
        <v>https://max.ru/join/PF9p4nxFpYkpyJZDiJCXITBLRp8ioqfTBXE3wfeJlHs</v>
      </c>
    </row>
    <row r="47" spans="1:16" ht="31.5" x14ac:dyDescent="0.2">
      <c r="A47" s="65"/>
      <c r="B47" s="68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>HYPERLINK(VLOOKUP(M47,$R$11:$S$60,2,FALSE))</f>
        <v/>
      </c>
    </row>
    <row r="48" spans="1:16" ht="31.5" x14ac:dyDescent="0.2">
      <c r="A48" s="65"/>
      <c r="B48" s="68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>HYPERLINK(VLOOKUP(M48,$R$11:$S$60,2,FALSE))</f>
        <v/>
      </c>
    </row>
    <row r="49" spans="1:16" ht="31.5" x14ac:dyDescent="0.2">
      <c r="A49" s="65"/>
      <c r="B49" s="68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>HYPERLINK(VLOOKUP(M49,$R$11:$S$60,2,FALSE))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>HYPERLINK(VLOOKUP(M50,$R$11:$S$60,2,FALSE))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>HYPERLINK(VLOOKUP(E51,$R$12:$S$60,2,FALSE))</f>
        <v/>
      </c>
      <c r="I51" s="71"/>
      <c r="J51" s="74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>HYPERLINK(VLOOKUP(M51,$R$11:$S$60,2,FALSE))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>HYPERLINK(VLOOKUP(M52,$R$11:$S$60,2,FALSE))</f>
        <v/>
      </c>
    </row>
    <row r="53" spans="1:16" ht="31.5" x14ac:dyDescent="0.2">
      <c r="A53" s="65"/>
      <c r="B53" s="68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>HYPERLINK(VLOOKUP(M53,$R$11:$S$60,2,FALSE))</f>
        <v/>
      </c>
    </row>
    <row r="54" spans="1:16" ht="31.5" x14ac:dyDescent="0.2">
      <c r="A54" s="65"/>
      <c r="B54" s="68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>HYPERLINK(VLOOKUP(M54,$R$11:$S$60,2,FALSE))</f>
        <v/>
      </c>
    </row>
    <row r="55" spans="1:16" ht="31.5" x14ac:dyDescent="0.2">
      <c r="A55" s="65"/>
      <c r="B55" s="68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>HYPERLINK(VLOOKUP(M55,$R$11:$S$60,2,FALSE))</f>
        <v/>
      </c>
    </row>
    <row r="56" spans="1:16" ht="31.5" x14ac:dyDescent="0.2">
      <c r="A56" s="65"/>
      <c r="B56" s="68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>HYPERLINK(VLOOKUP(M56,$R$11:$S$60,2,FALSE))</f>
        <v/>
      </c>
    </row>
    <row r="57" spans="1:16" ht="31.5" x14ac:dyDescent="0.2">
      <c r="A57" s="65"/>
      <c r="B57" s="68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>HYPERLINK(VLOOKUP(M57,$R$11:$S$60,2,FALSE))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>HYPERLINK(VLOOKUP(M58,$R$11:$S$60,2,FALSE))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1"/>
      <c r="J59" s="7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</sheetData>
  <mergeCells count="38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colBreaks count="1" manualBreakCount="1"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60"/>
  <sheetViews>
    <sheetView view="pageBreakPreview" topLeftCell="G40" zoomScale="55" zoomScaleNormal="55" zoomScaleSheetLayoutView="55" workbookViewId="0">
      <selection activeCell="E72" sqref="E72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hidden="1" customWidth="1"/>
    <col min="19" max="19" width="52.425781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1</v>
      </c>
      <c r="F9" s="62"/>
      <c r="G9" s="62"/>
      <c r="H9" s="35"/>
      <c r="I9" s="45"/>
      <c r="J9" s="86" t="s">
        <v>7</v>
      </c>
      <c r="K9" s="86"/>
      <c r="L9" s="86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67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HYPERLINK(VLOOKUP(M12,$R$12:$S$60,2,FALSE))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7.5" x14ac:dyDescent="0.2">
      <c r="A13" s="65"/>
      <c r="B13" s="68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>HYPERLINK(VLOOKUP(M13,$R$12:$S$60,2,FALSE))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7.5" x14ac:dyDescent="0.2">
      <c r="A14" s="65"/>
      <c r="B14" s="68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>HYPERLINK(VLOOKUP(M14,$R$12:$S$60,2,FALSE))</f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7.5" x14ac:dyDescent="0.2">
      <c r="A15" s="65"/>
      <c r="B15" s="68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>HYPERLINK(VLOOKUP(M15,$R$12:$S$60,2,FALSE))</f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5" x14ac:dyDescent="0.2">
      <c r="A16" s="65"/>
      <c r="B16" s="68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>HYPERLINK(VLOOKUP(M16,$R$12:$S$60,2,FALSE))</f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65"/>
      <c r="B17" s="68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>HYPERLINK(VLOOKUP(M17,$R$12:$S$60,2,FALSE))</f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5" x14ac:dyDescent="0.2">
      <c r="A18" s="65"/>
      <c r="B18" s="68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>HYPERLINK(VLOOKUP(M18,$R$12:$S$60,2,FALSE))</f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x14ac:dyDescent="0.2">
      <c r="A19" s="66"/>
      <c r="B19" s="69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>HYPERLINK(VLOOKUP(E19,$R$12:$S$60,2,FALSE))</f>
        <v/>
      </c>
      <c r="I19" s="71"/>
      <c r="J19" s="74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>HYPERLINK(VLOOKUP(M19,$R$12:$S$60,2,FALSE))</f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>HYPERLINK(VLOOKUP(M20,$R$12:$S$60,2,FALSE))</f>
        <v/>
      </c>
      <c r="R20" s="51" t="str">
        <f>[2]Уч.План!B118</f>
        <v>Геометрия</v>
      </c>
      <c r="S20" s="60" t="s">
        <v>42</v>
      </c>
    </row>
    <row r="21" spans="1:19" ht="31.5" x14ac:dyDescent="0.2">
      <c r="A21" s="65"/>
      <c r="B21" s="68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>HYPERLINK(VLOOKUP(M21,$R$12:$S$60,2,FALSE))</f>
        <v/>
      </c>
      <c r="R21" s="51" t="str">
        <f>[2]Уч.План!B119</f>
        <v>Алгебра</v>
      </c>
      <c r="S21" s="60" t="s">
        <v>42</v>
      </c>
    </row>
    <row r="22" spans="1:19" ht="37.5" x14ac:dyDescent="0.2">
      <c r="A22" s="65"/>
      <c r="B22" s="68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>HYPERLINK(VLOOKUP(M22,$R$12:$S$60,2,FALSE))</f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 x14ac:dyDescent="0.2">
      <c r="A23" s="65"/>
      <c r="B23" s="68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</v>
      </c>
      <c r="P23" s="57" t="str">
        <f>HYPERLINK(VLOOKUP(M23,$R$12:$S$60,2,FALSE))</f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5" x14ac:dyDescent="0.2">
      <c r="A24" s="65"/>
      <c r="B24" s="68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>HYPERLINK(VLOOKUP(M24,$R$12:$S$60,2,FALSE))</f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5" x14ac:dyDescent="0.2">
      <c r="A25" s="65"/>
      <c r="B25" s="68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>HYPERLINK(VLOOKUP(M25,$R$12:$S$60,2,FALSE))</f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5" x14ac:dyDescent="0.2">
      <c r="A26" s="65"/>
      <c r="B26" s="68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>HYPERLINK(VLOOKUP(M26,$R$12:$S$60,2,FALSE))</f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x14ac:dyDescent="0.2">
      <c r="A27" s="66"/>
      <c r="B27" s="69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>HYPERLINK(VLOOKUP(E27,$R$12:$S$60,2,FALSE))</f>
        <v/>
      </c>
      <c r="I27" s="71"/>
      <c r="J27" s="74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>HYPERLINK(VLOOKUP(M27,$R$12:$S$60,2,FALSE))</f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x14ac:dyDescent="0.2">
      <c r="A28" s="64">
        <v>46267</v>
      </c>
      <c r="B28" s="75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>HYPERLINK(VLOOKUP(E28,$R$12:$S$60,2,FALSE))</f>
        <v>https://max.ru/join/UK1-XZ_XTqTQMkUzITZ-AvDWmTQjDawZvR5fkupR8eE</v>
      </c>
      <c r="I28" s="64">
        <v>46274</v>
      </c>
      <c r="J28" s="78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>HYPERLINK(VLOOKUP(M28,$R$12:$S$60,2,FALSE))</f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5" x14ac:dyDescent="0.2">
      <c r="A29" s="65"/>
      <c r="B29" s="76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>HYPERLINK(VLOOKUP(M29,$R$12:$S$60,2,FALSE))</f>
        <v/>
      </c>
      <c r="R29" s="51">
        <f>[2]Уч.План!B127</f>
        <v>0</v>
      </c>
      <c r="S29" s="51"/>
    </row>
    <row r="30" spans="1:19" ht="37.5" x14ac:dyDescent="0.2">
      <c r="A30" s="65"/>
      <c r="B30" s="76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>HYPERLINK(VLOOKUP(M30,$R$12:$S$60,2,FALSE))</f>
        <v>https://max.ru/join/OH6fDuRVjPmIa0jo8bkpQ88VaCOt5qUj0lgw60QfR6E</v>
      </c>
      <c r="R30" s="51">
        <f>[2]Уч.План!B128</f>
        <v>0</v>
      </c>
      <c r="S30" s="51"/>
    </row>
    <row r="31" spans="1:19" ht="37.5" x14ac:dyDescent="0.2">
      <c r="A31" s="65"/>
      <c r="B31" s="76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>HYPERLINK(VLOOKUP(M31,$R$12:$S$60,2,FALSE))</f>
        <v>https://max.ru/join/OH6fDuRVjPmIa0jo8bkpQ88VaCOt5qUj0lgw60QfR6E</v>
      </c>
    </row>
    <row r="32" spans="1:19" ht="31.5" x14ac:dyDescent="0.2">
      <c r="A32" s="65"/>
      <c r="B32" s="76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>HYPERLINK(VLOOKUP(M32,$R$12:$S$60,2,FALSE))</f>
        <v/>
      </c>
    </row>
    <row r="33" spans="1:16" ht="31.5" x14ac:dyDescent="0.2">
      <c r="A33" s="65"/>
      <c r="B33" s="76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>HYPERLINK(VLOOKUP(M33,$R$12:$S$60,2,FALSE))</f>
        <v/>
      </c>
    </row>
    <row r="34" spans="1:16" ht="32.25" thickBot="1" x14ac:dyDescent="0.25">
      <c r="A34" s="65"/>
      <c r="B34" s="76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>HYPERLINK(VLOOKUP(E35,$R$12:$S$60,2,FALSE))</f>
        <v/>
      </c>
      <c r="I35" s="71"/>
      <c r="J35" s="80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'[1]2нед'!S36</f>
        <v>0</v>
      </c>
      <c r="M36" s="19">
        <f>'[1]2нед'!T36</f>
        <v>0</v>
      </c>
      <c r="N36" s="17">
        <f>'[1]2нед'!W36</f>
        <v>0</v>
      </c>
      <c r="O36" s="18" t="str">
        <f>'[1]2нед'!X36</f>
        <v/>
      </c>
      <c r="P36" s="56" t="str">
        <f>HYPERLINK(VLOOKUP(M36,$R$12:$S$60,2,FALSE))</f>
        <v/>
      </c>
    </row>
    <row r="37" spans="1:16" ht="37.5" x14ac:dyDescent="0.2">
      <c r="A37" s="65"/>
      <c r="B37" s="68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>HYPERLINK(VLOOKUP(E37,$R$12:$S$60,2,FALSE))</f>
        <v>https://max.ru/join/OH6fDuRVjPmIa0jo8bkpQ88VaCOt5qUj0lgw60QfR6E</v>
      </c>
      <c r="I37" s="70"/>
      <c r="J37" s="73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>HYPERLINK(VLOOKUP(M37,$R$12:$S$60,2,FALSE))</f>
        <v/>
      </c>
    </row>
    <row r="38" spans="1:16" ht="37.5" x14ac:dyDescent="0.2">
      <c r="A38" s="65"/>
      <c r="B38" s="68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>HYPERLINK(VLOOKUP(M38,$R$12:$S$60,2,FALSE))</f>
        <v>https://max.ru/join/OH6fDuRVjPmIa0jo8bkpQ88VaCOt5qUj0lgw60QfR6E</v>
      </c>
    </row>
    <row r="39" spans="1:16" ht="37.5" x14ac:dyDescent="0.2">
      <c r="A39" s="65"/>
      <c r="B39" s="68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>HYPERLINK(VLOOKUP(M39,$R$12:$S$60,2,FALSE))</f>
        <v>https://max.ru/join/RrwhTNjGuc3DgsCx989HtQjNPhbdkA4EOwQlUrySmIY</v>
      </c>
    </row>
    <row r="40" spans="1:16" ht="37.5" x14ac:dyDescent="0.2">
      <c r="A40" s="65"/>
      <c r="B40" s="68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 t="str">
        <f>'[1]2нед'!S40</f>
        <v>пр</v>
      </c>
      <c r="M40" s="23" t="str">
        <f>'[1]2нед'!T40</f>
        <v xml:space="preserve"> Основы российской государственности</v>
      </c>
      <c r="N40" s="21" t="str">
        <f>'[1]2нед'!W40</f>
        <v>Лысенко Е.Г.</v>
      </c>
      <c r="O40" s="22" t="str">
        <f>'[1]2нед'!X40</f>
        <v>доцент, канд. наук</v>
      </c>
      <c r="P40" s="57" t="str">
        <f>HYPERLINK(VLOOKUP(M40,$R$12:$S$60,2,FALSE))</f>
        <v>https://max.ru/join/otW8lgS1PqJ5ZhmtKc1Abb8BfYMXnmtaMD7qcLUGCxg</v>
      </c>
    </row>
    <row r="41" spans="1:16" ht="31.5" x14ac:dyDescent="0.2">
      <c r="A41" s="65"/>
      <c r="B41" s="68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>HYPERLINK(VLOOKUP(M41,$R$12:$S$60,2,FALSE))</f>
        <v/>
      </c>
    </row>
    <row r="42" spans="1:16" ht="32.25" thickBot="1" x14ac:dyDescent="0.25">
      <c r="A42" s="65"/>
      <c r="B42" s="68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>HYPERLINK(VLOOKUP(M42,$R$12:$S$60,2,FALSE))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>HYPERLINK(VLOOKUP(E43,$R$12:$S$60,2,FALSE))</f>
        <v/>
      </c>
      <c r="I43" s="71"/>
      <c r="J43" s="74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>HYPERLINK(VLOOKUP(E44,$R$12:$S$60,2,FALSE))</f>
        <v>https://max.ru/join/otW8lgS1PqJ5ZhmtKc1Abb8BfYMXnmtaMD7qcLUGCxg</v>
      </c>
      <c r="I44" s="64">
        <v>46276</v>
      </c>
      <c r="J44" s="72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>HYPERLINK(VLOOKUP(M44,$R$12:$S$60,2,FALSE))</f>
        <v>https://max.ru/join/OH6fDuRVjPmIa0jo8bkpQ88VaCOt5qUj0lgw60QfR6E</v>
      </c>
    </row>
    <row r="45" spans="1:16" ht="37.5" x14ac:dyDescent="0.2">
      <c r="A45" s="65"/>
      <c r="B45" s="68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>HYPERLINK(VLOOKUP(E45,$R$12:$S$60,2,FALSE))</f>
        <v>https://max.ru/join/OH6fDuRVjPmIa0jo8bkpQ88VaCOt5qUj0lgw60QfR6E</v>
      </c>
      <c r="I45" s="70"/>
      <c r="J45" s="73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>HYPERLINK(VLOOKUP(M45,$R$12:$S$60,2,FALSE))</f>
        <v>https://max.ru/join/otW8lgS1PqJ5ZhmtKc1Abb8BfYMXnmtaMD7qcLUGCxg</v>
      </c>
    </row>
    <row r="46" spans="1:16" ht="37.5" x14ac:dyDescent="0.2">
      <c r="A46" s="65"/>
      <c r="B46" s="68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>HYPERLINK(VLOOKUP(E46,$R$12:$S$60,2,FALSE))</f>
        <v>https://max.ru/join/OH6fDuRVjPmIa0jo8bkpQ88VaCOt5qUj0lgw60QfR6E</v>
      </c>
      <c r="I46" s="70"/>
      <c r="J46" s="73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>HYPERLINK(VLOOKUP(M46,$R$12:$S$60,2,FALSE))</f>
        <v>https://max.ru/join/OH6fDuRVjPmIa0jo8bkpQ88VaCOt5qUj0lgw60QfR6E</v>
      </c>
    </row>
    <row r="47" spans="1:16" ht="31.5" x14ac:dyDescent="0.2">
      <c r="A47" s="65"/>
      <c r="B47" s="68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>HYPERLINK(VLOOKUP(E51,$R$12:$S$60,2,FALSE))</f>
        <v/>
      </c>
      <c r="I51" s="71"/>
      <c r="J51" s="74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HYPERLINK(VLOOKUP(E59,$R$12:$S$60,2,FALSE))</f>
        <v/>
      </c>
      <c r="I59" s="71"/>
      <c r="J59" s="7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colBreaks count="1" manualBreakCount="1">
    <brk id="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60"/>
  <sheetViews>
    <sheetView view="pageBreakPreview" topLeftCell="G15" zoomScale="48" zoomScaleNormal="55" zoomScaleSheetLayoutView="48" workbookViewId="0">
      <selection activeCell="E70" sqref="E7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hidden="1" customWidth="1"/>
    <col min="19" max="19" width="21.710937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1</v>
      </c>
      <c r="F9" s="62"/>
      <c r="G9" s="62"/>
      <c r="H9" s="35"/>
      <c r="I9" s="45"/>
      <c r="J9" s="86" t="s">
        <v>7</v>
      </c>
      <c r="K9" s="86"/>
      <c r="L9" s="86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HYPERLINK(VLOOKUP(M12,$R$12:$S$60,2,FALSE))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7.5" x14ac:dyDescent="0.2">
      <c r="A13" s="65"/>
      <c r="B13" s="68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>HYPERLINK(VLOOKUP(M13,$R$12:$S$60,2,FALSE))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7.5" x14ac:dyDescent="0.2">
      <c r="A14" s="65"/>
      <c r="B14" s="68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>HYPERLINK(VLOOKUP(M14,$R$12:$S$60,2,FALSE))</f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7.5" x14ac:dyDescent="0.2">
      <c r="A15" s="65"/>
      <c r="B15" s="68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>HYPERLINK(VLOOKUP(M15,$R$12:$S$60,2,FALSE))</f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5" x14ac:dyDescent="0.2">
      <c r="A16" s="65"/>
      <c r="B16" s="68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>HYPERLINK(VLOOKUP(M16,$R$12:$S$60,2,FALSE))</f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65"/>
      <c r="B17" s="68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>HYPERLINK(VLOOKUP(M17,$R$12:$S$60,2,FALSE))</f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5" x14ac:dyDescent="0.2">
      <c r="A18" s="65"/>
      <c r="B18" s="68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>HYPERLINK(VLOOKUP(M18,$R$12:$S$60,2,FALSE))</f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x14ac:dyDescent="0.2">
      <c r="A19" s="66"/>
      <c r="B19" s="69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>HYPERLINK(VLOOKUP(E19,$R$12:$S$60,2,FALSE))</f>
        <v/>
      </c>
      <c r="I19" s="71"/>
      <c r="J19" s="74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>HYPERLINK(VLOOKUP(M19,$R$12:$S$60,2,FALSE))</f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>HYPERLINK(VLOOKUP(M20,$R$12:$S$60,2,FALSE))</f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7.5" x14ac:dyDescent="0.2">
      <c r="A21" s="65"/>
      <c r="B21" s="68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>HYPERLINK(VLOOKUP(M21,$R$12:$S$60,2,FALSE))</f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7.5" x14ac:dyDescent="0.2">
      <c r="A22" s="65"/>
      <c r="B22" s="68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>HYPERLINK(VLOOKUP(M22,$R$12:$S$60,2,FALSE))</f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 x14ac:dyDescent="0.2">
      <c r="A23" s="65"/>
      <c r="B23" s="68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</v>
      </c>
      <c r="P23" s="57" t="str">
        <f>HYPERLINK(VLOOKUP(M23,$R$12:$S$60,2,FALSE))</f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5" x14ac:dyDescent="0.2">
      <c r="A24" s="65"/>
      <c r="B24" s="68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>HYPERLINK(VLOOKUP(M24,$R$12:$S$60,2,FALSE))</f>
        <v/>
      </c>
      <c r="R24" s="51" t="str">
        <f>[2]Уч.План!B171</f>
        <v>Обучение служением</v>
      </c>
      <c r="S24" s="60" t="s">
        <v>37</v>
      </c>
    </row>
    <row r="25" spans="1:19" ht="31.5" x14ac:dyDescent="0.2">
      <c r="A25" s="65"/>
      <c r="B25" s="68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>HYPERLINK(VLOOKUP(M25,$R$12:$S$60,2,FALSE))</f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5" x14ac:dyDescent="0.2">
      <c r="A26" s="65"/>
      <c r="B26" s="68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>HYPERLINK(VLOOKUP(M26,$R$12:$S$60,2,FALSE))</f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x14ac:dyDescent="0.2">
      <c r="A27" s="66"/>
      <c r="B27" s="69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>HYPERLINK(VLOOKUP(E27,$R$12:$S$60,2,FALSE))</f>
        <v/>
      </c>
      <c r="I27" s="71"/>
      <c r="J27" s="74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>HYPERLINK(VLOOKUP(M27,$R$12:$S$60,2,FALSE))</f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x14ac:dyDescent="0.2">
      <c r="A28" s="64">
        <v>46267</v>
      </c>
      <c r="B28" s="75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>HYPERLINK(VLOOKUP(E28,$R$12:$S$60,2,FALSE))</f>
        <v>https://max.ru/join/UK1-XZ_XTqTQMkUzITZ-AvDWmTQjDawZvR5fkupR8eE</v>
      </c>
      <c r="I28" s="64">
        <v>46274</v>
      </c>
      <c r="J28" s="78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>HYPERLINK(VLOOKUP(M28,$R$12:$S$60,2,FALSE))</f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7.5" x14ac:dyDescent="0.2">
      <c r="A29" s="65"/>
      <c r="B29" s="76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>HYPERLINK(VLOOKUP(E29,$R$12:$S$60,2,FALSE))</f>
        <v>https://max.ru/join/TCEatH6Avl8o9m9sQTggJgcSrdIkaHPRw7RIzgXKilo</v>
      </c>
      <c r="I29" s="70"/>
      <c r="J29" s="79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>HYPERLINK(VLOOKUP(M29,$R$12:$S$60,2,FALSE))</f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5" x14ac:dyDescent="0.2">
      <c r="A30" s="65"/>
      <c r="B30" s="76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>HYPERLINK(VLOOKUP(M30,$R$12:$S$60,2,FALSE))</f>
        <v/>
      </c>
      <c r="R30" s="51">
        <f>[2]Уч.План!B177</f>
        <v>0</v>
      </c>
      <c r="S30" s="51"/>
    </row>
    <row r="31" spans="1:19" ht="31.5" x14ac:dyDescent="0.2">
      <c r="A31" s="65"/>
      <c r="B31" s="76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>HYPERLINK(VLOOKUP(M31,$R$12:$S$60,2,FALSE))</f>
        <v/>
      </c>
      <c r="R31" s="51">
        <f>[2]Уч.План!B178</f>
        <v>0</v>
      </c>
      <c r="S31" s="51"/>
    </row>
    <row r="32" spans="1:19" ht="32.25" thickBot="1" x14ac:dyDescent="0.25">
      <c r="A32" s="65"/>
      <c r="B32" s="76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>HYPERLINK(VLOOKUP(M32,$R$12:$S$60,2,FALSE))</f>
        <v/>
      </c>
      <c r="R32" s="51">
        <f>[2]Уч.План!B179</f>
        <v>0</v>
      </c>
      <c r="S32" s="51"/>
    </row>
    <row r="33" spans="1:19" ht="32.25" thickTop="1" x14ac:dyDescent="0.2">
      <c r="A33" s="65"/>
      <c r="B33" s="76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>HYPERLINK(VLOOKUP(M33,$R$12:$S$60,2,FALSE))</f>
        <v/>
      </c>
      <c r="R33" s="51">
        <f>[2]Уч.План!B180</f>
        <v>0</v>
      </c>
      <c r="S33" s="51"/>
    </row>
    <row r="34" spans="1:19" ht="32.25" thickBot="1" x14ac:dyDescent="0.25">
      <c r="A34" s="65"/>
      <c r="B34" s="76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>HYPERLINK(VLOOKUP(M34,$R$12:$S$60,2,FALSE))</f>
        <v/>
      </c>
      <c r="R34" s="51">
        <f>[2]Уч.План!B181</f>
        <v>0</v>
      </c>
      <c r="S34" s="51"/>
    </row>
    <row r="35" spans="1:19" ht="18.399999999999999" hidden="1" customHeight="1" thickBot="1" x14ac:dyDescent="0.25">
      <c r="A35" s="66"/>
      <c r="B35" s="77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>HYPERLINK(VLOOKUP(E35,$R$12:$S$60,2,FALSE))</f>
        <v/>
      </c>
      <c r="I35" s="71"/>
      <c r="J35" s="80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>HYPERLINK(VLOOKUP(M35,$R$12:$S$60,2,FALSE))</f>
        <v/>
      </c>
      <c r="R35">
        <f>[2]Уч.План!B182</f>
        <v>0</v>
      </c>
    </row>
    <row r="36" spans="1:19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'[1]2нед'!C98</f>
        <v>0</v>
      </c>
      <c r="M36" s="19">
        <f>'[1]2нед'!D98</f>
        <v>0</v>
      </c>
      <c r="N36" s="17">
        <f>'[1]2нед'!G98</f>
        <v>0</v>
      </c>
      <c r="O36" s="18" t="str">
        <f>'[1]2нед'!H98</f>
        <v/>
      </c>
      <c r="P36" s="56" t="str">
        <f>HYPERLINK(VLOOKUP(M36,$R$12:$S$60,2,FALSE))</f>
        <v/>
      </c>
    </row>
    <row r="37" spans="1:19" ht="37.5" x14ac:dyDescent="0.2">
      <c r="A37" s="65"/>
      <c r="B37" s="68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>HYPERLINK(VLOOKUP(E37,$R$12:$S$60,2,FALSE))</f>
        <v>https://max.ru/join/TCEatH6Avl8o9m9sQTggJgcSrdIkaHPRw7RIzgXKilo</v>
      </c>
      <c r="I37" s="70"/>
      <c r="J37" s="73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>HYPERLINK(VLOOKUP(M37,$R$12:$S$60,2,FALSE))</f>
        <v>https://max.ru/join/TCEatH6Avl8o9m9sQTggJgcSrdIkaHPRw7RIzgXKilo</v>
      </c>
    </row>
    <row r="38" spans="1:19" ht="37.5" x14ac:dyDescent="0.2">
      <c r="A38" s="65"/>
      <c r="B38" s="68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>HYPERLINK(VLOOKUP(E38,$R$12:$S$60,2,FALSE))</f>
        <v>https://max.ru/join/TCEatH6Avl8o9m9sQTggJgcSrdIkaHPRw7RIzgXKilo</v>
      </c>
      <c r="I38" s="70"/>
      <c r="J38" s="73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>HYPERLINK(VLOOKUP(M38,$R$12:$S$60,2,FALSE))</f>
        <v>https://max.ru/join/TCEatH6Avl8o9m9sQTggJgcSrdIkaHPRw7RIzgXKilo</v>
      </c>
    </row>
    <row r="39" spans="1:19" ht="37.5" x14ac:dyDescent="0.2">
      <c r="A39" s="65"/>
      <c r="B39" s="68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>HYPERLINK(VLOOKUP(M39,$R$12:$S$60,2,FALSE))</f>
        <v>https://max.ru/join/RrwhTNjGuc3DgsCx989HtQjNPhbdkA4EOwQlUrySmIY</v>
      </c>
    </row>
    <row r="40" spans="1:19" ht="37.5" x14ac:dyDescent="0.2">
      <c r="A40" s="65"/>
      <c r="B40" s="68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 t="str">
        <f>'[1]2нед'!C102</f>
        <v>пр</v>
      </c>
      <c r="M40" s="23" t="str">
        <f>'[1]2нед'!D102</f>
        <v xml:space="preserve"> Основы российской государственности</v>
      </c>
      <c r="N40" s="21" t="str">
        <f>'[1]2нед'!G102</f>
        <v>Лысенко Е.Г.</v>
      </c>
      <c r="O40" s="22" t="str">
        <f>'[1]2нед'!H102</f>
        <v>доцент, канд. наук</v>
      </c>
      <c r="P40" s="57" t="str">
        <f>HYPERLINK(VLOOKUP(M40,$R$12:$S$60,2,FALSE))</f>
        <v>https://max.ru/join/otW8lgS1PqJ5ZhmtKc1Abb8BfYMXnmtaMD7qcLUGCxg</v>
      </c>
    </row>
    <row r="41" spans="1:19" ht="31.5" x14ac:dyDescent="0.2">
      <c r="A41" s="65"/>
      <c r="B41" s="68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>HYPERLINK(VLOOKUP(M41,$R$12:$S$60,2,FALSE))</f>
        <v/>
      </c>
    </row>
    <row r="42" spans="1:19" ht="32.25" thickBot="1" x14ac:dyDescent="0.25">
      <c r="A42" s="65"/>
      <c r="B42" s="68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>HYPERLINK(VLOOKUP(M42,$R$12:$S$60,2,FALSE))</f>
        <v/>
      </c>
    </row>
    <row r="43" spans="1:19" ht="18.399999999999999" hidden="1" customHeight="1" thickBot="1" x14ac:dyDescent="0.25">
      <c r="A43" s="66"/>
      <c r="B43" s="69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>HYPERLINK(VLOOKUP(E43,$R$12:$S$60,2,FALSE))</f>
        <v/>
      </c>
      <c r="I43" s="71"/>
      <c r="J43" s="74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>HYPERLINK(VLOOKUP(M43,$R$12:$S$60,2,FALSE))</f>
        <v/>
      </c>
    </row>
    <row r="44" spans="1:19" ht="48" customHeight="1" thickTop="1" x14ac:dyDescent="0.2">
      <c r="A44" s="64">
        <v>46269</v>
      </c>
      <c r="B44" s="67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>HYPERLINK(VLOOKUP(E44,$R$12:$S$60,2,FALSE))</f>
        <v>https://max.ru/join/otW8lgS1PqJ5ZhmtKc1Abb8BfYMXnmtaMD7qcLUGCxg</v>
      </c>
      <c r="I44" s="64">
        <v>46276</v>
      </c>
      <c r="J44" s="72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>HYPERLINK(VLOOKUP(M44,$R$12:$S$60,2,FALSE))</f>
        <v/>
      </c>
    </row>
    <row r="45" spans="1:19" ht="37.5" x14ac:dyDescent="0.2">
      <c r="A45" s="65"/>
      <c r="B45" s="68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>HYPERLINK(VLOOKUP(E45,$R$12:$S$60,2,FALSE))</f>
        <v>https://max.ru/join/TCEatH6Avl8o9m9sQTggJgcSrdIkaHPRw7RIzgXKilo</v>
      </c>
      <c r="I45" s="70"/>
      <c r="J45" s="73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>HYPERLINK(VLOOKUP(M45,$R$12:$S$60,2,FALSE))</f>
        <v>https://max.ru/join/otW8lgS1PqJ5ZhmtKc1Abb8BfYMXnmtaMD7qcLUGCxg</v>
      </c>
    </row>
    <row r="46" spans="1:19" ht="37.5" x14ac:dyDescent="0.2">
      <c r="A46" s="65"/>
      <c r="B46" s="68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>HYPERLINK(VLOOKUP(M46,$R$12:$S$60,2,FALSE))</f>
        <v>https://max.ru/join/TCEatH6Avl8o9m9sQTggJgcSrdIkaHPRw7RIzgXKilo</v>
      </c>
    </row>
    <row r="47" spans="1:19" ht="37.5" x14ac:dyDescent="0.2">
      <c r="A47" s="65"/>
      <c r="B47" s="68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>HYPERLINK(VLOOKUP(M47,$R$12:$S$60,2,FALSE))</f>
        <v>https://max.ru/join/TCEatH6Avl8o9m9sQTggJgcSrdIkaHPRw7RIzgXKilo</v>
      </c>
    </row>
    <row r="48" spans="1:19" ht="31.5" x14ac:dyDescent="0.2">
      <c r="A48" s="65"/>
      <c r="B48" s="68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>HYPERLINK(VLOOKUP(E51,$R$12:$S$60,2,FALSE))</f>
        <v/>
      </c>
      <c r="I51" s="71"/>
      <c r="J51" s="74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HYPERLINK(VLOOKUP(E59,$R$12:$S$60,2,FALSE))</f>
        <v/>
      </c>
      <c r="I59" s="71"/>
      <c r="J59" s="7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J28:J35"/>
    <mergeCell ref="A36:A43"/>
    <mergeCell ref="B36:B43"/>
    <mergeCell ref="I36:I43"/>
    <mergeCell ref="J36:J43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</mergeCells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60"/>
  <sheetViews>
    <sheetView view="pageBreakPreview" topLeftCell="A47" zoomScale="55" zoomScaleNormal="55" zoomScaleSheetLayoutView="55" workbookViewId="0">
      <selection activeCell="A61" sqref="A61:XFD54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hidden="1" customWidth="1"/>
    <col min="19" max="19" width="31.285156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/>
      <c r="G9" s="62"/>
      <c r="H9" s="35"/>
      <c r="I9" s="45"/>
      <c r="J9" s="86" t="s">
        <v>7</v>
      </c>
      <c r="K9" s="86"/>
      <c r="L9" s="86"/>
      <c r="M9" s="62">
        <f>E9</f>
        <v>2</v>
      </c>
      <c r="N9" s="62"/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HYPERLINK(VLOOKUP(M12,$R$12:$S$60,2,FALSE))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7.5" x14ac:dyDescent="0.2">
      <c r="A13" s="65"/>
      <c r="B13" s="68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>HYPERLINK(VLOOKUP(M13,$R$12:$S$60,2,FALSE))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7.5" x14ac:dyDescent="0.2">
      <c r="A14" s="65"/>
      <c r="B14" s="68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>HYPERLINK(VLOOKUP(M14,$R$12:$S$60,2,FALSE))</f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5" x14ac:dyDescent="0.2">
      <c r="A15" s="65"/>
      <c r="B15" s="68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>HYPERLINK(VLOOKUP(M15,$R$12:$S$60,2,FALSE))</f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5" x14ac:dyDescent="0.2">
      <c r="A16" s="65"/>
      <c r="B16" s="68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>HYPERLINK(VLOOKUP(M16,$R$12:$S$60,2,FALSE))</f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5" x14ac:dyDescent="0.2">
      <c r="A17" s="65"/>
      <c r="B17" s="68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>HYPERLINK(VLOOKUP(M17,$R$12:$S$60,2,FALSE))</f>
        <v/>
      </c>
      <c r="R17" t="str">
        <f>[2]Уч.План!B213</f>
        <v>Основы компьютерных наук</v>
      </c>
      <c r="S17" s="61" t="s">
        <v>47</v>
      </c>
    </row>
    <row r="18" spans="1:19" ht="32.25" thickBot="1" x14ac:dyDescent="0.25">
      <c r="A18" s="65"/>
      <c r="B18" s="68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>HYPERLINK(VLOOKUP(M18,$R$12:$S$60,2,FALSE))</f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 x14ac:dyDescent="0.25">
      <c r="A19" s="66"/>
      <c r="B19" s="69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>HYPERLINK(VLOOKUP(E19,$R$12:$S$60,2,FALSE))</f>
        <v/>
      </c>
      <c r="I19" s="71"/>
      <c r="J19" s="74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>HYPERLINK(VLOOKUP(M19,$R$12:$S$60,2,FALSE))</f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>HYPERLINK(VLOOKUP(M20,$R$12:$S$60,2,FALSE))</f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7.5" x14ac:dyDescent="0.2">
      <c r="A21" s="65"/>
      <c r="B21" s="68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>HYPERLINK(VLOOKUP(M21,$R$12:$S$60,2,FALSE))</f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7.5" x14ac:dyDescent="0.2">
      <c r="A22" s="65"/>
      <c r="B22" s="68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>HYPERLINK(VLOOKUP(M22,$R$12:$S$60,2,FALSE))</f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5" x14ac:dyDescent="0.2">
      <c r="A23" s="65"/>
      <c r="B23" s="68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>HYPERLINK(VLOOKUP(M23,$R$12:$S$60,2,FALSE))</f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5" x14ac:dyDescent="0.2">
      <c r="A24" s="65"/>
      <c r="B24" s="68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>HYPERLINK(VLOOKUP(M24,$R$12:$S$60,2,FALSE))</f>
        <v/>
      </c>
      <c r="R24">
        <f>[2]Уч.План!B220</f>
        <v>0</v>
      </c>
    </row>
    <row r="25" spans="1:19" ht="31.5" x14ac:dyDescent="0.2">
      <c r="A25" s="65"/>
      <c r="B25" s="68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>HYPERLINK(VLOOKUP(M25,$R$12:$S$60,2,FALSE))</f>
        <v/>
      </c>
      <c r="R25">
        <f>[2]Уч.План!B221</f>
        <v>0</v>
      </c>
    </row>
    <row r="26" spans="1:19" ht="32.25" thickBot="1" x14ac:dyDescent="0.25">
      <c r="A26" s="65"/>
      <c r="B26" s="68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>HYPERLINK(VLOOKUP(M26,$R$12:$S$60,2,FALSE))</f>
        <v/>
      </c>
      <c r="R26">
        <f>[2]Уч.План!B222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>HYPERLINK(VLOOKUP(E27,$R$12:$S$60,2,FALSE))</f>
        <v/>
      </c>
      <c r="I27" s="71"/>
      <c r="J27" s="74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>HYPERLINK(VLOOKUP(M27,$R$12:$S$60,2,FALSE))</f>
        <v/>
      </c>
      <c r="R27">
        <f>[2]Уч.План!B223</f>
        <v>0</v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>HYPERLINK(VLOOKUP(E28,$R$12:$S$60,2,FALSE))</f>
        <v>https://max.ru/join/rbLpJ5ax_sNm7y2cvgCMyBOUSIrOjgoKAtn_bNJ6fGo</v>
      </c>
      <c r="I28" s="64">
        <v>46274</v>
      </c>
      <c r="J28" s="78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преподаватель</v>
      </c>
      <c r="P28" s="56" t="str">
        <f>HYPERLINK(VLOOKUP(M28,$R$12:$S$60,2,FALSE))</f>
        <v>https://max.ru/join/4mCFDUjZkVK8UuftVSt2q9QOKz6Cf_Jp6XFsId-Pa_Y</v>
      </c>
      <c r="R28">
        <f>[2]Уч.План!B224</f>
        <v>0</v>
      </c>
    </row>
    <row r="29" spans="1:19" ht="37.5" x14ac:dyDescent="0.2">
      <c r="A29" s="65"/>
      <c r="B29" s="76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>HYPERLINK(VLOOKUP(E29,$R$12:$S$60,2,FALSE))</f>
        <v>https://max.ru/join/HrLKTRdTWGgXDgkuZo5FTj-f0KVF4vF-lNNZ0Bt6Dlk</v>
      </c>
      <c r="I29" s="70"/>
      <c r="J29" s="79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>HYPERLINK(VLOOKUP(M29,$R$12:$S$60,2,FALSE))</f>
        <v>https://max.ru/join/4mCFDUjZkVK8UuftVSt2q9QOKz6Cf_Jp6XFsId-Pa_Y</v>
      </c>
      <c r="R29">
        <f>[2]Уч.План!B225</f>
        <v>0</v>
      </c>
    </row>
    <row r="30" spans="1:19" ht="37.5" x14ac:dyDescent="0.2">
      <c r="A30" s="65"/>
      <c r="B30" s="76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>HYPERLINK(VLOOKUP(E30,$R$12:$S$60,2,FALSE))</f>
        <v>https://max.ru/join/4mCFDUjZkVK8UuftVSt2q9QOKz6Cf_Jp6XFsId-Pa_Y</v>
      </c>
      <c r="I30" s="70"/>
      <c r="J30" s="79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>HYPERLINK(VLOOKUP(M30,$R$12:$S$60,2,FALSE))</f>
        <v/>
      </c>
      <c r="R30">
        <f>[2]Уч.План!B226</f>
        <v>0</v>
      </c>
    </row>
    <row r="31" spans="1:19" ht="31.5" x14ac:dyDescent="0.2">
      <c r="A31" s="65"/>
      <c r="B31" s="76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>HYPERLINK(VLOOKUP(M31,$R$12:$S$60,2,FALSE))</f>
        <v/>
      </c>
      <c r="R31">
        <f>[2]Уч.План!B227</f>
        <v>0</v>
      </c>
    </row>
    <row r="32" spans="1:19" ht="31.5" x14ac:dyDescent="0.2">
      <c r="A32" s="65"/>
      <c r="B32" s="76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>HYPERLINK(VLOOKUP(M32,$R$12:$S$60,2,FALSE))</f>
        <v/>
      </c>
      <c r="R32">
        <f>[2]Уч.План!B228</f>
        <v>0</v>
      </c>
    </row>
    <row r="33" spans="1:18" ht="31.5" x14ac:dyDescent="0.2">
      <c r="A33" s="65"/>
      <c r="B33" s="76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>HYPERLINK(VLOOKUP(M33,$R$12:$S$60,2,FALSE))</f>
        <v/>
      </c>
      <c r="R33">
        <f>[2]Уч.План!B229</f>
        <v>0</v>
      </c>
    </row>
    <row r="34" spans="1:18" ht="32.25" thickBot="1" x14ac:dyDescent="0.25">
      <c r="A34" s="65"/>
      <c r="B34" s="76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>HYPERLINK(VLOOKUP(M34,$R$12:$S$60,2,FALSE))</f>
        <v/>
      </c>
      <c r="R34">
        <f>[2]Уч.План!B230</f>
        <v>0</v>
      </c>
    </row>
    <row r="35" spans="1:18" ht="18.399999999999999" hidden="1" customHeight="1" thickBot="1" x14ac:dyDescent="0.25">
      <c r="A35" s="66"/>
      <c r="B35" s="77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>HYPERLINK(VLOOKUP(E35,$R$12:$S$60,2,FALSE))</f>
        <v/>
      </c>
      <c r="I35" s="71"/>
      <c r="J35" s="80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>HYPERLINK(VLOOKUP(M35,$R$12:$S$60,2,FALSE))</f>
        <v/>
      </c>
      <c r="R35">
        <f>[2]Уч.План!B231</f>
        <v>0</v>
      </c>
    </row>
    <row r="36" spans="1:18" ht="48" customHeight="1" thickTop="1" x14ac:dyDescent="0.2">
      <c r="A36" s="64">
        <v>46268</v>
      </c>
      <c r="B36" s="67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>HYPERLINK(VLOOKUP(E36,$R$12:$S$60,2,FALSE))</f>
        <v>https://max.ru/join/4mCFDUjZkVK8UuftVSt2q9QOKz6Cf_Jp6XFsId-Pa_Y</v>
      </c>
      <c r="I36" s="64">
        <v>46275</v>
      </c>
      <c r="J36" s="72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>HYPERLINK(VLOOKUP(M36,$R$12:$S$60,2,FALSE))</f>
        <v>https://max.ru/join/4mCFDUjZkVK8UuftVSt2q9QOKz6Cf_Jp6XFsId-Pa_Y</v>
      </c>
    </row>
    <row r="37" spans="1:18" ht="37.5" x14ac:dyDescent="0.2">
      <c r="A37" s="65"/>
      <c r="B37" s="68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>HYPERLINK(VLOOKUP(E37,$R$12:$S$60,2,FALSE))</f>
        <v>https://max.ru/join/4mCFDUjZkVK8UuftVSt2q9QOKz6Cf_Jp6XFsId-Pa_Y</v>
      </c>
      <c r="I37" s="70"/>
      <c r="J37" s="73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>HYPERLINK(VLOOKUP(M37,$R$12:$S$60,2,FALSE))</f>
        <v>https://max.ru/join/4mCFDUjZkVK8UuftVSt2q9QOKz6Cf_Jp6XFsId-Pa_Y</v>
      </c>
    </row>
    <row r="38" spans="1:18" ht="37.5" x14ac:dyDescent="0.2">
      <c r="A38" s="65"/>
      <c r="B38" s="68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>HYPERLINK(VLOOKUP(E38,$R$12:$S$60,2,FALSE))</f>
        <v>https://max.ru/join/4mCFDUjZkVK8UuftVSt2q9QOKz6Cf_Jp6XFsId-Pa_Y</v>
      </c>
      <c r="I38" s="70"/>
      <c r="J38" s="73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>HYPERLINK(VLOOKUP(M38,$R$12:$S$60,2,FALSE))</f>
        <v>https://max.ru/join/4mCFDUjZkVK8UuftVSt2q9QOKz6Cf_Jp6XFsId-Pa_Y</v>
      </c>
    </row>
    <row r="39" spans="1:18" ht="31.5" x14ac:dyDescent="0.2">
      <c r="A39" s="65"/>
      <c r="B39" s="68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>HYPERLINK(VLOOKUP(M39,$R$12:$S$60,2,FALSE))</f>
        <v/>
      </c>
    </row>
    <row r="40" spans="1:18" ht="31.5" x14ac:dyDescent="0.2">
      <c r="A40" s="65"/>
      <c r="B40" s="68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>HYPERLINK(VLOOKUP(M40,$R$12:$S$60,2,FALSE))</f>
        <v/>
      </c>
    </row>
    <row r="41" spans="1:18" ht="31.5" x14ac:dyDescent="0.2">
      <c r="A41" s="65"/>
      <c r="B41" s="68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>HYPERLINK(VLOOKUP(M41,$R$12:$S$60,2,FALSE))</f>
        <v/>
      </c>
    </row>
    <row r="42" spans="1:18" ht="32.25" thickBot="1" x14ac:dyDescent="0.25">
      <c r="A42" s="65"/>
      <c r="B42" s="68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>HYPERLINK(VLOOKUP(M42,$R$12:$S$60,2,FALSE))</f>
        <v/>
      </c>
    </row>
    <row r="43" spans="1:18" ht="18.399999999999999" hidden="1" customHeight="1" thickBot="1" x14ac:dyDescent="0.25">
      <c r="A43" s="66"/>
      <c r="B43" s="69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>HYPERLINK(VLOOKUP(E43,$R$12:$S$60,2,FALSE))</f>
        <v/>
      </c>
      <c r="I43" s="71"/>
      <c r="J43" s="74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>HYPERLINK(VLOOKUP(M43,$R$12:$S$60,2,FALSE))</f>
        <v/>
      </c>
    </row>
    <row r="44" spans="1:18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>HYPERLINK(VLOOKUP(M44,$R$12:$S$60,2,FALSE))</f>
        <v/>
      </c>
    </row>
    <row r="45" spans="1:18" ht="37.5" x14ac:dyDescent="0.2">
      <c r="A45" s="65"/>
      <c r="B45" s="68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>HYPERLINK(VLOOKUP(E45,$R$12:$S$60,2,FALSE))</f>
        <v>https://max.ru/join/4mCFDUjZkVK8UuftVSt2q9QOKz6Cf_Jp6XFsId-Pa_Y</v>
      </c>
      <c r="I45" s="70"/>
      <c r="J45" s="73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>HYPERLINK(VLOOKUP(M45,$R$12:$S$60,2,FALSE))</f>
        <v>https://max.ru/join/4mCFDUjZkVK8UuftVSt2q9QOKz6Cf_Jp6XFsId-Pa_Y</v>
      </c>
    </row>
    <row r="46" spans="1:18" ht="37.5" x14ac:dyDescent="0.2">
      <c r="A46" s="65"/>
      <c r="B46" s="68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>HYPERLINK(VLOOKUP(E46,$R$12:$S$60,2,FALSE))</f>
        <v>https://max.ru/join/4mCFDUjZkVK8UuftVSt2q9QOKz6Cf_Jp6XFsId-Pa_Y</v>
      </c>
      <c r="I46" s="70"/>
      <c r="J46" s="73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>HYPERLINK(VLOOKUP(M46,$R$12:$S$60,2,FALSE))</f>
        <v>https://max.ru/join/4mCFDUjZkVK8UuftVSt2q9QOKz6Cf_Jp6XFsId-Pa_Y</v>
      </c>
    </row>
    <row r="47" spans="1:18" ht="37.5" x14ac:dyDescent="0.2">
      <c r="A47" s="65"/>
      <c r="B47" s="68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>HYPERLINK(VLOOKUP(E47,$R$12:$S$60,2,FALSE))</f>
        <v>https://max.ru/join/4mCFDUjZkVK8UuftVSt2q9QOKz6Cf_Jp6XFsId-Pa_Y</v>
      </c>
      <c r="I47" s="70"/>
      <c r="J47" s="73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>HYPERLINK(VLOOKUP(M47,$R$12:$S$60,2,FALSE))</f>
        <v>https://max.ru/join/4mCFDUjZkVK8UuftVSt2q9QOKz6Cf_Jp6XFsId-Pa_Y</v>
      </c>
    </row>
    <row r="48" spans="1:18" ht="31.5" x14ac:dyDescent="0.2">
      <c r="A48" s="65"/>
      <c r="B48" s="68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>HYPERLINK(VLOOKUP(E51,$R$12:$S$60,2,FALSE))</f>
        <v/>
      </c>
      <c r="I51" s="71"/>
      <c r="J51" s="74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HYPERLINK(VLOOKUP(E59,$R$12:$S$60,2,FALSE))</f>
        <v/>
      </c>
      <c r="I59" s="71"/>
      <c r="J59" s="7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</mergeCells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60"/>
  <sheetViews>
    <sheetView view="pageBreakPreview" topLeftCell="F11" zoomScale="46" zoomScaleNormal="55" zoomScaleSheetLayoutView="46" workbookViewId="0">
      <selection activeCell="A61" sqref="A61:XFD54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hidden="1" customWidth="1"/>
    <col min="19" max="19" width="30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3</v>
      </c>
      <c r="F9" s="62"/>
      <c r="G9" s="62"/>
      <c r="H9" s="35"/>
      <c r="I9" s="45"/>
      <c r="J9" s="86" t="s">
        <v>7</v>
      </c>
      <c r="K9" s="86"/>
      <c r="L9" s="86"/>
      <c r="M9" s="62">
        <f>E9</f>
        <v>3</v>
      </c>
      <c r="N9" s="62"/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HYPERLINK(VLOOKUP(M12,$R$12:$S$60,2,FALSE))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7.5" x14ac:dyDescent="0.2">
      <c r="A13" s="65"/>
      <c r="B13" s="68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>HYPERLINK(VLOOKUP(M13,$R$12:$S$60,2,FALSE))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7.5" x14ac:dyDescent="0.2">
      <c r="A14" s="65"/>
      <c r="B14" s="68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>HYPERLINK(VLOOKUP(M14,$R$12:$S$60,2,FALSE))</f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7.5" x14ac:dyDescent="0.2">
      <c r="A15" s="65"/>
      <c r="B15" s="68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>HYPERLINK(VLOOKUP(M15,$R$12:$S$60,2,FALSE))</f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5" x14ac:dyDescent="0.2">
      <c r="A16" s="65"/>
      <c r="B16" s="68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>HYPERLINK(VLOOKUP(M16,$R$12:$S$60,2,FALSE))</f>
        <v/>
      </c>
      <c r="R16" t="str">
        <f>[2]Уч.План!B261</f>
        <v>Графика и анимация в 3D</v>
      </c>
      <c r="S16" s="61" t="s">
        <v>49</v>
      </c>
    </row>
    <row r="17" spans="1:19" ht="31.5" x14ac:dyDescent="0.2">
      <c r="A17" s="65"/>
      <c r="B17" s="68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>HYPERLINK(VLOOKUP(M17,$R$12:$S$60,2,FALSE))</f>
        <v/>
      </c>
      <c r="R17" t="str">
        <f>[2]Уч.План!B262</f>
        <v>Физическая культура и спорт</v>
      </c>
      <c r="S17" s="61" t="s">
        <v>49</v>
      </c>
    </row>
    <row r="18" spans="1:19" ht="31.5" x14ac:dyDescent="0.2">
      <c r="A18" s="65"/>
      <c r="B18" s="68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>HYPERLINK(VLOOKUP(M18,$R$12:$S$60,2,FALSE))</f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x14ac:dyDescent="0.2">
      <c r="A19" s="66"/>
      <c r="B19" s="69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>HYPERLINK(VLOOKUP(E19,$R$12:$S$60,2,FALSE))</f>
        <v/>
      </c>
      <c r="I19" s="71"/>
      <c r="J19" s="74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>HYPERLINK(VLOOKUP(M19,$R$12:$S$60,2,FALSE))</f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>HYPERLINK(VLOOKUP(M20,$R$12:$S$60,2,FALSE))</f>
        <v>https://max.ru/join/831brpfUKBZ45r5lLawJQ4x_fudzUfMZk87zumhD3l4</v>
      </c>
      <c r="R20">
        <f>[2]Уч.План!B265</f>
        <v>0</v>
      </c>
    </row>
    <row r="21" spans="1:19" ht="37.5" x14ac:dyDescent="0.2">
      <c r="A21" s="65"/>
      <c r="B21" s="68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>HYPERLINK(VLOOKUP(M21,$R$12:$S$60,2,FALSE))</f>
        <v>https://max.ru/join/831brpfUKBZ45r5lLawJQ4x_fudzUfMZk87zumhD3l4</v>
      </c>
      <c r="R21">
        <f>[2]Уч.План!B266</f>
        <v>0</v>
      </c>
    </row>
    <row r="22" spans="1:19" ht="31.5" x14ac:dyDescent="0.2">
      <c r="A22" s="65"/>
      <c r="B22" s="68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>HYPERLINK(VLOOKUP(M22,$R$12:$S$60,2,FALSE))</f>
        <v/>
      </c>
      <c r="R22">
        <f>[2]Уч.План!B267</f>
        <v>0</v>
      </c>
    </row>
    <row r="23" spans="1:19" ht="31.5" x14ac:dyDescent="0.2">
      <c r="A23" s="65"/>
      <c r="B23" s="68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>HYPERLINK(VLOOKUP(M23,$R$12:$S$60,2,FALSE))</f>
        <v/>
      </c>
      <c r="R23">
        <f>[2]Уч.План!B268</f>
        <v>0</v>
      </c>
    </row>
    <row r="24" spans="1:19" ht="31.5" x14ac:dyDescent="0.2">
      <c r="A24" s="65"/>
      <c r="B24" s="68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>HYPERLINK(VLOOKUP(M24,$R$12:$S$60,2,FALSE))</f>
        <v/>
      </c>
      <c r="R24">
        <f>[2]Уч.План!B269</f>
        <v>0</v>
      </c>
    </row>
    <row r="25" spans="1:19" ht="31.5" x14ac:dyDescent="0.2">
      <c r="A25" s="65"/>
      <c r="B25" s="68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>HYPERLINK(VLOOKUP(M25,$R$12:$S$60,2,FALSE))</f>
        <v/>
      </c>
      <c r="R25">
        <f>[2]Уч.План!B270</f>
        <v>0</v>
      </c>
    </row>
    <row r="26" spans="1:19" ht="32.25" thickBot="1" x14ac:dyDescent="0.25">
      <c r="A26" s="65"/>
      <c r="B26" s="68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>HYPERLINK(VLOOKUP(M26,$R$12:$S$60,2,FALSE))</f>
        <v/>
      </c>
      <c r="R26">
        <f>[2]Уч.План!B271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>HYPERLINK(VLOOKUP(E27,$R$12:$S$60,2,FALSE))</f>
        <v/>
      </c>
      <c r="I27" s="71"/>
      <c r="J27" s="74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>HYPERLINK(VLOOKUP(M27,$R$12:$S$60,2,FALSE))</f>
        <v/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>HYPERLINK(VLOOKUP(E28,$R$12:$S$60,2,FALSE))</f>
        <v>https://max.ru/join/831brpfUKBZ45r5lLawJQ4x_fudzUfMZk87zumhD3l4</v>
      </c>
      <c r="I28" s="64">
        <v>46274</v>
      </c>
      <c r="J28" s="78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>HYPERLINK(VLOOKUP(M28,$R$12:$S$60,2,FALSE))</f>
        <v>https://max.ru/join/831brpfUKBZ45r5lLawJQ4x_fudzUfMZk87zumhD3l4</v>
      </c>
    </row>
    <row r="29" spans="1:19" ht="37.5" x14ac:dyDescent="0.2">
      <c r="A29" s="65"/>
      <c r="B29" s="76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>HYPERLINK(VLOOKUP(E29,$R$12:$S$60,2,FALSE))</f>
        <v>https://max.ru/join/831brpfUKBZ45r5lLawJQ4x_fudzUfMZk87zumhD3l4</v>
      </c>
      <c r="I29" s="70"/>
      <c r="J29" s="79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>HYPERLINK(VLOOKUP(M29,$R$12:$S$60,2,FALSE))</f>
        <v>https://max.ru/join/831brpfUKBZ45r5lLawJQ4x_fudzUfMZk87zumhD3l4</v>
      </c>
    </row>
    <row r="30" spans="1:19" ht="37.5" x14ac:dyDescent="0.2">
      <c r="A30" s="65"/>
      <c r="B30" s="76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>HYPERLINK(VLOOKUP(E30,$R$12:$S$60,2,FALSE))</f>
        <v>https://max.ru/join/831brpfUKBZ45r5lLawJQ4x_fudzUfMZk87zumhD3l4</v>
      </c>
      <c r="I30" s="70"/>
      <c r="J30" s="79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>HYPERLINK(VLOOKUP(M30,$R$12:$S$60,2,FALSE))</f>
        <v>https://max.ru/join/831brpfUKBZ45r5lLawJQ4x_fudzUfMZk87zumhD3l4</v>
      </c>
    </row>
    <row r="31" spans="1:19" ht="31.5" x14ac:dyDescent="0.2">
      <c r="A31" s="65"/>
      <c r="B31" s="76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>HYPERLINK(VLOOKUP(M31,$R$12:$S$60,2,FALSE))</f>
        <v/>
      </c>
    </row>
    <row r="32" spans="1:19" ht="31.5" x14ac:dyDescent="0.2">
      <c r="A32" s="65"/>
      <c r="B32" s="76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>HYPERLINK(VLOOKUP(M32,$R$12:$S$60,2,FALSE))</f>
        <v/>
      </c>
    </row>
    <row r="33" spans="1:16" ht="31.5" x14ac:dyDescent="0.2">
      <c r="A33" s="65"/>
      <c r="B33" s="76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>HYPERLINK(VLOOKUP(M33,$R$12:$S$60,2,FALSE))</f>
        <v/>
      </c>
    </row>
    <row r="34" spans="1:16" ht="32.25" thickBot="1" x14ac:dyDescent="0.25">
      <c r="A34" s="65"/>
      <c r="B34" s="76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>HYPERLINK(VLOOKUP(E35,$R$12:$S$60,2,FALSE))</f>
        <v/>
      </c>
      <c r="I35" s="71"/>
      <c r="J35" s="80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>HYPERLINK(VLOOKUP(E36,$R$12:$S$60,2,FALSE))</f>
        <v>https://max.ru/join/831brpfUKBZ45r5lLawJQ4x_fudzUfMZk87zumhD3l4</v>
      </c>
      <c r="I36" s="64">
        <v>46275</v>
      </c>
      <c r="J36" s="72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>HYPERLINK(VLOOKUP(M36,$R$12:$S$60,2,FALSE))</f>
        <v>https://max.ru/join/831brpfUKBZ45r5lLawJQ4x_fudzUfMZk87zumhD3l4</v>
      </c>
    </row>
    <row r="37" spans="1:16" ht="37.5" x14ac:dyDescent="0.2">
      <c r="A37" s="65"/>
      <c r="B37" s="68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>HYPERLINK(VLOOKUP(E37,$R$12:$S$60,2,FALSE))</f>
        <v>https://max.ru/join/831brpfUKBZ45r5lLawJQ4x_fudzUfMZk87zumhD3l4</v>
      </c>
      <c r="I37" s="70"/>
      <c r="J37" s="73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>HYPERLINK(VLOOKUP(M37,$R$12:$S$60,2,FALSE))</f>
        <v>https://max.ru/join/831brpfUKBZ45r5lLawJQ4x_fudzUfMZk87zumhD3l4</v>
      </c>
    </row>
    <row r="38" spans="1:16" ht="37.5" x14ac:dyDescent="0.2">
      <c r="A38" s="65"/>
      <c r="B38" s="68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преподаватель</v>
      </c>
      <c r="H38" s="57" t="str">
        <f>HYPERLINK(VLOOKUP(E38,$R$12:$S$60,2,FALSE))</f>
        <v>https://max.ru/join/JliUDf7xjuRKGpBay-DL6RCwrYm2Hzj4E__hjp6UgOQ</v>
      </c>
      <c r="I38" s="70"/>
      <c r="J38" s="73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преподаватель</v>
      </c>
      <c r="P38" s="57" t="str">
        <f>HYPERLINK(VLOOKUP(M38,$R$12:$S$60,2,FALSE))</f>
        <v>https://max.ru/join/831brpfUKBZ45r5lLawJQ4x_fudzUfMZk87zumhD3l4</v>
      </c>
    </row>
    <row r="39" spans="1:16" ht="37.5" x14ac:dyDescent="0.2">
      <c r="A39" s="65"/>
      <c r="B39" s="68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преподаватель</v>
      </c>
      <c r="H39" s="57" t="str">
        <f>HYPERLINK(VLOOKUP(E39,$R$12:$S$60,2,FALSE))</f>
        <v>https://max.ru/join/JliUDf7xjuRKGpBay-DL6RCwrYm2Hzj4E__hjp6UgOQ</v>
      </c>
      <c r="I39" s="70"/>
      <c r="J39" s="73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>HYPERLINK(VLOOKUP(M41,$R$12:$S$60,2,FALSE))</f>
        <v/>
      </c>
    </row>
    <row r="42" spans="1:16" ht="32.25" thickBot="1" x14ac:dyDescent="0.25">
      <c r="A42" s="65"/>
      <c r="B42" s="68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>HYPERLINK(VLOOKUP(M42,$R$12:$S$60,2,FALSE))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>HYPERLINK(VLOOKUP(E43,$R$12:$S$60,2,FALSE))</f>
        <v/>
      </c>
      <c r="I43" s="71"/>
      <c r="J43" s="74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>HYPERLINK(VLOOKUP(E44,$R$12:$S$60,2,FALSE))</f>
        <v>https://max.ru/join/831brpfUKBZ45r5lLawJQ4x_fudzUfMZk87zumhD3l4</v>
      </c>
      <c r="I44" s="64">
        <v>46276</v>
      </c>
      <c r="J44" s="72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>HYPERLINK(VLOOKUP(M44,$R$12:$S$60,2,FALSE))</f>
        <v>https://max.ru/join/831brpfUKBZ45r5lLawJQ4x_fudzUfMZk87zumhD3l4</v>
      </c>
    </row>
    <row r="45" spans="1:16" ht="37.5" x14ac:dyDescent="0.2">
      <c r="A45" s="65"/>
      <c r="B45" s="68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>HYPERLINK(VLOOKUP(E45,$R$12:$S$60,2,FALSE))</f>
        <v>https://max.ru/join/831brpfUKBZ45r5lLawJQ4x_fudzUfMZk87zumhD3l4</v>
      </c>
      <c r="I45" s="70"/>
      <c r="J45" s="73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>HYPERLINK(VLOOKUP(M45,$R$12:$S$60,2,FALSE))</f>
        <v>https://max.ru/join/831brpfUKBZ45r5lLawJQ4x_fudzUfMZk87zumhD3l4</v>
      </c>
    </row>
    <row r="46" spans="1:16" ht="37.5" x14ac:dyDescent="0.2">
      <c r="A46" s="65"/>
      <c r="B46" s="68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>HYPERLINK(VLOOKUP(E46,$R$12:$S$60,2,FALSE))</f>
        <v>https://max.ru/join/831brpfUKBZ45r5lLawJQ4x_fudzUfMZk87zumhD3l4</v>
      </c>
      <c r="I46" s="70"/>
      <c r="J46" s="73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>HYPERLINK(VLOOKUP(M46,$R$12:$S$60,2,FALSE))</f>
        <v>https://max.ru/join/831brpfUKBZ45r5lLawJQ4x_fudzUfMZk87zumhD3l4</v>
      </c>
    </row>
    <row r="47" spans="1:16" ht="31.5" x14ac:dyDescent="0.2">
      <c r="A47" s="65"/>
      <c r="B47" s="68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>HYPERLINK(VLOOKUP(E51,$R$12:$S$60,2,FALSE))</f>
        <v/>
      </c>
      <c r="I51" s="71"/>
      <c r="J51" s="74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HYPERLINK(VLOOKUP(E59,$R$12:$S$60,2,FALSE))</f>
        <v/>
      </c>
      <c r="I59" s="71"/>
      <c r="J59" s="7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60"/>
  <sheetViews>
    <sheetView view="pageBreakPreview" topLeftCell="H40" zoomScale="51" zoomScaleNormal="55" zoomScaleSheetLayoutView="51" workbookViewId="0">
      <selection activeCell="A61" sqref="A61:XFD55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hidden="1" customWidth="1"/>
    <col min="19" max="19" width="40.285156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4</v>
      </c>
      <c r="F9" s="62"/>
      <c r="G9" s="62" t="str">
        <f>'[1]1нед'!$D$134</f>
        <v>12-23ПИ</v>
      </c>
      <c r="H9" s="35"/>
      <c r="I9" s="45"/>
      <c r="J9" s="86" t="s">
        <v>7</v>
      </c>
      <c r="K9" s="86"/>
      <c r="L9" s="86"/>
      <c r="M9" s="62">
        <f>E9</f>
        <v>4</v>
      </c>
      <c r="N9" s="62" t="str">
        <f>'[1]1нед'!$D$134</f>
        <v>12-23ПИ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HYPERLINK(VLOOKUP(M12,$R$12:$S$60,2,FALSE))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7.5" x14ac:dyDescent="0.2">
      <c r="A13" s="65"/>
      <c r="B13" s="68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>HYPERLINK(VLOOKUP(M13,$R$12:$S$60,2,FALSE))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7.5" x14ac:dyDescent="0.2">
      <c r="A14" s="65"/>
      <c r="B14" s="68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>HYPERLINK(VLOOKUP(M14,$R$12:$S$60,2,FALSE))</f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7.5" x14ac:dyDescent="0.2">
      <c r="A15" s="65"/>
      <c r="B15" s="68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>HYPERLINK(VLOOKUP(M15,$R$12:$S$60,2,FALSE))</f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5" x14ac:dyDescent="0.2">
      <c r="A16" s="65"/>
      <c r="B16" s="68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>HYPERLINK(VLOOKUP(M16,$R$12:$S$60,2,FALSE))</f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5" x14ac:dyDescent="0.2">
      <c r="A17" s="65"/>
      <c r="B17" s="68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>HYPERLINK(VLOOKUP(M17,$R$12:$S$60,2,FALSE))</f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5" x14ac:dyDescent="0.2">
      <c r="A18" s="65"/>
      <c r="B18" s="68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>HYPERLINK(VLOOKUP(M18,$R$12:$S$60,2,FALSE))</f>
        <v/>
      </c>
      <c r="R18" t="str">
        <f>[2]Уч.План!B312</f>
        <v>Учебная практика (ознакомительная практика)</v>
      </c>
      <c r="S18" s="61" t="s">
        <v>50</v>
      </c>
    </row>
    <row r="19" spans="1:19" ht="18.399999999999999" customHeight="1" x14ac:dyDescent="0.2">
      <c r="A19" s="66"/>
      <c r="B19" s="69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>HYPERLINK(VLOOKUP(E19,$R$12:$S$60,2,FALSE))</f>
        <v/>
      </c>
      <c r="I19" s="71"/>
      <c r="J19" s="74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>HYPERLINK(VLOOKUP(M19,$R$12:$S$60,2,FALSE))</f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 t="s">
        <v>50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>HYPERLINK(VLOOKUP(M20,$R$12:$S$60,2,FALSE))</f>
        <v/>
      </c>
      <c r="R20">
        <f>[2]Уч.План!B314</f>
        <v>0</v>
      </c>
    </row>
    <row r="21" spans="1:19" ht="31.5" x14ac:dyDescent="0.2">
      <c r="A21" s="65"/>
      <c r="B21" s="68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>HYPERLINK(VLOOKUP(M21,$R$12:$S$60,2,FALSE))</f>
        <v/>
      </c>
      <c r="R21">
        <f>[2]Уч.План!B315</f>
        <v>0</v>
      </c>
    </row>
    <row r="22" spans="1:19" ht="37.5" x14ac:dyDescent="0.2">
      <c r="A22" s="65"/>
      <c r="B22" s="68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>HYPERLINK(VLOOKUP(M22,$R$12:$S$60,2,FALSE))</f>
        <v>https://max.ru/join/HWJDG1wxuQDCiC0TUN5E66zyt7VXJqMWtv_aHX-fd1o</v>
      </c>
      <c r="R22">
        <f>[2]Уч.План!B316</f>
        <v>0</v>
      </c>
    </row>
    <row r="23" spans="1:19" ht="37.5" x14ac:dyDescent="0.2">
      <c r="A23" s="65"/>
      <c r="B23" s="68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>HYPERLINK(VLOOKUP(M23,$R$12:$S$60,2,FALSE))</f>
        <v>https://max.ru/join/HWJDG1wxuQDCiC0TUN5E66zyt7VXJqMWtv_aHX-fd1o</v>
      </c>
      <c r="R23">
        <f>[2]Уч.План!B317</f>
        <v>0</v>
      </c>
    </row>
    <row r="24" spans="1:19" ht="31.5" x14ac:dyDescent="0.2">
      <c r="A24" s="65"/>
      <c r="B24" s="68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>HYPERLINK(VLOOKUP(M24,$R$12:$S$60,2,FALSE))</f>
        <v/>
      </c>
      <c r="R24">
        <f>[2]Уч.План!B318</f>
        <v>0</v>
      </c>
    </row>
    <row r="25" spans="1:19" ht="31.5" x14ac:dyDescent="0.2">
      <c r="A25" s="65"/>
      <c r="B25" s="68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>HYPERLINK(VLOOKUP(M25,$R$12:$S$60,2,FALSE))</f>
        <v/>
      </c>
      <c r="R25">
        <f>[2]Уч.План!B319</f>
        <v>0</v>
      </c>
    </row>
    <row r="26" spans="1:19" ht="32.25" thickBot="1" x14ac:dyDescent="0.25">
      <c r="A26" s="65"/>
      <c r="B26" s="68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>HYPERLINK(VLOOKUP(M26,$R$12:$S$60,2,FALSE))</f>
        <v/>
      </c>
      <c r="R26">
        <f>[2]Уч.План!B320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>HYPERLINK(VLOOKUP(E27,$R$12:$S$60,2,FALSE))</f>
        <v/>
      </c>
      <c r="I27" s="71"/>
      <c r="J27" s="74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>HYPERLINK(VLOOKUP(M27,$R$12:$S$60,2,FALSE))</f>
        <v/>
      </c>
      <c r="R27">
        <f>[2]Уч.План!B321</f>
        <v>0</v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>HYPERLINK(VLOOKUP(M28,$R$12:$S$60,2,FALSE))</f>
        <v/>
      </c>
      <c r="R28">
        <f>[2]Уч.План!B322</f>
        <v>0</v>
      </c>
    </row>
    <row r="29" spans="1:19" ht="37.5" x14ac:dyDescent="0.2">
      <c r="A29" s="65"/>
      <c r="B29" s="76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>HYPERLINK(VLOOKUP(M29,$R$12:$S$60,2,FALSE))</f>
        <v>https://max.ru/join/HWJDG1wxuQDCiC0TUN5E66zyt7VXJqMWtv_aHX-fd1o</v>
      </c>
      <c r="R29">
        <f>[2]Уч.План!B323</f>
        <v>0</v>
      </c>
    </row>
    <row r="30" spans="1:19" ht="37.5" x14ac:dyDescent="0.2">
      <c r="A30" s="65"/>
      <c r="B30" s="76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>HYPERLINK(VLOOKUP(E30,$R$12:$S$60,2,FALSE))</f>
        <v>https://max.ru/join/HWJDG1wxuQDCiC0TUN5E66zyt7VXJqMWtv_aHX-fd1o</v>
      </c>
      <c r="I30" s="70"/>
      <c r="J30" s="79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>HYPERLINK(VLOOKUP(M30,$R$12:$S$60,2,FALSE))</f>
        <v>https://max.ru/join/HWJDG1wxuQDCiC0TUN5E66zyt7VXJqMWtv_aHX-fd1o</v>
      </c>
      <c r="R30">
        <f>[2]Уч.План!B324</f>
        <v>0</v>
      </c>
    </row>
    <row r="31" spans="1:19" ht="37.5" x14ac:dyDescent="0.2">
      <c r="A31" s="65"/>
      <c r="B31" s="76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>HYPERLINK(VLOOKUP(E31,$R$12:$S$60,2,FALSE))</f>
        <v>https://max.ru/join/HWJDG1wxuQDCiC0TUN5E66zyt7VXJqMWtv_aHX-fd1o</v>
      </c>
      <c r="I31" s="70"/>
      <c r="J31" s="79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>HYPERLINK(VLOOKUP(M31,$R$12:$S$60,2,FALSE))</f>
        <v>https://max.ru/join/HWJDG1wxuQDCiC0TUN5E66zyt7VXJqMWtv_aHX-fd1o</v>
      </c>
      <c r="R31">
        <f>[2]Уч.План!B325</f>
        <v>0</v>
      </c>
    </row>
    <row r="32" spans="1:19" ht="31.5" x14ac:dyDescent="0.2">
      <c r="A32" s="65"/>
      <c r="B32" s="76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>HYPERLINK(VLOOKUP(M32,$R$12:$S$60,2,FALSE))</f>
        <v/>
      </c>
    </row>
    <row r="33" spans="1:16" ht="31.5" x14ac:dyDescent="0.2">
      <c r="A33" s="65"/>
      <c r="B33" s="76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>HYPERLINK(VLOOKUP(M33,$R$12:$S$60,2,FALSE))</f>
        <v/>
      </c>
    </row>
    <row r="34" spans="1:16" ht="32.25" thickBot="1" x14ac:dyDescent="0.25">
      <c r="A34" s="65"/>
      <c r="B34" s="76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>HYPERLINK(VLOOKUP(E35,$R$12:$S$60,2,FALSE))</f>
        <v/>
      </c>
      <c r="I35" s="71"/>
      <c r="J35" s="80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>HYPERLINK(VLOOKUP(E36,$R$12:$S$60,2,FALSE))</f>
        <v>https://max.ru/join/HWJDG1wxuQDCiC0TUN5E66zyt7VXJqMWtv_aHX-fd1o</v>
      </c>
      <c r="I36" s="64">
        <v>46275</v>
      </c>
      <c r="J36" s="72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>HYPERLINK(VLOOKUP(M36,$R$12:$S$60,2,FALSE))</f>
        <v/>
      </c>
    </row>
    <row r="37" spans="1:16" ht="37.5" x14ac:dyDescent="0.2">
      <c r="A37" s="65"/>
      <c r="B37" s="68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>HYPERLINK(VLOOKUP(E37,$R$12:$S$60,2,FALSE))</f>
        <v>https://max.ru/join/HWJDG1wxuQDCiC0TUN5E66zyt7VXJqMWtv_aHX-fd1o</v>
      </c>
      <c r="I37" s="70"/>
      <c r="J37" s="73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>HYPERLINK(VLOOKUP(M37,$R$12:$S$60,2,FALSE))</f>
        <v>https://max.ru/join/HWJDG1wxuQDCiC0TUN5E66zyt7VXJqMWtv_aHX-fd1o</v>
      </c>
    </row>
    <row r="38" spans="1:16" ht="37.5" x14ac:dyDescent="0.2">
      <c r="A38" s="65"/>
      <c r="B38" s="68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>HYPERLINK(VLOOKUP(E38,$R$12:$S$60,2,FALSE))</f>
        <v>https://max.ru/join/HWJDG1wxuQDCiC0TUN5E66zyt7VXJqMWtv_aHX-fd1o</v>
      </c>
      <c r="I38" s="70"/>
      <c r="J38" s="73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>HYPERLINK(VLOOKUP(M38,$R$12:$S$60,2,FALSE))</f>
        <v>https://max.ru/join/HWJDG1wxuQDCiC0TUN5E66zyt7VXJqMWtv_aHX-fd1o</v>
      </c>
    </row>
    <row r="39" spans="1:16" ht="37.5" x14ac:dyDescent="0.2">
      <c r="A39" s="65"/>
      <c r="B39" s="68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>HYPERLINK(VLOOKUP(M39,$R$12:$S$60,2,FALSE))</f>
        <v>https://max.ru/join/HWJDG1wxuQDCiC0TUN5E66zyt7VXJqMWtv_aHX-fd1o</v>
      </c>
    </row>
    <row r="40" spans="1:16" ht="31.5" x14ac:dyDescent="0.2">
      <c r="A40" s="65"/>
      <c r="B40" s="68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>HYPERLINK(VLOOKUP(M41,$R$12:$S$60,2,FALSE))</f>
        <v/>
      </c>
    </row>
    <row r="42" spans="1:16" ht="32.25" thickBot="1" x14ac:dyDescent="0.25">
      <c r="A42" s="65"/>
      <c r="B42" s="68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>HYPERLINK(VLOOKUP(M42,$R$12:$S$60,2,FALSE))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>HYPERLINK(VLOOKUP(E43,$R$12:$S$60,2,FALSE))</f>
        <v/>
      </c>
      <c r="I43" s="71"/>
      <c r="J43" s="74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>HYPERLINK(VLOOKUP(E44,$R$12:$S$60,2,FALSE))</f>
        <v>https://max.ru/join/HWJDG1wxuQDCiC0TUN5E66zyt7VXJqMWtv_aHX-fd1o</v>
      </c>
      <c r="I44" s="64">
        <v>46276</v>
      </c>
      <c r="J44" s="72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>HYPERLINK(VLOOKUP(M44,$R$12:$S$60,2,FALSE))</f>
        <v>https://max.ru/join/HWJDG1wxuQDCiC0TUN5E66zyt7VXJqMWtv_aHX-fd1o</v>
      </c>
    </row>
    <row r="45" spans="1:16" ht="37.5" x14ac:dyDescent="0.2">
      <c r="A45" s="65"/>
      <c r="B45" s="68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>HYPERLINK(VLOOKUP(E45,$R$12:$S$60,2,FALSE))</f>
        <v>https://max.ru/join/HWJDG1wxuQDCiC0TUN5E66zyt7VXJqMWtv_aHX-fd1o</v>
      </c>
      <c r="I45" s="70"/>
      <c r="J45" s="73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>HYPERLINK(VLOOKUP(M45,$R$12:$S$60,2,FALSE))</f>
        <v>https://max.ru/join/HWJDG1wxuQDCiC0TUN5E66zyt7VXJqMWtv_aHX-fd1o</v>
      </c>
    </row>
    <row r="46" spans="1:16" ht="37.5" x14ac:dyDescent="0.2">
      <c r="A46" s="65"/>
      <c r="B46" s="68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>HYPERLINK(VLOOKUP(E46,$R$12:$S$60,2,FALSE))</f>
        <v>https://max.ru/join/HWJDG1wxuQDCiC0TUN5E66zyt7VXJqMWtv_aHX-fd1o</v>
      </c>
      <c r="I46" s="70"/>
      <c r="J46" s="73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>HYPERLINK(VLOOKUP(M46,$R$12:$S$60,2,FALSE))</f>
        <v>https://max.ru/join/HWJDG1wxuQDCiC0TUN5E66zyt7VXJqMWtv_aHX-fd1o</v>
      </c>
    </row>
    <row r="47" spans="1:16" ht="31.5" x14ac:dyDescent="0.2">
      <c r="A47" s="65"/>
      <c r="B47" s="68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>HYPERLINK(VLOOKUP(E51,$R$12:$S$60,2,FALSE))</f>
        <v/>
      </c>
      <c r="I51" s="71"/>
      <c r="J51" s="74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HYPERLINK(VLOOKUP(E59,$R$12:$S$60,2,FALSE))</f>
        <v/>
      </c>
      <c r="I59" s="71"/>
      <c r="J59" s="7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</mergeCells>
  <hyperlinks>
    <hyperlink ref="S12" r:id="rId1" xr:uid="{CF5F357F-59CB-4B80-86C6-48940D24D0AB}"/>
    <hyperlink ref="S13:S18" r:id="rId2" display="https://max.ru/join/HWJDG1wxuQDCiC0TUN5E66zyt7VXJqMWtv_aHX-fd1o" xr:uid="{BB98B588-FF8B-4C3E-8FB3-84C82C2B3ED4}"/>
    <hyperlink ref="S19" r:id="rId3" xr:uid="{FB3F52F2-EB04-4FB1-9053-F2C549F99FC5}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60"/>
  <sheetViews>
    <sheetView view="pageBreakPreview" topLeftCell="H1" zoomScale="53" zoomScaleNormal="55" zoomScaleSheetLayoutView="53" workbookViewId="0">
      <selection activeCell="J76" sqref="J7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hidden="1" customWidth="1"/>
    <col min="19" max="20" width="0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6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 t="str">
        <f>'[1]1нед'!$L$134</f>
        <v>12-25РПм</v>
      </c>
      <c r="G9" s="62"/>
      <c r="H9" s="35"/>
      <c r="I9" s="45"/>
      <c r="J9" s="86" t="s">
        <v>7</v>
      </c>
      <c r="K9" s="86"/>
      <c r="L9" s="86"/>
      <c r="M9" s="62">
        <f>E9</f>
        <v>2</v>
      </c>
      <c r="N9" s="62" t="str">
        <f>'[1]1нед'!$L$134</f>
        <v>12-25РПм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HYPERLINK(VLOOKUP(M12,$R$12:$S$60,2,FALSE))</f>
        <v/>
      </c>
      <c r="R12" t="str">
        <f>[2]Уч.План!B355</f>
        <v>Экономические аспекты программной инженерии</v>
      </c>
      <c r="S12" s="61" t="s">
        <v>51</v>
      </c>
    </row>
    <row r="13" spans="1:19" ht="56.25" x14ac:dyDescent="0.2">
      <c r="A13" s="65"/>
      <c r="B13" s="68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>HYPERLINK(VLOOKUP(M13,$R$12:$S$60,2,FALSE))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51</v>
      </c>
    </row>
    <row r="14" spans="1:19" ht="37.5" x14ac:dyDescent="0.2">
      <c r="A14" s="65"/>
      <c r="B14" s="68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>HYPERLINK(VLOOKUP(M14,$R$12:$S$60,2,FALSE))</f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51</v>
      </c>
    </row>
    <row r="15" spans="1:19" ht="37.5" x14ac:dyDescent="0.2">
      <c r="A15" s="65"/>
      <c r="B15" s="68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>HYPERLINK(VLOOKUP(M15,$R$12:$S$60,2,FALSE))</f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51</v>
      </c>
    </row>
    <row r="16" spans="1:19" ht="31.5" x14ac:dyDescent="0.2">
      <c r="A16" s="65"/>
      <c r="B16" s="68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>HYPERLINK(VLOOKUP(M16,$R$12:$S$60,2,FALSE))</f>
        <v/>
      </c>
      <c r="R16" t="str">
        <f>[2]Уч.План!B359</f>
        <v>Процессы и профессиональная практика программной инженерии</v>
      </c>
      <c r="S16" s="61" t="s">
        <v>51</v>
      </c>
    </row>
    <row r="17" spans="1:19" ht="31.5" x14ac:dyDescent="0.2">
      <c r="A17" s="65"/>
      <c r="B17" s="68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>HYPERLINK(VLOOKUP(M17,$R$12:$S$60,2,FALSE))</f>
        <v/>
      </c>
      <c r="R17" t="str">
        <f>[2]Уч.План!B360</f>
        <v>Современные операционные системы и базы данных</v>
      </c>
      <c r="S17" s="61" t="s">
        <v>51</v>
      </c>
    </row>
    <row r="18" spans="1:19" ht="31.5" x14ac:dyDescent="0.2">
      <c r="A18" s="65"/>
      <c r="B18" s="68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>HYPERLINK(VLOOKUP(M18,$R$12:$S$60,2,FALSE))</f>
        <v/>
      </c>
      <c r="R18" t="str">
        <f>[2]Уч.План!B361</f>
        <v>Программирование графических процессоров</v>
      </c>
      <c r="S18" s="61" t="s">
        <v>51</v>
      </c>
    </row>
    <row r="19" spans="1:19" ht="18.399999999999999" customHeight="1" x14ac:dyDescent="0.2">
      <c r="A19" s="66"/>
      <c r="B19" s="69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>HYPERLINK(VLOOKUP(E19,$R$12:$S$60,2,FALSE))</f>
        <v/>
      </c>
      <c r="I19" s="71"/>
      <c r="J19" s="74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>HYPERLINK(VLOOKUP(M19,$R$12:$S$60,2,FALSE))</f>
        <v/>
      </c>
      <c r="R19" t="str">
        <f>[2]Уч.План!B362</f>
        <v>Производственная практика. Научно- исследовательская работа</v>
      </c>
      <c r="S19" s="61" t="s">
        <v>51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>HYPERLINK(VLOOKUP(M20,$R$12:$S$60,2,FALSE))</f>
        <v/>
      </c>
      <c r="R20" t="str">
        <f>[2]Уч.План!B363</f>
        <v xml:space="preserve"> Программирование графических процессоров</v>
      </c>
      <c r="S20" s="61" t="s">
        <v>51</v>
      </c>
    </row>
    <row r="21" spans="1:19" ht="31.5" x14ac:dyDescent="0.2">
      <c r="A21" s="65"/>
      <c r="B21" s="68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>HYPERLINK(VLOOKUP(M21,$R$12:$S$60,2,FALSE))</f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51</v>
      </c>
    </row>
    <row r="22" spans="1:19" ht="31.5" x14ac:dyDescent="0.2">
      <c r="A22" s="65"/>
      <c r="B22" s="68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>HYPERLINK(VLOOKUP(M22,$R$12:$S$60,2,FALSE))</f>
        <v/>
      </c>
      <c r="R22" t="str">
        <f>[2]Уч.План!B365</f>
        <v xml:space="preserve"> Системы обработки больших данных</v>
      </c>
      <c r="S22" s="61" t="s">
        <v>51</v>
      </c>
    </row>
    <row r="23" spans="1:19" ht="37.5" x14ac:dyDescent="0.2">
      <c r="A23" s="65"/>
      <c r="B23" s="68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>HYPERLINK(VLOOKUP(M23,$R$12:$S$60,2,FALSE))</f>
        <v>https://max.ru/join/M7wDISGvmShFMnRwwNWABqv4bmIdPah2zAI1ryedWA4</v>
      </c>
      <c r="R23">
        <f>[2]Уч.План!B366</f>
        <v>0</v>
      </c>
    </row>
    <row r="24" spans="1:19" ht="37.5" x14ac:dyDescent="0.2">
      <c r="A24" s="65"/>
      <c r="B24" s="68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>HYPERLINK(VLOOKUP(M24,$R$12:$S$60,2,FALSE))</f>
        <v>https://max.ru/join/M7wDISGvmShFMnRwwNWABqv4bmIdPah2zAI1ryedWA4</v>
      </c>
      <c r="R24">
        <f>[2]Уч.План!B367</f>
        <v>0</v>
      </c>
    </row>
    <row r="25" spans="1:19" ht="31.5" x14ac:dyDescent="0.2">
      <c r="A25" s="65"/>
      <c r="B25" s="68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>HYPERLINK(VLOOKUP(M25,$R$12:$S$60,2,FALSE))</f>
        <v/>
      </c>
      <c r="R25">
        <f>[2]Уч.План!B368</f>
        <v>0</v>
      </c>
    </row>
    <row r="26" spans="1:19" ht="32.25" thickBot="1" x14ac:dyDescent="0.25">
      <c r="A26" s="65"/>
      <c r="B26" s="68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>HYPERLINK(VLOOKUP(M26,$R$12:$S$60,2,FALSE))</f>
        <v/>
      </c>
      <c r="R26">
        <f>[2]Уч.План!B369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>HYPERLINK(VLOOKUP(E27,$R$12:$S$60,2,FALSE))</f>
        <v/>
      </c>
      <c r="I27" s="71"/>
      <c r="J27" s="74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>HYPERLINK(VLOOKUP(M27,$R$12:$S$60,2,FALSE))</f>
        <v/>
      </c>
      <c r="R27">
        <f>[2]Уч.План!B370</f>
        <v>0</v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>HYPERLINK(VLOOKUP(M28,$R$12:$S$60,2,FALSE))</f>
        <v/>
      </c>
    </row>
    <row r="29" spans="1:19" ht="31.5" x14ac:dyDescent="0.2">
      <c r="A29" s="65"/>
      <c r="B29" s="76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>HYPERLINK(VLOOKUP(M29,$R$12:$S$60,2,FALSE))</f>
        <v/>
      </c>
    </row>
    <row r="30" spans="1:19" ht="31.5" x14ac:dyDescent="0.2">
      <c r="A30" s="65"/>
      <c r="B30" s="76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>HYPERLINK(VLOOKUP(M30,$R$12:$S$60,2,FALSE))</f>
        <v/>
      </c>
    </row>
    <row r="31" spans="1:19" ht="56.25" x14ac:dyDescent="0.2">
      <c r="A31" s="65"/>
      <c r="B31" s="76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>HYPERLINK(VLOOKUP(M31,$R$12:$S$60,2,FALSE))</f>
        <v>https://max.ru/join/M7wDISGvmShFMnRwwNWABqv4bmIdPah2zAI1ryedWA4</v>
      </c>
    </row>
    <row r="32" spans="1:19" ht="56.25" x14ac:dyDescent="0.2">
      <c r="A32" s="65"/>
      <c r="B32" s="76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>HYPERLINK(VLOOKUP(M32,$R$12:$S$60,2,FALSE))</f>
        <v>https://max.ru/join/M7wDISGvmShFMnRwwNWABqv4bmIdPah2zAI1ryedWA4</v>
      </c>
    </row>
    <row r="33" spans="1:16" ht="31.5" x14ac:dyDescent="0.2">
      <c r="A33" s="65"/>
      <c r="B33" s="76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>HYPERLINK(VLOOKUP(M33,$R$12:$S$60,2,FALSE))</f>
        <v/>
      </c>
    </row>
    <row r="34" spans="1:16" ht="32.25" thickBot="1" x14ac:dyDescent="0.25">
      <c r="A34" s="65"/>
      <c r="B34" s="76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>HYPERLINK(VLOOKUP(E34,$R$12:$S$60,2,FALSE))</f>
        <v/>
      </c>
      <c r="I34" s="70"/>
      <c r="J34" s="79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>HYPERLINK(VLOOKUP(E35,$R$12:$S$60,2,FALSE))</f>
        <v/>
      </c>
      <c r="I35" s="71"/>
      <c r="J35" s="80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>HYPERLINK(VLOOKUP(M36,$R$12:$S$60,2,FALSE))</f>
        <v/>
      </c>
    </row>
    <row r="37" spans="1:16" ht="56.25" x14ac:dyDescent="0.2">
      <c r="A37" s="65"/>
      <c r="B37" s="68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>HYPERLINK(VLOOKUP(E37,$R$12:$S$60,2,FALSE))</f>
        <v>https://max.ru/join/M7wDISGvmShFMnRwwNWABqv4bmIdPah2zAI1ryedWA4</v>
      </c>
      <c r="I37" s="70"/>
      <c r="J37" s="73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>HYPERLINK(VLOOKUP(M37,$R$12:$S$60,2,FALSE))</f>
        <v>https://max.ru/join/M7wDISGvmShFMnRwwNWABqv4bmIdPah2zAI1ryedWA4</v>
      </c>
    </row>
    <row r="38" spans="1:16" ht="37.5" x14ac:dyDescent="0.2">
      <c r="A38" s="65"/>
      <c r="B38" s="68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>HYPERLINK(VLOOKUP(M38,$R$12:$S$60,2,FALSE))</f>
        <v>https://max.ru/join/M7wDISGvmShFMnRwwNWABqv4bmIdPah2zAI1ryedWA4</v>
      </c>
    </row>
    <row r="39" spans="1:16" ht="37.5" x14ac:dyDescent="0.2">
      <c r="A39" s="65"/>
      <c r="B39" s="68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>HYPERLINK(VLOOKUP(M39,$R$12:$S$60,2,FALSE))</f>
        <v>https://max.ru/join/M7wDISGvmShFMnRwwNWABqv4bmIdPah2zAI1ryedWA4</v>
      </c>
    </row>
    <row r="40" spans="1:16" ht="31.5" x14ac:dyDescent="0.2">
      <c r="A40" s="65"/>
      <c r="B40" s="68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>HYPERLINK(VLOOKUP(M41,$R$12:$S$60,2,FALSE))</f>
        <v/>
      </c>
    </row>
    <row r="42" spans="1:16" ht="32.25" thickBot="1" x14ac:dyDescent="0.25">
      <c r="A42" s="65"/>
      <c r="B42" s="68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>HYPERLINK(VLOOKUP(M42,$R$12:$S$60,2,FALSE))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>HYPERLINK(VLOOKUP(E43,$R$12:$S$60,2,FALSE))</f>
        <v/>
      </c>
      <c r="I43" s="71"/>
      <c r="J43" s="74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>HYPERLINK(VLOOKUP(M46,$R$12:$S$60,2,FALSE))</f>
        <v/>
      </c>
    </row>
    <row r="47" spans="1:16" ht="37.5" x14ac:dyDescent="0.2">
      <c r="A47" s="65"/>
      <c r="B47" s="68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>HYPERLINK(VLOOKUP(M47,$R$12:$S$60,2,FALSE))</f>
        <v>https://max.ru/join/M7wDISGvmShFMnRwwNWABqv4bmIdPah2zAI1ryedWA4</v>
      </c>
    </row>
    <row r="48" spans="1:16" ht="37.5" x14ac:dyDescent="0.2">
      <c r="A48" s="65"/>
      <c r="B48" s="68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>HYPERLINK(VLOOKUP(M48,$R$12:$S$60,2,FALSE))</f>
        <v>https://max.ru/join/M7wDISGvmShFMnRwwNWABqv4bmIdPah2zAI1ryedWA4</v>
      </c>
    </row>
    <row r="49" spans="1:16" ht="31.5" x14ac:dyDescent="0.2">
      <c r="A49" s="65"/>
      <c r="B49" s="68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>HYPERLINK(VLOOKUP(E51,$R$12:$S$60,2,FALSE))</f>
        <v/>
      </c>
      <c r="I51" s="71"/>
      <c r="J51" s="74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HYPERLINK(VLOOKUP(E59,$R$12:$S$60,2,FALSE))</f>
        <v/>
      </c>
      <c r="I59" s="71"/>
      <c r="J59" s="7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</mergeCells>
  <hyperlinks>
    <hyperlink ref="S12" r:id="rId1" xr:uid="{AA2F14E0-B4F8-4F10-A2B6-0B91FADB2EBB}"/>
    <hyperlink ref="S13:S22" r:id="rId2" display="https://max.ru/join/M7wDISGvmShFMnRwwNWABqv4bmIdPah2zAI1ryedWA4" xr:uid="{57332E89-33F1-41C0-804E-388C292B32B4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60"/>
  <sheetViews>
    <sheetView view="pageBreakPreview" topLeftCell="H4" zoomScale="51" zoomScaleNormal="55" zoomScaleSheetLayoutView="51" workbookViewId="0">
      <selection activeCell="A61" sqref="A61:XFD54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hidden="1" customWidth="1"/>
    <col min="19" max="19" width="42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 t="str">
        <f>'[1]1нед'!$T$134</f>
        <v>12-25ПИоз</v>
      </c>
      <c r="G9" s="62"/>
      <c r="H9" s="35"/>
      <c r="I9" s="45"/>
      <c r="J9" s="86" t="s">
        <v>7</v>
      </c>
      <c r="K9" s="86"/>
      <c r="L9" s="86"/>
      <c r="M9" s="62">
        <f>E9</f>
        <v>2</v>
      </c>
      <c r="N9" s="62" t="str">
        <f>'[1]1нед'!$T$134</f>
        <v>12-25ПИоз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5.1" customHeight="1" x14ac:dyDescent="0.2">
      <c r="A12" s="64">
        <v>46265</v>
      </c>
      <c r="B12" s="67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HYPERLINK(VLOOKUP(M12,$R$12:$S$60,2,FALSE))</f>
        <v/>
      </c>
      <c r="R12" t="str">
        <f>[2]Уч.План!B404</f>
        <v>Финансово-экономический практикум</v>
      </c>
      <c r="S12" s="61" t="s">
        <v>53</v>
      </c>
    </row>
    <row r="13" spans="1:19" ht="31.5" x14ac:dyDescent="0.2">
      <c r="A13" s="65"/>
      <c r="B13" s="68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>HYPERLINK(VLOOKUP(M13,$R$12:$S$60,2,FALSE))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68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>HYPERLINK(VLOOKUP(M14,$R$12:$S$60,2,FALSE))</f>
        <v/>
      </c>
      <c r="R14" t="str">
        <f>[2]Уч.План!B406</f>
        <v>ИКТ и медиаинформационная грамотность</v>
      </c>
      <c r="S14" s="61" t="s">
        <v>55</v>
      </c>
    </row>
    <row r="15" spans="1:19" ht="31.5" x14ac:dyDescent="0.2">
      <c r="A15" s="65"/>
      <c r="B15" s="68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>HYPERLINK(VLOOKUP(M15,$R$12:$S$60,2,FALSE))</f>
        <v/>
      </c>
      <c r="R15" t="str">
        <f>[2]Уч.План!B407</f>
        <v>Введение в Javascript и основы веб-разработки</v>
      </c>
      <c r="S15" s="61" t="s">
        <v>55</v>
      </c>
    </row>
    <row r="16" spans="1:19" ht="31.5" x14ac:dyDescent="0.2">
      <c r="A16" s="65"/>
      <c r="B16" s="68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>HYPERLINK(VLOOKUP(M16,$R$12:$S$60,2,FALSE))</f>
        <v/>
      </c>
      <c r="R16" t="str">
        <f>[2]Уч.План!B408</f>
        <v>Архитектура компьютера и Интернет</v>
      </c>
      <c r="S16" s="61" t="s">
        <v>55</v>
      </c>
    </row>
    <row r="17" spans="1:19" ht="31.5" x14ac:dyDescent="0.2">
      <c r="A17" s="65"/>
      <c r="B17" s="68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>HYPERLINK(VLOOKUP(M17,$R$12:$S$60,2,FALSE))</f>
        <v>https://max.ru/join/WiSqTQR9vhIixu_9tEOVcte-zLq3xD0Pr4wEaSuQ8L8</v>
      </c>
      <c r="R17" t="str">
        <f>[2]Уч.План!B409</f>
        <v>Основы компьютерных наук</v>
      </c>
      <c r="S17" s="61" t="s">
        <v>55</v>
      </c>
    </row>
    <row r="18" spans="1:19" ht="37.5" x14ac:dyDescent="0.2">
      <c r="A18" s="65"/>
      <c r="B18" s="68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>HYPERLINK(VLOOKUP(M18,$R$12:$S$60,2,FALSE))</f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55</v>
      </c>
    </row>
    <row r="19" spans="1:19" ht="18.399999999999999" customHeight="1" x14ac:dyDescent="0.2">
      <c r="A19" s="66"/>
      <c r="B19" s="69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>HYPERLINK(VLOOKUP(E19,$R$12:$S$60,2,FALSE))</f>
        <v/>
      </c>
      <c r="I19" s="71"/>
      <c r="J19" s="74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>HYPERLINK(VLOOKUP(M19,$R$12:$S$60,2,FALSE))</f>
        <v/>
      </c>
      <c r="R19" t="str">
        <f>[2]Уч.План!B411</f>
        <v>Дискретная математика</v>
      </c>
      <c r="S19" s="61" t="s">
        <v>55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>HYPERLINK(VLOOKUP(M20,$R$12:$S$60,2,FALSE))</f>
        <v/>
      </c>
      <c r="R20" t="str">
        <f>[2]Уч.План!B412</f>
        <v xml:space="preserve"> ИКТ и медиаинформационная грамотность</v>
      </c>
      <c r="S20" s="61" t="s">
        <v>55</v>
      </c>
    </row>
    <row r="21" spans="1:19" ht="31.5" x14ac:dyDescent="0.2">
      <c r="A21" s="65"/>
      <c r="B21" s="68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>HYPERLINK(VLOOKUP(M21,$R$12:$S$60,2,FALSE))</f>
        <v/>
      </c>
      <c r="R21" t="str">
        <f>[2]Уч.План!B413</f>
        <v xml:space="preserve"> Финансово-экономический практикум</v>
      </c>
      <c r="S21" s="61" t="s">
        <v>56</v>
      </c>
    </row>
    <row r="22" spans="1:19" ht="31.5" x14ac:dyDescent="0.2">
      <c r="A22" s="65"/>
      <c r="B22" s="68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>HYPERLINK(VLOOKUP(M22,$R$12:$S$60,2,FALSE))</f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56</v>
      </c>
    </row>
    <row r="23" spans="1:19" ht="31.5" x14ac:dyDescent="0.2">
      <c r="A23" s="65"/>
      <c r="B23" s="68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>HYPERLINK(VLOOKUP(M23,$R$12:$S$60,2,FALSE))</f>
        <v/>
      </c>
      <c r="R23">
        <f>[2]Уч.План!B415</f>
        <v>0</v>
      </c>
    </row>
    <row r="24" spans="1:19" ht="31.5" x14ac:dyDescent="0.2">
      <c r="A24" s="65"/>
      <c r="B24" s="68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>HYPERLINK(VLOOKUP(M24,$R$12:$S$60,2,FALSE))</f>
        <v/>
      </c>
      <c r="R24">
        <f>[2]Уч.План!B416</f>
        <v>0</v>
      </c>
    </row>
    <row r="25" spans="1:19" ht="37.5" x14ac:dyDescent="0.2">
      <c r="A25" s="65"/>
      <c r="B25" s="68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>HYPERLINK(VLOOKUP(M25,$R$12:$S$60,2,FALSE))</f>
        <v>https://max.ru/join/WiSqTQR9vhIixu_9tEOVcte-zLq3xD0Pr4wEaSuQ8L8</v>
      </c>
      <c r="R25">
        <f>[2]Уч.План!B417</f>
        <v>0</v>
      </c>
    </row>
    <row r="26" spans="1:19" ht="38.25" thickBot="1" x14ac:dyDescent="0.25">
      <c r="A26" s="65"/>
      <c r="B26" s="68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>HYPERLINK(VLOOKUP(M26,$R$12:$S$60,2,FALSE))</f>
        <v>https://max.ru/join/WiSqTQR9vhIixu_9tEOVcte-zLq3xD0Pr4wEaSuQ8L8</v>
      </c>
      <c r="R26">
        <f>[2]Уч.План!B418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>HYPERLINK(VLOOKUP(E27,$R$12:$S$60,2,FALSE))</f>
        <v/>
      </c>
      <c r="I27" s="71"/>
      <c r="J27" s="74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>HYPERLINK(VLOOKUP(M27,$R$12:$S$60,2,FALSE))</f>
        <v/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>HYPERLINK(VLOOKUP(M28,$R$12:$S$60,2,FALSE))</f>
        <v/>
      </c>
    </row>
    <row r="29" spans="1:19" ht="31.5" x14ac:dyDescent="0.2">
      <c r="A29" s="65"/>
      <c r="B29" s="76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>HYPERLINK(VLOOKUP(M29,$R$12:$S$60,2,FALSE))</f>
        <v/>
      </c>
    </row>
    <row r="30" spans="1:19" ht="31.5" x14ac:dyDescent="0.2">
      <c r="A30" s="65"/>
      <c r="B30" s="76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>HYPERLINK(VLOOKUP(M30,$R$12:$S$60,2,FALSE))</f>
        <v/>
      </c>
    </row>
    <row r="31" spans="1:19" ht="31.5" x14ac:dyDescent="0.2">
      <c r="A31" s="65"/>
      <c r="B31" s="76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>HYPERLINK(VLOOKUP(M31,$R$12:$S$60,2,FALSE))</f>
        <v/>
      </c>
    </row>
    <row r="32" spans="1:19" ht="31.5" x14ac:dyDescent="0.2">
      <c r="A32" s="65"/>
      <c r="B32" s="76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>HYPERLINK(VLOOKUP(M32,$R$12:$S$60,2,FALSE))</f>
        <v/>
      </c>
    </row>
    <row r="33" spans="1:16" ht="37.5" x14ac:dyDescent="0.2">
      <c r="A33" s="65"/>
      <c r="B33" s="76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>HYPERLINK(VLOOKUP(E33,$R$12:$S$60,2,FALSE))</f>
        <v>https://max.ru/join/O7ELSE3mnUXAMkjL9zkW6akpHRr_OV1RfDfgb1E6BKA</v>
      </c>
      <c r="I33" s="70"/>
      <c r="J33" s="79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>HYPERLINK(VLOOKUP(M33,$R$12:$S$60,2,FALSE))</f>
        <v/>
      </c>
    </row>
    <row r="34" spans="1:16" ht="38.25" thickBot="1" x14ac:dyDescent="0.25">
      <c r="A34" s="65"/>
      <c r="B34" s="76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>HYPERLINK(VLOOKUP(E34,$R$12:$S$60,2,FALSE))</f>
        <v>https://max.ru/join/lLG9wFTsslIHYpmiSC-XFj3ChsNqu9JFSujMK928YAg</v>
      </c>
      <c r="I34" s="70"/>
      <c r="J34" s="79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>HYPERLINK(VLOOKUP(E35,$R$12:$S$60,2,FALSE))</f>
        <v/>
      </c>
      <c r="I35" s="71"/>
      <c r="J35" s="80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>HYPERLINK(VLOOKUP(M36,$R$12:$S$60,2,FALSE))</f>
        <v/>
      </c>
    </row>
    <row r="37" spans="1:16" ht="31.5" x14ac:dyDescent="0.2">
      <c r="A37" s="65"/>
      <c r="B37" s="68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>HYPERLINK(VLOOKUP(M37,$R$12:$S$60,2,FALSE))</f>
        <v/>
      </c>
    </row>
    <row r="38" spans="1:16" ht="31.5" x14ac:dyDescent="0.2">
      <c r="A38" s="65"/>
      <c r="B38" s="68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>HYPERLINK(VLOOKUP(M38,$R$12:$S$60,2,FALSE))</f>
        <v/>
      </c>
    </row>
    <row r="39" spans="1:16" ht="31.5" x14ac:dyDescent="0.2">
      <c r="A39" s="65"/>
      <c r="B39" s="68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>HYPERLINK(VLOOKUP(M41,$R$12:$S$60,2,FALSE))</f>
        <v>https://max.ru/join/WiSqTQR9vhIixu_9tEOVcte-zLq3xD0Pr4wEaSuQ8L8</v>
      </c>
    </row>
    <row r="42" spans="1:16" ht="32.25" thickBot="1" x14ac:dyDescent="0.25">
      <c r="A42" s="65"/>
      <c r="B42" s="68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>HYPERLINK(VLOOKUP(M42,$R$12:$S$60,2,FALSE))</f>
        <v>https://max.ru/join/WiSqTQR9vhIixu_9tEOVcte-zLq3xD0Pr4wEaSuQ8L8</v>
      </c>
    </row>
    <row r="43" spans="1:16" ht="18.399999999999999" hidden="1" customHeight="1" thickBot="1" x14ac:dyDescent="0.25">
      <c r="A43" s="66"/>
      <c r="B43" s="69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>HYPERLINK(VLOOKUP(E43,$R$12:$S$60,2,FALSE))</f>
        <v/>
      </c>
      <c r="I43" s="71"/>
      <c r="J43" s="74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>HYPERLINK(VLOOKUP(M46,$R$12:$S$60,2,FALSE))</f>
        <v/>
      </c>
    </row>
    <row r="47" spans="1:16" ht="31.5" x14ac:dyDescent="0.2">
      <c r="A47" s="65"/>
      <c r="B47" s="68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>HYPERLINK(VLOOKUP(E51,$R$12:$S$60,2,FALSE))</f>
        <v/>
      </c>
      <c r="I51" s="71"/>
      <c r="J51" s="74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HYPERLINK(VLOOKUP(E59,$R$12:$S$60,2,FALSE))</f>
        <v/>
      </c>
      <c r="I59" s="71"/>
      <c r="J59" s="7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</hyperlinks>
  <pageMargins left="0.70866141732283472" right="0.70866141732283472" top="0.74803149606299213" bottom="0.74803149606299213" header="0.31496062992125984" footer="0.31496062992125984"/>
  <pageSetup paperSize="9" scale="34" orientation="portrait" r:id="rId7"/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60"/>
  <sheetViews>
    <sheetView view="pageBreakPreview" topLeftCell="A42" zoomScale="50" zoomScaleNormal="55" zoomScaleSheetLayoutView="50" workbookViewId="0">
      <selection activeCell="D61" sqref="A61:XFD57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hidden="1" customWidth="1"/>
    <col min="19" max="19" width="25.8554687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 t="str">
        <f>'[1]1нед'!$D$196</f>
        <v>12-25МИоз</v>
      </c>
      <c r="G9" s="62"/>
      <c r="H9" s="35"/>
      <c r="I9" s="45"/>
      <c r="J9" s="86" t="s">
        <v>7</v>
      </c>
      <c r="K9" s="86"/>
      <c r="L9" s="86"/>
      <c r="M9" s="62">
        <f>E9</f>
        <v>2</v>
      </c>
      <c r="N9" s="62" t="str">
        <f>'[1]1нед'!$D$196</f>
        <v>12-25МИоз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HYPERLINK(VLOOKUP(M12,$R$12:$S$60,2,FALSE))</f>
        <v/>
      </c>
      <c r="R12" t="str">
        <f>[2]Уч.План!B453</f>
        <v>Финансово-экономический практикум</v>
      </c>
      <c r="S12" s="61" t="s">
        <v>53</v>
      </c>
    </row>
    <row r="13" spans="1:19" ht="31.5" x14ac:dyDescent="0.2">
      <c r="A13" s="65"/>
      <c r="B13" s="68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>HYPERLINK(VLOOKUP(M13,$R$12:$S$60,2,FALSE))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68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>HYPERLINK(VLOOKUP(M14,$R$12:$S$60,2,FALSE))</f>
        <v/>
      </c>
      <c r="R14" t="str">
        <f>[2]Уч.План!B455</f>
        <v>Психология</v>
      </c>
      <c r="S14" s="61" t="s">
        <v>57</v>
      </c>
    </row>
    <row r="15" spans="1:19" ht="31.5" x14ac:dyDescent="0.2">
      <c r="A15" s="65"/>
      <c r="B15" s="68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>HYPERLINK(VLOOKUP(M15,$R$12:$S$60,2,FALSE))</f>
        <v/>
      </c>
      <c r="R15" t="str">
        <f>[2]Уч.План!B456</f>
        <v>Педагогика</v>
      </c>
      <c r="S15" s="61" t="s">
        <v>58</v>
      </c>
    </row>
    <row r="16" spans="1:19" ht="31.5" x14ac:dyDescent="0.2">
      <c r="A16" s="65"/>
      <c r="B16" s="68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>HYPERLINK(VLOOKUP(M16,$R$12:$S$60,2,FALSE))</f>
        <v/>
      </c>
      <c r="R16" t="str">
        <f>[2]Уч.План!B457</f>
        <v>Информационные системы</v>
      </c>
      <c r="S16" s="61" t="s">
        <v>59</v>
      </c>
    </row>
    <row r="17" spans="1:19" ht="31.5" x14ac:dyDescent="0.2">
      <c r="A17" s="65"/>
      <c r="B17" s="68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>HYPERLINK(VLOOKUP(M17,$R$12:$S$60,2,FALSE))</f>
        <v>https://max.ru/join/8alUL1AavbikkBK8Wox0H5Gqk0GpaAW3WoZ_oaAjx88</v>
      </c>
      <c r="R17" t="str">
        <f>[2]Уч.План!B458</f>
        <v>Программирование</v>
      </c>
      <c r="S17" s="61" t="s">
        <v>59</v>
      </c>
    </row>
    <row r="18" spans="1:19" ht="32.25" thickBot="1" x14ac:dyDescent="0.25">
      <c r="A18" s="65"/>
      <c r="B18" s="68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>HYPERLINK(VLOOKUP(M18,$R$12:$S$60,2,FALSE))</f>
        <v>https://max.ru/join/8alUL1AavbikkBK8Wox0H5Gqk0GpaAW3WoZ_oaAjx88</v>
      </c>
      <c r="R18" t="str">
        <f>[2]Уч.План!B459</f>
        <v>Математический анализ</v>
      </c>
      <c r="S18" s="61" t="s">
        <v>59</v>
      </c>
    </row>
    <row r="19" spans="1:19" ht="18.399999999999999" hidden="1" customHeight="1" thickBot="1" x14ac:dyDescent="0.25">
      <c r="A19" s="66"/>
      <c r="B19" s="69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>HYPERLINK(VLOOKUP(E19,$R$12:$S$60,2,FALSE))</f>
        <v/>
      </c>
      <c r="I19" s="71"/>
      <c r="J19" s="74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>HYPERLINK(VLOOKUP(M19,$R$12:$S$60,2,FALSE))</f>
        <v/>
      </c>
      <c r="R19" t="str">
        <f>[2]Уч.План!B460</f>
        <v>Геометрия</v>
      </c>
      <c r="S19" s="61" t="s">
        <v>59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>HYPERLINK(VLOOKUP(M20,$R$12:$S$60,2,FALSE))</f>
        <v/>
      </c>
      <c r="R20" t="str">
        <f>[2]Уч.План!B461</f>
        <v>Алгебра</v>
      </c>
      <c r="S20" s="61" t="s">
        <v>59</v>
      </c>
    </row>
    <row r="21" spans="1:19" ht="31.5" x14ac:dyDescent="0.2">
      <c r="A21" s="65"/>
      <c r="B21" s="68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>HYPERLINK(VLOOKUP(M21,$R$12:$S$60,2,FALSE))</f>
        <v/>
      </c>
      <c r="R21" t="str">
        <f>[2]Уч.План!B462</f>
        <v>Информационные системы (курсовая работа)</v>
      </c>
      <c r="S21" s="61" t="s">
        <v>59</v>
      </c>
    </row>
    <row r="22" spans="1:19" ht="31.5" x14ac:dyDescent="0.2">
      <c r="A22" s="65"/>
      <c r="B22" s="68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>HYPERLINK(VLOOKUP(M22,$R$12:$S$60,2,FALSE))</f>
        <v/>
      </c>
      <c r="R22" t="str">
        <f>[2]Уч.План!B463</f>
        <v xml:space="preserve"> Математический анализ</v>
      </c>
      <c r="S22" s="61" t="s">
        <v>59</v>
      </c>
    </row>
    <row r="23" spans="1:19" ht="31.5" x14ac:dyDescent="0.2">
      <c r="A23" s="65"/>
      <c r="B23" s="68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>HYPERLINK(VLOOKUP(M23,$R$12:$S$60,2,FALSE))</f>
        <v/>
      </c>
      <c r="R23" t="str">
        <f>[2]Уч.План!B464</f>
        <v xml:space="preserve"> Психология</v>
      </c>
      <c r="S23" s="61" t="s">
        <v>60</v>
      </c>
    </row>
    <row r="24" spans="1:19" ht="31.5" x14ac:dyDescent="0.2">
      <c r="A24" s="65"/>
      <c r="B24" s="68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>HYPERLINK(VLOOKUP(M24,$R$12:$S$60,2,FALSE))</f>
        <v/>
      </c>
      <c r="R24" t="str">
        <f>[2]Уч.План!B465</f>
        <v xml:space="preserve"> Финансово-экономический практикум</v>
      </c>
      <c r="S24" s="61" t="s">
        <v>56</v>
      </c>
    </row>
    <row r="25" spans="1:19" ht="31.5" x14ac:dyDescent="0.2">
      <c r="A25" s="65"/>
      <c r="B25" s="68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>HYPERLINK(VLOOKUP(M25,$R$12:$S$60,2,FALSE))</f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56</v>
      </c>
    </row>
    <row r="26" spans="1:19" ht="31.5" x14ac:dyDescent="0.2">
      <c r="A26" s="65"/>
      <c r="B26" s="68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>HYPERLINK(VLOOKUP(M26,$R$12:$S$60,2,FALSE))</f>
        <v/>
      </c>
      <c r="R26" t="str">
        <f>[2]Уч.План!B467</f>
        <v xml:space="preserve"> Педагогика</v>
      </c>
      <c r="S26" s="61" t="s">
        <v>60</v>
      </c>
    </row>
    <row r="27" spans="1:19" ht="18.399999999999999" customHeight="1" thickBot="1" x14ac:dyDescent="0.25">
      <c r="A27" s="66"/>
      <c r="B27" s="69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>HYPERLINK(VLOOKUP(E27,$R$12:$S$60,2,FALSE))</f>
        <v/>
      </c>
      <c r="I27" s="71"/>
      <c r="J27" s="74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>HYPERLINK(VLOOKUP(M27,$R$12:$S$60,2,FALSE))</f>
        <v/>
      </c>
      <c r="R27">
        <f>[2]Уч.План!B468</f>
        <v>0</v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>HYPERLINK(VLOOKUP(M28,$R$12:$S$60,2,FALSE))</f>
        <v/>
      </c>
      <c r="R28">
        <f>[2]Уч.План!B469</f>
        <v>0</v>
      </c>
    </row>
    <row r="29" spans="1:19" ht="31.5" x14ac:dyDescent="0.2">
      <c r="A29" s="65"/>
      <c r="B29" s="76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>HYPERLINK(VLOOKUP(M29,$R$12:$S$60,2,FALSE))</f>
        <v/>
      </c>
      <c r="R29">
        <f>[2]Уч.План!B470</f>
        <v>0</v>
      </c>
    </row>
    <row r="30" spans="1:19" ht="31.5" x14ac:dyDescent="0.2">
      <c r="A30" s="65"/>
      <c r="B30" s="76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>HYPERLINK(VLOOKUP(M30,$R$12:$S$60,2,FALSE))</f>
        <v/>
      </c>
      <c r="R30">
        <f>[2]Уч.План!B471</f>
        <v>0</v>
      </c>
    </row>
    <row r="31" spans="1:19" ht="31.5" x14ac:dyDescent="0.2">
      <c r="A31" s="65"/>
      <c r="B31" s="76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>HYPERLINK(VLOOKUP(M31,$R$12:$S$60,2,FALSE))</f>
        <v/>
      </c>
      <c r="R31">
        <f>[2]Уч.План!B472</f>
        <v>0</v>
      </c>
    </row>
    <row r="32" spans="1:19" ht="31.5" x14ac:dyDescent="0.2">
      <c r="A32" s="65"/>
      <c r="B32" s="76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>HYPERLINK(VLOOKUP(M32,$R$12:$S$60,2,FALSE))</f>
        <v/>
      </c>
    </row>
    <row r="33" spans="1:16" ht="31.5" x14ac:dyDescent="0.2">
      <c r="A33" s="65"/>
      <c r="B33" s="76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>HYPERLINK(VLOOKUP(E33,$R$12:$S$60,2,FALSE))</f>
        <v>https://max.ru/join/O7ELSE3mnUXAMkjL9zkW6akpHRr_OV1RfDfgb1E6BKA</v>
      </c>
      <c r="I33" s="70"/>
      <c r="J33" s="79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>HYPERLINK(VLOOKUP(M33,$R$12:$S$60,2,FALSE))</f>
        <v>https://max.ru/join/8alUL1AavbikkBK8Wox0H5Gqk0GpaAW3WoZ_oaAjx88</v>
      </c>
    </row>
    <row r="34" spans="1:16" ht="38.25" thickBot="1" x14ac:dyDescent="0.25">
      <c r="A34" s="65"/>
      <c r="B34" s="76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>HYPERLINK(VLOOKUP(E34,$R$12:$S$60,2,FALSE))</f>
        <v>https://max.ru/join/lLG9wFTsslIHYpmiSC-XFj3ChsNqu9JFSujMK928YAg</v>
      </c>
      <c r="I34" s="70"/>
      <c r="J34" s="79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>HYPERLINK(VLOOKUP(E35,$R$12:$S$60,2,FALSE))</f>
        <v/>
      </c>
      <c r="I35" s="71"/>
      <c r="J35" s="80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>HYPERLINK(VLOOKUP(M36,$R$12:$S$60,2,FALSE))</f>
        <v/>
      </c>
    </row>
    <row r="37" spans="1:16" ht="31.5" x14ac:dyDescent="0.2">
      <c r="A37" s="65"/>
      <c r="B37" s="68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>HYPERLINK(VLOOKUP(M37,$R$12:$S$60,2,FALSE))</f>
        <v/>
      </c>
    </row>
    <row r="38" spans="1:16" ht="31.5" x14ac:dyDescent="0.2">
      <c r="A38" s="65"/>
      <c r="B38" s="68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>HYPERLINK(VLOOKUP(M38,$R$12:$S$60,2,FALSE))</f>
        <v/>
      </c>
    </row>
    <row r="39" spans="1:16" ht="31.5" x14ac:dyDescent="0.2">
      <c r="A39" s="65"/>
      <c r="B39" s="68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>HYPERLINK(VLOOKUP(E41,$R$12:$S$60,2,FALSE))</f>
        <v>https://max.ru/join/g6zvD6fUKPmI5Ues4pjwwIXB0fZghlWb7Uaeuix-jUQ</v>
      </c>
      <c r="I41" s="70"/>
      <c r="J41" s="73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>HYPERLINK(VLOOKUP(M41,$R$12:$S$60,2,FALSE))</f>
        <v>https://max.ru/join/8alUL1AavbikkBK8Wox0H5Gqk0GpaAW3WoZ_oaAjx88</v>
      </c>
    </row>
    <row r="42" spans="1:16" ht="32.25" thickBot="1" x14ac:dyDescent="0.25">
      <c r="A42" s="65"/>
      <c r="B42" s="68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>HYPERLINK(VLOOKUP(M42,$R$12:$S$60,2,FALSE))</f>
        <v>https://max.ru/join/8alUL1AavbikkBK8Wox0H5Gqk0GpaAW3WoZ_oaAjx88</v>
      </c>
    </row>
    <row r="43" spans="1:16" ht="18.399999999999999" hidden="1" customHeight="1" thickBot="1" x14ac:dyDescent="0.25">
      <c r="A43" s="66"/>
      <c r="B43" s="69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>HYPERLINK(VLOOKUP(E43,$R$12:$S$60,2,FALSE))</f>
        <v/>
      </c>
      <c r="I43" s="71"/>
      <c r="J43" s="74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>HYPERLINK(VLOOKUP(M46,$R$12:$S$60,2,FALSE))</f>
        <v/>
      </c>
    </row>
    <row r="47" spans="1:16" ht="31.5" x14ac:dyDescent="0.2">
      <c r="A47" s="65"/>
      <c r="B47" s="68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>HYPERLINK(VLOOKUP(E51,$R$12:$S$60,2,FALSE))</f>
        <v/>
      </c>
      <c r="I51" s="71"/>
      <c r="J51" s="74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>HYPERLINK(VLOOKUP(M58,$R$12:$S$60,2,FALSE))</f>
        <v/>
      </c>
    </row>
    <row r="59" spans="1:16" ht="19.149999999999999" hidden="1" customHeight="1" thickTop="1" thickBot="1" x14ac:dyDescent="0.25">
      <c r="A59" s="66"/>
      <c r="B59" s="69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HYPERLINK(VLOOKUP(E59,$R$12:$S$60,2,FALSE))</f>
        <v/>
      </c>
      <c r="I59" s="71"/>
      <c r="J59" s="7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</mergeCells>
  <conditionalFormatting sqref="G59">
    <cfRule type="cellIs" dxfId="39" priority="198" operator="equal">
      <formula>"0. ,0, "</formula>
    </cfRule>
  </conditionalFormatting>
  <conditionalFormatting sqref="G59">
    <cfRule type="cellIs" dxfId="38" priority="197" operator="equal">
      <formula>"0. 0,0, ауд. 0, 0"</formula>
    </cfRule>
  </conditionalFormatting>
  <conditionalFormatting sqref="G59">
    <cfRule type="cellIs" dxfId="37" priority="196" operator="equal">
      <formula>"0. 0 0, ауд. 0, 0"</formula>
    </cfRule>
  </conditionalFormatting>
  <conditionalFormatting sqref="G59">
    <cfRule type="cellIs" dxfId="36" priority="195" operator="equal">
      <formula>"0. ,0, "</formula>
    </cfRule>
  </conditionalFormatting>
  <conditionalFormatting sqref="G59">
    <cfRule type="cellIs" dxfId="35" priority="194" operator="equal">
      <formula>"0. 0,0, ауд. 0, 0"</formula>
    </cfRule>
  </conditionalFormatting>
  <conditionalFormatting sqref="G59">
    <cfRule type="cellIs" dxfId="34" priority="193" operator="equal">
      <formula>"0. 0 0, ауд. 0, 0"</formula>
    </cfRule>
  </conditionalFormatting>
  <conditionalFormatting sqref="G59">
    <cfRule type="cellIs" dxfId="33" priority="192" operator="equal">
      <formula>"0. ,0, "</formula>
    </cfRule>
  </conditionalFormatting>
  <conditionalFormatting sqref="G59">
    <cfRule type="cellIs" dxfId="32" priority="191" operator="equal">
      <formula>"0. 0,0, ауд. 0, 0"</formula>
    </cfRule>
  </conditionalFormatting>
  <conditionalFormatting sqref="G59">
    <cfRule type="cellIs" dxfId="31" priority="190" operator="equal">
      <formula>"0. 0 0, ауд. 0, 0"</formula>
    </cfRule>
  </conditionalFormatting>
  <conditionalFormatting sqref="G59">
    <cfRule type="cellIs" dxfId="30" priority="188" operator="equal">
      <formula>"0. 0 0, ауд. 0,"</formula>
    </cfRule>
    <cfRule type="colorScale" priority="189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60"/>
  <sheetViews>
    <sheetView view="pageBreakPreview" topLeftCell="A31" zoomScale="59" zoomScaleNormal="55" zoomScaleSheetLayoutView="59" workbookViewId="0">
      <selection activeCell="A61" sqref="A61:XFD54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hidden="1" customWidth="1"/>
    <col min="19" max="19" width="0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 t="str">
        <f>'[1]1нед'!$L$196</f>
        <v>12-25МЭоз</v>
      </c>
      <c r="G9" s="62"/>
      <c r="H9" s="35"/>
      <c r="I9" s="45"/>
      <c r="J9" s="86" t="s">
        <v>7</v>
      </c>
      <c r="K9" s="86"/>
      <c r="L9" s="86"/>
      <c r="M9" s="62">
        <f>E9</f>
        <v>2</v>
      </c>
      <c r="N9" s="62" t="str">
        <f>'[1]1нед'!$L$196</f>
        <v>12-25МЭоз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HYPERLINK(VLOOKUP(M12,$R$12:$S$60,2,FALSE))</f>
        <v/>
      </c>
      <c r="R12" t="str">
        <f>[2]Уч.План!B502</f>
        <v>Финансово-экономический практикум</v>
      </c>
      <c r="S12" s="61" t="s">
        <v>53</v>
      </c>
    </row>
    <row r="13" spans="1:19" ht="31.5" x14ac:dyDescent="0.2">
      <c r="A13" s="65"/>
      <c r="B13" s="68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>HYPERLINK(VLOOKUP(M13,$R$12:$S$60,2,FALSE))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68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>HYPERLINK(VLOOKUP(M14,$R$12:$S$60,2,FALSE))</f>
        <v/>
      </c>
      <c r="R14" t="str">
        <f>[2]Уч.План!B504</f>
        <v>Психология</v>
      </c>
      <c r="S14" s="61" t="s">
        <v>57</v>
      </c>
    </row>
    <row r="15" spans="1:19" ht="31.5" x14ac:dyDescent="0.2">
      <c r="A15" s="65"/>
      <c r="B15" s="68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>HYPERLINK(VLOOKUP(M15,$R$12:$S$60,2,FALSE))</f>
        <v/>
      </c>
      <c r="R15" t="str">
        <f>[2]Уч.План!B505</f>
        <v>Педагогика</v>
      </c>
      <c r="S15" s="61" t="s">
        <v>58</v>
      </c>
    </row>
    <row r="16" spans="1:19" ht="31.5" x14ac:dyDescent="0.2">
      <c r="A16" s="65"/>
      <c r="B16" s="68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>HYPERLINK(VLOOKUP(M16,$R$12:$S$60,2,FALSE))</f>
        <v/>
      </c>
      <c r="R16" t="str">
        <f>[2]Уч.План!B506</f>
        <v>Математический анализ</v>
      </c>
      <c r="S16" s="61" t="s">
        <v>61</v>
      </c>
    </row>
    <row r="17" spans="1:19" ht="31.5" x14ac:dyDescent="0.2">
      <c r="A17" s="65"/>
      <c r="B17" s="68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>HYPERLINK(VLOOKUP(M17,$R$12:$S$60,2,FALSE))</f>
        <v>https://max.ru/join/DN-Al3Hn8BwzumxU2F0z1ZrdkkOKrJJlr2N-X5z2j-A</v>
      </c>
      <c r="R17" t="str">
        <f>[2]Уч.План!B507</f>
        <v>Геометрия</v>
      </c>
      <c r="S17" s="61" t="s">
        <v>61</v>
      </c>
    </row>
    <row r="18" spans="1:19" ht="32.25" thickBot="1" x14ac:dyDescent="0.25">
      <c r="A18" s="65"/>
      <c r="B18" s="68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>HYPERLINK(VLOOKUP(M18,$R$12:$S$60,2,FALSE))</f>
        <v>https://max.ru/join/DN-Al3Hn8BwzumxU2F0z1ZrdkkOKrJJlr2N-X5z2j-A</v>
      </c>
      <c r="R18" t="str">
        <f>[2]Уч.План!B508</f>
        <v>Алгебра</v>
      </c>
      <c r="S18" s="61" t="s">
        <v>61</v>
      </c>
    </row>
    <row r="19" spans="1:19" ht="18.399999999999999" hidden="1" customHeight="1" thickBot="1" x14ac:dyDescent="0.25">
      <c r="A19" s="66"/>
      <c r="B19" s="69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>HYPERLINK(VLOOKUP(E19,$R$12:$S$60,2,FALSE))</f>
        <v/>
      </c>
      <c r="I19" s="71"/>
      <c r="J19" s="74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>HYPERLINK(VLOOKUP(M19,$R$12:$S$60,2,FALSE))</f>
        <v/>
      </c>
      <c r="R19" t="str">
        <f>[2]Уч.План!B509</f>
        <v>Программирование</v>
      </c>
      <c r="S19" s="61" t="s">
        <v>61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>HYPERLINK(VLOOKUP(M20,$R$12:$S$60,2,FALSE))</f>
        <v/>
      </c>
      <c r="R20" t="str">
        <f>[2]Уч.План!B510</f>
        <v>Микроэкономика</v>
      </c>
      <c r="S20" s="61" t="s">
        <v>61</v>
      </c>
    </row>
    <row r="21" spans="1:19" ht="31.5" x14ac:dyDescent="0.2">
      <c r="A21" s="65"/>
      <c r="B21" s="68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>HYPERLINK(VLOOKUP(M21,$R$12:$S$60,2,FALSE))</f>
        <v/>
      </c>
      <c r="R21" t="str">
        <f>[2]Уч.План!B511</f>
        <v>Основы предпринимательства</v>
      </c>
      <c r="S21" s="61" t="s">
        <v>61</v>
      </c>
    </row>
    <row r="22" spans="1:19" ht="31.5" x14ac:dyDescent="0.2">
      <c r="A22" s="65"/>
      <c r="B22" s="68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>HYPERLINK(VLOOKUP(M22,$R$12:$S$60,2,FALSE))</f>
        <v/>
      </c>
      <c r="R22" t="str">
        <f>[2]Уч.План!B512</f>
        <v>Деньги, кредит, банки</v>
      </c>
      <c r="S22" s="61" t="s">
        <v>61</v>
      </c>
    </row>
    <row r="23" spans="1:19" ht="31.5" x14ac:dyDescent="0.2">
      <c r="A23" s="65"/>
      <c r="B23" s="68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>HYPERLINK(VLOOKUP(M23,$R$12:$S$60,2,FALSE))</f>
        <v/>
      </c>
      <c r="R23" t="str">
        <f>[2]Уч.План!B513</f>
        <v>Экономика фирмы</v>
      </c>
      <c r="S23" s="61" t="s">
        <v>61</v>
      </c>
    </row>
    <row r="24" spans="1:19" ht="31.5" x14ac:dyDescent="0.2">
      <c r="A24" s="65"/>
      <c r="B24" s="68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>HYPERLINK(VLOOKUP(M24,$R$12:$S$60,2,FALSE))</f>
        <v/>
      </c>
      <c r="R24" t="str">
        <f>[2]Уч.План!B514</f>
        <v xml:space="preserve"> Математический анализ</v>
      </c>
      <c r="S24" s="61" t="s">
        <v>61</v>
      </c>
    </row>
    <row r="25" spans="1:19" ht="31.5" x14ac:dyDescent="0.2">
      <c r="A25" s="65"/>
      <c r="B25" s="68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>HYPERLINK(VLOOKUP(M25,$R$12:$S$60,2,FALSE))</f>
        <v/>
      </c>
      <c r="R25" t="str">
        <f>[2]Уч.План!B515</f>
        <v xml:space="preserve"> Психология</v>
      </c>
      <c r="S25" s="61" t="s">
        <v>60</v>
      </c>
    </row>
    <row r="26" spans="1:19" ht="37.5" x14ac:dyDescent="0.2">
      <c r="A26" s="65"/>
      <c r="B26" s="68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</v>
      </c>
      <c r="P26" s="57" t="str">
        <f>HYPERLINK(VLOOKUP(M26,$R$12:$S$60,2,FALSE))</f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56</v>
      </c>
    </row>
    <row r="27" spans="1:19" ht="18.399999999999999" customHeight="1" x14ac:dyDescent="0.2">
      <c r="A27" s="66"/>
      <c r="B27" s="69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>HYPERLINK(VLOOKUP(E27,$R$12:$S$60,2,FALSE))</f>
        <v/>
      </c>
      <c r="I27" s="71"/>
      <c r="J27" s="74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>HYPERLINK(VLOOKUP(M27,$R$12:$S$60,2,FALSE))</f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56</v>
      </c>
    </row>
    <row r="28" spans="1:19" ht="48" customHeight="1" x14ac:dyDescent="0.2">
      <c r="A28" s="64">
        <v>46267</v>
      </c>
      <c r="B28" s="75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>HYPERLINK(VLOOKUP(M28,$R$12:$S$60,2,FALSE))</f>
        <v/>
      </c>
      <c r="R28" t="str">
        <f>[2]Уч.План!B518</f>
        <v xml:space="preserve"> Педагогика</v>
      </c>
      <c r="S28" s="61" t="s">
        <v>60</v>
      </c>
    </row>
    <row r="29" spans="1:19" ht="31.5" x14ac:dyDescent="0.2">
      <c r="A29" s="65"/>
      <c r="B29" s="76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>HYPERLINK(VLOOKUP(M29,$R$12:$S$60,2,FALSE))</f>
        <v/>
      </c>
      <c r="R29">
        <f>[2]Уч.План!B519</f>
        <v>0</v>
      </c>
    </row>
    <row r="30" spans="1:19" ht="31.5" x14ac:dyDescent="0.2">
      <c r="A30" s="65"/>
      <c r="B30" s="76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>HYPERLINK(VLOOKUP(M30,$R$12:$S$60,2,FALSE))</f>
        <v/>
      </c>
      <c r="R30">
        <f>[2]Уч.План!B520</f>
        <v>0</v>
      </c>
    </row>
    <row r="31" spans="1:19" ht="31.5" x14ac:dyDescent="0.2">
      <c r="A31" s="65"/>
      <c r="B31" s="76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>HYPERLINK(VLOOKUP(M31,$R$12:$S$60,2,FALSE))</f>
        <v/>
      </c>
      <c r="R31">
        <f>[2]Уч.План!B521</f>
        <v>0</v>
      </c>
    </row>
    <row r="32" spans="1:19" ht="31.5" x14ac:dyDescent="0.2">
      <c r="A32" s="65"/>
      <c r="B32" s="76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>HYPERLINK(VLOOKUP(M32,$R$12:$S$60,2,FALSE))</f>
        <v/>
      </c>
    </row>
    <row r="33" spans="1:16" ht="37.5" x14ac:dyDescent="0.2">
      <c r="A33" s="65"/>
      <c r="B33" s="76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>HYPERLINK(VLOOKUP(E33,$R$12:$S$60,2,FALSE))</f>
        <v>https://max.ru/join/O7ELSE3mnUXAMkjL9zkW6akpHRr_OV1RfDfgb1E6BKA</v>
      </c>
      <c r="I33" s="70"/>
      <c r="J33" s="79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>HYPERLINK(VLOOKUP(M33,$R$12:$S$60,2,FALSE))</f>
        <v>https://max.ru/join/DN-Al3Hn8BwzumxU2F0z1ZrdkkOKrJJlr2N-X5z2j-A</v>
      </c>
    </row>
    <row r="34" spans="1:16" ht="38.25" thickBot="1" x14ac:dyDescent="0.25">
      <c r="A34" s="65"/>
      <c r="B34" s="76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>HYPERLINK(VLOOKUP(E34,$R$12:$S$60,2,FALSE))</f>
        <v>https://max.ru/join/lLG9wFTsslIHYpmiSC-XFj3ChsNqu9JFSujMK928YAg</v>
      </c>
      <c r="I34" s="70"/>
      <c r="J34" s="79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>HYPERLINK(VLOOKUP(M34,$R$12:$S$60,2,FALSE))</f>
        <v>https://max.ru/join/DN-Al3Hn8BwzumxU2F0z1ZrdkkOKrJJlr2N-X5z2j-A</v>
      </c>
    </row>
    <row r="35" spans="1:16" ht="18.399999999999999" hidden="1" customHeight="1" thickBot="1" x14ac:dyDescent="0.25">
      <c r="A35" s="66"/>
      <c r="B35" s="77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>HYPERLINK(VLOOKUP(E35,$R$12:$S$60,2,FALSE))</f>
        <v/>
      </c>
      <c r="I35" s="71"/>
      <c r="J35" s="80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>HYPERLINK(VLOOKUP(M36,$R$12:$S$60,2,FALSE))</f>
        <v/>
      </c>
    </row>
    <row r="37" spans="1:16" ht="31.5" x14ac:dyDescent="0.2">
      <c r="A37" s="65"/>
      <c r="B37" s="68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>HYPERLINK(VLOOKUP(M37,$R$12:$S$60,2,FALSE))</f>
        <v/>
      </c>
    </row>
    <row r="38" spans="1:16" ht="31.5" x14ac:dyDescent="0.2">
      <c r="A38" s="65"/>
      <c r="B38" s="68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>HYPERLINK(VLOOKUP(M38,$R$12:$S$60,2,FALSE))</f>
        <v/>
      </c>
    </row>
    <row r="39" spans="1:16" ht="31.5" x14ac:dyDescent="0.2">
      <c r="A39" s="65"/>
      <c r="B39" s="68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>HYPERLINK(VLOOKUP(E41,$R$12:$S$60,2,FALSE))</f>
        <v>https://max.ru/join/g6zvD6fUKPmI5Ues4pjwwIXB0fZghlWb7Uaeuix-jUQ</v>
      </c>
      <c r="I41" s="70"/>
      <c r="J41" s="73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>HYPERLINK(VLOOKUP(M41,$R$12:$S$60,2,FALSE))</f>
        <v>https://max.ru/join/DN-Al3Hn8BwzumxU2F0z1ZrdkkOKrJJlr2N-X5z2j-A</v>
      </c>
    </row>
    <row r="42" spans="1:16" ht="32.25" thickBot="1" x14ac:dyDescent="0.25">
      <c r="A42" s="65"/>
      <c r="B42" s="68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>HYPERLINK(VLOOKUP(E42,$R$12:$S$60,2,FALSE))</f>
        <v>https://max.ru/join/DN-Al3Hn8BwzumxU2F0z1ZrdkkOKrJJlr2N-X5z2j-A</v>
      </c>
      <c r="I42" s="70"/>
      <c r="J42" s="73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>HYPERLINK(VLOOKUP(M42,$R$12:$S$60,2,FALSE))</f>
        <v>https://max.ru/join/DN-Al3Hn8BwzumxU2F0z1ZrdkkOKrJJlr2N-X5z2j-A</v>
      </c>
    </row>
    <row r="43" spans="1:16" ht="18.399999999999999" hidden="1" customHeight="1" thickBot="1" x14ac:dyDescent="0.25">
      <c r="A43" s="66"/>
      <c r="B43" s="69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>HYPERLINK(VLOOKUP(E43,$R$12:$S$60,2,FALSE))</f>
        <v/>
      </c>
      <c r="I43" s="71"/>
      <c r="J43" s="74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>HYPERLINK(VLOOKUP(M46,$R$12:$S$60,2,FALSE))</f>
        <v/>
      </c>
    </row>
    <row r="47" spans="1:16" ht="31.5" x14ac:dyDescent="0.2">
      <c r="A47" s="65"/>
      <c r="B47" s="68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>HYPERLINK(VLOOKUP(E51,$R$12:$S$60,2,FALSE))</f>
        <v/>
      </c>
      <c r="I51" s="71"/>
      <c r="J51" s="74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>HYPERLINK(VLOOKUP(M58,$R$12:$S$60,2,FALSE))</f>
        <v/>
      </c>
    </row>
    <row r="59" spans="1:16" ht="19.149999999999999" hidden="1" customHeight="1" thickTop="1" thickBot="1" x14ac:dyDescent="0.25">
      <c r="A59" s="66"/>
      <c r="B59" s="69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HYPERLINK(VLOOKUP(E59,$R$12:$S$60,2,FALSE))</f>
        <v/>
      </c>
      <c r="I59" s="71"/>
      <c r="J59" s="7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">
    <cfRule type="cellIs" dxfId="29" priority="110" operator="equal">
      <formula>"0. ,0, "</formula>
    </cfRule>
  </conditionalFormatting>
  <conditionalFormatting sqref="G59">
    <cfRule type="cellIs" dxfId="28" priority="109" operator="equal">
      <formula>"0. 0,0, ауд. 0, 0"</formula>
    </cfRule>
  </conditionalFormatting>
  <conditionalFormatting sqref="G59">
    <cfRule type="cellIs" dxfId="27" priority="108" operator="equal">
      <formula>"0. 0 0, ауд. 0, 0"</formula>
    </cfRule>
  </conditionalFormatting>
  <conditionalFormatting sqref="G59">
    <cfRule type="cellIs" dxfId="26" priority="107" operator="equal">
      <formula>"0. ,0, "</formula>
    </cfRule>
  </conditionalFormatting>
  <conditionalFormatting sqref="G59">
    <cfRule type="cellIs" dxfId="25" priority="106" operator="equal">
      <formula>"0. 0,0, ауд. 0, 0"</formula>
    </cfRule>
  </conditionalFormatting>
  <conditionalFormatting sqref="G59">
    <cfRule type="cellIs" dxfId="24" priority="105" operator="equal">
      <formula>"0. 0 0, ауд. 0, 0"</formula>
    </cfRule>
  </conditionalFormatting>
  <conditionalFormatting sqref="G59">
    <cfRule type="cellIs" dxfId="23" priority="104" operator="equal">
      <formula>"0. ,0, "</formula>
    </cfRule>
  </conditionalFormatting>
  <conditionalFormatting sqref="G59">
    <cfRule type="cellIs" dxfId="22" priority="103" operator="equal">
      <formula>"0. 0,0, ауд. 0, 0"</formula>
    </cfRule>
  </conditionalFormatting>
  <conditionalFormatting sqref="G59">
    <cfRule type="cellIs" dxfId="21" priority="102" operator="equal">
      <formula>"0. 0 0, ауд. 0, 0"</formula>
    </cfRule>
  </conditionalFormatting>
  <conditionalFormatting sqref="G59">
    <cfRule type="cellIs" dxfId="2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60"/>
  <sheetViews>
    <sheetView view="pageBreakPreview" topLeftCell="A23" zoomScale="46" zoomScaleNormal="55" zoomScaleSheetLayoutView="46" workbookViewId="0">
      <selection activeCell="A61" sqref="A61:XFD54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hidden="1" customWidth="1"/>
    <col min="19" max="19" width="30.57031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3</v>
      </c>
      <c r="F9" s="62" t="str">
        <f>'[1]1нед'!$T$196</f>
        <v>12-24ПИоз</v>
      </c>
      <c r="G9" s="62"/>
      <c r="H9" s="35"/>
      <c r="I9" s="45"/>
      <c r="J9" s="86" t="s">
        <v>7</v>
      </c>
      <c r="K9" s="86"/>
      <c r="L9" s="86"/>
      <c r="M9" s="62">
        <f>E9</f>
        <v>3</v>
      </c>
      <c r="N9" s="62" t="str">
        <f>'[1]1нед'!$T$196</f>
        <v>12-24ПИоз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</row>
    <row r="12" spans="1:19" ht="35.1" customHeight="1" thickTop="1" x14ac:dyDescent="0.2">
      <c r="A12" s="64">
        <v>46265</v>
      </c>
      <c r="B12" s="67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HYPERLINK(VLOOKUP(M12,$R$12:$S$60,2,FALSE))</f>
        <v/>
      </c>
      <c r="R12" s="59" t="s">
        <v>38</v>
      </c>
      <c r="S12" s="59" t="s">
        <v>39</v>
      </c>
    </row>
    <row r="13" spans="1:19" ht="31.5" x14ac:dyDescent="0.2">
      <c r="A13" s="65"/>
      <c r="B13" s="68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>HYPERLINK(VLOOKUP(M13,$R$12:$S$60,2,FALSE))</f>
        <v/>
      </c>
      <c r="R13" t="str">
        <f>[2]Уч.План!B551</f>
        <v>Основы военной подготовки</v>
      </c>
      <c r="S13" s="92" t="s">
        <v>68</v>
      </c>
    </row>
    <row r="14" spans="1:19" ht="31.5" x14ac:dyDescent="0.2">
      <c r="A14" s="65"/>
      <c r="B14" s="68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>HYPERLINK(VLOOKUP(M14,$R$12:$S$60,2,FALSE))</f>
        <v/>
      </c>
      <c r="R14" t="str">
        <f>[2]Уч.План!B552</f>
        <v>Разработка программного обеспечения, дизайн алгоритмов и аналитика</v>
      </c>
      <c r="S14" s="92" t="s">
        <v>71</v>
      </c>
    </row>
    <row r="15" spans="1:19" ht="31.5" x14ac:dyDescent="0.2">
      <c r="A15" s="65"/>
      <c r="B15" s="68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>HYPERLINK(VLOOKUP(M15,$R$12:$S$60,2,FALSE))</f>
        <v/>
      </c>
      <c r="R15" t="str">
        <f>[2]Уч.План!B553</f>
        <v>Компьютерная безопасность</v>
      </c>
      <c r="S15" s="92" t="s">
        <v>71</v>
      </c>
    </row>
    <row r="16" spans="1:19" ht="31.5" x14ac:dyDescent="0.2">
      <c r="A16" s="65"/>
      <c r="B16" s="68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>HYPERLINK(VLOOKUP(M16,$R$12:$S$60,2,FALSE))</f>
        <v/>
      </c>
      <c r="R16" t="str">
        <f>[2]Уч.План!B554</f>
        <v>Управление ИТ-проектами и гибкая методология</v>
      </c>
      <c r="S16" s="92" t="s">
        <v>71</v>
      </c>
    </row>
    <row r="17" spans="1:19" ht="31.5" x14ac:dyDescent="0.2">
      <c r="A17" s="65"/>
      <c r="B17" s="68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>HYPERLINK(VLOOKUP(M17,$R$12:$S$60,2,FALSE))</f>
        <v/>
      </c>
      <c r="R17" t="str">
        <f>[2]Уч.План!B555</f>
        <v xml:space="preserve"> Основы военной подготовки</v>
      </c>
      <c r="S17" s="61" t="s">
        <v>62</v>
      </c>
    </row>
    <row r="18" spans="1:19" ht="32.25" thickBot="1" x14ac:dyDescent="0.25">
      <c r="A18" s="65"/>
      <c r="B18" s="68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преподаватель</v>
      </c>
      <c r="P18" s="55" t="str">
        <f>HYPERLINK(VLOOKUP(M18,$R$12:$S$60,2,FALSE))</f>
        <v>https://max.ru/join/VKkXfhUzxKeyFQk25Ym4SroS_8HJFubEzr_pkrxHHAs</v>
      </c>
      <c r="R18">
        <f>[2]Уч.План!B556</f>
        <v>0</v>
      </c>
    </row>
    <row r="19" spans="1:19" ht="18.399999999999999" hidden="1" customHeight="1" thickBot="1" x14ac:dyDescent="0.25">
      <c r="A19" s="66"/>
      <c r="B19" s="69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>HYPERLINK(VLOOKUP(E19,$R$12:$S$60,2,FALSE))</f>
        <v/>
      </c>
      <c r="I19" s="71"/>
      <c r="J19" s="74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>HYPERLINK(VLOOKUP(M19,$R$12:$S$60,2,FALSE))</f>
        <v/>
      </c>
      <c r="R19">
        <f>[2]Уч.План!B557</f>
        <v>0</v>
      </c>
    </row>
    <row r="20" spans="1:19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>HYPERLINK(VLOOKUP(M20,$R$12:$S$60,2,FALSE))</f>
        <v/>
      </c>
      <c r="R20">
        <f>[2]Уч.План!B558</f>
        <v>0</v>
      </c>
    </row>
    <row r="21" spans="1:19" ht="31.5" x14ac:dyDescent="0.2">
      <c r="A21" s="65"/>
      <c r="B21" s="68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>HYPERLINK(VLOOKUP(M21,$R$12:$S$60,2,FALSE))</f>
        <v/>
      </c>
      <c r="R21">
        <f>[2]Уч.План!B559</f>
        <v>0</v>
      </c>
    </row>
    <row r="22" spans="1:19" ht="31.5" x14ac:dyDescent="0.2">
      <c r="A22" s="65"/>
      <c r="B22" s="68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>HYPERLINK(VLOOKUP(M22,$R$12:$S$60,2,FALSE))</f>
        <v/>
      </c>
      <c r="R22">
        <f>[2]Уч.План!B560</f>
        <v>0</v>
      </c>
    </row>
    <row r="23" spans="1:19" ht="31.5" x14ac:dyDescent="0.2">
      <c r="A23" s="65"/>
      <c r="B23" s="68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>HYPERLINK(VLOOKUP(M23,$R$12:$S$60,2,FALSE))</f>
        <v/>
      </c>
      <c r="R23">
        <f>[2]Уч.План!B561</f>
        <v>0</v>
      </c>
    </row>
    <row r="24" spans="1:19" ht="31.5" x14ac:dyDescent="0.2">
      <c r="A24" s="65"/>
      <c r="B24" s="68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>HYPERLINK(VLOOKUP(M24,$R$12:$S$60,2,FALSE))</f>
        <v/>
      </c>
      <c r="R24">
        <f>[2]Уч.План!B562</f>
        <v>0</v>
      </c>
    </row>
    <row r="25" spans="1:19" ht="56.25" x14ac:dyDescent="0.2">
      <c r="A25" s="65"/>
      <c r="B25" s="68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>HYPERLINK(VLOOKUP(M25,$R$12:$S$60,2,FALSE))</f>
        <v>https://max.ru/join/ABawVbim1pHAjVVmFjM7O45ddZZYKAUsl0XF3_xyIvw</v>
      </c>
      <c r="R25">
        <f>[2]Уч.План!B563</f>
        <v>0</v>
      </c>
    </row>
    <row r="26" spans="1:19" ht="57" thickBot="1" x14ac:dyDescent="0.25">
      <c r="A26" s="65"/>
      <c r="B26" s="68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>HYPERLINK(VLOOKUP(M26,$R$12:$S$60,2,FALSE))</f>
        <v>https://max.ru/join/ABawVbim1pHAjVVmFjM7O45ddZZYKAUsl0XF3_xyIvw</v>
      </c>
      <c r="R26">
        <f>[2]Уч.План!B564</f>
        <v>0</v>
      </c>
    </row>
    <row r="27" spans="1:19" ht="18.399999999999999" hidden="1" customHeight="1" thickBot="1" x14ac:dyDescent="0.25">
      <c r="A27" s="66"/>
      <c r="B27" s="69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>HYPERLINK(VLOOKUP(E27,$R$12:$S$60,2,FALSE))</f>
        <v/>
      </c>
      <c r="I27" s="71"/>
      <c r="J27" s="74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>HYPERLINK(VLOOKUP(M27,$R$12:$S$60,2,FALSE))</f>
        <v/>
      </c>
      <c r="R27">
        <f>[2]Уч.План!B565</f>
        <v>0</v>
      </c>
    </row>
    <row r="28" spans="1:19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>HYPERLINK(VLOOKUP(M28,$R$12:$S$60,2,FALSE))</f>
        <v/>
      </c>
      <c r="R28">
        <f>[2]Уч.План!B566</f>
        <v>0</v>
      </c>
    </row>
    <row r="29" spans="1:19" ht="31.5" x14ac:dyDescent="0.2">
      <c r="A29" s="65"/>
      <c r="B29" s="76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>HYPERLINK(VLOOKUP(M29,$R$12:$S$60,2,FALSE))</f>
        <v/>
      </c>
      <c r="R29">
        <f>[2]Уч.План!B567</f>
        <v>0</v>
      </c>
    </row>
    <row r="30" spans="1:19" ht="31.5" x14ac:dyDescent="0.2">
      <c r="A30" s="65"/>
      <c r="B30" s="76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>HYPERLINK(VLOOKUP(M30,$R$12:$S$60,2,FALSE))</f>
        <v/>
      </c>
      <c r="R30">
        <f>[2]Уч.План!B568</f>
        <v>0</v>
      </c>
    </row>
    <row r="31" spans="1:19" ht="31.5" x14ac:dyDescent="0.2">
      <c r="A31" s="65"/>
      <c r="B31" s="76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>HYPERLINK(VLOOKUP(M31,$R$12:$S$60,2,FALSE))</f>
        <v/>
      </c>
      <c r="R31">
        <f>[2]Уч.План!B569</f>
        <v>0</v>
      </c>
    </row>
    <row r="32" spans="1:19" ht="31.5" x14ac:dyDescent="0.2">
      <c r="A32" s="65"/>
      <c r="B32" s="76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>HYPERLINK(VLOOKUP(M32,$R$12:$S$60,2,FALSE))</f>
        <v/>
      </c>
      <c r="R32">
        <f>[2]Уч.План!B570</f>
        <v>0</v>
      </c>
    </row>
    <row r="33" spans="1:16" ht="31.5" x14ac:dyDescent="0.2">
      <c r="A33" s="65"/>
      <c r="B33" s="76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>HYPERLINK(VLOOKUP(E33,$R$12:$S$60,2,FALSE))</f>
        <v/>
      </c>
      <c r="I33" s="70"/>
      <c r="J33" s="79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>HYPERLINK(VLOOKUP(M33,$R$12:$S$60,2,FALSE))</f>
        <v>https://max.ru/join/ABawVbim1pHAjVVmFjM7O45ddZZYKAUsl0XF3_xyIvw</v>
      </c>
    </row>
    <row r="34" spans="1:16" ht="32.25" thickBot="1" x14ac:dyDescent="0.25">
      <c r="A34" s="65"/>
      <c r="B34" s="76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преподаватель</v>
      </c>
      <c r="H34" s="55" t="str">
        <f>HYPERLINK(VLOOKUP(E34,$R$12:$S$60,2,FALSE))</f>
        <v>https://max.ru/join/xVfUag6N_YqTK2FYY9dw1yr1OX0njFL0kEBUFOsnrKU</v>
      </c>
      <c r="I34" s="70"/>
      <c r="J34" s="79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>HYPERLINK(VLOOKUP(M34,$R$12:$S$60,2,FALSE))</f>
        <v>https://max.ru/join/ABawVbim1pHAjVVmFjM7O45ddZZYKAUsl0XF3_xyIvw</v>
      </c>
    </row>
    <row r="35" spans="1:16" ht="18.399999999999999" hidden="1" customHeight="1" thickBot="1" x14ac:dyDescent="0.25">
      <c r="A35" s="66"/>
      <c r="B35" s="77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>HYPERLINK(VLOOKUP(E35,$R$12:$S$60,2,FALSE))</f>
        <v/>
      </c>
      <c r="I35" s="71"/>
      <c r="J35" s="80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>HYPERLINK(VLOOKUP(M36,$R$12:$S$60,2,FALSE))</f>
        <v/>
      </c>
    </row>
    <row r="37" spans="1:16" ht="31.5" x14ac:dyDescent="0.2">
      <c r="A37" s="65"/>
      <c r="B37" s="68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>HYPERLINK(VLOOKUP(M37,$R$12:$S$60,2,FALSE))</f>
        <v/>
      </c>
    </row>
    <row r="38" spans="1:16" ht="31.5" x14ac:dyDescent="0.2">
      <c r="A38" s="65"/>
      <c r="B38" s="68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>HYPERLINK(VLOOKUP(M38,$R$12:$S$60,2,FALSE))</f>
        <v/>
      </c>
    </row>
    <row r="39" spans="1:16" ht="31.5" x14ac:dyDescent="0.2">
      <c r="A39" s="65"/>
      <c r="B39" s="68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>HYPERLINK(VLOOKUP(M41,$R$12:$S$60,2,FALSE))</f>
        <v/>
      </c>
    </row>
    <row r="42" spans="1:16" ht="38.25" thickBot="1" x14ac:dyDescent="0.25">
      <c r="A42" s="65"/>
      <c r="B42" s="68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>HYPERLINK(VLOOKUP(E42,$R$12:$S$60,2,FALSE))</f>
        <v>https://max.ru/join/ABawVbim1pHAjVVmFjM7O45ddZZYKAUsl0XF3_xyIvw</v>
      </c>
      <c r="I42" s="70"/>
      <c r="J42" s="73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>HYPERLINK(VLOOKUP(M42,$R$12:$S$60,2,FALSE))</f>
        <v/>
      </c>
    </row>
    <row r="43" spans="1:16" ht="18.399999999999999" hidden="1" customHeight="1" thickBot="1" x14ac:dyDescent="0.25">
      <c r="A43" s="66"/>
      <c r="B43" s="69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>HYPERLINK(VLOOKUP(E43,$R$12:$S$60,2,FALSE))</f>
        <v/>
      </c>
      <c r="I43" s="71"/>
      <c r="J43" s="74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>HYPERLINK(VLOOKUP(M46,$R$12:$S$60,2,FALSE))</f>
        <v/>
      </c>
    </row>
    <row r="47" spans="1:16" ht="31.5" x14ac:dyDescent="0.2">
      <c r="A47" s="65"/>
      <c r="B47" s="68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>HYPERLINK(VLOOKUP(M49,$R$12:$S$60,2,FALSE))</f>
        <v/>
      </c>
    </row>
    <row r="50" spans="1:16" ht="38.25" thickBot="1" x14ac:dyDescent="0.25">
      <c r="A50" s="65"/>
      <c r="B50" s="68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>HYPERLINK(VLOOKUP(E50,$R$12:$S$60,2,FALSE))</f>
        <v>https://max.ru/join/ABawVbim1pHAjVVmFjM7O45ddZZYKAUsl0XF3_xyIvw</v>
      </c>
      <c r="I50" s="70"/>
      <c r="J50" s="73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>HYPERLINK(VLOOKUP(M50,$R$12:$S$60,2,FALSE))</f>
        <v>https://max.ru/join/ABawVbim1pHAjVVmFjM7O45ddZZYKAUsl0XF3_xyIvw</v>
      </c>
    </row>
    <row r="51" spans="1:16" ht="18.399999999999999" hidden="1" customHeight="1" thickBot="1" x14ac:dyDescent="0.25">
      <c r="A51" s="66"/>
      <c r="B51" s="69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>HYPERLINK(VLOOKUP(E51,$R$12:$S$60,2,FALSE))</f>
        <v/>
      </c>
      <c r="I51" s="71"/>
      <c r="J51" s="74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>HYPERLINK(VLOOKUP(M58,$R$12:$S$60,2,FALSE))</f>
        <v/>
      </c>
    </row>
    <row r="59" spans="1:16" ht="18.399999999999999" hidden="1" customHeight="1" thickBot="1" x14ac:dyDescent="0.25">
      <c r="A59" s="66"/>
      <c r="B59" s="69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HYPERLINK(VLOOKUP(E59,$R$12:$S$60,2,FALSE))</f>
        <v/>
      </c>
      <c r="I59" s="71"/>
      <c r="J59" s="7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7" r:id="rId1" xr:uid="{03A21B9A-4CA1-4CAD-98F9-159FFB3BDDF7}"/>
    <hyperlink ref="S14" r:id="rId2" xr:uid="{E1D07499-29DA-4006-B639-10DBE09D134F}"/>
    <hyperlink ref="S15" r:id="rId3" xr:uid="{7B3FCB6A-3F78-4E91-AB5F-74EF06DDF6F9}"/>
    <hyperlink ref="S16" r:id="rId4" xr:uid="{9CDE2D5A-80FA-42DE-9313-BFF0017C787F}"/>
    <hyperlink ref="S13" r:id="rId5" xr:uid="{0C0D1B6F-942C-4295-8CFA-6636E9F66656}"/>
  </hyperlinks>
  <pageMargins left="0.70866141732283472" right="0.70866141732283472" top="0.74803149606299213" bottom="0.74803149606299213" header="0.31496062992125984" footer="0.31496062992125984"/>
  <pageSetup paperSize="9" scale="34" orientation="portrait" r:id="rId6"/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60"/>
  <sheetViews>
    <sheetView view="pageBreakPreview" topLeftCell="A54" zoomScale="60" zoomScaleNormal="55" workbookViewId="0">
      <selection activeCell="A61" sqref="A61:XFD54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hidden="1" customWidth="1"/>
    <col min="19" max="19" width="24.710937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3</v>
      </c>
      <c r="F9" s="62" t="str">
        <f>'[1]1нед'!$D$258</f>
        <v>12-24МИоз</v>
      </c>
      <c r="G9" s="62"/>
      <c r="H9" s="35"/>
      <c r="I9" s="45"/>
      <c r="J9" s="86" t="s">
        <v>7</v>
      </c>
      <c r="K9" s="86"/>
      <c r="L9" s="86"/>
      <c r="M9" s="62">
        <f>E9</f>
        <v>3</v>
      </c>
      <c r="N9" s="62" t="str">
        <f>'[1]1нед'!$D$258</f>
        <v>12-24МИоз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HYPERLINK(VLOOKUP(M12,$R$12:$S$60,2,FALSE))</f>
        <v/>
      </c>
      <c r="R12" t="str">
        <f>[2]Уч.План!B600</f>
        <v>Педагогика</v>
      </c>
      <c r="S12" s="61" t="s">
        <v>63</v>
      </c>
    </row>
    <row r="13" spans="1:19" ht="31.5" x14ac:dyDescent="0.2">
      <c r="A13" s="65"/>
      <c r="B13" s="68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>HYPERLINK(VLOOKUP(M13,$R$12:$S$60,2,FALSE))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64</v>
      </c>
    </row>
    <row r="14" spans="1:19" ht="31.5" x14ac:dyDescent="0.2">
      <c r="A14" s="65"/>
      <c r="B14" s="68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>HYPERLINK(VLOOKUP(M14,$R$12:$S$60,2,FALSE))</f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65</v>
      </c>
    </row>
    <row r="15" spans="1:19" ht="31.5" x14ac:dyDescent="0.2">
      <c r="A15" s="65"/>
      <c r="B15" s="68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>HYPERLINK(VLOOKUP(M15,$R$12:$S$60,2,FALSE))</f>
        <v/>
      </c>
      <c r="R15" t="str">
        <f>[2]Уч.План!B603</f>
        <v>Методы исследовательской/проектной деятельности</v>
      </c>
      <c r="S15" s="61" t="s">
        <v>66</v>
      </c>
    </row>
    <row r="16" spans="1:19" ht="31.5" x14ac:dyDescent="0.2">
      <c r="A16" s="65"/>
      <c r="B16" s="68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>HYPERLINK(VLOOKUP(M16,$R$12:$S$60,2,FALSE))</f>
        <v/>
      </c>
      <c r="R16" t="str">
        <f>[2]Уч.План!B604</f>
        <v>Математическая логика и теория алгоритмов</v>
      </c>
      <c r="S16" s="61" t="s">
        <v>67</v>
      </c>
    </row>
    <row r="17" spans="1:19" ht="37.5" x14ac:dyDescent="0.2">
      <c r="A17" s="65"/>
      <c r="B17" s="68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>HYPERLINK(VLOOKUP(M17,$R$12:$S$60,2,FALSE))</f>
        <v>https://max.ru/join/vVDI4UrM3eCAidVGjy4YDG7oZq_cJEJtK2NywT5ISAk</v>
      </c>
      <c r="R17" t="str">
        <f>[2]Уч.План!B605</f>
        <v>Архитектура компьютера</v>
      </c>
      <c r="S17" s="61" t="s">
        <v>67</v>
      </c>
    </row>
    <row r="18" spans="1:19" ht="31.5" x14ac:dyDescent="0.2">
      <c r="A18" s="65"/>
      <c r="B18" s="68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преподаватель</v>
      </c>
      <c r="P18" s="55" t="str">
        <f>HYPERLINK(VLOOKUP(M18,$R$12:$S$60,2,FALSE))</f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67</v>
      </c>
    </row>
    <row r="19" spans="1:19" ht="18.399999999999999" customHeight="1" x14ac:dyDescent="0.2">
      <c r="A19" s="66"/>
      <c r="B19" s="69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>HYPERLINK(VLOOKUP(E19,$R$12:$S$60,2,FALSE))</f>
        <v/>
      </c>
      <c r="I19" s="71"/>
      <c r="J19" s="74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>HYPERLINK(VLOOKUP(M19,$R$12:$S$60,2,FALSE))</f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67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>HYPERLINK(VLOOKUP(M20,$R$12:$S$60,2,FALSE))</f>
        <v/>
      </c>
      <c r="R20" t="str">
        <f>[2]Уч.План!B608</f>
        <v>Теория чисел</v>
      </c>
      <c r="S20" s="61" t="s">
        <v>67</v>
      </c>
    </row>
    <row r="21" spans="1:19" ht="31.5" x14ac:dyDescent="0.2">
      <c r="A21" s="65"/>
      <c r="B21" s="68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>HYPERLINK(VLOOKUP(M21,$R$12:$S$60,2,FALSE))</f>
        <v/>
      </c>
      <c r="R21" t="str">
        <f>[2]Уч.План!B609</f>
        <v>Основы военной подготовки</v>
      </c>
      <c r="S21" s="61" t="s">
        <v>68</v>
      </c>
    </row>
    <row r="22" spans="1:19" ht="31.5" x14ac:dyDescent="0.2">
      <c r="A22" s="65"/>
      <c r="B22" s="68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>HYPERLINK(VLOOKUP(M22,$R$12:$S$60,2,FALSE))</f>
        <v/>
      </c>
      <c r="R22" t="str">
        <f>[2]Уч.План!B610</f>
        <v>Производственная практика. Педагогическая практика</v>
      </c>
      <c r="S22" s="61" t="s">
        <v>67</v>
      </c>
    </row>
    <row r="23" spans="1:19" ht="31.5" x14ac:dyDescent="0.2">
      <c r="A23" s="65"/>
      <c r="B23" s="68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>HYPERLINK(VLOOKUP(M23,$R$12:$S$60,2,FALSE))</f>
        <v/>
      </c>
      <c r="R23" t="str">
        <f>[2]Уч.План!B611</f>
        <v>Производственная практика. Педагогическая практика (Классное руководство)</v>
      </c>
      <c r="S23" s="61" t="s">
        <v>67</v>
      </c>
    </row>
    <row r="24" spans="1:19" ht="31.5" x14ac:dyDescent="0.2">
      <c r="A24" s="65"/>
      <c r="B24" s="68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>HYPERLINK(VLOOKUP(M24,$R$12:$S$60,2,FALSE))</f>
        <v/>
      </c>
      <c r="R24" t="str">
        <f>[2]Уч.План!B612</f>
        <v xml:space="preserve"> Педагогика</v>
      </c>
      <c r="S24" s="61" t="s">
        <v>69</v>
      </c>
    </row>
    <row r="25" spans="1:19" ht="37.5" x14ac:dyDescent="0.2">
      <c r="A25" s="65"/>
      <c r="B25" s="68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>HYPERLINK(VLOOKUP(M25,$R$12:$S$60,2,FALSE))</f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62</v>
      </c>
    </row>
    <row r="26" spans="1:19" ht="31.5" x14ac:dyDescent="0.2">
      <c r="A26" s="65"/>
      <c r="B26" s="68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>HYPERLINK(VLOOKUP(M26,$R$12:$S$60,2,FALSE))</f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69</v>
      </c>
    </row>
    <row r="27" spans="1:19" ht="18.399999999999999" customHeight="1" x14ac:dyDescent="0.2">
      <c r="A27" s="66"/>
      <c r="B27" s="69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>HYPERLINK(VLOOKUP(E27,$R$12:$S$60,2,FALSE))</f>
        <v/>
      </c>
      <c r="I27" s="71"/>
      <c r="J27" s="74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>HYPERLINK(VLOOKUP(M27,$R$12:$S$60,2,FALSE))</f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69</v>
      </c>
    </row>
    <row r="28" spans="1:19" ht="48" customHeight="1" x14ac:dyDescent="0.2">
      <c r="A28" s="64">
        <v>46267</v>
      </c>
      <c r="B28" s="75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>HYPERLINK(VLOOKUP(M28,$R$12:$S$60,2,FALSE))</f>
        <v/>
      </c>
      <c r="R28" t="str">
        <f>[2]Уч.План!B616</f>
        <v xml:space="preserve"> Методы исследовательской/проектной деятельности</v>
      </c>
      <c r="S28" s="61" t="s">
        <v>69</v>
      </c>
    </row>
    <row r="29" spans="1:19" ht="31.5" x14ac:dyDescent="0.2">
      <c r="A29" s="65"/>
      <c r="B29" s="76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>HYPERLINK(VLOOKUP(M29,$R$12:$S$60,2,FALSE))</f>
        <v/>
      </c>
      <c r="R29">
        <f>[2]Уч.План!B617</f>
        <v>0</v>
      </c>
    </row>
    <row r="30" spans="1:19" ht="31.5" x14ac:dyDescent="0.2">
      <c r="A30" s="65"/>
      <c r="B30" s="76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>HYPERLINK(VLOOKUP(M30,$R$12:$S$60,2,FALSE))</f>
        <v/>
      </c>
      <c r="R30">
        <f>[2]Уч.План!B618</f>
        <v>0</v>
      </c>
    </row>
    <row r="31" spans="1:19" ht="31.5" x14ac:dyDescent="0.2">
      <c r="A31" s="65"/>
      <c r="B31" s="76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>HYPERLINK(VLOOKUP(M31,$R$12:$S$60,2,FALSE))</f>
        <v/>
      </c>
      <c r="R31">
        <f>[2]Уч.План!B619</f>
        <v>0</v>
      </c>
    </row>
    <row r="32" spans="1:19" ht="31.5" x14ac:dyDescent="0.2">
      <c r="A32" s="65"/>
      <c r="B32" s="76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>HYPERLINK(VLOOKUP(M32,$R$12:$S$60,2,FALSE))</f>
        <v/>
      </c>
      <c r="R32">
        <f>[2]Уч.План!B620</f>
        <v>0</v>
      </c>
    </row>
    <row r="33" spans="1:18" ht="37.5" x14ac:dyDescent="0.2">
      <c r="A33" s="65"/>
      <c r="B33" s="76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>HYPERLINK(VLOOKUP(E33,$R$12:$S$60,2,FALSE))</f>
        <v>https://max.ru/join/15pEPVrIDANjN-ex11uXS0z2QQcAQkpN7qeJUhIOK40</v>
      </c>
      <c r="I33" s="70"/>
      <c r="J33" s="79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>HYPERLINK(VLOOKUP(M33,$R$12:$S$60,2,FALSE))</f>
        <v>https://max.ru/join/CuOdXmdZWK47DPyk2yukbmbFfy3zg-be-Oob6Blusek</v>
      </c>
      <c r="R33">
        <f>[2]Уч.План!B621</f>
        <v>0</v>
      </c>
    </row>
    <row r="34" spans="1:18" ht="32.25" thickBot="1" x14ac:dyDescent="0.25">
      <c r="A34" s="65"/>
      <c r="B34" s="76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преподаватель</v>
      </c>
      <c r="H34" s="55" t="str">
        <f>HYPERLINK(VLOOKUP(E34,$R$12:$S$60,2,FALSE))</f>
        <v>https://max.ru/join/xVfUag6N_YqTK2FYY9dw1yr1OX0njFL0kEBUFOsnrKU</v>
      </c>
      <c r="I34" s="70"/>
      <c r="J34" s="79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>HYPERLINK(VLOOKUP(M34,$R$12:$S$60,2,FALSE))</f>
        <v>https://max.ru/join/CuOdXmdZWK47DPyk2yukbmbFfy3zg-be-Oob6Blusek</v>
      </c>
    </row>
    <row r="35" spans="1:18" ht="18.399999999999999" hidden="1" customHeight="1" thickBot="1" x14ac:dyDescent="0.25">
      <c r="A35" s="66"/>
      <c r="B35" s="77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>HYPERLINK(VLOOKUP(E35,$R$12:$S$60,2,FALSE))</f>
        <v/>
      </c>
      <c r="I35" s="71"/>
      <c r="J35" s="80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>HYPERLINK(VLOOKUP(M35,$R$12:$S$60,2,FALSE))</f>
        <v/>
      </c>
    </row>
    <row r="36" spans="1:18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>HYPERLINK(VLOOKUP(M36,$R$12:$S$60,2,FALSE))</f>
        <v/>
      </c>
    </row>
    <row r="37" spans="1:18" ht="31.5" x14ac:dyDescent="0.2">
      <c r="A37" s="65"/>
      <c r="B37" s="68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>HYPERLINK(VLOOKUP(M37,$R$12:$S$60,2,FALSE))</f>
        <v/>
      </c>
    </row>
    <row r="38" spans="1:18" ht="31.5" x14ac:dyDescent="0.2">
      <c r="A38" s="65"/>
      <c r="B38" s="68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>HYPERLINK(VLOOKUP(M38,$R$12:$S$60,2,FALSE))</f>
        <v/>
      </c>
    </row>
    <row r="39" spans="1:18" ht="31.5" x14ac:dyDescent="0.2">
      <c r="A39" s="65"/>
      <c r="B39" s="68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>HYPERLINK(VLOOKUP(M39,$R$12:$S$60,2,FALSE))</f>
        <v/>
      </c>
    </row>
    <row r="40" spans="1:18" ht="31.5" x14ac:dyDescent="0.2">
      <c r="A40" s="65"/>
      <c r="B40" s="68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>HYPERLINK(VLOOKUP(M40,$R$12:$S$60,2,FALSE))</f>
        <v/>
      </c>
    </row>
    <row r="41" spans="1:18" ht="31.5" x14ac:dyDescent="0.2">
      <c r="A41" s="65"/>
      <c r="B41" s="68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>HYPERLINK(VLOOKUP(M41,$R$12:$S$60,2,FALSE))</f>
        <v>https://max.ru/join/CuOdXmdZWK47DPyk2yukbmbFfy3zg-be-Oob6Blusek</v>
      </c>
    </row>
    <row r="42" spans="1:18" ht="32.25" thickBot="1" x14ac:dyDescent="0.25">
      <c r="A42" s="65"/>
      <c r="B42" s="68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>HYPERLINK(VLOOKUP(M42,$R$12:$S$60,2,FALSE))</f>
        <v/>
      </c>
    </row>
    <row r="43" spans="1:18" ht="18.399999999999999" hidden="1" customHeight="1" thickBot="1" x14ac:dyDescent="0.25">
      <c r="A43" s="66"/>
      <c r="B43" s="69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>HYPERLINK(VLOOKUP(E43,$R$12:$S$60,2,FALSE))</f>
        <v/>
      </c>
      <c r="I43" s="71"/>
      <c r="J43" s="74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>HYPERLINK(VLOOKUP(M43,$R$12:$S$60,2,FALSE))</f>
        <v/>
      </c>
    </row>
    <row r="44" spans="1:18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>HYPERLINK(VLOOKUP(M44,$R$12:$S$60,2,FALSE))</f>
        <v/>
      </c>
    </row>
    <row r="45" spans="1:18" ht="31.5" x14ac:dyDescent="0.2">
      <c r="A45" s="65"/>
      <c r="B45" s="68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>HYPERLINK(VLOOKUP(M45,$R$12:$S$60,2,FALSE))</f>
        <v/>
      </c>
    </row>
    <row r="46" spans="1:18" ht="31.5" x14ac:dyDescent="0.2">
      <c r="A46" s="65"/>
      <c r="B46" s="68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>HYPERLINK(VLOOKUP(M46,$R$12:$S$60,2,FALSE))</f>
        <v/>
      </c>
    </row>
    <row r="47" spans="1:18" ht="31.5" x14ac:dyDescent="0.2">
      <c r="A47" s="65"/>
      <c r="B47" s="68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>HYPERLINK(VLOOKUP(M47,$R$12:$S$60,2,FALSE))</f>
        <v/>
      </c>
    </row>
    <row r="48" spans="1:18" ht="31.5" x14ac:dyDescent="0.2">
      <c r="A48" s="65"/>
      <c r="B48" s="68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>HYPERLINK(VLOOKUP(E51,$R$12:$S$60,2,FALSE))</f>
        <v/>
      </c>
      <c r="I51" s="71"/>
      <c r="J51" s="74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>HYPERLINK(VLOOKUP(M58,$R$12:$S$60,2,FALSE))</f>
        <v/>
      </c>
    </row>
    <row r="59" spans="1:16" ht="19.149999999999999" hidden="1" customHeight="1" thickTop="1" thickBot="1" x14ac:dyDescent="0.25">
      <c r="A59" s="66"/>
      <c r="B59" s="69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HYPERLINK(VLOOKUP(E59,$R$12:$S$60,2,FALSE))</f>
        <v/>
      </c>
      <c r="I59" s="71"/>
      <c r="J59" s="7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36:A43"/>
    <mergeCell ref="B36:B43"/>
    <mergeCell ref="I36:I43"/>
    <mergeCell ref="J36:J43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19" priority="110" operator="equal">
      <formula>"0. ,0, "</formula>
    </cfRule>
  </conditionalFormatting>
  <conditionalFormatting sqref="G59">
    <cfRule type="cellIs" dxfId="18" priority="109" operator="equal">
      <formula>"0. 0,0, ауд. 0, 0"</formula>
    </cfRule>
  </conditionalFormatting>
  <conditionalFormatting sqref="G59">
    <cfRule type="cellIs" dxfId="17" priority="108" operator="equal">
      <formula>"0. 0 0, ауд. 0, 0"</formula>
    </cfRule>
  </conditionalFormatting>
  <conditionalFormatting sqref="G59">
    <cfRule type="cellIs" dxfId="16" priority="107" operator="equal">
      <formula>"0. ,0, "</formula>
    </cfRule>
  </conditionalFormatting>
  <conditionalFormatting sqref="G59">
    <cfRule type="cellIs" dxfId="15" priority="106" operator="equal">
      <formula>"0. 0,0, ауд. 0, 0"</formula>
    </cfRule>
  </conditionalFormatting>
  <conditionalFormatting sqref="G59">
    <cfRule type="cellIs" dxfId="14" priority="105" operator="equal">
      <formula>"0. 0 0, ауд. 0, 0"</formula>
    </cfRule>
  </conditionalFormatting>
  <conditionalFormatting sqref="G59">
    <cfRule type="cellIs" dxfId="13" priority="104" operator="equal">
      <formula>"0. ,0, "</formula>
    </cfRule>
  </conditionalFormatting>
  <conditionalFormatting sqref="G59">
    <cfRule type="cellIs" dxfId="12" priority="103" operator="equal">
      <formula>"0. 0,0, ауд. 0, 0"</formula>
    </cfRule>
  </conditionalFormatting>
  <conditionalFormatting sqref="G59">
    <cfRule type="cellIs" dxfId="11" priority="102" operator="equal">
      <formula>"0. 0 0, ауд. 0, 0"</formula>
    </cfRule>
  </conditionalFormatting>
  <conditionalFormatting sqref="G59">
    <cfRule type="cellIs" dxfId="1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  <hyperlink ref="S22:S23" r:id="rId13" display="https://max.ru/join/CuOdXmdZWK47DPyk2yukbmbFfy3zg-be-Oob6Blusek" xr:uid="{55FB6A8E-5508-49E6-9C71-BE1B412BFF8E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60"/>
  <sheetViews>
    <sheetView view="pageBreakPreview" zoomScale="50" zoomScaleNormal="55" zoomScaleSheetLayoutView="50" workbookViewId="0">
      <selection activeCell="G73" sqref="G73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hidden="1" customWidth="1"/>
    <col min="19" max="19" width="29.28515625" hidden="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9" ht="15.75" x14ac:dyDescent="0.25">
      <c r="A9" s="45"/>
      <c r="B9" s="86" t="s">
        <v>7</v>
      </c>
      <c r="C9" s="86"/>
      <c r="D9" s="86"/>
      <c r="E9" s="62">
        <v>2</v>
      </c>
      <c r="F9" s="62" t="str">
        <f>'[1]1нед'!$L$258</f>
        <v>12-24МЭоз</v>
      </c>
      <c r="G9" s="62"/>
      <c r="H9" s="35"/>
      <c r="I9" s="45"/>
      <c r="J9" s="86" t="s">
        <v>7</v>
      </c>
      <c r="K9" s="86"/>
      <c r="L9" s="86"/>
      <c r="M9" s="62">
        <f>E9</f>
        <v>2</v>
      </c>
      <c r="N9" s="62" t="str">
        <f>'[1]1нед'!$L$258</f>
        <v>12-24МЭоз</v>
      </c>
      <c r="O9" s="62"/>
      <c r="P9" s="35"/>
    </row>
    <row r="10" spans="1:19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  <c r="R11" s="59" t="s">
        <v>38</v>
      </c>
      <c r="S11" s="59" t="s">
        <v>39</v>
      </c>
    </row>
    <row r="12" spans="1:19" ht="32.25" customHeight="1" x14ac:dyDescent="0.2">
      <c r="A12" s="64">
        <v>46265</v>
      </c>
      <c r="B12" s="67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HYPERLINK(VLOOKUP(E12,$R$12:$S$60,2,FALSE))</f>
        <v/>
      </c>
      <c r="I12" s="64">
        <v>46272</v>
      </c>
      <c r="J12" s="72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HYPERLINK(VLOOKUP(M12,$R$12:$S$60,2,FALSE))</f>
        <v/>
      </c>
      <c r="R12" t="str">
        <f>[2]Уч.План!B649</f>
        <v>Педагогика</v>
      </c>
      <c r="S12" s="61" t="s">
        <v>63</v>
      </c>
    </row>
    <row r="13" spans="1:19" ht="31.5" x14ac:dyDescent="0.2">
      <c r="A13" s="65"/>
      <c r="B13" s="68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>HYPERLINK(VLOOKUP(E13,$R$12:$S$60,2,FALSE))</f>
        <v/>
      </c>
      <c r="I13" s="70"/>
      <c r="J13" s="73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>HYPERLINK(VLOOKUP(M13,$R$12:$S$60,2,FALSE))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64</v>
      </c>
    </row>
    <row r="14" spans="1:19" ht="31.5" x14ac:dyDescent="0.2">
      <c r="A14" s="65"/>
      <c r="B14" s="68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>HYPERLINK(VLOOKUP(E14,$R$12:$S$60,2,FALSE))</f>
        <v/>
      </c>
      <c r="I14" s="70"/>
      <c r="J14" s="73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>HYPERLINK(VLOOKUP(M14,$R$12:$S$60,2,FALSE))</f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65</v>
      </c>
    </row>
    <row r="15" spans="1:19" ht="31.5" x14ac:dyDescent="0.2">
      <c r="A15" s="65"/>
      <c r="B15" s="68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>HYPERLINK(VLOOKUP(E15,$R$12:$S$60,2,FALSE))</f>
        <v/>
      </c>
      <c r="I15" s="70"/>
      <c r="J15" s="73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>HYPERLINK(VLOOKUP(M15,$R$12:$S$60,2,FALSE))</f>
        <v/>
      </c>
      <c r="R15" t="str">
        <f>[2]Уч.План!B652</f>
        <v>Методы исследовательской/проектной деятельности</v>
      </c>
      <c r="S15" s="61" t="s">
        <v>66</v>
      </c>
    </row>
    <row r="16" spans="1:19" ht="31.5" x14ac:dyDescent="0.2">
      <c r="A16" s="65"/>
      <c r="B16" s="68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>HYPERLINK(VLOOKUP(E16,$R$12:$S$60,2,FALSE))</f>
        <v/>
      </c>
      <c r="I16" s="70"/>
      <c r="J16" s="73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>HYPERLINK(VLOOKUP(M16,$R$12:$S$60,2,FALSE))</f>
        <v/>
      </c>
      <c r="R16" t="str">
        <f>[2]Уч.План!B653</f>
        <v>Теория чисел</v>
      </c>
      <c r="S16" s="61" t="s">
        <v>70</v>
      </c>
    </row>
    <row r="17" spans="1:19" ht="37.5" x14ac:dyDescent="0.2">
      <c r="A17" s="65"/>
      <c r="B17" s="68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>HYPERLINK(VLOOKUP(E17,$R$12:$S$60,2,FALSE))</f>
        <v/>
      </c>
      <c r="I17" s="70"/>
      <c r="J17" s="73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>HYPERLINK(VLOOKUP(M17,$R$12:$S$60,2,FALSE))</f>
        <v>https://max.ru/join/vVDI4UrM3eCAidVGjy4YDG7oZq_cJEJtK2NywT5ISAk</v>
      </c>
      <c r="R17" t="str">
        <f>[2]Уч.План!B654</f>
        <v>Дискретная математика</v>
      </c>
      <c r="S17" s="61" t="s">
        <v>70</v>
      </c>
    </row>
    <row r="18" spans="1:19" ht="31.5" x14ac:dyDescent="0.2">
      <c r="A18" s="65"/>
      <c r="B18" s="68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>HYPERLINK(VLOOKUP(E18,$R$12:$S$60,2,FALSE))</f>
        <v/>
      </c>
      <c r="I18" s="70"/>
      <c r="J18" s="73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преподаватель</v>
      </c>
      <c r="P18" s="55" t="str">
        <f>HYPERLINK(VLOOKUP(M18,$R$12:$S$60,2,FALSE))</f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70</v>
      </c>
    </row>
    <row r="19" spans="1:19" ht="18.399999999999999" customHeight="1" x14ac:dyDescent="0.2">
      <c r="A19" s="66"/>
      <c r="B19" s="69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>HYPERLINK(VLOOKUP(E19,$R$12:$S$60,2,FALSE))</f>
        <v/>
      </c>
      <c r="I19" s="71"/>
      <c r="J19" s="74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>HYPERLINK(VLOOKUP(M19,$R$12:$S$60,2,FALSE))</f>
        <v/>
      </c>
      <c r="R19" t="str">
        <f>[2]Уч.План!B656</f>
        <v>Математическая логика и теория алгоритмов</v>
      </c>
      <c r="S19" s="61" t="s">
        <v>70</v>
      </c>
    </row>
    <row r="20" spans="1:19" ht="32.25" customHeight="1" x14ac:dyDescent="0.2">
      <c r="A20" s="64">
        <v>46266</v>
      </c>
      <c r="B20" s="67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>HYPERLINK(VLOOKUP(E20,$R$12:$S$60,2,FALSE))</f>
        <v/>
      </c>
      <c r="I20" s="64">
        <v>46273</v>
      </c>
      <c r="J20" s="72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>HYPERLINK(VLOOKUP(M20,$R$12:$S$60,2,FALSE))</f>
        <v/>
      </c>
      <c r="R20" t="str">
        <f>[2]Уч.План!B657</f>
        <v>Психолого-педагогические основы обучения
математике</v>
      </c>
      <c r="S20" s="61" t="s">
        <v>70</v>
      </c>
    </row>
    <row r="21" spans="1:19" ht="31.5" x14ac:dyDescent="0.2">
      <c r="A21" s="65"/>
      <c r="B21" s="68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>HYPERLINK(VLOOKUP(E21,$R$12:$S$60,2,FALSE))</f>
        <v/>
      </c>
      <c r="I21" s="70"/>
      <c r="J21" s="73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>HYPERLINK(VLOOKUP(M21,$R$12:$S$60,2,FALSE))</f>
        <v/>
      </c>
      <c r="R21" t="str">
        <f>[2]Уч.План!B658</f>
        <v>Основы военной подготовки</v>
      </c>
      <c r="S21" s="61" t="s">
        <v>68</v>
      </c>
    </row>
    <row r="22" spans="1:19" ht="31.5" x14ac:dyDescent="0.2">
      <c r="A22" s="65"/>
      <c r="B22" s="68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>HYPERLINK(VLOOKUP(E22,$R$12:$S$60,2,FALSE))</f>
        <v/>
      </c>
      <c r="I22" s="70"/>
      <c r="J22" s="73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>HYPERLINK(VLOOKUP(M22,$R$12:$S$60,2,FALSE))</f>
        <v/>
      </c>
      <c r="R22" t="str">
        <f>[2]Уч.План!B659</f>
        <v>Производственная практика. Педагогическая практика</v>
      </c>
      <c r="S22" s="61" t="s">
        <v>70</v>
      </c>
    </row>
    <row r="23" spans="1:19" ht="31.5" x14ac:dyDescent="0.2">
      <c r="A23" s="65"/>
      <c r="B23" s="68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>HYPERLINK(VLOOKUP(E23,$R$12:$S$60,2,FALSE))</f>
        <v/>
      </c>
      <c r="I23" s="70"/>
      <c r="J23" s="73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>HYPERLINK(VLOOKUP(M23,$R$12:$S$60,2,FALSE))</f>
        <v/>
      </c>
      <c r="R23" t="str">
        <f>[2]Уч.План!B660</f>
        <v>Производственная практика. Педагогическая практика (Классное руководство)</v>
      </c>
      <c r="S23" s="61" t="s">
        <v>70</v>
      </c>
    </row>
    <row r="24" spans="1:19" ht="31.5" x14ac:dyDescent="0.2">
      <c r="A24" s="65"/>
      <c r="B24" s="68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>HYPERLINK(VLOOKUP(E24,$R$12:$S$60,2,FALSE))</f>
        <v/>
      </c>
      <c r="I24" s="70"/>
      <c r="J24" s="73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>HYPERLINK(VLOOKUP(M24,$R$12:$S$60,2,FALSE))</f>
        <v/>
      </c>
      <c r="R24" t="str">
        <f>[2]Уч.План!B661</f>
        <v xml:space="preserve"> Педагогика</v>
      </c>
      <c r="S24" s="61" t="s">
        <v>69</v>
      </c>
    </row>
    <row r="25" spans="1:19" ht="37.5" x14ac:dyDescent="0.2">
      <c r="A25" s="65"/>
      <c r="B25" s="68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>HYPERLINK(VLOOKUP(E25,$R$12:$S$60,2,FALSE))</f>
        <v/>
      </c>
      <c r="I25" s="70"/>
      <c r="J25" s="73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>HYPERLINK(VLOOKUP(M25,$R$12:$S$60,2,FALSE))</f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62</v>
      </c>
    </row>
    <row r="26" spans="1:19" ht="37.5" x14ac:dyDescent="0.2">
      <c r="A26" s="65"/>
      <c r="B26" s="68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>HYPERLINK(VLOOKUP(E26,$R$12:$S$60,2,FALSE))</f>
        <v/>
      </c>
      <c r="I26" s="70"/>
      <c r="J26" s="73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>HYPERLINK(VLOOKUP(M26,$R$12:$S$60,2,FALSE))</f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69</v>
      </c>
    </row>
    <row r="27" spans="1:19" ht="18.399999999999999" customHeight="1" x14ac:dyDescent="0.2">
      <c r="A27" s="66"/>
      <c r="B27" s="69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>HYPERLINK(VLOOKUP(E27,$R$12:$S$60,2,FALSE))</f>
        <v/>
      </c>
      <c r="I27" s="71"/>
      <c r="J27" s="74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>HYPERLINK(VLOOKUP(M27,$R$12:$S$60,2,FALSE))</f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69</v>
      </c>
    </row>
    <row r="28" spans="1:19" ht="48" customHeight="1" x14ac:dyDescent="0.2">
      <c r="A28" s="64">
        <v>46267</v>
      </c>
      <c r="B28" s="75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>HYPERLINK(VLOOKUP(E28,$R$12:$S$60,2,FALSE))</f>
        <v/>
      </c>
      <c r="I28" s="64">
        <v>46274</v>
      </c>
      <c r="J28" s="78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>HYPERLINK(VLOOKUP(M28,$R$12:$S$60,2,FALSE))</f>
        <v/>
      </c>
      <c r="R28" t="str">
        <f>[2]Уч.План!B665</f>
        <v xml:space="preserve"> Методы исследовательской/проектной деятельности</v>
      </c>
      <c r="S28" s="61" t="s">
        <v>69</v>
      </c>
    </row>
    <row r="29" spans="1:19" ht="31.5" x14ac:dyDescent="0.2">
      <c r="A29" s="65"/>
      <c r="B29" s="76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>HYPERLINK(VLOOKUP(E29,$R$12:$S$60,2,FALSE))</f>
        <v/>
      </c>
      <c r="I29" s="70"/>
      <c r="J29" s="79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>HYPERLINK(VLOOKUP(M29,$R$12:$S$60,2,FALSE))</f>
        <v/>
      </c>
      <c r="R29">
        <f>[2]Уч.План!B666</f>
        <v>0</v>
      </c>
    </row>
    <row r="30" spans="1:19" ht="31.5" x14ac:dyDescent="0.2">
      <c r="A30" s="65"/>
      <c r="B30" s="76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>HYPERLINK(VLOOKUP(E30,$R$12:$S$60,2,FALSE))</f>
        <v/>
      </c>
      <c r="I30" s="70"/>
      <c r="J30" s="79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>HYPERLINK(VLOOKUP(M30,$R$12:$S$60,2,FALSE))</f>
        <v/>
      </c>
    </row>
    <row r="31" spans="1:19" ht="31.5" x14ac:dyDescent="0.2">
      <c r="A31" s="65"/>
      <c r="B31" s="76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>HYPERLINK(VLOOKUP(E31,$R$12:$S$60,2,FALSE))</f>
        <v/>
      </c>
      <c r="I31" s="70"/>
      <c r="J31" s="79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>HYPERLINK(VLOOKUP(M31,$R$12:$S$60,2,FALSE))</f>
        <v/>
      </c>
    </row>
    <row r="32" spans="1:19" ht="31.5" x14ac:dyDescent="0.2">
      <c r="A32" s="65"/>
      <c r="B32" s="76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>HYPERLINK(VLOOKUP(E32,$R$12:$S$60,2,FALSE))</f>
        <v/>
      </c>
      <c r="I32" s="70"/>
      <c r="J32" s="79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>HYPERLINK(VLOOKUP(M32,$R$12:$S$60,2,FALSE))</f>
        <v/>
      </c>
    </row>
    <row r="33" spans="1:16" ht="56.25" x14ac:dyDescent="0.2">
      <c r="A33" s="65"/>
      <c r="B33" s="76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>HYPERLINK(VLOOKUP(E33,$R$12:$S$60,2,FALSE))</f>
        <v>https://max.ru/join/15pEPVrIDANjN-ex11uXS0z2QQcAQkpN7qeJUhIOK40</v>
      </c>
      <c r="I33" s="70"/>
      <c r="J33" s="79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>HYPERLINK(VLOOKUP(M33,$R$12:$S$60,2,FALSE))</f>
        <v/>
      </c>
    </row>
    <row r="34" spans="1:16" ht="32.25" thickBot="1" x14ac:dyDescent="0.25">
      <c r="A34" s="65"/>
      <c r="B34" s="76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преподаватель</v>
      </c>
      <c r="H34" s="55" t="str">
        <f>HYPERLINK(VLOOKUP(E34,$R$12:$S$60,2,FALSE))</f>
        <v>https://max.ru/join/xVfUag6N_YqTK2FYY9dw1yr1OX0njFL0kEBUFOsnrKU</v>
      </c>
      <c r="I34" s="70"/>
      <c r="J34" s="79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>HYPERLINK(VLOOKUP(M34,$R$12:$S$60,2,FALSE))</f>
        <v/>
      </c>
    </row>
    <row r="35" spans="1:16" ht="18.399999999999999" hidden="1" customHeight="1" thickBot="1" x14ac:dyDescent="0.25">
      <c r="A35" s="66"/>
      <c r="B35" s="77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>HYPERLINK(VLOOKUP(E35,$R$12:$S$60,2,FALSE))</f>
        <v/>
      </c>
      <c r="I35" s="71"/>
      <c r="J35" s="80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>HYPERLINK(VLOOKUP(M35,$R$12:$S$60,2,FALSE))</f>
        <v/>
      </c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>HYPERLINK(VLOOKUP(E36,$R$12:$S$60,2,FALSE))</f>
        <v/>
      </c>
      <c r="I36" s="64">
        <v>46275</v>
      </c>
      <c r="J36" s="72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>HYPERLINK(VLOOKUP(M36,$R$12:$S$60,2,FALSE))</f>
        <v/>
      </c>
    </row>
    <row r="37" spans="1:16" ht="31.5" x14ac:dyDescent="0.2">
      <c r="A37" s="65"/>
      <c r="B37" s="68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>HYPERLINK(VLOOKUP(E37,$R$12:$S$60,2,FALSE))</f>
        <v/>
      </c>
      <c r="I37" s="70"/>
      <c r="J37" s="73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>HYPERLINK(VLOOKUP(M37,$R$12:$S$60,2,FALSE))</f>
        <v/>
      </c>
    </row>
    <row r="38" spans="1:16" ht="31.5" x14ac:dyDescent="0.2">
      <c r="A38" s="65"/>
      <c r="B38" s="68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>HYPERLINK(VLOOKUP(E38,$R$12:$S$60,2,FALSE))</f>
        <v/>
      </c>
      <c r="I38" s="70"/>
      <c r="J38" s="73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>HYPERLINK(VLOOKUP(M38,$R$12:$S$60,2,FALSE))</f>
        <v/>
      </c>
    </row>
    <row r="39" spans="1:16" ht="31.5" x14ac:dyDescent="0.2">
      <c r="A39" s="65"/>
      <c r="B39" s="68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>HYPERLINK(VLOOKUP(E39,$R$12:$S$60,2,FALSE))</f>
        <v/>
      </c>
      <c r="I39" s="70"/>
      <c r="J39" s="73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>HYPERLINK(VLOOKUP(M39,$R$12:$S$60,2,FALSE))</f>
        <v/>
      </c>
    </row>
    <row r="40" spans="1:16" ht="31.5" x14ac:dyDescent="0.2">
      <c r="A40" s="65"/>
      <c r="B40" s="68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>HYPERLINK(VLOOKUP(E40,$R$12:$S$60,2,FALSE))</f>
        <v/>
      </c>
      <c r="I40" s="70"/>
      <c r="J40" s="73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>HYPERLINK(VLOOKUP(M40,$R$12:$S$60,2,FALSE))</f>
        <v/>
      </c>
    </row>
    <row r="41" spans="1:16" ht="31.5" x14ac:dyDescent="0.2">
      <c r="A41" s="65"/>
      <c r="B41" s="68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>HYPERLINK(VLOOKUP(E41,$R$12:$S$60,2,FALSE))</f>
        <v/>
      </c>
      <c r="I41" s="70"/>
      <c r="J41" s="73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>HYPERLINK(VLOOKUP(M41,$R$12:$S$60,2,FALSE))</f>
        <v>https://max.ru/join/pcqQ76hVH1VM62gdvJpdTUt6hv6a-FL0jPDOixrw4dg</v>
      </c>
    </row>
    <row r="42" spans="1:16" ht="32.25" thickBot="1" x14ac:dyDescent="0.25">
      <c r="A42" s="65"/>
      <c r="B42" s="68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>HYPERLINK(VLOOKUP(E42,$R$12:$S$60,2,FALSE))</f>
        <v/>
      </c>
      <c r="I42" s="70"/>
      <c r="J42" s="73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>HYPERLINK(VLOOKUP(M42,$R$12:$S$60,2,FALSE))</f>
        <v>https://max.ru/join/pcqQ76hVH1VM62gdvJpdTUt6hv6a-FL0jPDOixrw4dg</v>
      </c>
    </row>
    <row r="43" spans="1:16" ht="18.399999999999999" hidden="1" customHeight="1" thickBot="1" x14ac:dyDescent="0.25">
      <c r="A43" s="66"/>
      <c r="B43" s="69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>HYPERLINK(VLOOKUP(E43,$R$12:$S$60,2,FALSE))</f>
        <v/>
      </c>
      <c r="I43" s="71"/>
      <c r="J43" s="74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>HYPERLINK(VLOOKUP(M43,$R$12:$S$60,2,FALSE))</f>
        <v/>
      </c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>HYPERLINK(VLOOKUP(E44,$R$12:$S$60,2,FALSE))</f>
        <v/>
      </c>
      <c r="I44" s="64">
        <v>46276</v>
      </c>
      <c r="J44" s="72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>HYPERLINK(VLOOKUP(M44,$R$12:$S$60,2,FALSE))</f>
        <v/>
      </c>
    </row>
    <row r="45" spans="1:16" ht="31.5" x14ac:dyDescent="0.2">
      <c r="A45" s="65"/>
      <c r="B45" s="68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>HYPERLINK(VLOOKUP(E45,$R$12:$S$60,2,FALSE))</f>
        <v/>
      </c>
      <c r="I45" s="70"/>
      <c r="J45" s="73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>HYPERLINK(VLOOKUP(M45,$R$12:$S$60,2,FALSE))</f>
        <v/>
      </c>
    </row>
    <row r="46" spans="1:16" ht="31.5" x14ac:dyDescent="0.2">
      <c r="A46" s="65"/>
      <c r="B46" s="68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>HYPERLINK(VLOOKUP(E46,$R$12:$S$60,2,FALSE))</f>
        <v/>
      </c>
      <c r="I46" s="70"/>
      <c r="J46" s="73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>HYPERLINK(VLOOKUP(M46,$R$12:$S$60,2,FALSE))</f>
        <v/>
      </c>
    </row>
    <row r="47" spans="1:16" ht="31.5" x14ac:dyDescent="0.2">
      <c r="A47" s="65"/>
      <c r="B47" s="68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>HYPERLINK(VLOOKUP(E47,$R$12:$S$60,2,FALSE))</f>
        <v/>
      </c>
      <c r="I47" s="70"/>
      <c r="J47" s="73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>HYPERLINK(VLOOKUP(M47,$R$12:$S$60,2,FALSE))</f>
        <v/>
      </c>
    </row>
    <row r="48" spans="1:16" ht="31.5" x14ac:dyDescent="0.2">
      <c r="A48" s="65"/>
      <c r="B48" s="68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>HYPERLINK(VLOOKUP(E48,$R$12:$S$60,2,FALSE))</f>
        <v/>
      </c>
      <c r="I48" s="70"/>
      <c r="J48" s="73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>HYPERLINK(VLOOKUP(M48,$R$12:$S$60,2,FALSE))</f>
        <v/>
      </c>
    </row>
    <row r="49" spans="1:16" ht="31.5" x14ac:dyDescent="0.2">
      <c r="A49" s="65"/>
      <c r="B49" s="68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>HYPERLINK(VLOOKUP(E49,$R$12:$S$60,2,FALSE))</f>
        <v/>
      </c>
      <c r="I49" s="70"/>
      <c r="J49" s="73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>HYPERLINK(VLOOKUP(M49,$R$12:$S$60,2,FALSE))</f>
        <v/>
      </c>
    </row>
    <row r="50" spans="1:16" ht="32.25" thickBot="1" x14ac:dyDescent="0.25">
      <c r="A50" s="65"/>
      <c r="B50" s="68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>HYPERLINK(VLOOKUP(E50,$R$12:$S$60,2,FALSE))</f>
        <v/>
      </c>
      <c r="I50" s="70"/>
      <c r="J50" s="73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>HYPERLINK(VLOOKUP(M50,$R$12:$S$60,2,FALSE))</f>
        <v/>
      </c>
    </row>
    <row r="51" spans="1:16" ht="18.399999999999999" hidden="1" customHeight="1" thickBot="1" x14ac:dyDescent="0.25">
      <c r="A51" s="66"/>
      <c r="B51" s="69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>HYPERLINK(VLOOKUP(E51,$R$12:$S$60,2,FALSE))</f>
        <v/>
      </c>
      <c r="I51" s="71"/>
      <c r="J51" s="74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>HYPERLINK(VLOOKUP(M51,$R$12:$S$60,2,FALSE))</f>
        <v/>
      </c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>HYPERLINK(VLOOKUP(E52,$R$12:$S$60,2,FALSE))</f>
        <v/>
      </c>
      <c r="I52" s="64">
        <v>46277</v>
      </c>
      <c r="J52" s="72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>HYPERLINK(VLOOKUP(M52,$R$12:$S$60,2,FALSE))</f>
        <v/>
      </c>
    </row>
    <row r="53" spans="1:16" ht="31.5" x14ac:dyDescent="0.2">
      <c r="A53" s="65"/>
      <c r="B53" s="68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>HYPERLINK(VLOOKUP(E53,$R$12:$S$60,2,FALSE))</f>
        <v/>
      </c>
      <c r="I53" s="70"/>
      <c r="J53" s="73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>HYPERLINK(VLOOKUP(M53,$R$12:$S$60,2,FALSE))</f>
        <v/>
      </c>
    </row>
    <row r="54" spans="1:16" ht="31.5" x14ac:dyDescent="0.2">
      <c r="A54" s="65"/>
      <c r="B54" s="68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>HYPERLINK(VLOOKUP(E54,$R$12:$S$60,2,FALSE))</f>
        <v/>
      </c>
      <c r="I54" s="70"/>
      <c r="J54" s="73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>HYPERLINK(VLOOKUP(M54,$R$12:$S$60,2,FALSE))</f>
        <v/>
      </c>
    </row>
    <row r="55" spans="1:16" ht="31.5" x14ac:dyDescent="0.2">
      <c r="A55" s="65"/>
      <c r="B55" s="68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>HYPERLINK(VLOOKUP(E55,$R$12:$S$60,2,FALSE))</f>
        <v/>
      </c>
      <c r="I55" s="70"/>
      <c r="J55" s="73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>HYPERLINK(VLOOKUP(M55,$R$12:$S$60,2,FALSE))</f>
        <v/>
      </c>
    </row>
    <row r="56" spans="1:16" ht="31.5" x14ac:dyDescent="0.2">
      <c r="A56" s="65"/>
      <c r="B56" s="68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>HYPERLINK(VLOOKUP(E56,$R$12:$S$60,2,FALSE))</f>
        <v/>
      </c>
      <c r="I56" s="70"/>
      <c r="J56" s="73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>HYPERLINK(VLOOKUP(M56,$R$12:$S$60,2,FALSE))</f>
        <v/>
      </c>
    </row>
    <row r="57" spans="1:16" ht="31.5" x14ac:dyDescent="0.2">
      <c r="A57" s="65"/>
      <c r="B57" s="68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>HYPERLINK(VLOOKUP(E57,$R$12:$S$60,2,FALSE))</f>
        <v/>
      </c>
      <c r="I57" s="70"/>
      <c r="J57" s="73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>HYPERLINK(VLOOKUP(M57,$R$12:$S$60,2,FALSE))</f>
        <v/>
      </c>
    </row>
    <row r="58" spans="1:16" ht="32.25" thickBot="1" x14ac:dyDescent="0.25">
      <c r="A58" s="65"/>
      <c r="B58" s="68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>HYPERLINK(VLOOKUP(E58,$R$12:$S$60,2,FALSE))</f>
        <v/>
      </c>
      <c r="I58" s="70"/>
      <c r="J58" s="73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>HYPERLINK(VLOOKUP(M58,$R$12:$S$60,2,FALSE))</f>
        <v/>
      </c>
    </row>
    <row r="59" spans="1:16" ht="19.149999999999999" hidden="1" customHeight="1" thickTop="1" thickBot="1" x14ac:dyDescent="0.25">
      <c r="A59" s="66"/>
      <c r="B59" s="69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HYPERLINK(VLOOKUP(E59,$R$12:$S$60,2,FALSE))</f>
        <v/>
      </c>
      <c r="I59" s="71"/>
      <c r="J59" s="74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</sheetData>
  <mergeCells count="38">
    <mergeCell ref="A36:A43"/>
    <mergeCell ref="B36:B43"/>
    <mergeCell ref="I36:I43"/>
    <mergeCell ref="J36:J43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9" priority="110" operator="equal">
      <formula>"0. ,0, "</formula>
    </cfRule>
  </conditionalFormatting>
  <conditionalFormatting sqref="G59">
    <cfRule type="cellIs" dxfId="8" priority="109" operator="equal">
      <formula>"0. 0,0, ауд. 0, 0"</formula>
    </cfRule>
  </conditionalFormatting>
  <conditionalFormatting sqref="G59">
    <cfRule type="cellIs" dxfId="7" priority="108" operator="equal">
      <formula>"0. 0 0, ауд. 0, 0"</formula>
    </cfRule>
  </conditionalFormatting>
  <conditionalFormatting sqref="G59">
    <cfRule type="cellIs" dxfId="6" priority="107" operator="equal">
      <formula>"0. ,0, "</formula>
    </cfRule>
  </conditionalFormatting>
  <conditionalFormatting sqref="G59">
    <cfRule type="cellIs" dxfId="5" priority="106" operator="equal">
      <formula>"0. 0,0, ауд. 0, 0"</formula>
    </cfRule>
  </conditionalFormatting>
  <conditionalFormatting sqref="G59">
    <cfRule type="cellIs" dxfId="4" priority="105" operator="equal">
      <formula>"0. 0 0, ауд. 0, 0"</formula>
    </cfRule>
  </conditionalFormatting>
  <conditionalFormatting sqref="G59">
    <cfRule type="cellIs" dxfId="3" priority="104" operator="equal">
      <formula>"0. ,0, "</formula>
    </cfRule>
  </conditionalFormatting>
  <conditionalFormatting sqref="G59">
    <cfRule type="cellIs" dxfId="2" priority="103" operator="equal">
      <formula>"0. 0,0, ауд. 0, 0"</formula>
    </cfRule>
  </conditionalFormatting>
  <conditionalFormatting sqref="G59">
    <cfRule type="cellIs" dxfId="1" priority="102" operator="equal">
      <formula>"0. 0 0, ауд. 0, 0"</formula>
    </cfRule>
  </conditionalFormatting>
  <conditionalFormatting sqref="G59">
    <cfRule type="cellIs" dxfId="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  <hyperlink ref="S22:S23" r:id="rId13" display="https://max.ru/join/pcqQ76hVH1VM62gdvJpdTUt6hv6a-FL0jPDOixrw4dg" xr:uid="{6BCD3413-3F67-44FE-8E86-F2CE9E293CD6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75" x14ac:dyDescent="0.25">
      <c r="A6" s="45"/>
      <c r="B6" s="87" t="s">
        <v>4</v>
      </c>
      <c r="C6" s="87"/>
      <c r="D6" s="87"/>
      <c r="E6" s="87"/>
      <c r="F6" s="87"/>
      <c r="G6" s="87"/>
      <c r="H6" s="87"/>
      <c r="I6" s="45"/>
      <c r="J6" s="87" t="s">
        <v>4</v>
      </c>
      <c r="K6" s="87"/>
      <c r="L6" s="87"/>
      <c r="M6" s="87"/>
      <c r="N6" s="87"/>
      <c r="O6" s="87"/>
      <c r="P6" s="87"/>
    </row>
    <row r="7" spans="1:16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00</v>
      </c>
      <c r="F7" s="7"/>
      <c r="G7" s="7"/>
      <c r="H7" s="36">
        <f>'[1]1нед'!$T$258</f>
        <v>0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/>
      <c r="P7" s="36">
        <f>H7</f>
        <v>0</v>
      </c>
    </row>
    <row r="8" spans="1:16" ht="15.75" x14ac:dyDescent="0.25">
      <c r="A8" s="45"/>
      <c r="B8" s="86" t="s">
        <v>5</v>
      </c>
      <c r="C8" s="86"/>
      <c r="D8" s="86"/>
      <c r="E8" s="86" t="s">
        <v>52</v>
      </c>
      <c r="F8" s="86"/>
      <c r="G8" s="86"/>
      <c r="H8" s="86"/>
      <c r="I8" s="45"/>
      <c r="J8" s="86" t="s">
        <v>5</v>
      </c>
      <c r="K8" s="86"/>
      <c r="L8" s="86"/>
      <c r="M8" s="86" t="str">
        <f t="shared" ref="M8" si="0">E8</f>
        <v>очно-заочная</v>
      </c>
      <c r="N8" s="86"/>
      <c r="O8" s="86"/>
      <c r="P8" s="86"/>
    </row>
    <row r="9" spans="1:16" ht="15.75" x14ac:dyDescent="0.25">
      <c r="A9" s="45"/>
      <c r="B9" s="86" t="s">
        <v>7</v>
      </c>
      <c r="C9" s="86"/>
      <c r="D9" s="86"/>
      <c r="E9" s="62">
        <v>3</v>
      </c>
      <c r="F9" s="62"/>
      <c r="G9" s="62"/>
      <c r="H9" s="35"/>
      <c r="I9" s="45"/>
      <c r="J9" s="86" t="s">
        <v>7</v>
      </c>
      <c r="K9" s="86"/>
      <c r="L9" s="86"/>
      <c r="M9" s="62">
        <f>E9</f>
        <v>3</v>
      </c>
      <c r="N9" s="62"/>
      <c r="O9" s="62"/>
      <c r="P9" s="35"/>
    </row>
    <row r="10" spans="1:16" ht="16.5" thickBot="1" x14ac:dyDescent="0.3">
      <c r="A10" s="45"/>
      <c r="B10" s="83" t="s">
        <v>8</v>
      </c>
      <c r="C10" s="83"/>
      <c r="D10" s="83"/>
      <c r="E10" s="63">
        <v>1</v>
      </c>
      <c r="F10" s="63"/>
      <c r="G10" s="63"/>
      <c r="H10" s="37"/>
      <c r="I10" s="45"/>
      <c r="J10" s="91" t="s">
        <v>8</v>
      </c>
      <c r="K10" s="91"/>
      <c r="L10" s="91"/>
      <c r="M10" s="63">
        <f>E10+1</f>
        <v>2</v>
      </c>
      <c r="N10" s="63"/>
      <c r="O10" s="63"/>
      <c r="P10" s="37"/>
    </row>
    <row r="11" spans="1:16" ht="46.5" customHeight="1" thickTop="1" thickBot="1" x14ac:dyDescent="0.25">
      <c r="A11" s="84" t="s">
        <v>9</v>
      </c>
      <c r="B11" s="85"/>
      <c r="C11" s="10" t="s">
        <v>10</v>
      </c>
      <c r="D11" s="11" t="s">
        <v>11</v>
      </c>
      <c r="E11" s="12" t="s">
        <v>12</v>
      </c>
      <c r="F11" s="81" t="s">
        <v>13</v>
      </c>
      <c r="G11" s="82"/>
      <c r="H11" s="13" t="s">
        <v>14</v>
      </c>
      <c r="I11" s="84" t="s">
        <v>9</v>
      </c>
      <c r="J11" s="85"/>
      <c r="K11" s="10" t="s">
        <v>10</v>
      </c>
      <c r="L11" s="11" t="s">
        <v>11</v>
      </c>
      <c r="M11" s="12" t="s">
        <v>12</v>
      </c>
      <c r="N11" s="81" t="s">
        <v>13</v>
      </c>
      <c r="O11" s="82"/>
      <c r="P11" s="13" t="s">
        <v>14</v>
      </c>
    </row>
    <row r="12" spans="1:16" ht="35.1" customHeight="1" thickTop="1" x14ac:dyDescent="0.2">
      <c r="A12" s="64">
        <v>46265</v>
      </c>
      <c r="B12" s="67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64">
        <v>46272</v>
      </c>
      <c r="J12" s="72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5" x14ac:dyDescent="0.2">
      <c r="A13" s="65"/>
      <c r="B13" s="68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0"/>
      <c r="J13" s="73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5" x14ac:dyDescent="0.2">
      <c r="A14" s="65"/>
      <c r="B14" s="68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0"/>
      <c r="J14" s="73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5" x14ac:dyDescent="0.2">
      <c r="A15" s="65"/>
      <c r="B15" s="68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0"/>
      <c r="J15" s="73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5" x14ac:dyDescent="0.2">
      <c r="A16" s="65"/>
      <c r="B16" s="68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0"/>
      <c r="J16" s="73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5" x14ac:dyDescent="0.2">
      <c r="A17" s="65"/>
      <c r="B17" s="68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0"/>
      <c r="J17" s="73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2.25" thickBot="1" x14ac:dyDescent="0.25">
      <c r="A18" s="65"/>
      <c r="B18" s="68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0"/>
      <c r="J18" s="73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 x14ac:dyDescent="0.25">
      <c r="A19" s="66"/>
      <c r="B19" s="69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1"/>
      <c r="J19" s="74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 x14ac:dyDescent="0.2">
      <c r="A20" s="64">
        <v>46266</v>
      </c>
      <c r="B20" s="67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64">
        <v>46273</v>
      </c>
      <c r="J20" s="72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5" x14ac:dyDescent="0.2">
      <c r="A21" s="65"/>
      <c r="B21" s="68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0"/>
      <c r="J21" s="73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5" x14ac:dyDescent="0.2">
      <c r="A22" s="65"/>
      <c r="B22" s="68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0"/>
      <c r="J22" s="73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5" x14ac:dyDescent="0.2">
      <c r="A23" s="65"/>
      <c r="B23" s="68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0"/>
      <c r="J23" s="73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5" x14ac:dyDescent="0.2">
      <c r="A24" s="65"/>
      <c r="B24" s="68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0"/>
      <c r="J24" s="73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5" x14ac:dyDescent="0.2">
      <c r="A25" s="65"/>
      <c r="B25" s="68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0"/>
      <c r="J25" s="73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2.25" thickBot="1" x14ac:dyDescent="0.25">
      <c r="A26" s="65"/>
      <c r="B26" s="68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0"/>
      <c r="J26" s="73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 x14ac:dyDescent="0.25">
      <c r="A27" s="66"/>
      <c r="B27" s="69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1"/>
      <c r="J27" s="74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 x14ac:dyDescent="0.2">
      <c r="A28" s="64">
        <v>46267</v>
      </c>
      <c r="B28" s="75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64">
        <v>46274</v>
      </c>
      <c r="J28" s="78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5" x14ac:dyDescent="0.2">
      <c r="A29" s="65"/>
      <c r="B29" s="76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0"/>
      <c r="J29" s="79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5" x14ac:dyDescent="0.2">
      <c r="A30" s="65"/>
      <c r="B30" s="76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0"/>
      <c r="J30" s="79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5" x14ac:dyDescent="0.2">
      <c r="A31" s="65"/>
      <c r="B31" s="76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0"/>
      <c r="J31" s="79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5" x14ac:dyDescent="0.2">
      <c r="A32" s="65"/>
      <c r="B32" s="76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0"/>
      <c r="J32" s="79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5" x14ac:dyDescent="0.2">
      <c r="A33" s="65"/>
      <c r="B33" s="76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0"/>
      <c r="J33" s="79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2.25" thickBot="1" x14ac:dyDescent="0.25">
      <c r="A34" s="65"/>
      <c r="B34" s="76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0"/>
      <c r="J34" s="79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 x14ac:dyDescent="0.25">
      <c r="A35" s="66"/>
      <c r="B35" s="77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1"/>
      <c r="J35" s="80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 x14ac:dyDescent="0.2">
      <c r="A36" s="64">
        <v>46268</v>
      </c>
      <c r="B36" s="67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64">
        <v>46275</v>
      </c>
      <c r="J36" s="72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5" x14ac:dyDescent="0.2">
      <c r="A37" s="65"/>
      <c r="B37" s="68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0"/>
      <c r="J37" s="73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5" x14ac:dyDescent="0.2">
      <c r="A38" s="65"/>
      <c r="B38" s="68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0"/>
      <c r="J38" s="73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5" x14ac:dyDescent="0.2">
      <c r="A39" s="65"/>
      <c r="B39" s="68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0"/>
      <c r="J39" s="73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5" x14ac:dyDescent="0.2">
      <c r="A40" s="65"/>
      <c r="B40" s="68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0"/>
      <c r="J40" s="73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5" x14ac:dyDescent="0.2">
      <c r="A41" s="65"/>
      <c r="B41" s="68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0"/>
      <c r="J41" s="73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2.25" thickBot="1" x14ac:dyDescent="0.25">
      <c r="A42" s="65"/>
      <c r="B42" s="68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0"/>
      <c r="J42" s="73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 x14ac:dyDescent="0.25">
      <c r="A43" s="66"/>
      <c r="B43" s="69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1"/>
      <c r="J43" s="74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 x14ac:dyDescent="0.2">
      <c r="A44" s="64">
        <v>46269</v>
      </c>
      <c r="B44" s="67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64">
        <v>46276</v>
      </c>
      <c r="J44" s="72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5" x14ac:dyDescent="0.2">
      <c r="A45" s="65"/>
      <c r="B45" s="68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0"/>
      <c r="J45" s="73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5" x14ac:dyDescent="0.2">
      <c r="A46" s="65"/>
      <c r="B46" s="68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0"/>
      <c r="J46" s="73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5" x14ac:dyDescent="0.2">
      <c r="A47" s="65"/>
      <c r="B47" s="68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0"/>
      <c r="J47" s="73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5" x14ac:dyDescent="0.2">
      <c r="A48" s="65"/>
      <c r="B48" s="68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0"/>
      <c r="J48" s="73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5" x14ac:dyDescent="0.2">
      <c r="A49" s="65"/>
      <c r="B49" s="68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0"/>
      <c r="J49" s="73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2.25" thickBot="1" x14ac:dyDescent="0.25">
      <c r="A50" s="65"/>
      <c r="B50" s="68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0"/>
      <c r="J50" s="73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 x14ac:dyDescent="0.25">
      <c r="A51" s="66"/>
      <c r="B51" s="69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1"/>
      <c r="J51" s="74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 x14ac:dyDescent="0.2">
      <c r="A52" s="64">
        <v>46270</v>
      </c>
      <c r="B52" s="67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64">
        <v>46277</v>
      </c>
      <c r="J52" s="72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5" x14ac:dyDescent="0.2">
      <c r="A53" s="65"/>
      <c r="B53" s="68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0"/>
      <c r="J53" s="73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5" x14ac:dyDescent="0.2">
      <c r="A54" s="65"/>
      <c r="B54" s="68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0"/>
      <c r="J54" s="73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5" x14ac:dyDescent="0.2">
      <c r="A55" s="65"/>
      <c r="B55" s="68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0"/>
      <c r="J55" s="73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5" x14ac:dyDescent="0.2">
      <c r="A56" s="65"/>
      <c r="B56" s="68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0"/>
      <c r="J56" s="73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5" x14ac:dyDescent="0.2">
      <c r="A57" s="65"/>
      <c r="B57" s="68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0"/>
      <c r="J57" s="73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2.25" thickBot="1" x14ac:dyDescent="0.25">
      <c r="A58" s="65"/>
      <c r="B58" s="68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0"/>
      <c r="J58" s="73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 x14ac:dyDescent="0.25">
      <c r="A59" s="66"/>
      <c r="B59" s="69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1"/>
      <c r="J59" s="7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87" t="s">
        <v>4</v>
      </c>
      <c r="C66" s="87"/>
      <c r="D66" s="87"/>
      <c r="E66" s="87"/>
      <c r="F66" s="87"/>
      <c r="G66" s="87"/>
      <c r="H66" s="87"/>
      <c r="I66" s="45"/>
      <c r="J66" s="87" t="s">
        <v>4</v>
      </c>
      <c r="K66" s="87"/>
      <c r="L66" s="87"/>
      <c r="M66" s="87"/>
      <c r="N66" s="87"/>
      <c r="O66" s="87"/>
      <c r="P66" s="87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/>
      <c r="H67" s="36">
        <f>H7</f>
        <v>0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/>
      <c r="P67" s="36">
        <f>H7</f>
        <v>0</v>
      </c>
    </row>
    <row r="68" spans="1:16" ht="15.75" x14ac:dyDescent="0.25">
      <c r="A68" s="45"/>
      <c r="B68" s="86" t="s">
        <v>5</v>
      </c>
      <c r="C68" s="86"/>
      <c r="D68" s="86"/>
      <c r="E68" s="86" t="str">
        <f>E8</f>
        <v>очно-заочная</v>
      </c>
      <c r="F68" s="86"/>
      <c r="G68" s="86"/>
      <c r="H68" s="86"/>
      <c r="I68" s="45"/>
      <c r="J68" s="86" t="s">
        <v>5</v>
      </c>
      <c r="K68" s="86"/>
      <c r="L68" s="86"/>
      <c r="M68" s="86" t="str">
        <f>E8</f>
        <v>очно-заочная</v>
      </c>
      <c r="N68" s="86"/>
      <c r="O68" s="86"/>
      <c r="P68" s="86"/>
    </row>
    <row r="69" spans="1:16" ht="15.75" x14ac:dyDescent="0.25">
      <c r="A69" s="45"/>
      <c r="B69" s="86" t="s">
        <v>7</v>
      </c>
      <c r="C69" s="86"/>
      <c r="D69" s="86"/>
      <c r="E69" s="62">
        <f>E9</f>
        <v>3</v>
      </c>
      <c r="F69" s="62"/>
      <c r="G69" s="62"/>
      <c r="H69" s="35"/>
      <c r="I69" s="45"/>
      <c r="J69" s="86" t="s">
        <v>7</v>
      </c>
      <c r="K69" s="86"/>
      <c r="L69" s="86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83" t="s">
        <v>8</v>
      </c>
      <c r="C70" s="83"/>
      <c r="D70" s="83"/>
      <c r="E70" s="63">
        <f>M10+1</f>
        <v>3</v>
      </c>
      <c r="F70" s="63"/>
      <c r="G70" s="63"/>
      <c r="H70" s="37"/>
      <c r="I70" s="45"/>
      <c r="J70" s="83" t="s">
        <v>8</v>
      </c>
      <c r="K70" s="83"/>
      <c r="L70" s="8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84" t="s">
        <v>9</v>
      </c>
      <c r="B71" s="85"/>
      <c r="C71" s="10" t="s">
        <v>10</v>
      </c>
      <c r="D71" s="11" t="s">
        <v>11</v>
      </c>
      <c r="E71" s="12" t="s">
        <v>12</v>
      </c>
      <c r="F71" s="81" t="s">
        <v>13</v>
      </c>
      <c r="G71" s="82"/>
      <c r="H71" s="13" t="s">
        <v>14</v>
      </c>
      <c r="I71" s="84" t="s">
        <v>9</v>
      </c>
      <c r="J71" s="85"/>
      <c r="K71" s="10" t="s">
        <v>10</v>
      </c>
      <c r="L71" s="11" t="s">
        <v>11</v>
      </c>
      <c r="M71" s="12" t="s">
        <v>12</v>
      </c>
      <c r="N71" s="81" t="s">
        <v>13</v>
      </c>
      <c r="O71" s="82"/>
      <c r="P71" s="13" t="s">
        <v>14</v>
      </c>
    </row>
    <row r="72" spans="1:16" ht="32.25" customHeight="1" thickTop="1" x14ac:dyDescent="0.2">
      <c r="A72" s="64">
        <v>46279</v>
      </c>
      <c r="B72" s="67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64">
        <v>46286</v>
      </c>
      <c r="J72" s="72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5" x14ac:dyDescent="0.2">
      <c r="A73" s="65"/>
      <c r="B73" s="68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0"/>
      <c r="J73" s="73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5" x14ac:dyDescent="0.2">
      <c r="A74" s="65"/>
      <c r="B74" s="68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0"/>
      <c r="J74" s="73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5" x14ac:dyDescent="0.2">
      <c r="A75" s="65"/>
      <c r="B75" s="68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0"/>
      <c r="J75" s="73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5" x14ac:dyDescent="0.2">
      <c r="A76" s="65"/>
      <c r="B76" s="68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0"/>
      <c r="J76" s="73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5" x14ac:dyDescent="0.2">
      <c r="A77" s="65"/>
      <c r="B77" s="68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0"/>
      <c r="J77" s="73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2.25" thickBot="1" x14ac:dyDescent="0.25">
      <c r="A78" s="65"/>
      <c r="B78" s="68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0"/>
      <c r="J78" s="73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 x14ac:dyDescent="0.25">
      <c r="A79" s="66"/>
      <c r="B79" s="69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1"/>
      <c r="J79" s="74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 x14ac:dyDescent="0.2">
      <c r="A80" s="64">
        <v>46280</v>
      </c>
      <c r="B80" s="67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64">
        <v>46287</v>
      </c>
      <c r="J80" s="72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5" x14ac:dyDescent="0.2">
      <c r="A81" s="65"/>
      <c r="B81" s="68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0"/>
      <c r="J81" s="73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5" x14ac:dyDescent="0.2">
      <c r="A82" s="65"/>
      <c r="B82" s="68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0"/>
      <c r="J82" s="73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5" x14ac:dyDescent="0.2">
      <c r="A83" s="65"/>
      <c r="B83" s="68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0"/>
      <c r="J83" s="73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5" x14ac:dyDescent="0.2">
      <c r="A84" s="65"/>
      <c r="B84" s="68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0"/>
      <c r="J84" s="73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5" x14ac:dyDescent="0.2">
      <c r="A85" s="65"/>
      <c r="B85" s="68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0"/>
      <c r="J85" s="73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2.25" thickBot="1" x14ac:dyDescent="0.25">
      <c r="A86" s="65"/>
      <c r="B86" s="68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0"/>
      <c r="J86" s="73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 x14ac:dyDescent="0.25">
      <c r="A87" s="66"/>
      <c r="B87" s="69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1"/>
      <c r="J87" s="74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 x14ac:dyDescent="0.2">
      <c r="A88" s="64">
        <v>46281</v>
      </c>
      <c r="B88" s="75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64">
        <v>46288</v>
      </c>
      <c r="J88" s="78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5" x14ac:dyDescent="0.2">
      <c r="A89" s="65"/>
      <c r="B89" s="76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0"/>
      <c r="J89" s="79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5" x14ac:dyDescent="0.2">
      <c r="A90" s="65"/>
      <c r="B90" s="76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0"/>
      <c r="J90" s="79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5" x14ac:dyDescent="0.2">
      <c r="A91" s="65"/>
      <c r="B91" s="76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0"/>
      <c r="J91" s="79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5" x14ac:dyDescent="0.2">
      <c r="A92" s="65"/>
      <c r="B92" s="76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0"/>
      <c r="J92" s="79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5" x14ac:dyDescent="0.2">
      <c r="A93" s="65"/>
      <c r="B93" s="76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0"/>
      <c r="J93" s="79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2.25" thickBot="1" x14ac:dyDescent="0.25">
      <c r="A94" s="65"/>
      <c r="B94" s="76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0"/>
      <c r="J94" s="79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 x14ac:dyDescent="0.25">
      <c r="A95" s="66"/>
      <c r="B95" s="77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1"/>
      <c r="J95" s="80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 x14ac:dyDescent="0.2">
      <c r="A96" s="64">
        <v>46282</v>
      </c>
      <c r="B96" s="67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64">
        <v>46289</v>
      </c>
      <c r="J96" s="72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5" x14ac:dyDescent="0.2">
      <c r="A97" s="65"/>
      <c r="B97" s="68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0"/>
      <c r="J97" s="73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5" x14ac:dyDescent="0.2">
      <c r="A98" s="65"/>
      <c r="B98" s="68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0"/>
      <c r="J98" s="73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5" x14ac:dyDescent="0.2">
      <c r="A99" s="65"/>
      <c r="B99" s="68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0"/>
      <c r="J99" s="73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5" x14ac:dyDescent="0.2">
      <c r="A100" s="65"/>
      <c r="B100" s="68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0"/>
      <c r="J100" s="73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5" x14ac:dyDescent="0.2">
      <c r="A101" s="65"/>
      <c r="B101" s="68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0"/>
      <c r="J101" s="73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2.25" thickBot="1" x14ac:dyDescent="0.25">
      <c r="A102" s="65"/>
      <c r="B102" s="68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0"/>
      <c r="J102" s="73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 x14ac:dyDescent="0.25">
      <c r="A103" s="66"/>
      <c r="B103" s="69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1"/>
      <c r="J103" s="74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 x14ac:dyDescent="0.2">
      <c r="A104" s="64">
        <v>46283</v>
      </c>
      <c r="B104" s="67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64">
        <v>46290</v>
      </c>
      <c r="J104" s="72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5" x14ac:dyDescent="0.2">
      <c r="A105" s="65"/>
      <c r="B105" s="68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0"/>
      <c r="J105" s="73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5" x14ac:dyDescent="0.2">
      <c r="A106" s="65"/>
      <c r="B106" s="68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0"/>
      <c r="J106" s="73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5" x14ac:dyDescent="0.2">
      <c r="A107" s="65"/>
      <c r="B107" s="68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0"/>
      <c r="J107" s="73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5" x14ac:dyDescent="0.2">
      <c r="A108" s="65"/>
      <c r="B108" s="68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0"/>
      <c r="J108" s="73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5" x14ac:dyDescent="0.2">
      <c r="A109" s="65"/>
      <c r="B109" s="68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0"/>
      <c r="J109" s="73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2.25" thickBot="1" x14ac:dyDescent="0.25">
      <c r="A110" s="65"/>
      <c r="B110" s="68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0"/>
      <c r="J110" s="73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 x14ac:dyDescent="0.25">
      <c r="A111" s="66"/>
      <c r="B111" s="69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1"/>
      <c r="J111" s="74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 x14ac:dyDescent="0.2">
      <c r="A112" s="64">
        <v>46284</v>
      </c>
      <c r="B112" s="67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64">
        <v>46291</v>
      </c>
      <c r="J112" s="72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5" x14ac:dyDescent="0.2">
      <c r="A113" s="65"/>
      <c r="B113" s="68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0"/>
      <c r="J113" s="73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5" x14ac:dyDescent="0.2">
      <c r="A114" s="65"/>
      <c r="B114" s="68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0"/>
      <c r="J114" s="73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5" x14ac:dyDescent="0.2">
      <c r="A115" s="65"/>
      <c r="B115" s="68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0"/>
      <c r="J115" s="73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5" x14ac:dyDescent="0.2">
      <c r="A116" s="65"/>
      <c r="B116" s="68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0"/>
      <c r="J116" s="73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5" x14ac:dyDescent="0.2">
      <c r="A117" s="65"/>
      <c r="B117" s="68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0"/>
      <c r="J117" s="73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2.25" thickBot="1" x14ac:dyDescent="0.25">
      <c r="A118" s="65"/>
      <c r="B118" s="68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0"/>
      <c r="J118" s="73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 x14ac:dyDescent="0.25">
      <c r="A119" s="66"/>
      <c r="B119" s="69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1"/>
      <c r="J119" s="74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87" t="s">
        <v>4</v>
      </c>
      <c r="C126" s="87"/>
      <c r="D126" s="87"/>
      <c r="E126" s="87"/>
      <c r="F126" s="87"/>
      <c r="G126" s="87"/>
      <c r="H126" s="87"/>
      <c r="I126" s="45"/>
      <c r="J126" s="87" t="s">
        <v>4</v>
      </c>
      <c r="K126" s="87"/>
      <c r="L126" s="87"/>
      <c r="M126" s="87"/>
      <c r="N126" s="87"/>
      <c r="O126" s="87"/>
      <c r="P126" s="87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/>
      <c r="H127" s="36">
        <f>H7</f>
        <v>0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/>
      <c r="P127" s="36">
        <f>H7</f>
        <v>0</v>
      </c>
    </row>
    <row r="128" spans="1:16" ht="15.75" x14ac:dyDescent="0.25">
      <c r="A128" s="45"/>
      <c r="B128" s="86" t="s">
        <v>5</v>
      </c>
      <c r="C128" s="86"/>
      <c r="D128" s="86"/>
      <c r="E128" s="86" t="str">
        <f>E8</f>
        <v>очно-заочная</v>
      </c>
      <c r="F128" s="86"/>
      <c r="G128" s="86"/>
      <c r="H128" s="86"/>
      <c r="I128" s="45"/>
      <c r="J128" s="86" t="s">
        <v>5</v>
      </c>
      <c r="K128" s="86"/>
      <c r="L128" s="86"/>
      <c r="M128" s="86" t="str">
        <f t="shared" ref="M128" si="1">E8</f>
        <v>очно-заочная</v>
      </c>
      <c r="N128" s="86"/>
      <c r="O128" s="86"/>
      <c r="P128" s="86"/>
    </row>
    <row r="129" spans="1:16" ht="15.75" x14ac:dyDescent="0.25">
      <c r="A129" s="45"/>
      <c r="B129" s="86" t="s">
        <v>7</v>
      </c>
      <c r="C129" s="86"/>
      <c r="D129" s="86"/>
      <c r="E129" s="62">
        <f>E9</f>
        <v>3</v>
      </c>
      <c r="F129" s="62"/>
      <c r="G129" s="62"/>
      <c r="H129" s="35"/>
      <c r="I129" s="45"/>
      <c r="J129" s="86" t="s">
        <v>7</v>
      </c>
      <c r="K129" s="86"/>
      <c r="L129" s="86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83" t="s">
        <v>8</v>
      </c>
      <c r="C130" s="83"/>
      <c r="D130" s="83"/>
      <c r="E130" s="63">
        <f>M70+1</f>
        <v>5</v>
      </c>
      <c r="F130" s="63"/>
      <c r="G130" s="63"/>
      <c r="H130" s="37"/>
      <c r="I130" s="45"/>
      <c r="J130" s="83" t="s">
        <v>8</v>
      </c>
      <c r="K130" s="83"/>
      <c r="L130" s="8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84" t="s">
        <v>9</v>
      </c>
      <c r="B131" s="85"/>
      <c r="C131" s="10" t="s">
        <v>10</v>
      </c>
      <c r="D131" s="11" t="s">
        <v>11</v>
      </c>
      <c r="E131" s="12" t="s">
        <v>12</v>
      </c>
      <c r="F131" s="81" t="s">
        <v>13</v>
      </c>
      <c r="G131" s="82"/>
      <c r="H131" s="13" t="s">
        <v>14</v>
      </c>
      <c r="I131" s="84" t="s">
        <v>9</v>
      </c>
      <c r="J131" s="85"/>
      <c r="K131" s="10" t="s">
        <v>10</v>
      </c>
      <c r="L131" s="11" t="s">
        <v>11</v>
      </c>
      <c r="M131" s="12" t="s">
        <v>12</v>
      </c>
      <c r="N131" s="81" t="s">
        <v>13</v>
      </c>
      <c r="O131" s="82"/>
      <c r="P131" s="13" t="s">
        <v>14</v>
      </c>
    </row>
    <row r="132" spans="1:16" ht="35.1" customHeight="1" thickTop="1" x14ac:dyDescent="0.2">
      <c r="A132" s="64">
        <v>46293</v>
      </c>
      <c r="B132" s="67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64">
        <v>46300</v>
      </c>
      <c r="J132" s="72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5" x14ac:dyDescent="0.2">
      <c r="A133" s="65"/>
      <c r="B133" s="68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0"/>
      <c r="J133" s="73"/>
      <c r="K133" s="14" t="s">
        <v>19</v>
      </c>
      <c r="L133" s="20">
        <f>'[3]6нед'!S261</f>
        <v>0</v>
      </c>
      <c r="M133" s="23">
        <f>'[3]6нед'!T261</f>
        <v>0</v>
      </c>
      <c r="N133" s="21">
        <f>'[3]6нед'!W261</f>
        <v>0</v>
      </c>
      <c r="O133" s="22" t="str">
        <f>'[3]6нед'!X261</f>
        <v/>
      </c>
      <c r="P133" s="38"/>
    </row>
    <row r="134" spans="1:16" ht="31.5" x14ac:dyDescent="0.2">
      <c r="A134" s="65"/>
      <c r="B134" s="68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0"/>
      <c r="J134" s="73"/>
      <c r="K134" s="14" t="s">
        <v>20</v>
      </c>
      <c r="L134" s="20">
        <f>'[3]6нед'!S262</f>
        <v>0</v>
      </c>
      <c r="M134" s="23">
        <f>'[3]6нед'!T262</f>
        <v>0</v>
      </c>
      <c r="N134" s="21">
        <f>'[3]6нед'!W262</f>
        <v>0</v>
      </c>
      <c r="O134" s="22" t="str">
        <f>'[3]6нед'!X262</f>
        <v/>
      </c>
      <c r="P134" s="38"/>
    </row>
    <row r="135" spans="1:16" ht="31.5" x14ac:dyDescent="0.2">
      <c r="A135" s="65"/>
      <c r="B135" s="68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0"/>
      <c r="J135" s="73"/>
      <c r="K135" s="14" t="s">
        <v>21</v>
      </c>
      <c r="L135" s="20">
        <f>'[3]6нед'!S263</f>
        <v>0</v>
      </c>
      <c r="M135" s="23">
        <f>'[3]6нед'!T263</f>
        <v>0</v>
      </c>
      <c r="N135" s="21">
        <f>'[3]6нед'!W263</f>
        <v>0</v>
      </c>
      <c r="O135" s="22" t="str">
        <f>'[3]6нед'!X263</f>
        <v/>
      </c>
      <c r="P135" s="38"/>
    </row>
    <row r="136" spans="1:16" ht="31.5" x14ac:dyDescent="0.2">
      <c r="A136" s="65"/>
      <c r="B136" s="68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0"/>
      <c r="J136" s="73"/>
      <c r="K136" s="14" t="s">
        <v>22</v>
      </c>
      <c r="L136" s="20">
        <f>'[3]6нед'!S264</f>
        <v>0</v>
      </c>
      <c r="M136" s="23">
        <f>'[3]6нед'!T264</f>
        <v>0</v>
      </c>
      <c r="N136" s="21">
        <f>'[3]6нед'!W264</f>
        <v>0</v>
      </c>
      <c r="O136" s="22" t="str">
        <f>'[3]6нед'!X264</f>
        <v/>
      </c>
      <c r="P136" s="38"/>
    </row>
    <row r="137" spans="1:16" ht="31.5" x14ac:dyDescent="0.2">
      <c r="A137" s="65"/>
      <c r="B137" s="68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0"/>
      <c r="J137" s="73"/>
      <c r="K137" s="14" t="s">
        <v>23</v>
      </c>
      <c r="L137" s="20">
        <f>'[3]6нед'!S265</f>
        <v>0</v>
      </c>
      <c r="M137" s="23">
        <f>'[3]6нед'!T265</f>
        <v>0</v>
      </c>
      <c r="N137" s="21">
        <f>'[3]6нед'!W265</f>
        <v>0</v>
      </c>
      <c r="O137" s="22" t="str">
        <f>'[3]6нед'!X265</f>
        <v/>
      </c>
      <c r="P137" s="38"/>
    </row>
    <row r="138" spans="1:16" ht="32.25" thickBot="1" x14ac:dyDescent="0.25">
      <c r="A138" s="65"/>
      <c r="B138" s="68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0"/>
      <c r="J138" s="73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 x14ac:dyDescent="0.25">
      <c r="A139" s="66"/>
      <c r="B139" s="69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1"/>
      <c r="J139" s="74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 x14ac:dyDescent="0.2">
      <c r="A140" s="64">
        <v>46294</v>
      </c>
      <c r="B140" s="67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64">
        <v>46301</v>
      </c>
      <c r="J140" s="72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5" x14ac:dyDescent="0.2">
      <c r="A141" s="65"/>
      <c r="B141" s="68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0"/>
      <c r="J141" s="73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5" x14ac:dyDescent="0.2">
      <c r="A142" s="65"/>
      <c r="B142" s="68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0"/>
      <c r="J142" s="73"/>
      <c r="K142" s="14" t="s">
        <v>20</v>
      </c>
      <c r="L142" s="20">
        <f>'[3]6нед'!S270</f>
        <v>0</v>
      </c>
      <c r="M142" s="23">
        <f>'[3]6нед'!T270</f>
        <v>0</v>
      </c>
      <c r="N142" s="21">
        <f>'[3]6нед'!W270</f>
        <v>0</v>
      </c>
      <c r="O142" s="22" t="str">
        <f>'[3]6нед'!X270</f>
        <v/>
      </c>
      <c r="P142" s="38"/>
    </row>
    <row r="143" spans="1:16" ht="31.5" x14ac:dyDescent="0.2">
      <c r="A143" s="65"/>
      <c r="B143" s="68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0"/>
      <c r="J143" s="73"/>
      <c r="K143" s="14" t="s">
        <v>21</v>
      </c>
      <c r="L143" s="20">
        <f>'[3]6нед'!S271</f>
        <v>0</v>
      </c>
      <c r="M143" s="23">
        <f>'[3]6нед'!T271</f>
        <v>0</v>
      </c>
      <c r="N143" s="21">
        <f>'[3]6нед'!W271</f>
        <v>0</v>
      </c>
      <c r="O143" s="22" t="str">
        <f>'[3]6нед'!X271</f>
        <v/>
      </c>
      <c r="P143" s="38"/>
    </row>
    <row r="144" spans="1:16" ht="31.5" x14ac:dyDescent="0.2">
      <c r="A144" s="65"/>
      <c r="B144" s="68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0"/>
      <c r="J144" s="73"/>
      <c r="K144" s="14" t="s">
        <v>22</v>
      </c>
      <c r="L144" s="20">
        <f>'[3]6нед'!S272</f>
        <v>0</v>
      </c>
      <c r="M144" s="23">
        <f>'[3]6нед'!T272</f>
        <v>0</v>
      </c>
      <c r="N144" s="21">
        <f>'[3]6нед'!W272</f>
        <v>0</v>
      </c>
      <c r="O144" s="22" t="str">
        <f>'[3]6нед'!X272</f>
        <v/>
      </c>
      <c r="P144" s="38"/>
    </row>
    <row r="145" spans="1:16" ht="31.5" x14ac:dyDescent="0.2">
      <c r="A145" s="65"/>
      <c r="B145" s="68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0"/>
      <c r="J145" s="73"/>
      <c r="K145" s="14" t="s">
        <v>23</v>
      </c>
      <c r="L145" s="20">
        <f>'[3]6нед'!S273</f>
        <v>0</v>
      </c>
      <c r="M145" s="23">
        <f>'[3]6нед'!T273</f>
        <v>0</v>
      </c>
      <c r="N145" s="21">
        <f>'[3]6нед'!W273</f>
        <v>0</v>
      </c>
      <c r="O145" s="22" t="str">
        <f>'[3]6нед'!X273</f>
        <v/>
      </c>
      <c r="P145" s="34"/>
    </row>
    <row r="146" spans="1:16" ht="32.25" thickBot="1" x14ac:dyDescent="0.25">
      <c r="A146" s="65"/>
      <c r="B146" s="68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0"/>
      <c r="J146" s="73"/>
      <c r="K146" s="14" t="s">
        <v>24</v>
      </c>
      <c r="L146" s="20">
        <f>'[3]6нед'!S274</f>
        <v>0</v>
      </c>
      <c r="M146" s="23">
        <f>'[3]6нед'!T274</f>
        <v>0</v>
      </c>
      <c r="N146" s="21">
        <f>'[3]6нед'!W274</f>
        <v>0</v>
      </c>
      <c r="O146" s="22" t="str">
        <f>'[3]6нед'!X274</f>
        <v/>
      </c>
      <c r="P146" s="34"/>
    </row>
    <row r="147" spans="1:16" ht="18.399999999999999" hidden="1" customHeight="1" thickBot="1" x14ac:dyDescent="0.25">
      <c r="A147" s="66"/>
      <c r="B147" s="69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1"/>
      <c r="J147" s="74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 x14ac:dyDescent="0.2">
      <c r="A148" s="64">
        <v>46295</v>
      </c>
      <c r="B148" s="75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64">
        <v>46302</v>
      </c>
      <c r="J148" s="78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5" x14ac:dyDescent="0.2">
      <c r="A149" s="65"/>
      <c r="B149" s="76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0"/>
      <c r="J149" s="79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5" x14ac:dyDescent="0.2">
      <c r="A150" s="65"/>
      <c r="B150" s="76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0"/>
      <c r="J150" s="79"/>
      <c r="K150" s="14" t="s">
        <v>20</v>
      </c>
      <c r="L150" s="20">
        <f>'[3]6нед'!S278</f>
        <v>0</v>
      </c>
      <c r="M150" s="23">
        <f>'[3]6нед'!T278</f>
        <v>0</v>
      </c>
      <c r="N150" s="21">
        <f>'[3]6нед'!W278</f>
        <v>0</v>
      </c>
      <c r="O150" s="22" t="str">
        <f>'[3]6нед'!X278</f>
        <v/>
      </c>
      <c r="P150" s="38"/>
    </row>
    <row r="151" spans="1:16" ht="31.5" x14ac:dyDescent="0.2">
      <c r="A151" s="65"/>
      <c r="B151" s="76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0"/>
      <c r="J151" s="79"/>
      <c r="K151" s="14" t="s">
        <v>21</v>
      </c>
      <c r="L151" s="20">
        <f>'[3]6нед'!S279</f>
        <v>0</v>
      </c>
      <c r="M151" s="23">
        <f>'[3]6нед'!T279</f>
        <v>0</v>
      </c>
      <c r="N151" s="21">
        <f>'[3]6нед'!W279</f>
        <v>0</v>
      </c>
      <c r="O151" s="22" t="str">
        <f>'[3]6нед'!X279</f>
        <v/>
      </c>
      <c r="P151" s="38"/>
    </row>
    <row r="152" spans="1:16" ht="31.5" x14ac:dyDescent="0.2">
      <c r="A152" s="65"/>
      <c r="B152" s="76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0"/>
      <c r="J152" s="79"/>
      <c r="K152" s="14" t="s">
        <v>22</v>
      </c>
      <c r="L152" s="20">
        <f>'[3]6нед'!S280</f>
        <v>0</v>
      </c>
      <c r="M152" s="23">
        <f>'[3]6нед'!T280</f>
        <v>0</v>
      </c>
      <c r="N152" s="21">
        <f>'[3]6нед'!W280</f>
        <v>0</v>
      </c>
      <c r="O152" s="22" t="str">
        <f>'[3]6нед'!X280</f>
        <v/>
      </c>
      <c r="P152" s="38"/>
    </row>
    <row r="153" spans="1:16" ht="31.5" x14ac:dyDescent="0.2">
      <c r="A153" s="65"/>
      <c r="B153" s="76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0"/>
      <c r="J153" s="79"/>
      <c r="K153" s="14" t="s">
        <v>23</v>
      </c>
      <c r="L153" s="20">
        <f>'[3]6нед'!S281</f>
        <v>0</v>
      </c>
      <c r="M153" s="23">
        <f>'[3]6нед'!T281</f>
        <v>0</v>
      </c>
      <c r="N153" s="21">
        <f>'[3]6нед'!W281</f>
        <v>0</v>
      </c>
      <c r="O153" s="22" t="str">
        <f>'[3]6нед'!X281</f>
        <v/>
      </c>
      <c r="P153" s="34"/>
    </row>
    <row r="154" spans="1:16" ht="32.25" thickBot="1" x14ac:dyDescent="0.25">
      <c r="A154" s="65"/>
      <c r="B154" s="76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0"/>
      <c r="J154" s="79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 x14ac:dyDescent="0.25">
      <c r="A155" s="66"/>
      <c r="B155" s="77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1"/>
      <c r="J155" s="80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 x14ac:dyDescent="0.2">
      <c r="A156" s="64">
        <v>46296</v>
      </c>
      <c r="B156" s="67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64">
        <v>46303</v>
      </c>
      <c r="J156" s="72" t="s">
        <v>27</v>
      </c>
      <c r="K156" s="29" t="s">
        <v>18</v>
      </c>
      <c r="L156" s="16">
        <f>'[3]6нед'!S284</f>
        <v>0</v>
      </c>
      <c r="M156" s="19">
        <f>'[3]6нед'!T284</f>
        <v>0</v>
      </c>
      <c r="N156" s="17">
        <f>'[3]6нед'!W284</f>
        <v>0</v>
      </c>
      <c r="O156" s="18" t="str">
        <f>'[3]6нед'!X284</f>
        <v/>
      </c>
      <c r="P156" s="40"/>
    </row>
    <row r="157" spans="1:16" ht="31.5" x14ac:dyDescent="0.2">
      <c r="A157" s="65"/>
      <c r="B157" s="68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0"/>
      <c r="J157" s="73"/>
      <c r="K157" s="14" t="s">
        <v>19</v>
      </c>
      <c r="L157" s="20">
        <f>'[3]6нед'!S285</f>
        <v>0</v>
      </c>
      <c r="M157" s="23">
        <f>'[3]6нед'!T285</f>
        <v>0</v>
      </c>
      <c r="N157" s="21">
        <f>'[3]6нед'!W285</f>
        <v>0</v>
      </c>
      <c r="O157" s="22" t="str">
        <f>'[3]6нед'!X285</f>
        <v/>
      </c>
      <c r="P157" s="38"/>
    </row>
    <row r="158" spans="1:16" ht="31.5" x14ac:dyDescent="0.2">
      <c r="A158" s="65"/>
      <c r="B158" s="68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0"/>
      <c r="J158" s="73"/>
      <c r="K158" s="14" t="s">
        <v>20</v>
      </c>
      <c r="L158" s="20">
        <f>'[3]6нед'!S286</f>
        <v>0</v>
      </c>
      <c r="M158" s="23">
        <f>'[3]6нед'!T286</f>
        <v>0</v>
      </c>
      <c r="N158" s="21">
        <f>'[3]6нед'!W286</f>
        <v>0</v>
      </c>
      <c r="O158" s="22" t="str">
        <f>'[3]6нед'!X286</f>
        <v/>
      </c>
      <c r="P158" s="38"/>
    </row>
    <row r="159" spans="1:16" ht="31.5" x14ac:dyDescent="0.2">
      <c r="A159" s="65"/>
      <c r="B159" s="68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0"/>
      <c r="J159" s="73"/>
      <c r="K159" s="14" t="s">
        <v>21</v>
      </c>
      <c r="L159" s="20">
        <f>'[3]6нед'!S287</f>
        <v>0</v>
      </c>
      <c r="M159" s="23">
        <f>'[3]6нед'!T287</f>
        <v>0</v>
      </c>
      <c r="N159" s="21">
        <f>'[3]6нед'!W287</f>
        <v>0</v>
      </c>
      <c r="O159" s="22" t="str">
        <f>'[3]6нед'!X287</f>
        <v/>
      </c>
      <c r="P159" s="38"/>
    </row>
    <row r="160" spans="1:16" ht="31.5" x14ac:dyDescent="0.2">
      <c r="A160" s="65"/>
      <c r="B160" s="68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0"/>
      <c r="J160" s="73"/>
      <c r="K160" s="14" t="s">
        <v>22</v>
      </c>
      <c r="L160" s="20">
        <f>'[3]6нед'!S288</f>
        <v>0</v>
      </c>
      <c r="M160" s="23">
        <f>'[3]6нед'!T288</f>
        <v>0</v>
      </c>
      <c r="N160" s="21">
        <f>'[3]6нед'!W288</f>
        <v>0</v>
      </c>
      <c r="O160" s="22" t="str">
        <f>'[3]6нед'!X288</f>
        <v/>
      </c>
      <c r="P160" s="38"/>
    </row>
    <row r="161" spans="1:16" ht="31.5" x14ac:dyDescent="0.2">
      <c r="A161" s="65"/>
      <c r="B161" s="68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0"/>
      <c r="J161" s="73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2.25" thickBot="1" x14ac:dyDescent="0.25">
      <c r="A162" s="65"/>
      <c r="B162" s="68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0"/>
      <c r="J162" s="73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 x14ac:dyDescent="0.25">
      <c r="A163" s="66"/>
      <c r="B163" s="69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1"/>
      <c r="J163" s="74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 x14ac:dyDescent="0.2">
      <c r="A164" s="64">
        <v>46297</v>
      </c>
      <c r="B164" s="67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64">
        <v>46304</v>
      </c>
      <c r="J164" s="72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5" x14ac:dyDescent="0.2">
      <c r="A165" s="65"/>
      <c r="B165" s="68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0"/>
      <c r="J165" s="73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5" x14ac:dyDescent="0.2">
      <c r="A166" s="65"/>
      <c r="B166" s="68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0"/>
      <c r="J166" s="73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5" x14ac:dyDescent="0.2">
      <c r="A167" s="65"/>
      <c r="B167" s="68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0"/>
      <c r="J167" s="73"/>
      <c r="K167" s="14" t="s">
        <v>21</v>
      </c>
      <c r="L167" s="20">
        <f>'[3]6нед'!S295</f>
        <v>0</v>
      </c>
      <c r="M167" s="23">
        <f>'[3]6нед'!T295</f>
        <v>0</v>
      </c>
      <c r="N167" s="21">
        <f>'[3]6нед'!W295</f>
        <v>0</v>
      </c>
      <c r="O167" s="22" t="str">
        <f>'[3]6нед'!X295</f>
        <v/>
      </c>
      <c r="P167" s="38"/>
    </row>
    <row r="168" spans="1:16" ht="31.5" x14ac:dyDescent="0.2">
      <c r="A168" s="65"/>
      <c r="B168" s="68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0"/>
      <c r="J168" s="73"/>
      <c r="K168" s="14" t="s">
        <v>22</v>
      </c>
      <c r="L168" s="20">
        <f>'[3]6нед'!S296</f>
        <v>0</v>
      </c>
      <c r="M168" s="23">
        <f>'[3]6нед'!T296</f>
        <v>0</v>
      </c>
      <c r="N168" s="21">
        <f>'[3]6нед'!W296</f>
        <v>0</v>
      </c>
      <c r="O168" s="22" t="str">
        <f>'[3]6нед'!X296</f>
        <v/>
      </c>
      <c r="P168" s="38"/>
    </row>
    <row r="169" spans="1:16" ht="31.5" x14ac:dyDescent="0.2">
      <c r="A169" s="65"/>
      <c r="B169" s="68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0"/>
      <c r="J169" s="73"/>
      <c r="K169" s="14" t="s">
        <v>23</v>
      </c>
      <c r="L169" s="20">
        <f>'[3]6нед'!S297</f>
        <v>0</v>
      </c>
      <c r="M169" s="23">
        <f>'[3]6нед'!T297</f>
        <v>0</v>
      </c>
      <c r="N169" s="21">
        <f>'[3]6нед'!W297</f>
        <v>0</v>
      </c>
      <c r="O169" s="22" t="str">
        <f>'[3]6нед'!X297</f>
        <v/>
      </c>
      <c r="P169" s="38"/>
    </row>
    <row r="170" spans="1:16" ht="32.25" thickBot="1" x14ac:dyDescent="0.25">
      <c r="A170" s="65"/>
      <c r="B170" s="68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0"/>
      <c r="J170" s="73"/>
      <c r="K170" s="14" t="s">
        <v>24</v>
      </c>
      <c r="L170" s="20">
        <f>'[3]6нед'!S298</f>
        <v>0</v>
      </c>
      <c r="M170" s="23">
        <f>'[3]6нед'!T298</f>
        <v>0</v>
      </c>
      <c r="N170" s="21">
        <f>'[3]6нед'!W298</f>
        <v>0</v>
      </c>
      <c r="O170" s="22" t="str">
        <f>'[3]6нед'!X298</f>
        <v/>
      </c>
      <c r="P170" s="38"/>
    </row>
    <row r="171" spans="1:16" ht="18.399999999999999" hidden="1" customHeight="1" thickBot="1" x14ac:dyDescent="0.25">
      <c r="A171" s="66"/>
      <c r="B171" s="69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1"/>
      <c r="J171" s="74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 x14ac:dyDescent="0.2">
      <c r="A172" s="64">
        <v>46298</v>
      </c>
      <c r="B172" s="67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64">
        <v>46305</v>
      </c>
      <c r="J172" s="72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5" x14ac:dyDescent="0.2">
      <c r="A173" s="65"/>
      <c r="B173" s="68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0"/>
      <c r="J173" s="73"/>
      <c r="K173" s="14" t="s">
        <v>19</v>
      </c>
      <c r="L173" s="20">
        <f>'[3]6нед'!S301</f>
        <v>0</v>
      </c>
      <c r="M173" s="23">
        <f>'[3]6нед'!T301</f>
        <v>0</v>
      </c>
      <c r="N173" s="21">
        <f>'[3]6нед'!W301</f>
        <v>0</v>
      </c>
      <c r="O173" s="22" t="str">
        <f>'[3]6нед'!X301</f>
        <v/>
      </c>
      <c r="P173" s="38"/>
    </row>
    <row r="174" spans="1:16" ht="31.5" x14ac:dyDescent="0.2">
      <c r="A174" s="65"/>
      <c r="B174" s="68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0"/>
      <c r="J174" s="73"/>
      <c r="K174" s="14" t="s">
        <v>20</v>
      </c>
      <c r="L174" s="20">
        <f>'[3]6нед'!S302</f>
        <v>0</v>
      </c>
      <c r="M174" s="23">
        <f>'[3]6нед'!T302</f>
        <v>0</v>
      </c>
      <c r="N174" s="21">
        <f>'[3]6нед'!W302</f>
        <v>0</v>
      </c>
      <c r="O174" s="22" t="str">
        <f>'[3]6нед'!X302</f>
        <v/>
      </c>
      <c r="P174" s="43"/>
    </row>
    <row r="175" spans="1:16" ht="31.5" x14ac:dyDescent="0.2">
      <c r="A175" s="65"/>
      <c r="B175" s="68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0"/>
      <c r="J175" s="73"/>
      <c r="K175" s="14" t="s">
        <v>21</v>
      </c>
      <c r="L175" s="20">
        <f>'[3]6нед'!S303</f>
        <v>0</v>
      </c>
      <c r="M175" s="23">
        <f>'[3]6нед'!T303</f>
        <v>0</v>
      </c>
      <c r="N175" s="21">
        <f>'[3]6нед'!W303</f>
        <v>0</v>
      </c>
      <c r="O175" s="22" t="str">
        <f>'[3]6нед'!X303</f>
        <v/>
      </c>
      <c r="P175" s="38"/>
    </row>
    <row r="176" spans="1:16" ht="31.5" x14ac:dyDescent="0.2">
      <c r="A176" s="65"/>
      <c r="B176" s="68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0"/>
      <c r="J176" s="73"/>
      <c r="K176" s="14" t="s">
        <v>22</v>
      </c>
      <c r="L176" s="20">
        <f>'[3]6нед'!S304</f>
        <v>0</v>
      </c>
      <c r="M176" s="23">
        <f>'[3]6нед'!T304</f>
        <v>0</v>
      </c>
      <c r="N176" s="21">
        <f>'[3]6нед'!W304</f>
        <v>0</v>
      </c>
      <c r="O176" s="22" t="str">
        <f>'[3]6нед'!X304</f>
        <v/>
      </c>
      <c r="P176" s="38"/>
    </row>
    <row r="177" spans="1:16" ht="31.5" x14ac:dyDescent="0.2">
      <c r="A177" s="65"/>
      <c r="B177" s="68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0"/>
      <c r="J177" s="73"/>
      <c r="K177" s="14" t="s">
        <v>23</v>
      </c>
      <c r="L177" s="20">
        <f>'[3]6нед'!S305</f>
        <v>0</v>
      </c>
      <c r="M177" s="23">
        <f>'[3]6нед'!T305</f>
        <v>0</v>
      </c>
      <c r="N177" s="21">
        <f>'[3]6нед'!W305</f>
        <v>0</v>
      </c>
      <c r="O177" s="22" t="str">
        <f>'[3]6нед'!X305</f>
        <v/>
      </c>
      <c r="P177" s="38"/>
    </row>
    <row r="178" spans="1:16" ht="32.25" thickBot="1" x14ac:dyDescent="0.25">
      <c r="A178" s="65"/>
      <c r="B178" s="68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0"/>
      <c r="J178" s="73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 x14ac:dyDescent="0.25">
      <c r="A179" s="66"/>
      <c r="B179" s="69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1"/>
      <c r="J179" s="74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87" t="s">
        <v>4</v>
      </c>
      <c r="C186" s="87"/>
      <c r="D186" s="87"/>
      <c r="E186" s="87"/>
      <c r="F186" s="87"/>
      <c r="G186" s="87"/>
      <c r="H186" s="87"/>
      <c r="I186" s="45"/>
      <c r="J186" s="87" t="s">
        <v>4</v>
      </c>
      <c r="K186" s="87"/>
      <c r="L186" s="87"/>
      <c r="M186" s="87"/>
      <c r="N186" s="87"/>
      <c r="O186" s="87"/>
      <c r="P186" s="87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/>
      <c r="H187" s="36">
        <f>H7</f>
        <v>0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/>
      <c r="P187" s="36">
        <f>H7</f>
        <v>0</v>
      </c>
    </row>
    <row r="188" spans="1:16" ht="15.75" x14ac:dyDescent="0.25">
      <c r="A188" s="45"/>
      <c r="B188" s="86" t="s">
        <v>5</v>
      </c>
      <c r="C188" s="86"/>
      <c r="D188" s="86"/>
      <c r="E188" s="86" t="str">
        <f>E8</f>
        <v>очно-заочная</v>
      </c>
      <c r="F188" s="86"/>
      <c r="G188" s="86"/>
      <c r="H188" s="86"/>
      <c r="I188" s="45"/>
      <c r="J188" s="86" t="s">
        <v>5</v>
      </c>
      <c r="K188" s="86"/>
      <c r="L188" s="86"/>
      <c r="M188" s="86" t="str">
        <f>E8</f>
        <v>очно-заочная</v>
      </c>
      <c r="N188" s="86"/>
      <c r="O188" s="86"/>
      <c r="P188" s="86"/>
    </row>
    <row r="189" spans="1:16" ht="15.75" x14ac:dyDescent="0.25">
      <c r="A189" s="45"/>
      <c r="B189" s="86" t="s">
        <v>7</v>
      </c>
      <c r="C189" s="86"/>
      <c r="D189" s="86"/>
      <c r="E189" s="62">
        <f>E9</f>
        <v>3</v>
      </c>
      <c r="F189" s="62"/>
      <c r="G189" s="62"/>
      <c r="H189" s="35"/>
      <c r="I189" s="45"/>
      <c r="J189" s="86" t="s">
        <v>7</v>
      </c>
      <c r="K189" s="86"/>
      <c r="L189" s="86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83" t="s">
        <v>8</v>
      </c>
      <c r="C190" s="83"/>
      <c r="D190" s="83"/>
      <c r="E190" s="63">
        <f>M130+1</f>
        <v>7</v>
      </c>
      <c r="F190" s="63"/>
      <c r="G190" s="63"/>
      <c r="H190" s="37"/>
      <c r="I190" s="45"/>
      <c r="J190" s="83" t="s">
        <v>8</v>
      </c>
      <c r="K190" s="83"/>
      <c r="L190" s="8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84" t="s">
        <v>9</v>
      </c>
      <c r="B191" s="85"/>
      <c r="C191" s="10" t="s">
        <v>10</v>
      </c>
      <c r="D191" s="11" t="s">
        <v>11</v>
      </c>
      <c r="E191" s="12" t="s">
        <v>12</v>
      </c>
      <c r="F191" s="81" t="s">
        <v>13</v>
      </c>
      <c r="G191" s="82"/>
      <c r="H191" s="13" t="s">
        <v>14</v>
      </c>
      <c r="I191" s="84" t="s">
        <v>9</v>
      </c>
      <c r="J191" s="85"/>
      <c r="K191" s="10" t="s">
        <v>10</v>
      </c>
      <c r="L191" s="11" t="s">
        <v>11</v>
      </c>
      <c r="M191" s="12" t="s">
        <v>12</v>
      </c>
      <c r="N191" s="81" t="s">
        <v>13</v>
      </c>
      <c r="O191" s="82"/>
      <c r="P191" s="13" t="s">
        <v>14</v>
      </c>
    </row>
    <row r="192" spans="1:16" ht="32.25" customHeight="1" thickTop="1" x14ac:dyDescent="0.2">
      <c r="A192" s="64">
        <v>46307</v>
      </c>
      <c r="B192" s="67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64">
        <v>46314</v>
      </c>
      <c r="J192" s="72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5" x14ac:dyDescent="0.2">
      <c r="A193" s="65"/>
      <c r="B193" s="68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0"/>
      <c r="J193" s="73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5" x14ac:dyDescent="0.2">
      <c r="A194" s="65"/>
      <c r="B194" s="68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0"/>
      <c r="J194" s="73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5" x14ac:dyDescent="0.2">
      <c r="A195" s="65"/>
      <c r="B195" s="68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0"/>
      <c r="J195" s="73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5" x14ac:dyDescent="0.2">
      <c r="A196" s="65"/>
      <c r="B196" s="68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0"/>
      <c r="J196" s="73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5" x14ac:dyDescent="0.2">
      <c r="A197" s="65"/>
      <c r="B197" s="68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0"/>
      <c r="J197" s="73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2.25" thickBot="1" x14ac:dyDescent="0.25">
      <c r="A198" s="65"/>
      <c r="B198" s="68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0"/>
      <c r="J198" s="73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 x14ac:dyDescent="0.25">
      <c r="A199" s="66"/>
      <c r="B199" s="69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1"/>
      <c r="J199" s="74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 x14ac:dyDescent="0.2">
      <c r="A200" s="64">
        <v>46308</v>
      </c>
      <c r="B200" s="67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64">
        <v>46315</v>
      </c>
      <c r="J200" s="72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5" x14ac:dyDescent="0.2">
      <c r="A201" s="65"/>
      <c r="B201" s="68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0"/>
      <c r="J201" s="73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5" x14ac:dyDescent="0.2">
      <c r="A202" s="65"/>
      <c r="B202" s="68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0"/>
      <c r="J202" s="73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5" x14ac:dyDescent="0.2">
      <c r="A203" s="65"/>
      <c r="B203" s="68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0"/>
      <c r="J203" s="73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5" x14ac:dyDescent="0.2">
      <c r="A204" s="65"/>
      <c r="B204" s="68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0"/>
      <c r="J204" s="73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5" x14ac:dyDescent="0.2">
      <c r="A205" s="65"/>
      <c r="B205" s="68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0"/>
      <c r="J205" s="73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2.25" thickBot="1" x14ac:dyDescent="0.25">
      <c r="A206" s="65"/>
      <c r="B206" s="68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0"/>
      <c r="J206" s="73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 x14ac:dyDescent="0.25">
      <c r="A207" s="66"/>
      <c r="B207" s="69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1"/>
      <c r="J207" s="74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 x14ac:dyDescent="0.2">
      <c r="A208" s="64">
        <v>46309</v>
      </c>
      <c r="B208" s="75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64">
        <v>46316</v>
      </c>
      <c r="J208" s="78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5" x14ac:dyDescent="0.2">
      <c r="A209" s="65"/>
      <c r="B209" s="76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0"/>
      <c r="J209" s="79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5" x14ac:dyDescent="0.2">
      <c r="A210" s="65"/>
      <c r="B210" s="76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0"/>
      <c r="J210" s="79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5" x14ac:dyDescent="0.2">
      <c r="A211" s="65"/>
      <c r="B211" s="76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0"/>
      <c r="J211" s="79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5" x14ac:dyDescent="0.2">
      <c r="A212" s="65"/>
      <c r="B212" s="76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0"/>
      <c r="J212" s="79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5" x14ac:dyDescent="0.2">
      <c r="A213" s="65"/>
      <c r="B213" s="76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0"/>
      <c r="J213" s="79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2.25" thickBot="1" x14ac:dyDescent="0.25">
      <c r="A214" s="65"/>
      <c r="B214" s="76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0"/>
      <c r="J214" s="79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 x14ac:dyDescent="0.25">
      <c r="A215" s="66"/>
      <c r="B215" s="77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1"/>
      <c r="J215" s="80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 x14ac:dyDescent="0.2">
      <c r="A216" s="64">
        <v>46310</v>
      </c>
      <c r="B216" s="67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64">
        <v>46317</v>
      </c>
      <c r="J216" s="72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5" x14ac:dyDescent="0.2">
      <c r="A217" s="65"/>
      <c r="B217" s="68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0"/>
      <c r="J217" s="73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5" x14ac:dyDescent="0.2">
      <c r="A218" s="65"/>
      <c r="B218" s="68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0"/>
      <c r="J218" s="73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5" x14ac:dyDescent="0.2">
      <c r="A219" s="65"/>
      <c r="B219" s="68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0"/>
      <c r="J219" s="73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5" x14ac:dyDescent="0.2">
      <c r="A220" s="65"/>
      <c r="B220" s="68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0"/>
      <c r="J220" s="73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5" x14ac:dyDescent="0.2">
      <c r="A221" s="65"/>
      <c r="B221" s="68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0"/>
      <c r="J221" s="73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2.25" thickBot="1" x14ac:dyDescent="0.25">
      <c r="A222" s="65"/>
      <c r="B222" s="68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0"/>
      <c r="J222" s="73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 x14ac:dyDescent="0.25">
      <c r="A223" s="66"/>
      <c r="B223" s="69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1"/>
      <c r="J223" s="74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 x14ac:dyDescent="0.2">
      <c r="A224" s="64">
        <v>46311</v>
      </c>
      <c r="B224" s="67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64">
        <v>46318</v>
      </c>
      <c r="J224" s="72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5" x14ac:dyDescent="0.2">
      <c r="A225" s="65"/>
      <c r="B225" s="68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0"/>
      <c r="J225" s="73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5" x14ac:dyDescent="0.2">
      <c r="A226" s="65"/>
      <c r="B226" s="68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0"/>
      <c r="J226" s="73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5" x14ac:dyDescent="0.2">
      <c r="A227" s="65"/>
      <c r="B227" s="68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0"/>
      <c r="J227" s="73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5" x14ac:dyDescent="0.2">
      <c r="A228" s="65"/>
      <c r="B228" s="68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0"/>
      <c r="J228" s="73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5" x14ac:dyDescent="0.2">
      <c r="A229" s="65"/>
      <c r="B229" s="68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0"/>
      <c r="J229" s="73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2.25" thickBot="1" x14ac:dyDescent="0.25">
      <c r="A230" s="65"/>
      <c r="B230" s="68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0"/>
      <c r="J230" s="73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 x14ac:dyDescent="0.25">
      <c r="A231" s="66"/>
      <c r="B231" s="69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1"/>
      <c r="J231" s="74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 x14ac:dyDescent="0.2">
      <c r="A232" s="64">
        <v>46312</v>
      </c>
      <c r="B232" s="67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64">
        <v>46319</v>
      </c>
      <c r="J232" s="72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5" x14ac:dyDescent="0.2">
      <c r="A233" s="65"/>
      <c r="B233" s="68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0"/>
      <c r="J233" s="73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5" x14ac:dyDescent="0.2">
      <c r="A234" s="65"/>
      <c r="B234" s="68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0"/>
      <c r="J234" s="73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5" x14ac:dyDescent="0.2">
      <c r="A235" s="65"/>
      <c r="B235" s="68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0"/>
      <c r="J235" s="73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5" x14ac:dyDescent="0.2">
      <c r="A236" s="65"/>
      <c r="B236" s="68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0"/>
      <c r="J236" s="73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5" x14ac:dyDescent="0.2">
      <c r="A237" s="65"/>
      <c r="B237" s="68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0"/>
      <c r="J237" s="73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2.25" thickBot="1" x14ac:dyDescent="0.25">
      <c r="A238" s="65"/>
      <c r="B238" s="68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0"/>
      <c r="J238" s="73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 x14ac:dyDescent="0.25">
      <c r="A239" s="66"/>
      <c r="B239" s="69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1"/>
      <c r="J239" s="74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87" t="s">
        <v>4</v>
      </c>
      <c r="C246" s="87"/>
      <c r="D246" s="87"/>
      <c r="E246" s="87"/>
      <c r="F246" s="87"/>
      <c r="G246" s="87"/>
      <c r="H246" s="87"/>
      <c r="I246" s="45"/>
      <c r="J246" s="87" t="s">
        <v>4</v>
      </c>
      <c r="K246" s="87"/>
      <c r="L246" s="87"/>
      <c r="M246" s="87"/>
      <c r="N246" s="87"/>
      <c r="O246" s="87"/>
      <c r="P246" s="87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/>
      <c r="H247" s="36">
        <f>H7</f>
        <v>0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/>
      <c r="P247" s="36">
        <f>H7</f>
        <v>0</v>
      </c>
    </row>
    <row r="248" spans="1:16" ht="15.75" x14ac:dyDescent="0.25">
      <c r="A248" s="45"/>
      <c r="B248" s="86" t="s">
        <v>5</v>
      </c>
      <c r="C248" s="86"/>
      <c r="D248" s="86"/>
      <c r="E248" s="86" t="str">
        <f t="shared" ref="E248" si="2">E8</f>
        <v>очно-заочная</v>
      </c>
      <c r="F248" s="86"/>
      <c r="G248" s="86"/>
      <c r="H248" s="86"/>
      <c r="I248" s="45"/>
      <c r="J248" s="86" t="s">
        <v>5</v>
      </c>
      <c r="K248" s="86"/>
      <c r="L248" s="86"/>
      <c r="M248" s="86" t="str">
        <f t="shared" ref="M248" si="3">E8</f>
        <v>очно-заочная</v>
      </c>
      <c r="N248" s="86"/>
      <c r="O248" s="86"/>
      <c r="P248" s="86"/>
    </row>
    <row r="249" spans="1:16" ht="15.75" x14ac:dyDescent="0.25">
      <c r="A249" s="45"/>
      <c r="B249" s="86" t="s">
        <v>7</v>
      </c>
      <c r="C249" s="86"/>
      <c r="D249" s="86"/>
      <c r="E249" s="62">
        <f>E9</f>
        <v>3</v>
      </c>
      <c r="F249" s="62"/>
      <c r="G249" s="62"/>
      <c r="H249" s="35"/>
      <c r="I249" s="45"/>
      <c r="J249" s="86" t="s">
        <v>7</v>
      </c>
      <c r="K249" s="86"/>
      <c r="L249" s="86"/>
      <c r="M249" s="62">
        <f>E9</f>
        <v>3</v>
      </c>
      <c r="N249" s="62"/>
      <c r="O249" s="62"/>
      <c r="P249" s="35"/>
    </row>
    <row r="250" spans="1:16" ht="16.5" thickBot="1" x14ac:dyDescent="0.3">
      <c r="A250" s="45"/>
      <c r="B250" s="83" t="s">
        <v>8</v>
      </c>
      <c r="C250" s="83"/>
      <c r="D250" s="83"/>
      <c r="E250" s="63">
        <f>M190+1</f>
        <v>9</v>
      </c>
      <c r="F250" s="63"/>
      <c r="G250" s="63"/>
      <c r="H250" s="37"/>
      <c r="I250" s="45"/>
      <c r="J250" s="83" t="s">
        <v>8</v>
      </c>
      <c r="K250" s="83"/>
      <c r="L250" s="8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84" t="s">
        <v>9</v>
      </c>
      <c r="B251" s="85"/>
      <c r="C251" s="10" t="s">
        <v>10</v>
      </c>
      <c r="D251" s="11" t="s">
        <v>11</v>
      </c>
      <c r="E251" s="12" t="s">
        <v>12</v>
      </c>
      <c r="F251" s="81" t="s">
        <v>13</v>
      </c>
      <c r="G251" s="82"/>
      <c r="H251" s="13" t="s">
        <v>14</v>
      </c>
      <c r="I251" s="84" t="s">
        <v>9</v>
      </c>
      <c r="J251" s="85"/>
      <c r="K251" s="10" t="s">
        <v>10</v>
      </c>
      <c r="L251" s="11" t="s">
        <v>11</v>
      </c>
      <c r="M251" s="12" t="s">
        <v>12</v>
      </c>
      <c r="N251" s="81" t="s">
        <v>13</v>
      </c>
      <c r="O251" s="82"/>
      <c r="P251" s="13" t="s">
        <v>14</v>
      </c>
    </row>
    <row r="252" spans="1:16" ht="32.25" customHeight="1" thickTop="1" x14ac:dyDescent="0.2">
      <c r="A252" s="64">
        <v>46321</v>
      </c>
      <c r="B252" s="67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64">
        <v>46328</v>
      </c>
      <c r="J252" s="72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5" x14ac:dyDescent="0.2">
      <c r="A253" s="65"/>
      <c r="B253" s="68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0"/>
      <c r="J253" s="73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5" x14ac:dyDescent="0.2">
      <c r="A254" s="65"/>
      <c r="B254" s="68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0"/>
      <c r="J254" s="73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5" x14ac:dyDescent="0.2">
      <c r="A255" s="65"/>
      <c r="B255" s="68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0"/>
      <c r="J255" s="73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5" x14ac:dyDescent="0.2">
      <c r="A256" s="65"/>
      <c r="B256" s="68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0"/>
      <c r="J256" s="73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5" x14ac:dyDescent="0.2">
      <c r="A257" s="65"/>
      <c r="B257" s="68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0"/>
      <c r="J257" s="73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2.25" thickBot="1" x14ac:dyDescent="0.25">
      <c r="A258" s="65"/>
      <c r="B258" s="68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0"/>
      <c r="J258" s="73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 x14ac:dyDescent="0.25">
      <c r="A259" s="66"/>
      <c r="B259" s="69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1"/>
      <c r="J259" s="74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 x14ac:dyDescent="0.2">
      <c r="A260" s="64">
        <v>46322</v>
      </c>
      <c r="B260" s="67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64">
        <v>46329</v>
      </c>
      <c r="J260" s="72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5" x14ac:dyDescent="0.2">
      <c r="A261" s="65"/>
      <c r="B261" s="68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0"/>
      <c r="J261" s="73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5" x14ac:dyDescent="0.2">
      <c r="A262" s="65"/>
      <c r="B262" s="68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0"/>
      <c r="J262" s="73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5" x14ac:dyDescent="0.2">
      <c r="A263" s="65"/>
      <c r="B263" s="68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0"/>
      <c r="J263" s="73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5" x14ac:dyDescent="0.2">
      <c r="A264" s="65"/>
      <c r="B264" s="68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0"/>
      <c r="J264" s="73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5" x14ac:dyDescent="0.2">
      <c r="A265" s="65"/>
      <c r="B265" s="68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0"/>
      <c r="J265" s="73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2.25" thickBot="1" x14ac:dyDescent="0.25">
      <c r="A266" s="65"/>
      <c r="B266" s="68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0"/>
      <c r="J266" s="73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 x14ac:dyDescent="0.25">
      <c r="A267" s="66"/>
      <c r="B267" s="69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1"/>
      <c r="J267" s="74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 x14ac:dyDescent="0.2">
      <c r="A268" s="64">
        <v>46323</v>
      </c>
      <c r="B268" s="75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64">
        <v>46330</v>
      </c>
      <c r="J268" s="78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5" x14ac:dyDescent="0.2">
      <c r="A269" s="65"/>
      <c r="B269" s="76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0"/>
      <c r="J269" s="79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5" x14ac:dyDescent="0.2">
      <c r="A270" s="65"/>
      <c r="B270" s="76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0"/>
      <c r="J270" s="79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5" x14ac:dyDescent="0.2">
      <c r="A271" s="65"/>
      <c r="B271" s="76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0"/>
      <c r="J271" s="79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5" x14ac:dyDescent="0.2">
      <c r="A272" s="65"/>
      <c r="B272" s="76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0"/>
      <c r="J272" s="79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5" x14ac:dyDescent="0.2">
      <c r="A273" s="65"/>
      <c r="B273" s="76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0"/>
      <c r="J273" s="79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2.25" thickBot="1" x14ac:dyDescent="0.25">
      <c r="A274" s="65"/>
      <c r="B274" s="76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0"/>
      <c r="J274" s="79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 x14ac:dyDescent="0.25">
      <c r="A275" s="66"/>
      <c r="B275" s="77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1"/>
      <c r="J275" s="80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 x14ac:dyDescent="0.2">
      <c r="A276" s="64">
        <v>46324</v>
      </c>
      <c r="B276" s="67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64">
        <v>46331</v>
      </c>
      <c r="J276" s="72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5" x14ac:dyDescent="0.2">
      <c r="A277" s="65"/>
      <c r="B277" s="68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0"/>
      <c r="J277" s="73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5" x14ac:dyDescent="0.2">
      <c r="A278" s="65"/>
      <c r="B278" s="68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0"/>
      <c r="J278" s="73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5" x14ac:dyDescent="0.2">
      <c r="A279" s="65"/>
      <c r="B279" s="68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0"/>
      <c r="J279" s="73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5" x14ac:dyDescent="0.2">
      <c r="A280" s="65"/>
      <c r="B280" s="68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0"/>
      <c r="J280" s="73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5" x14ac:dyDescent="0.2">
      <c r="A281" s="65"/>
      <c r="B281" s="68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0"/>
      <c r="J281" s="73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2.25" thickBot="1" x14ac:dyDescent="0.25">
      <c r="A282" s="65"/>
      <c r="B282" s="68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0"/>
      <c r="J282" s="73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 x14ac:dyDescent="0.25">
      <c r="A283" s="66"/>
      <c r="B283" s="69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1"/>
      <c r="J283" s="74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 x14ac:dyDescent="0.2">
      <c r="A284" s="64">
        <v>46325</v>
      </c>
      <c r="B284" s="67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64">
        <v>46332</v>
      </c>
      <c r="J284" s="72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5" x14ac:dyDescent="0.2">
      <c r="A285" s="65"/>
      <c r="B285" s="68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0"/>
      <c r="J285" s="73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5" x14ac:dyDescent="0.2">
      <c r="A286" s="65"/>
      <c r="B286" s="68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0"/>
      <c r="J286" s="73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5" x14ac:dyDescent="0.2">
      <c r="A287" s="65"/>
      <c r="B287" s="68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0"/>
      <c r="J287" s="73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5" x14ac:dyDescent="0.2">
      <c r="A288" s="65"/>
      <c r="B288" s="68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0"/>
      <c r="J288" s="73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5" x14ac:dyDescent="0.2">
      <c r="A289" s="65"/>
      <c r="B289" s="68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0"/>
      <c r="J289" s="73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2.25" thickBot="1" x14ac:dyDescent="0.25">
      <c r="A290" s="65"/>
      <c r="B290" s="68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0"/>
      <c r="J290" s="73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 x14ac:dyDescent="0.25">
      <c r="A291" s="66"/>
      <c r="B291" s="69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1"/>
      <c r="J291" s="74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 x14ac:dyDescent="0.2">
      <c r="A292" s="64">
        <v>46326</v>
      </c>
      <c r="B292" s="67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64">
        <v>46333</v>
      </c>
      <c r="J292" s="72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5" x14ac:dyDescent="0.2">
      <c r="A293" s="65"/>
      <c r="B293" s="68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0"/>
      <c r="J293" s="73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5" x14ac:dyDescent="0.2">
      <c r="A294" s="65"/>
      <c r="B294" s="68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0"/>
      <c r="J294" s="73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5" x14ac:dyDescent="0.2">
      <c r="A295" s="65"/>
      <c r="B295" s="68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0"/>
      <c r="J295" s="73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5" x14ac:dyDescent="0.2">
      <c r="A296" s="65"/>
      <c r="B296" s="68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0"/>
      <c r="J296" s="73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5" x14ac:dyDescent="0.2">
      <c r="A297" s="65"/>
      <c r="B297" s="68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0"/>
      <c r="J297" s="73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2.25" thickBot="1" x14ac:dyDescent="0.25">
      <c r="A298" s="65"/>
      <c r="B298" s="68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0"/>
      <c r="J298" s="73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 x14ac:dyDescent="0.25">
      <c r="A299" s="66"/>
      <c r="B299" s="69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1"/>
      <c r="J299" s="74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87" t="s">
        <v>4</v>
      </c>
      <c r="C306" s="87"/>
      <c r="D306" s="87"/>
      <c r="E306" s="87"/>
      <c r="F306" s="87"/>
      <c r="G306" s="87"/>
      <c r="H306" s="87"/>
      <c r="I306" s="45"/>
      <c r="J306" s="87" t="s">
        <v>4</v>
      </c>
      <c r="K306" s="87"/>
      <c r="L306" s="87"/>
      <c r="M306" s="87"/>
      <c r="N306" s="87"/>
      <c r="O306" s="87"/>
      <c r="P306" s="87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/>
      <c r="H307" s="36">
        <f>H7</f>
        <v>0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/>
      <c r="P307" s="36">
        <f>H7</f>
        <v>0</v>
      </c>
    </row>
    <row r="308" spans="1:16" ht="15.75" x14ac:dyDescent="0.25">
      <c r="A308" s="45"/>
      <c r="B308" s="86" t="s">
        <v>5</v>
      </c>
      <c r="C308" s="86"/>
      <c r="D308" s="86"/>
      <c r="E308" s="86" t="str">
        <f>E8</f>
        <v>очно-заочная</v>
      </c>
      <c r="F308" s="86"/>
      <c r="G308" s="86"/>
      <c r="H308" s="86"/>
      <c r="I308" s="45"/>
      <c r="J308" s="86" t="s">
        <v>5</v>
      </c>
      <c r="K308" s="86"/>
      <c r="L308" s="86"/>
      <c r="M308" s="86" t="str">
        <f>E8</f>
        <v>очно-заочная</v>
      </c>
      <c r="N308" s="86"/>
      <c r="O308" s="86"/>
      <c r="P308" s="86"/>
    </row>
    <row r="309" spans="1:16" ht="15.75" x14ac:dyDescent="0.25">
      <c r="A309" s="45"/>
      <c r="B309" s="86" t="s">
        <v>7</v>
      </c>
      <c r="C309" s="86"/>
      <c r="D309" s="86"/>
      <c r="E309" s="62">
        <f>E9</f>
        <v>3</v>
      </c>
      <c r="F309" s="62"/>
      <c r="G309" s="62"/>
      <c r="H309" s="35"/>
      <c r="I309" s="45"/>
      <c r="J309" s="86" t="s">
        <v>7</v>
      </c>
      <c r="K309" s="86"/>
      <c r="L309" s="86"/>
      <c r="M309" s="62">
        <f>E9</f>
        <v>3</v>
      </c>
      <c r="N309" s="62"/>
      <c r="O309" s="62"/>
      <c r="P309" s="35"/>
    </row>
    <row r="310" spans="1:16" ht="16.5" thickBot="1" x14ac:dyDescent="0.3">
      <c r="A310" s="45"/>
      <c r="B310" s="83" t="s">
        <v>8</v>
      </c>
      <c r="C310" s="83"/>
      <c r="D310" s="83"/>
      <c r="E310" s="63">
        <f>M250+1</f>
        <v>11</v>
      </c>
      <c r="F310" s="63"/>
      <c r="G310" s="63"/>
      <c r="H310" s="37"/>
      <c r="I310" s="45"/>
      <c r="J310" s="83" t="s">
        <v>8</v>
      </c>
      <c r="K310" s="83"/>
      <c r="L310" s="8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84" t="s">
        <v>9</v>
      </c>
      <c r="B311" s="85"/>
      <c r="C311" s="10" t="s">
        <v>10</v>
      </c>
      <c r="D311" s="11" t="s">
        <v>11</v>
      </c>
      <c r="E311" s="12" t="s">
        <v>12</v>
      </c>
      <c r="F311" s="81" t="s">
        <v>13</v>
      </c>
      <c r="G311" s="82"/>
      <c r="H311" s="13" t="s">
        <v>14</v>
      </c>
      <c r="I311" s="84" t="s">
        <v>9</v>
      </c>
      <c r="J311" s="85"/>
      <c r="K311" s="10" t="s">
        <v>10</v>
      </c>
      <c r="L311" s="11" t="s">
        <v>11</v>
      </c>
      <c r="M311" s="12" t="s">
        <v>12</v>
      </c>
      <c r="N311" s="81" t="s">
        <v>13</v>
      </c>
      <c r="O311" s="82"/>
      <c r="P311" s="13" t="s">
        <v>14</v>
      </c>
    </row>
    <row r="312" spans="1:16" ht="32.25" customHeight="1" thickTop="1" x14ac:dyDescent="0.2">
      <c r="A312" s="64">
        <v>46335</v>
      </c>
      <c r="B312" s="67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64">
        <v>46342</v>
      </c>
      <c r="J312" s="72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5" x14ac:dyDescent="0.2">
      <c r="A313" s="65"/>
      <c r="B313" s="68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0"/>
      <c r="J313" s="73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5" x14ac:dyDescent="0.2">
      <c r="A314" s="65"/>
      <c r="B314" s="68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0"/>
      <c r="J314" s="73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5" x14ac:dyDescent="0.2">
      <c r="A315" s="65"/>
      <c r="B315" s="68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0"/>
      <c r="J315" s="73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5" x14ac:dyDescent="0.2">
      <c r="A316" s="65"/>
      <c r="B316" s="68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0"/>
      <c r="J316" s="73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5" x14ac:dyDescent="0.2">
      <c r="A317" s="65"/>
      <c r="B317" s="68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0"/>
      <c r="J317" s="73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2.25" thickBot="1" x14ac:dyDescent="0.25">
      <c r="A318" s="65"/>
      <c r="B318" s="68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0"/>
      <c r="J318" s="73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 x14ac:dyDescent="0.25">
      <c r="A319" s="66"/>
      <c r="B319" s="69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1"/>
      <c r="J319" s="74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 x14ac:dyDescent="0.2">
      <c r="A320" s="64">
        <v>46336</v>
      </c>
      <c r="B320" s="67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64">
        <v>46343</v>
      </c>
      <c r="J320" s="72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5" x14ac:dyDescent="0.2">
      <c r="A321" s="65"/>
      <c r="B321" s="68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0"/>
      <c r="J321" s="73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5" x14ac:dyDescent="0.2">
      <c r="A322" s="65"/>
      <c r="B322" s="68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0"/>
      <c r="J322" s="73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5" x14ac:dyDescent="0.2">
      <c r="A323" s="65"/>
      <c r="B323" s="68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0"/>
      <c r="J323" s="73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5" x14ac:dyDescent="0.2">
      <c r="A324" s="65"/>
      <c r="B324" s="68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0"/>
      <c r="J324" s="73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5" x14ac:dyDescent="0.2">
      <c r="A325" s="65"/>
      <c r="B325" s="68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0"/>
      <c r="J325" s="73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2.25" thickBot="1" x14ac:dyDescent="0.25">
      <c r="A326" s="65"/>
      <c r="B326" s="68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0"/>
      <c r="J326" s="73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 x14ac:dyDescent="0.25">
      <c r="A327" s="66"/>
      <c r="B327" s="69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1"/>
      <c r="J327" s="74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 x14ac:dyDescent="0.2">
      <c r="A328" s="64">
        <v>46337</v>
      </c>
      <c r="B328" s="75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64">
        <v>46344</v>
      </c>
      <c r="J328" s="78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5" x14ac:dyDescent="0.2">
      <c r="A329" s="65"/>
      <c r="B329" s="76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0"/>
      <c r="J329" s="79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5" x14ac:dyDescent="0.2">
      <c r="A330" s="65"/>
      <c r="B330" s="76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0"/>
      <c r="J330" s="79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5" x14ac:dyDescent="0.2">
      <c r="A331" s="65"/>
      <c r="B331" s="76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0"/>
      <c r="J331" s="79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5" x14ac:dyDescent="0.2">
      <c r="A332" s="65"/>
      <c r="B332" s="76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0"/>
      <c r="J332" s="79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5" x14ac:dyDescent="0.2">
      <c r="A333" s="65"/>
      <c r="B333" s="76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0"/>
      <c r="J333" s="79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2.25" thickBot="1" x14ac:dyDescent="0.25">
      <c r="A334" s="65"/>
      <c r="B334" s="76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0"/>
      <c r="J334" s="79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 x14ac:dyDescent="0.25">
      <c r="A335" s="66"/>
      <c r="B335" s="77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1"/>
      <c r="J335" s="80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 x14ac:dyDescent="0.2">
      <c r="A336" s="64">
        <v>46338</v>
      </c>
      <c r="B336" s="67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64">
        <v>46345</v>
      </c>
      <c r="J336" s="72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5" x14ac:dyDescent="0.2">
      <c r="A337" s="65"/>
      <c r="B337" s="68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0"/>
      <c r="J337" s="73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5" x14ac:dyDescent="0.2">
      <c r="A338" s="65"/>
      <c r="B338" s="68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0"/>
      <c r="J338" s="73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5" x14ac:dyDescent="0.2">
      <c r="A339" s="65"/>
      <c r="B339" s="68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0"/>
      <c r="J339" s="73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5" x14ac:dyDescent="0.2">
      <c r="A340" s="65"/>
      <c r="B340" s="68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0"/>
      <c r="J340" s="73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5" x14ac:dyDescent="0.2">
      <c r="A341" s="65"/>
      <c r="B341" s="68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0"/>
      <c r="J341" s="73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2.25" thickBot="1" x14ac:dyDescent="0.25">
      <c r="A342" s="65"/>
      <c r="B342" s="68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0"/>
      <c r="J342" s="73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 x14ac:dyDescent="0.25">
      <c r="A343" s="66"/>
      <c r="B343" s="69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1"/>
      <c r="J343" s="74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 x14ac:dyDescent="0.2">
      <c r="A344" s="64">
        <v>46339</v>
      </c>
      <c r="B344" s="67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64">
        <v>46346</v>
      </c>
      <c r="J344" s="72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5" x14ac:dyDescent="0.2">
      <c r="A345" s="65"/>
      <c r="B345" s="68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0"/>
      <c r="J345" s="73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5" x14ac:dyDescent="0.2">
      <c r="A346" s="65"/>
      <c r="B346" s="68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0"/>
      <c r="J346" s="73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5" x14ac:dyDescent="0.2">
      <c r="A347" s="65"/>
      <c r="B347" s="68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0"/>
      <c r="J347" s="73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5" x14ac:dyDescent="0.2">
      <c r="A348" s="65"/>
      <c r="B348" s="68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0"/>
      <c r="J348" s="73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5" x14ac:dyDescent="0.2">
      <c r="A349" s="65"/>
      <c r="B349" s="68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0"/>
      <c r="J349" s="73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2.25" thickBot="1" x14ac:dyDescent="0.25">
      <c r="A350" s="65"/>
      <c r="B350" s="68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0"/>
      <c r="J350" s="73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 x14ac:dyDescent="0.25">
      <c r="A351" s="66"/>
      <c r="B351" s="69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1"/>
      <c r="J351" s="74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 x14ac:dyDescent="0.2">
      <c r="A352" s="64">
        <v>46340</v>
      </c>
      <c r="B352" s="67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64">
        <v>46347</v>
      </c>
      <c r="J352" s="72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5" x14ac:dyDescent="0.2">
      <c r="A353" s="65"/>
      <c r="B353" s="68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0"/>
      <c r="J353" s="73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5" x14ac:dyDescent="0.2">
      <c r="A354" s="65"/>
      <c r="B354" s="68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0"/>
      <c r="J354" s="73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5" x14ac:dyDescent="0.2">
      <c r="A355" s="65"/>
      <c r="B355" s="68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0"/>
      <c r="J355" s="73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5" x14ac:dyDescent="0.2">
      <c r="A356" s="65"/>
      <c r="B356" s="68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0"/>
      <c r="J356" s="73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5" x14ac:dyDescent="0.2">
      <c r="A357" s="65"/>
      <c r="B357" s="68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0"/>
      <c r="J357" s="73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2.25" thickBot="1" x14ac:dyDescent="0.25">
      <c r="A358" s="65"/>
      <c r="B358" s="68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0"/>
      <c r="J358" s="73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 x14ac:dyDescent="0.25">
      <c r="A359" s="66"/>
      <c r="B359" s="69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1"/>
      <c r="J359" s="74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87" t="s">
        <v>4</v>
      </c>
      <c r="C366" s="87"/>
      <c r="D366" s="87"/>
      <c r="E366" s="87"/>
      <c r="F366" s="87"/>
      <c r="G366" s="87"/>
      <c r="H366" s="87"/>
      <c r="I366" s="45"/>
      <c r="J366" s="87" t="s">
        <v>4</v>
      </c>
      <c r="K366" s="87"/>
      <c r="L366" s="87"/>
      <c r="M366" s="87"/>
      <c r="N366" s="87"/>
      <c r="O366" s="87"/>
      <c r="P366" s="87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/>
      <c r="H367" s="36">
        <f>H7</f>
        <v>0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/>
      <c r="P367" s="36">
        <f>H7</f>
        <v>0</v>
      </c>
    </row>
    <row r="368" spans="1:16" ht="15.75" x14ac:dyDescent="0.25">
      <c r="A368" s="45"/>
      <c r="B368" s="86" t="s">
        <v>5</v>
      </c>
      <c r="C368" s="86"/>
      <c r="D368" s="86"/>
      <c r="E368" s="86" t="str">
        <f t="shared" ref="E368" si="4">E8</f>
        <v>очно-заочная</v>
      </c>
      <c r="F368" s="86"/>
      <c r="G368" s="86"/>
      <c r="H368" s="86"/>
      <c r="I368" s="45"/>
      <c r="J368" s="86" t="s">
        <v>5</v>
      </c>
      <c r="K368" s="86"/>
      <c r="L368" s="86"/>
      <c r="M368" s="86" t="str">
        <f t="shared" ref="M368" si="5">E8</f>
        <v>очно-заочная</v>
      </c>
      <c r="N368" s="86"/>
      <c r="O368" s="86"/>
      <c r="P368" s="86"/>
    </row>
    <row r="369" spans="1:16" ht="15.75" x14ac:dyDescent="0.25">
      <c r="A369" s="45"/>
      <c r="B369" s="86" t="s">
        <v>7</v>
      </c>
      <c r="C369" s="86"/>
      <c r="D369" s="86"/>
      <c r="E369" s="62">
        <f>E9</f>
        <v>3</v>
      </c>
      <c r="F369" s="62"/>
      <c r="G369" s="62"/>
      <c r="H369" s="35"/>
      <c r="I369" s="45"/>
      <c r="J369" s="86" t="s">
        <v>7</v>
      </c>
      <c r="K369" s="86"/>
      <c r="L369" s="86"/>
      <c r="M369" s="62">
        <f>E9</f>
        <v>3</v>
      </c>
      <c r="N369" s="62"/>
      <c r="O369" s="62"/>
      <c r="P369" s="35"/>
    </row>
    <row r="370" spans="1:16" ht="16.5" thickBot="1" x14ac:dyDescent="0.3">
      <c r="A370" s="45"/>
      <c r="B370" s="83" t="s">
        <v>8</v>
      </c>
      <c r="C370" s="83"/>
      <c r="D370" s="83"/>
      <c r="E370" s="63">
        <f>M310+1</f>
        <v>13</v>
      </c>
      <c r="F370" s="63"/>
      <c r="G370" s="63"/>
      <c r="H370" s="37"/>
      <c r="I370" s="45"/>
      <c r="J370" s="83" t="s">
        <v>8</v>
      </c>
      <c r="K370" s="83"/>
      <c r="L370" s="8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84" t="s">
        <v>9</v>
      </c>
      <c r="B371" s="85"/>
      <c r="C371" s="10" t="s">
        <v>10</v>
      </c>
      <c r="D371" s="11" t="s">
        <v>11</v>
      </c>
      <c r="E371" s="12" t="s">
        <v>12</v>
      </c>
      <c r="F371" s="81" t="s">
        <v>13</v>
      </c>
      <c r="G371" s="82"/>
      <c r="H371" s="13" t="s">
        <v>14</v>
      </c>
      <c r="I371" s="84" t="s">
        <v>9</v>
      </c>
      <c r="J371" s="85"/>
      <c r="K371" s="10" t="s">
        <v>10</v>
      </c>
      <c r="L371" s="11" t="s">
        <v>11</v>
      </c>
      <c r="M371" s="12" t="s">
        <v>12</v>
      </c>
      <c r="N371" s="81" t="s">
        <v>13</v>
      </c>
      <c r="O371" s="82"/>
      <c r="P371" s="13" t="s">
        <v>14</v>
      </c>
    </row>
    <row r="372" spans="1:16" ht="35.1" customHeight="1" thickTop="1" x14ac:dyDescent="0.2">
      <c r="A372" s="64">
        <v>46349</v>
      </c>
      <c r="B372" s="67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64">
        <v>46356</v>
      </c>
      <c r="J372" s="72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5" x14ac:dyDescent="0.2">
      <c r="A373" s="65"/>
      <c r="B373" s="68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0"/>
      <c r="J373" s="73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5" x14ac:dyDescent="0.2">
      <c r="A374" s="65"/>
      <c r="B374" s="68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0"/>
      <c r="J374" s="73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5" x14ac:dyDescent="0.2">
      <c r="A375" s="65"/>
      <c r="B375" s="68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0"/>
      <c r="J375" s="73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5" x14ac:dyDescent="0.2">
      <c r="A376" s="65"/>
      <c r="B376" s="68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0"/>
      <c r="J376" s="73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5" x14ac:dyDescent="0.2">
      <c r="A377" s="65"/>
      <c r="B377" s="68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0"/>
      <c r="J377" s="73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2.25" thickBot="1" x14ac:dyDescent="0.25">
      <c r="A378" s="65"/>
      <c r="B378" s="68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0"/>
      <c r="J378" s="73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 x14ac:dyDescent="0.25">
      <c r="A379" s="66"/>
      <c r="B379" s="69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1"/>
      <c r="J379" s="74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 x14ac:dyDescent="0.2">
      <c r="A380" s="64">
        <v>46350</v>
      </c>
      <c r="B380" s="67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64">
        <v>46357</v>
      </c>
      <c r="J380" s="72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5" x14ac:dyDescent="0.2">
      <c r="A381" s="65"/>
      <c r="B381" s="68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0"/>
      <c r="J381" s="73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5" x14ac:dyDescent="0.2">
      <c r="A382" s="65"/>
      <c r="B382" s="68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0"/>
      <c r="J382" s="73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5" x14ac:dyDescent="0.2">
      <c r="A383" s="65"/>
      <c r="B383" s="68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0"/>
      <c r="J383" s="73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5" x14ac:dyDescent="0.2">
      <c r="A384" s="65"/>
      <c r="B384" s="68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0"/>
      <c r="J384" s="73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5" x14ac:dyDescent="0.2">
      <c r="A385" s="65"/>
      <c r="B385" s="68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0"/>
      <c r="J385" s="73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2.25" thickBot="1" x14ac:dyDescent="0.25">
      <c r="A386" s="65"/>
      <c r="B386" s="68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0"/>
      <c r="J386" s="73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 x14ac:dyDescent="0.25">
      <c r="A387" s="66"/>
      <c r="B387" s="69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1"/>
      <c r="J387" s="74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 x14ac:dyDescent="0.2">
      <c r="A388" s="64">
        <v>46351</v>
      </c>
      <c r="B388" s="75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64">
        <v>46358</v>
      </c>
      <c r="J388" s="78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5" x14ac:dyDescent="0.2">
      <c r="A389" s="65"/>
      <c r="B389" s="76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0"/>
      <c r="J389" s="79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5" x14ac:dyDescent="0.2">
      <c r="A390" s="65"/>
      <c r="B390" s="76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0"/>
      <c r="J390" s="79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5" x14ac:dyDescent="0.2">
      <c r="A391" s="65"/>
      <c r="B391" s="76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0"/>
      <c r="J391" s="79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5" x14ac:dyDescent="0.2">
      <c r="A392" s="65"/>
      <c r="B392" s="76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0"/>
      <c r="J392" s="79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5" x14ac:dyDescent="0.2">
      <c r="A393" s="65"/>
      <c r="B393" s="76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0"/>
      <c r="J393" s="79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2.25" thickBot="1" x14ac:dyDescent="0.25">
      <c r="A394" s="65"/>
      <c r="B394" s="76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0"/>
      <c r="J394" s="79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 x14ac:dyDescent="0.25">
      <c r="A395" s="66"/>
      <c r="B395" s="77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1"/>
      <c r="J395" s="80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 x14ac:dyDescent="0.2">
      <c r="A396" s="64">
        <v>46352</v>
      </c>
      <c r="B396" s="67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64">
        <v>46359</v>
      </c>
      <c r="J396" s="72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5" x14ac:dyDescent="0.2">
      <c r="A397" s="65"/>
      <c r="B397" s="68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0"/>
      <c r="J397" s="73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5" x14ac:dyDescent="0.2">
      <c r="A398" s="65"/>
      <c r="B398" s="68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0"/>
      <c r="J398" s="73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5" x14ac:dyDescent="0.2">
      <c r="A399" s="65"/>
      <c r="B399" s="68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0"/>
      <c r="J399" s="73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5" x14ac:dyDescent="0.2">
      <c r="A400" s="65"/>
      <c r="B400" s="68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0"/>
      <c r="J400" s="73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5" x14ac:dyDescent="0.2">
      <c r="A401" s="65"/>
      <c r="B401" s="68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0"/>
      <c r="J401" s="73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2.25" thickBot="1" x14ac:dyDescent="0.25">
      <c r="A402" s="65"/>
      <c r="B402" s="68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0"/>
      <c r="J402" s="73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 x14ac:dyDescent="0.25">
      <c r="A403" s="66"/>
      <c r="B403" s="69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1"/>
      <c r="J403" s="74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 x14ac:dyDescent="0.2">
      <c r="A404" s="64">
        <v>46353</v>
      </c>
      <c r="B404" s="67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64">
        <v>46360</v>
      </c>
      <c r="J404" s="72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5" x14ac:dyDescent="0.2">
      <c r="A405" s="65"/>
      <c r="B405" s="68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0"/>
      <c r="J405" s="73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5" x14ac:dyDescent="0.2">
      <c r="A406" s="65"/>
      <c r="B406" s="68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0"/>
      <c r="J406" s="73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5" x14ac:dyDescent="0.2">
      <c r="A407" s="65"/>
      <c r="B407" s="68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0"/>
      <c r="J407" s="73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5" x14ac:dyDescent="0.2">
      <c r="A408" s="65"/>
      <c r="B408" s="68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0"/>
      <c r="J408" s="73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5" x14ac:dyDescent="0.2">
      <c r="A409" s="65"/>
      <c r="B409" s="68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0"/>
      <c r="J409" s="73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2.25" thickBot="1" x14ac:dyDescent="0.25">
      <c r="A410" s="65"/>
      <c r="B410" s="68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0"/>
      <c r="J410" s="73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 x14ac:dyDescent="0.25">
      <c r="A411" s="66"/>
      <c r="B411" s="69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1"/>
      <c r="J411" s="74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 x14ac:dyDescent="0.2">
      <c r="A412" s="64">
        <v>46354</v>
      </c>
      <c r="B412" s="67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64">
        <v>46361</v>
      </c>
      <c r="J412" s="72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5" x14ac:dyDescent="0.2">
      <c r="A413" s="65"/>
      <c r="B413" s="68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0"/>
      <c r="J413" s="73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5" x14ac:dyDescent="0.2">
      <c r="A414" s="65"/>
      <c r="B414" s="68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0"/>
      <c r="J414" s="73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5" x14ac:dyDescent="0.2">
      <c r="A415" s="65"/>
      <c r="B415" s="68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0"/>
      <c r="J415" s="73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5" x14ac:dyDescent="0.2">
      <c r="A416" s="65"/>
      <c r="B416" s="68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0"/>
      <c r="J416" s="73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5" x14ac:dyDescent="0.2">
      <c r="A417" s="65"/>
      <c r="B417" s="68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0"/>
      <c r="J417" s="73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2.25" thickBot="1" x14ac:dyDescent="0.25">
      <c r="A418" s="65"/>
      <c r="B418" s="68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0"/>
      <c r="J418" s="73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 x14ac:dyDescent="0.25">
      <c r="A419" s="66"/>
      <c r="B419" s="69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1"/>
      <c r="J419" s="74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87" t="s">
        <v>4</v>
      </c>
      <c r="C426" s="87"/>
      <c r="D426" s="87"/>
      <c r="E426" s="87"/>
      <c r="F426" s="87"/>
      <c r="G426" s="87"/>
      <c r="H426" s="87"/>
      <c r="I426" s="45"/>
      <c r="J426" s="87" t="s">
        <v>4</v>
      </c>
      <c r="K426" s="87"/>
      <c r="L426" s="87"/>
      <c r="M426" s="87"/>
      <c r="N426" s="87"/>
      <c r="O426" s="87"/>
      <c r="P426" s="87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/>
      <c r="H427" s="36">
        <f>H7</f>
        <v>0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/>
      <c r="P427" s="36">
        <f>H7</f>
        <v>0</v>
      </c>
    </row>
    <row r="428" spans="1:16" ht="15.75" x14ac:dyDescent="0.25">
      <c r="A428" s="45"/>
      <c r="B428" s="86" t="s">
        <v>5</v>
      </c>
      <c r="C428" s="86"/>
      <c r="D428" s="86"/>
      <c r="E428" s="86" t="str">
        <f t="shared" ref="E428" si="6">E8</f>
        <v>очно-заочная</v>
      </c>
      <c r="F428" s="86"/>
      <c r="G428" s="86"/>
      <c r="H428" s="86"/>
      <c r="I428" s="45"/>
      <c r="J428" s="86" t="s">
        <v>5</v>
      </c>
      <c r="K428" s="86"/>
      <c r="L428" s="86"/>
      <c r="M428" s="86" t="str">
        <f t="shared" ref="M428" si="7">E8</f>
        <v>очно-заочная</v>
      </c>
      <c r="N428" s="86"/>
      <c r="O428" s="86"/>
      <c r="P428" s="86"/>
    </row>
    <row r="429" spans="1:16" ht="15.75" x14ac:dyDescent="0.25">
      <c r="A429" s="45"/>
      <c r="B429" s="86" t="s">
        <v>7</v>
      </c>
      <c r="C429" s="86"/>
      <c r="D429" s="86"/>
      <c r="E429" s="62">
        <f>E9</f>
        <v>3</v>
      </c>
      <c r="F429" s="62"/>
      <c r="G429" s="62"/>
      <c r="H429" s="35"/>
      <c r="I429" s="45"/>
      <c r="J429" s="86" t="s">
        <v>7</v>
      </c>
      <c r="K429" s="86"/>
      <c r="L429" s="86"/>
      <c r="M429" s="62">
        <f>E9</f>
        <v>3</v>
      </c>
      <c r="N429" s="62"/>
      <c r="O429" s="62"/>
      <c r="P429" s="35"/>
    </row>
    <row r="430" spans="1:16" ht="16.5" thickBot="1" x14ac:dyDescent="0.3">
      <c r="A430" s="45"/>
      <c r="B430" s="83" t="s">
        <v>8</v>
      </c>
      <c r="C430" s="83"/>
      <c r="D430" s="83"/>
      <c r="E430" s="63">
        <f>M370+1</f>
        <v>15</v>
      </c>
      <c r="F430" s="63"/>
      <c r="G430" s="63"/>
      <c r="H430" s="37"/>
      <c r="I430" s="45"/>
      <c r="J430" s="83" t="s">
        <v>8</v>
      </c>
      <c r="K430" s="83"/>
      <c r="L430" s="8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84" t="s">
        <v>9</v>
      </c>
      <c r="B431" s="85"/>
      <c r="C431" s="10" t="s">
        <v>10</v>
      </c>
      <c r="D431" s="11" t="s">
        <v>11</v>
      </c>
      <c r="E431" s="12" t="s">
        <v>12</v>
      </c>
      <c r="F431" s="81" t="s">
        <v>13</v>
      </c>
      <c r="G431" s="82"/>
      <c r="H431" s="13" t="s">
        <v>14</v>
      </c>
      <c r="I431" s="84" t="s">
        <v>9</v>
      </c>
      <c r="J431" s="85"/>
      <c r="K431" s="10" t="s">
        <v>10</v>
      </c>
      <c r="L431" s="11" t="s">
        <v>11</v>
      </c>
      <c r="M431" s="12" t="s">
        <v>12</v>
      </c>
      <c r="N431" s="81" t="s">
        <v>13</v>
      </c>
      <c r="O431" s="82"/>
      <c r="P431" s="13" t="s">
        <v>14</v>
      </c>
    </row>
    <row r="432" spans="1:16" ht="32.25" customHeight="1" thickTop="1" x14ac:dyDescent="0.2">
      <c r="A432" s="64">
        <v>46363</v>
      </c>
      <c r="B432" s="67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64">
        <v>46370</v>
      </c>
      <c r="J432" s="72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5" x14ac:dyDescent="0.2">
      <c r="A433" s="65"/>
      <c r="B433" s="68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0"/>
      <c r="J433" s="73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5" x14ac:dyDescent="0.2">
      <c r="A434" s="65"/>
      <c r="B434" s="68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0"/>
      <c r="J434" s="73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5" x14ac:dyDescent="0.2">
      <c r="A435" s="65"/>
      <c r="B435" s="68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0"/>
      <c r="J435" s="73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5" x14ac:dyDescent="0.2">
      <c r="A436" s="65"/>
      <c r="B436" s="68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0"/>
      <c r="J436" s="73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5" x14ac:dyDescent="0.2">
      <c r="A437" s="65"/>
      <c r="B437" s="68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0"/>
      <c r="J437" s="73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2.25" thickBot="1" x14ac:dyDescent="0.25">
      <c r="A438" s="65"/>
      <c r="B438" s="68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0"/>
      <c r="J438" s="73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 x14ac:dyDescent="0.25">
      <c r="A439" s="66"/>
      <c r="B439" s="69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1"/>
      <c r="J439" s="74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 x14ac:dyDescent="0.2">
      <c r="A440" s="64">
        <v>46364</v>
      </c>
      <c r="B440" s="67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64">
        <v>46371</v>
      </c>
      <c r="J440" s="72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5" x14ac:dyDescent="0.2">
      <c r="A441" s="65"/>
      <c r="B441" s="68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0"/>
      <c r="J441" s="73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5" x14ac:dyDescent="0.2">
      <c r="A442" s="65"/>
      <c r="B442" s="68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0"/>
      <c r="J442" s="73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5" x14ac:dyDescent="0.2">
      <c r="A443" s="65"/>
      <c r="B443" s="68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0"/>
      <c r="J443" s="73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5" x14ac:dyDescent="0.2">
      <c r="A444" s="65"/>
      <c r="B444" s="68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0"/>
      <c r="J444" s="73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5" x14ac:dyDescent="0.2">
      <c r="A445" s="65"/>
      <c r="B445" s="68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0"/>
      <c r="J445" s="73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2.25" thickBot="1" x14ac:dyDescent="0.25">
      <c r="A446" s="65"/>
      <c r="B446" s="68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0"/>
      <c r="J446" s="73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 x14ac:dyDescent="0.25">
      <c r="A447" s="66"/>
      <c r="B447" s="69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1"/>
      <c r="J447" s="74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 x14ac:dyDescent="0.2">
      <c r="A448" s="64">
        <v>46365</v>
      </c>
      <c r="B448" s="75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64">
        <v>46372</v>
      </c>
      <c r="J448" s="78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5" x14ac:dyDescent="0.2">
      <c r="A449" s="65"/>
      <c r="B449" s="76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0"/>
      <c r="J449" s="79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5" x14ac:dyDescent="0.2">
      <c r="A450" s="65"/>
      <c r="B450" s="76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0"/>
      <c r="J450" s="79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5" x14ac:dyDescent="0.2">
      <c r="A451" s="65"/>
      <c r="B451" s="76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0"/>
      <c r="J451" s="79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5" x14ac:dyDescent="0.2">
      <c r="A452" s="65"/>
      <c r="B452" s="76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0"/>
      <c r="J452" s="79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5" x14ac:dyDescent="0.2">
      <c r="A453" s="65"/>
      <c r="B453" s="76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0"/>
      <c r="J453" s="79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2.25" thickBot="1" x14ac:dyDescent="0.25">
      <c r="A454" s="65"/>
      <c r="B454" s="76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0"/>
      <c r="J454" s="79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 x14ac:dyDescent="0.25">
      <c r="A455" s="66"/>
      <c r="B455" s="77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1"/>
      <c r="J455" s="80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 x14ac:dyDescent="0.2">
      <c r="A456" s="64">
        <v>46366</v>
      </c>
      <c r="B456" s="67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64">
        <v>46373</v>
      </c>
      <c r="J456" s="72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5" x14ac:dyDescent="0.2">
      <c r="A457" s="65"/>
      <c r="B457" s="68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0"/>
      <c r="J457" s="73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5" x14ac:dyDescent="0.2">
      <c r="A458" s="65"/>
      <c r="B458" s="68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0"/>
      <c r="J458" s="73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5" x14ac:dyDescent="0.2">
      <c r="A459" s="65"/>
      <c r="B459" s="68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0"/>
      <c r="J459" s="73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5" x14ac:dyDescent="0.2">
      <c r="A460" s="65"/>
      <c r="B460" s="68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0"/>
      <c r="J460" s="73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5" x14ac:dyDescent="0.2">
      <c r="A461" s="65"/>
      <c r="B461" s="68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0"/>
      <c r="J461" s="73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2.25" thickBot="1" x14ac:dyDescent="0.25">
      <c r="A462" s="65"/>
      <c r="B462" s="68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0"/>
      <c r="J462" s="73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 x14ac:dyDescent="0.25">
      <c r="A463" s="66"/>
      <c r="B463" s="69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1"/>
      <c r="J463" s="74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 x14ac:dyDescent="0.2">
      <c r="A464" s="64">
        <v>46367</v>
      </c>
      <c r="B464" s="67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64">
        <v>46374</v>
      </c>
      <c r="J464" s="72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5" x14ac:dyDescent="0.2">
      <c r="A465" s="65"/>
      <c r="B465" s="68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0"/>
      <c r="J465" s="73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5" x14ac:dyDescent="0.2">
      <c r="A466" s="65"/>
      <c r="B466" s="68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0"/>
      <c r="J466" s="73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5" x14ac:dyDescent="0.2">
      <c r="A467" s="65"/>
      <c r="B467" s="68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0"/>
      <c r="J467" s="73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5" x14ac:dyDescent="0.2">
      <c r="A468" s="65"/>
      <c r="B468" s="68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0"/>
      <c r="J468" s="73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5" x14ac:dyDescent="0.2">
      <c r="A469" s="65"/>
      <c r="B469" s="68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0"/>
      <c r="J469" s="73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2.25" thickBot="1" x14ac:dyDescent="0.25">
      <c r="A470" s="65"/>
      <c r="B470" s="68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0"/>
      <c r="J470" s="73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 x14ac:dyDescent="0.25">
      <c r="A471" s="66"/>
      <c r="B471" s="69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1"/>
      <c r="J471" s="74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 x14ac:dyDescent="0.2">
      <c r="A472" s="64">
        <v>46368</v>
      </c>
      <c r="B472" s="67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64">
        <v>46375</v>
      </c>
      <c r="J472" s="72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5" x14ac:dyDescent="0.2">
      <c r="A473" s="65"/>
      <c r="B473" s="68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0"/>
      <c r="J473" s="73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5" x14ac:dyDescent="0.2">
      <c r="A474" s="65"/>
      <c r="B474" s="68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0"/>
      <c r="J474" s="73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5" x14ac:dyDescent="0.2">
      <c r="A475" s="65"/>
      <c r="B475" s="68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0"/>
      <c r="J475" s="73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5" x14ac:dyDescent="0.2">
      <c r="A476" s="65"/>
      <c r="B476" s="68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0"/>
      <c r="J476" s="73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5" x14ac:dyDescent="0.2">
      <c r="A477" s="65"/>
      <c r="B477" s="68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0"/>
      <c r="J477" s="73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2.25" thickBot="1" x14ac:dyDescent="0.25">
      <c r="A478" s="65"/>
      <c r="B478" s="68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0"/>
      <c r="J478" s="73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 x14ac:dyDescent="0.25">
      <c r="A479" s="66"/>
      <c r="B479" s="69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1"/>
      <c r="J479" s="74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87" t="s">
        <v>4</v>
      </c>
      <c r="C486" s="87"/>
      <c r="D486" s="87"/>
      <c r="E486" s="87"/>
      <c r="F486" s="87"/>
      <c r="G486" s="87"/>
      <c r="H486" s="87"/>
      <c r="I486" s="45"/>
      <c r="J486" s="87" t="s">
        <v>4</v>
      </c>
      <c r="K486" s="87"/>
      <c r="L486" s="87"/>
      <c r="M486" s="87"/>
      <c r="N486" s="87"/>
      <c r="O486" s="87"/>
      <c r="P486" s="87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/>
      <c r="H487" s="36">
        <f>H7</f>
        <v>0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/>
      <c r="P487" s="36">
        <f>H7</f>
        <v>0</v>
      </c>
    </row>
    <row r="488" spans="1:16" ht="15.75" x14ac:dyDescent="0.25">
      <c r="A488" s="45"/>
      <c r="B488" s="86" t="s">
        <v>5</v>
      </c>
      <c r="C488" s="86"/>
      <c r="D488" s="86"/>
      <c r="E488" s="86" t="str">
        <f t="shared" ref="E488" si="8">E8</f>
        <v>очно-заочная</v>
      </c>
      <c r="F488" s="86"/>
      <c r="G488" s="86"/>
      <c r="H488" s="86"/>
      <c r="I488" s="45"/>
      <c r="J488" s="86" t="s">
        <v>5</v>
      </c>
      <c r="K488" s="86"/>
      <c r="L488" s="86"/>
      <c r="M488" s="86" t="str">
        <f t="shared" ref="M488" si="9">E8</f>
        <v>очно-заочная</v>
      </c>
      <c r="N488" s="86"/>
      <c r="O488" s="86"/>
      <c r="P488" s="86"/>
    </row>
    <row r="489" spans="1:16" ht="15.75" x14ac:dyDescent="0.25">
      <c r="A489" s="45"/>
      <c r="B489" s="86" t="s">
        <v>7</v>
      </c>
      <c r="C489" s="86"/>
      <c r="D489" s="86"/>
      <c r="E489" s="62">
        <f>E9</f>
        <v>3</v>
      </c>
      <c r="F489" s="62"/>
      <c r="G489" s="62"/>
      <c r="H489" s="35"/>
      <c r="I489" s="45"/>
      <c r="J489" s="86" t="s">
        <v>7</v>
      </c>
      <c r="K489" s="86"/>
      <c r="L489" s="86"/>
      <c r="M489" s="62">
        <f>E9</f>
        <v>3</v>
      </c>
      <c r="N489" s="62"/>
      <c r="O489" s="62"/>
      <c r="P489" s="35"/>
    </row>
    <row r="490" spans="1:16" ht="16.5" thickBot="1" x14ac:dyDescent="0.3">
      <c r="A490" s="45"/>
      <c r="B490" s="83" t="s">
        <v>8</v>
      </c>
      <c r="C490" s="83"/>
      <c r="D490" s="83"/>
      <c r="E490" s="63">
        <f>M430+1</f>
        <v>17</v>
      </c>
      <c r="F490" s="63"/>
      <c r="G490" s="63"/>
      <c r="H490" s="37"/>
      <c r="I490" s="45"/>
      <c r="J490" s="83" t="s">
        <v>8</v>
      </c>
      <c r="K490" s="83"/>
      <c r="L490" s="83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84" t="s">
        <v>9</v>
      </c>
      <c r="B491" s="85"/>
      <c r="C491" s="10" t="s">
        <v>10</v>
      </c>
      <c r="D491" s="11" t="s">
        <v>11</v>
      </c>
      <c r="E491" s="12" t="s">
        <v>12</v>
      </c>
      <c r="F491" s="81" t="s">
        <v>13</v>
      </c>
      <c r="G491" s="82"/>
      <c r="H491" s="13" t="s">
        <v>14</v>
      </c>
      <c r="I491" s="84" t="s">
        <v>9</v>
      </c>
      <c r="J491" s="85"/>
      <c r="K491" s="10" t="s">
        <v>10</v>
      </c>
      <c r="L491" s="11" t="s">
        <v>11</v>
      </c>
      <c r="M491" s="12" t="s">
        <v>12</v>
      </c>
      <c r="N491" s="81" t="s">
        <v>13</v>
      </c>
      <c r="O491" s="82"/>
      <c r="P491" s="13" t="s">
        <v>14</v>
      </c>
    </row>
    <row r="492" spans="1:16" ht="32.25" customHeight="1" thickTop="1" x14ac:dyDescent="0.2">
      <c r="A492" s="64">
        <v>46377</v>
      </c>
      <c r="B492" s="67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64">
        <v>46384</v>
      </c>
      <c r="J492" s="72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5" x14ac:dyDescent="0.2">
      <c r="A493" s="65"/>
      <c r="B493" s="68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0"/>
      <c r="J493" s="73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5" x14ac:dyDescent="0.2">
      <c r="A494" s="65"/>
      <c r="B494" s="68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0"/>
      <c r="J494" s="73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5" x14ac:dyDescent="0.2">
      <c r="A495" s="65"/>
      <c r="B495" s="68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0"/>
      <c r="J495" s="73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5" x14ac:dyDescent="0.2">
      <c r="A496" s="65"/>
      <c r="B496" s="68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0"/>
      <c r="J496" s="73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5" x14ac:dyDescent="0.2">
      <c r="A497" s="65"/>
      <c r="B497" s="68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0"/>
      <c r="J497" s="73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2.25" thickBot="1" x14ac:dyDescent="0.25">
      <c r="A498" s="65"/>
      <c r="B498" s="68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0"/>
      <c r="J498" s="73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 x14ac:dyDescent="0.25">
      <c r="A499" s="66"/>
      <c r="B499" s="69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1"/>
      <c r="J499" s="74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 x14ac:dyDescent="0.2">
      <c r="A500" s="64">
        <v>46378</v>
      </c>
      <c r="B500" s="67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64">
        <v>46385</v>
      </c>
      <c r="J500" s="72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5" x14ac:dyDescent="0.2">
      <c r="A501" s="65"/>
      <c r="B501" s="68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0"/>
      <c r="J501" s="73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5" x14ac:dyDescent="0.2">
      <c r="A502" s="65"/>
      <c r="B502" s="68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0"/>
      <c r="J502" s="73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5" x14ac:dyDescent="0.2">
      <c r="A503" s="65"/>
      <c r="B503" s="68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0"/>
      <c r="J503" s="73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5" x14ac:dyDescent="0.2">
      <c r="A504" s="65"/>
      <c r="B504" s="68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0"/>
      <c r="J504" s="73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5" x14ac:dyDescent="0.2">
      <c r="A505" s="65"/>
      <c r="B505" s="68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0"/>
      <c r="J505" s="73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2.25" thickBot="1" x14ac:dyDescent="0.25">
      <c r="A506" s="65"/>
      <c r="B506" s="68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0"/>
      <c r="J506" s="73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 x14ac:dyDescent="0.25">
      <c r="A507" s="66"/>
      <c r="B507" s="69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1"/>
      <c r="J507" s="74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 x14ac:dyDescent="0.2">
      <c r="A508" s="64">
        <v>46379</v>
      </c>
      <c r="B508" s="75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64">
        <v>46386</v>
      </c>
      <c r="J508" s="78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5" x14ac:dyDescent="0.2">
      <c r="A509" s="65"/>
      <c r="B509" s="76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0"/>
      <c r="J509" s="79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5" x14ac:dyDescent="0.2">
      <c r="A510" s="65"/>
      <c r="B510" s="76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0"/>
      <c r="J510" s="79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5" x14ac:dyDescent="0.2">
      <c r="A511" s="65"/>
      <c r="B511" s="76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0"/>
      <c r="J511" s="79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5" x14ac:dyDescent="0.2">
      <c r="A512" s="65"/>
      <c r="B512" s="76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0"/>
      <c r="J512" s="79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5" x14ac:dyDescent="0.2">
      <c r="A513" s="65"/>
      <c r="B513" s="76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0"/>
      <c r="J513" s="79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2.25" thickBot="1" x14ac:dyDescent="0.25">
      <c r="A514" s="65"/>
      <c r="B514" s="76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0"/>
      <c r="J514" s="79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 x14ac:dyDescent="0.25">
      <c r="A515" s="66"/>
      <c r="B515" s="77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1"/>
      <c r="J515" s="80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 x14ac:dyDescent="0.2">
      <c r="A516" s="64">
        <v>46380</v>
      </c>
      <c r="B516" s="67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64">
        <v>46387</v>
      </c>
      <c r="J516" s="72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5" x14ac:dyDescent="0.2">
      <c r="A517" s="65"/>
      <c r="B517" s="68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0"/>
      <c r="J517" s="73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5" x14ac:dyDescent="0.2">
      <c r="A518" s="65"/>
      <c r="B518" s="68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0"/>
      <c r="J518" s="73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5" x14ac:dyDescent="0.2">
      <c r="A519" s="65"/>
      <c r="B519" s="68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0"/>
      <c r="J519" s="73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5" x14ac:dyDescent="0.2">
      <c r="A520" s="65"/>
      <c r="B520" s="68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0"/>
      <c r="J520" s="73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5" x14ac:dyDescent="0.2">
      <c r="A521" s="65"/>
      <c r="B521" s="68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0"/>
      <c r="J521" s="73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2.25" thickBot="1" x14ac:dyDescent="0.25">
      <c r="A522" s="65"/>
      <c r="B522" s="68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0"/>
      <c r="J522" s="73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 x14ac:dyDescent="0.25">
      <c r="A523" s="66"/>
      <c r="B523" s="69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1"/>
      <c r="J523" s="74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 x14ac:dyDescent="0.2">
      <c r="A524" s="64">
        <v>46381</v>
      </c>
      <c r="B524" s="67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64">
        <v>46388</v>
      </c>
      <c r="J524" s="72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5" x14ac:dyDescent="0.2">
      <c r="A525" s="65"/>
      <c r="B525" s="68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0"/>
      <c r="J525" s="73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5" x14ac:dyDescent="0.2">
      <c r="A526" s="65"/>
      <c r="B526" s="68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0"/>
      <c r="J526" s="73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5" x14ac:dyDescent="0.2">
      <c r="A527" s="65"/>
      <c r="B527" s="68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0"/>
      <c r="J527" s="73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5" x14ac:dyDescent="0.2">
      <c r="A528" s="65"/>
      <c r="B528" s="68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0"/>
      <c r="J528" s="73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5" x14ac:dyDescent="0.2">
      <c r="A529" s="65"/>
      <c r="B529" s="68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0"/>
      <c r="J529" s="73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2.25" thickBot="1" x14ac:dyDescent="0.25">
      <c r="A530" s="65"/>
      <c r="B530" s="68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0"/>
      <c r="J530" s="73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 x14ac:dyDescent="0.25">
      <c r="A531" s="66"/>
      <c r="B531" s="69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1"/>
      <c r="J531" s="74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 x14ac:dyDescent="0.2">
      <c r="A532" s="64">
        <v>46382</v>
      </c>
      <c r="B532" s="67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64">
        <v>46389</v>
      </c>
      <c r="J532" s="72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5" x14ac:dyDescent="0.2">
      <c r="A533" s="65"/>
      <c r="B533" s="68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0"/>
      <c r="J533" s="73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5" x14ac:dyDescent="0.2">
      <c r="A534" s="65"/>
      <c r="B534" s="68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0"/>
      <c r="J534" s="73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5" x14ac:dyDescent="0.2">
      <c r="A535" s="65"/>
      <c r="B535" s="68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0"/>
      <c r="J535" s="73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5" x14ac:dyDescent="0.2">
      <c r="A536" s="65"/>
      <c r="B536" s="68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0"/>
      <c r="J536" s="73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5" x14ac:dyDescent="0.2">
      <c r="A537" s="65"/>
      <c r="B537" s="68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0"/>
      <c r="J537" s="73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2.25" thickBot="1" x14ac:dyDescent="0.25">
      <c r="A538" s="65"/>
      <c r="B538" s="68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0"/>
      <c r="J538" s="73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 x14ac:dyDescent="0.25">
      <c r="A539" s="66"/>
      <c r="B539" s="69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1"/>
      <c r="J539" s="74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15</vt:i4>
      </vt:variant>
    </vt:vector>
  </HeadingPairs>
  <TitlesOfParts>
    <vt:vector size="30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  <vt:lpstr>'12-26'!Область_печати</vt:lpstr>
      <vt:lpstr>'12-26МИ'!Область_печати</vt:lpstr>
      <vt:lpstr>'12-26ПИ'!Область_печати</vt:lpstr>
      <vt:lpstr>'12-26ФИ'!Область_печати</vt:lpstr>
      <vt:lpstr>'2'!Область_печати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Абалдуй</cp:lastModifiedBy>
  <cp:revision/>
  <dcterms:created xsi:type="dcterms:W3CDTF">2019-11-04T14:27:48Z</dcterms:created>
  <dcterms:modified xsi:type="dcterms:W3CDTF">2026-09-05T06:46:40Z</dcterms:modified>
  <cp:category/>
  <cp:contentStatus/>
</cp:coreProperties>
</file>