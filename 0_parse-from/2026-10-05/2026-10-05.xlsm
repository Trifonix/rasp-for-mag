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балдуй\Desktop\расписание\"/>
    </mc:Choice>
  </mc:AlternateContent>
  <xr:revisionPtr revIDLastSave="0" documentId="13_ncr:1_{92FEAA1F-3EFF-4E4A-A1AB-6A5D98F1CF3D}" xr6:coauthVersionLast="47" xr6:coauthVersionMax="47" xr10:uidLastSave="{00000000-0000-0000-0000-000000000000}"/>
  <bookViews>
    <workbookView xWindow="510" yWindow="975" windowWidth="19755" windowHeight="9825" tabRatio="747" firstSheet="1" activeTab="1" xr2:uid="{00000000-000D-0000-FFFF-FFFF00000000}"/>
  </bookViews>
  <sheets>
    <sheet name="12-26" sheetId="15" state="hidden" r:id="rId1"/>
    <sheet name="12-26ПИ" sheetId="34" r:id="rId2"/>
    <sheet name="12-26МИ" sheetId="35" r:id="rId3"/>
    <sheet name="12-26ФИ" sheetId="31" r:id="rId4"/>
    <sheet name="12-25ПИ" sheetId="36" r:id="rId5"/>
    <sheet name="12-24ПИ" sheetId="37" r:id="rId6"/>
    <sheet name="12-23ПИ" sheetId="32" r:id="rId7"/>
    <sheet name="12-25РПм" sheetId="38" r:id="rId8"/>
    <sheet name="12-25ПИоз" sheetId="39" r:id="rId9"/>
    <sheet name="12-25МИоз" sheetId="33" r:id="rId10"/>
    <sheet name="12-25МЭоз" sheetId="40" r:id="rId11"/>
    <sheet name="12-24ПИоз" sheetId="41" r:id="rId12"/>
    <sheet name="12-24МИоз" sheetId="42" r:id="rId13"/>
    <sheet name="12-24МЭоз" sheetId="43" r:id="rId14"/>
    <sheet name="2" sheetId="44" state="hidden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абрамочкина" localSheetId="6">#REF!</definedName>
    <definedName name="абрамочкина" localSheetId="12">#REF!</definedName>
    <definedName name="абрамочкина" localSheetId="13">#REF!</definedName>
    <definedName name="абрамочкина" localSheetId="5">#REF!</definedName>
    <definedName name="абрамочкина" localSheetId="11">#REF!</definedName>
    <definedName name="абрамочкина" localSheetId="9">#REF!</definedName>
    <definedName name="абрамочкина" localSheetId="10">#REF!</definedName>
    <definedName name="абрамочкина" localSheetId="4">#REF!</definedName>
    <definedName name="абрамочкина" localSheetId="8">#REF!</definedName>
    <definedName name="абрамочкина" localSheetId="7">#REF!</definedName>
    <definedName name="абрамочкина" localSheetId="2">#REF!</definedName>
    <definedName name="абрамочкина" localSheetId="1">#REF!</definedName>
    <definedName name="абрамочкина" localSheetId="3">#REF!</definedName>
    <definedName name="абрамочкина" localSheetId="14">#REF!</definedName>
    <definedName name="абрамочкина">#REF!</definedName>
    <definedName name="б1" localSheetId="6">#REF!</definedName>
    <definedName name="б1" localSheetId="12">#REF!</definedName>
    <definedName name="б1" localSheetId="13">#REF!</definedName>
    <definedName name="б1" localSheetId="5">#REF!</definedName>
    <definedName name="б1" localSheetId="11">#REF!</definedName>
    <definedName name="б1" localSheetId="9">#REF!</definedName>
    <definedName name="б1" localSheetId="10">#REF!</definedName>
    <definedName name="б1" localSheetId="4">#REF!</definedName>
    <definedName name="б1" localSheetId="8">#REF!</definedName>
    <definedName name="б1" localSheetId="7">#REF!</definedName>
    <definedName name="б1" localSheetId="2">#REF!</definedName>
    <definedName name="б1" localSheetId="1">#REF!</definedName>
    <definedName name="б1" localSheetId="3">#REF!</definedName>
    <definedName name="б1" localSheetId="14">#REF!</definedName>
    <definedName name="б1">#REF!</definedName>
    <definedName name="б2" localSheetId="6">#REF!</definedName>
    <definedName name="б2" localSheetId="12">#REF!</definedName>
    <definedName name="б2" localSheetId="13">#REF!</definedName>
    <definedName name="б2" localSheetId="5">#REF!</definedName>
    <definedName name="б2" localSheetId="11">#REF!</definedName>
    <definedName name="б2" localSheetId="9">#REF!</definedName>
    <definedName name="б2" localSheetId="10">#REF!</definedName>
    <definedName name="б2" localSheetId="4">#REF!</definedName>
    <definedName name="б2" localSheetId="8">#REF!</definedName>
    <definedName name="б2" localSheetId="7">#REF!</definedName>
    <definedName name="б2" localSheetId="2">#REF!</definedName>
    <definedName name="б2" localSheetId="1">#REF!</definedName>
    <definedName name="б2" localSheetId="3">#REF!</definedName>
    <definedName name="б2" localSheetId="14">#REF!</definedName>
    <definedName name="б2">#REF!</definedName>
    <definedName name="выбор_кабинета" localSheetId="6">#REF!</definedName>
    <definedName name="выбор_кабинета" localSheetId="12">#REF!</definedName>
    <definedName name="выбор_кабинета" localSheetId="13">#REF!</definedName>
    <definedName name="выбор_кабинета" localSheetId="5">#REF!</definedName>
    <definedName name="выбор_кабинета" localSheetId="11">#REF!</definedName>
    <definedName name="выбор_кабинета" localSheetId="9">#REF!</definedName>
    <definedName name="выбор_кабинета" localSheetId="10">#REF!</definedName>
    <definedName name="выбор_кабинета" localSheetId="4">#REF!</definedName>
    <definedName name="выбор_кабинета" localSheetId="8">#REF!</definedName>
    <definedName name="выбор_кабинета" localSheetId="7">#REF!</definedName>
    <definedName name="выбор_кабинета" localSheetId="2">#REF!</definedName>
    <definedName name="выбор_кабинета" localSheetId="1">#REF!</definedName>
    <definedName name="выбор_кабинета" localSheetId="3">#REF!</definedName>
    <definedName name="выбор_кабинета" localSheetId="14">#REF!</definedName>
    <definedName name="выбор_кабинета">#REF!</definedName>
    <definedName name="к1" localSheetId="6">#REF!</definedName>
    <definedName name="к1" localSheetId="12">#REF!</definedName>
    <definedName name="к1" localSheetId="13">#REF!</definedName>
    <definedName name="к1" localSheetId="5">#REF!</definedName>
    <definedName name="к1" localSheetId="11">#REF!</definedName>
    <definedName name="к1" localSheetId="9">#REF!</definedName>
    <definedName name="к1" localSheetId="10">#REF!</definedName>
    <definedName name="к1" localSheetId="4">#REF!</definedName>
    <definedName name="к1" localSheetId="8">#REF!</definedName>
    <definedName name="к1" localSheetId="7">#REF!</definedName>
    <definedName name="к1" localSheetId="2">#REF!</definedName>
    <definedName name="к1" localSheetId="1">#REF!</definedName>
    <definedName name="к1" localSheetId="3">#REF!</definedName>
    <definedName name="к1" localSheetId="14">#REF!</definedName>
    <definedName name="к1">#REF!</definedName>
    <definedName name="к10" localSheetId="6">#REF!</definedName>
    <definedName name="к10" localSheetId="12">#REF!</definedName>
    <definedName name="к10" localSheetId="13">#REF!</definedName>
    <definedName name="к10" localSheetId="5">#REF!</definedName>
    <definedName name="к10" localSheetId="11">#REF!</definedName>
    <definedName name="к10" localSheetId="9">#REF!</definedName>
    <definedName name="к10" localSheetId="10">#REF!</definedName>
    <definedName name="к10" localSheetId="4">#REF!</definedName>
    <definedName name="к10" localSheetId="8">#REF!</definedName>
    <definedName name="к10" localSheetId="7">#REF!</definedName>
    <definedName name="к10" localSheetId="2">#REF!</definedName>
    <definedName name="к10" localSheetId="1">#REF!</definedName>
    <definedName name="к10" localSheetId="3">#REF!</definedName>
    <definedName name="к10" localSheetId="14">#REF!</definedName>
    <definedName name="к10">#REF!</definedName>
    <definedName name="к11" localSheetId="6">#REF!</definedName>
    <definedName name="к11" localSheetId="12">#REF!</definedName>
    <definedName name="к11" localSheetId="13">#REF!</definedName>
    <definedName name="к11" localSheetId="5">#REF!</definedName>
    <definedName name="к11" localSheetId="11">#REF!</definedName>
    <definedName name="к11" localSheetId="9">#REF!</definedName>
    <definedName name="к11" localSheetId="10">#REF!</definedName>
    <definedName name="к11" localSheetId="4">#REF!</definedName>
    <definedName name="к11" localSheetId="8">#REF!</definedName>
    <definedName name="к11" localSheetId="7">#REF!</definedName>
    <definedName name="к11" localSheetId="2">#REF!</definedName>
    <definedName name="к11" localSheetId="1">#REF!</definedName>
    <definedName name="к11" localSheetId="3">#REF!</definedName>
    <definedName name="к11" localSheetId="14">#REF!</definedName>
    <definedName name="к11">#REF!</definedName>
    <definedName name="к12" localSheetId="6">#REF!</definedName>
    <definedName name="к12" localSheetId="12">#REF!</definedName>
    <definedName name="к12" localSheetId="13">#REF!</definedName>
    <definedName name="к12" localSheetId="5">#REF!</definedName>
    <definedName name="к12" localSheetId="11">#REF!</definedName>
    <definedName name="к12" localSheetId="9">#REF!</definedName>
    <definedName name="к12" localSheetId="10">#REF!</definedName>
    <definedName name="к12" localSheetId="4">#REF!</definedName>
    <definedName name="к12" localSheetId="8">#REF!</definedName>
    <definedName name="к12" localSheetId="7">#REF!</definedName>
    <definedName name="к12" localSheetId="2">#REF!</definedName>
    <definedName name="к12" localSheetId="1">#REF!</definedName>
    <definedName name="к12" localSheetId="3">#REF!</definedName>
    <definedName name="к12" localSheetId="14">#REF!</definedName>
    <definedName name="к12">#REF!</definedName>
    <definedName name="к13" localSheetId="6">#REF!</definedName>
    <definedName name="к13" localSheetId="12">#REF!</definedName>
    <definedName name="к13" localSheetId="13">#REF!</definedName>
    <definedName name="к13" localSheetId="5">#REF!</definedName>
    <definedName name="к13" localSheetId="11">#REF!</definedName>
    <definedName name="к13" localSheetId="9">#REF!</definedName>
    <definedName name="к13" localSheetId="10">#REF!</definedName>
    <definedName name="к13" localSheetId="4">#REF!</definedName>
    <definedName name="к13" localSheetId="8">#REF!</definedName>
    <definedName name="к13" localSheetId="7">#REF!</definedName>
    <definedName name="к13" localSheetId="2">#REF!</definedName>
    <definedName name="к13" localSheetId="1">#REF!</definedName>
    <definedName name="к13" localSheetId="3">#REF!</definedName>
    <definedName name="к13" localSheetId="14">#REF!</definedName>
    <definedName name="к13">#REF!</definedName>
    <definedName name="к14" localSheetId="6">#REF!</definedName>
    <definedName name="к14" localSheetId="12">#REF!</definedName>
    <definedName name="к14" localSheetId="13">#REF!</definedName>
    <definedName name="к14" localSheetId="5">#REF!</definedName>
    <definedName name="к14" localSheetId="11">#REF!</definedName>
    <definedName name="к14" localSheetId="9">#REF!</definedName>
    <definedName name="к14" localSheetId="10">#REF!</definedName>
    <definedName name="к14" localSheetId="4">#REF!</definedName>
    <definedName name="к14" localSheetId="8">#REF!</definedName>
    <definedName name="к14" localSheetId="7">#REF!</definedName>
    <definedName name="к14" localSheetId="2">#REF!</definedName>
    <definedName name="к14" localSheetId="1">#REF!</definedName>
    <definedName name="к14" localSheetId="3">#REF!</definedName>
    <definedName name="к14" localSheetId="14">#REF!</definedName>
    <definedName name="к14">#REF!</definedName>
    <definedName name="к15" localSheetId="6">#REF!</definedName>
    <definedName name="к15" localSheetId="12">#REF!</definedName>
    <definedName name="к15" localSheetId="13">#REF!</definedName>
    <definedName name="к15" localSheetId="5">#REF!</definedName>
    <definedName name="к15" localSheetId="11">#REF!</definedName>
    <definedName name="к15" localSheetId="9">#REF!</definedName>
    <definedName name="к15" localSheetId="10">#REF!</definedName>
    <definedName name="к15" localSheetId="4">#REF!</definedName>
    <definedName name="к15" localSheetId="8">#REF!</definedName>
    <definedName name="к15" localSheetId="7">#REF!</definedName>
    <definedName name="к15" localSheetId="2">#REF!</definedName>
    <definedName name="к15" localSheetId="1">#REF!</definedName>
    <definedName name="к15" localSheetId="3">#REF!</definedName>
    <definedName name="к15" localSheetId="14">#REF!</definedName>
    <definedName name="к15">#REF!</definedName>
    <definedName name="к16" localSheetId="6">#REF!</definedName>
    <definedName name="к16" localSheetId="12">#REF!</definedName>
    <definedName name="к16" localSheetId="13">#REF!</definedName>
    <definedName name="к16" localSheetId="5">#REF!</definedName>
    <definedName name="к16" localSheetId="11">#REF!</definedName>
    <definedName name="к16" localSheetId="9">#REF!</definedName>
    <definedName name="к16" localSheetId="10">#REF!</definedName>
    <definedName name="к16" localSheetId="4">#REF!</definedName>
    <definedName name="к16" localSheetId="8">#REF!</definedName>
    <definedName name="к16" localSheetId="7">#REF!</definedName>
    <definedName name="к16" localSheetId="2">#REF!</definedName>
    <definedName name="к16" localSheetId="1">#REF!</definedName>
    <definedName name="к16" localSheetId="3">#REF!</definedName>
    <definedName name="к16" localSheetId="14">#REF!</definedName>
    <definedName name="к16">#REF!</definedName>
    <definedName name="к17" localSheetId="6">#REF!</definedName>
    <definedName name="к17" localSheetId="12">#REF!</definedName>
    <definedName name="к17" localSheetId="13">#REF!</definedName>
    <definedName name="к17" localSheetId="5">#REF!</definedName>
    <definedName name="к17" localSheetId="11">#REF!</definedName>
    <definedName name="к17" localSheetId="9">#REF!</definedName>
    <definedName name="к17" localSheetId="10">#REF!</definedName>
    <definedName name="к17" localSheetId="4">#REF!</definedName>
    <definedName name="к17" localSheetId="8">#REF!</definedName>
    <definedName name="к17" localSheetId="7">#REF!</definedName>
    <definedName name="к17" localSheetId="2">#REF!</definedName>
    <definedName name="к17" localSheetId="1">#REF!</definedName>
    <definedName name="к17" localSheetId="3">#REF!</definedName>
    <definedName name="к17" localSheetId="14">#REF!</definedName>
    <definedName name="к17">#REF!</definedName>
    <definedName name="к18" localSheetId="6">#REF!</definedName>
    <definedName name="к18" localSheetId="12">#REF!</definedName>
    <definedName name="к18" localSheetId="13">#REF!</definedName>
    <definedName name="к18" localSheetId="5">#REF!</definedName>
    <definedName name="к18" localSheetId="11">#REF!</definedName>
    <definedName name="к18" localSheetId="9">#REF!</definedName>
    <definedName name="к18" localSheetId="10">#REF!</definedName>
    <definedName name="к18" localSheetId="4">#REF!</definedName>
    <definedName name="к18" localSheetId="8">#REF!</definedName>
    <definedName name="к18" localSheetId="7">#REF!</definedName>
    <definedName name="к18" localSheetId="2">#REF!</definedName>
    <definedName name="к18" localSheetId="1">#REF!</definedName>
    <definedName name="к18" localSheetId="3">#REF!</definedName>
    <definedName name="к18" localSheetId="14">#REF!</definedName>
    <definedName name="к18">#REF!</definedName>
    <definedName name="к19" localSheetId="6">#REF!</definedName>
    <definedName name="к19" localSheetId="12">#REF!</definedName>
    <definedName name="к19" localSheetId="13">#REF!</definedName>
    <definedName name="к19" localSheetId="5">#REF!</definedName>
    <definedName name="к19" localSheetId="11">#REF!</definedName>
    <definedName name="к19" localSheetId="9">#REF!</definedName>
    <definedName name="к19" localSheetId="10">#REF!</definedName>
    <definedName name="к19" localSheetId="4">#REF!</definedName>
    <definedName name="к19" localSheetId="8">#REF!</definedName>
    <definedName name="к19" localSheetId="7">#REF!</definedName>
    <definedName name="к19" localSheetId="2">#REF!</definedName>
    <definedName name="к19" localSheetId="1">#REF!</definedName>
    <definedName name="к19" localSheetId="3">#REF!</definedName>
    <definedName name="к19" localSheetId="14">#REF!</definedName>
    <definedName name="к19">#REF!</definedName>
    <definedName name="к2" localSheetId="6">#REF!</definedName>
    <definedName name="к2" localSheetId="12">#REF!</definedName>
    <definedName name="к2" localSheetId="13">#REF!</definedName>
    <definedName name="к2" localSheetId="5">#REF!</definedName>
    <definedName name="к2" localSheetId="11">#REF!</definedName>
    <definedName name="к2" localSheetId="9">#REF!</definedName>
    <definedName name="к2" localSheetId="10">#REF!</definedName>
    <definedName name="к2" localSheetId="4">#REF!</definedName>
    <definedName name="к2" localSheetId="8">#REF!</definedName>
    <definedName name="к2" localSheetId="7">#REF!</definedName>
    <definedName name="к2" localSheetId="2">#REF!</definedName>
    <definedName name="к2" localSheetId="1">#REF!</definedName>
    <definedName name="к2" localSheetId="3">#REF!</definedName>
    <definedName name="к2" localSheetId="14">#REF!</definedName>
    <definedName name="к2">#REF!</definedName>
    <definedName name="к20" localSheetId="6">#REF!</definedName>
    <definedName name="к20" localSheetId="12">#REF!</definedName>
    <definedName name="к20" localSheetId="13">#REF!</definedName>
    <definedName name="к20" localSheetId="5">#REF!</definedName>
    <definedName name="к20" localSheetId="11">#REF!</definedName>
    <definedName name="к20" localSheetId="9">#REF!</definedName>
    <definedName name="к20" localSheetId="10">#REF!</definedName>
    <definedName name="к20" localSheetId="4">#REF!</definedName>
    <definedName name="к20" localSheetId="8">#REF!</definedName>
    <definedName name="к20" localSheetId="7">#REF!</definedName>
    <definedName name="к20" localSheetId="2">#REF!</definedName>
    <definedName name="к20" localSheetId="1">#REF!</definedName>
    <definedName name="к20" localSheetId="3">#REF!</definedName>
    <definedName name="к20" localSheetId="14">#REF!</definedName>
    <definedName name="к20">#REF!</definedName>
    <definedName name="к21" localSheetId="6">#REF!</definedName>
    <definedName name="к21" localSheetId="12">#REF!</definedName>
    <definedName name="к21" localSheetId="13">#REF!</definedName>
    <definedName name="к21" localSheetId="5">#REF!</definedName>
    <definedName name="к21" localSheetId="11">#REF!</definedName>
    <definedName name="к21" localSheetId="9">#REF!</definedName>
    <definedName name="к21" localSheetId="10">#REF!</definedName>
    <definedName name="к21" localSheetId="4">#REF!</definedName>
    <definedName name="к21" localSheetId="8">#REF!</definedName>
    <definedName name="к21" localSheetId="7">#REF!</definedName>
    <definedName name="к21" localSheetId="2">#REF!</definedName>
    <definedName name="к21" localSheetId="1">#REF!</definedName>
    <definedName name="к21" localSheetId="3">#REF!</definedName>
    <definedName name="к21" localSheetId="14">#REF!</definedName>
    <definedName name="к21">#REF!</definedName>
    <definedName name="к22" localSheetId="6">#REF!</definedName>
    <definedName name="к22" localSheetId="12">#REF!</definedName>
    <definedName name="к22" localSheetId="13">#REF!</definedName>
    <definedName name="к22" localSheetId="5">#REF!</definedName>
    <definedName name="к22" localSheetId="11">#REF!</definedName>
    <definedName name="к22" localSheetId="9">#REF!</definedName>
    <definedName name="к22" localSheetId="10">#REF!</definedName>
    <definedName name="к22" localSheetId="4">#REF!</definedName>
    <definedName name="к22" localSheetId="8">#REF!</definedName>
    <definedName name="к22" localSheetId="7">#REF!</definedName>
    <definedName name="к22" localSheetId="2">#REF!</definedName>
    <definedName name="к22" localSheetId="1">#REF!</definedName>
    <definedName name="к22" localSheetId="3">#REF!</definedName>
    <definedName name="к22" localSheetId="14">#REF!</definedName>
    <definedName name="к22">#REF!</definedName>
    <definedName name="к23" localSheetId="6">#REF!</definedName>
    <definedName name="к23" localSheetId="12">#REF!</definedName>
    <definedName name="к23" localSheetId="13">#REF!</definedName>
    <definedName name="к23" localSheetId="5">#REF!</definedName>
    <definedName name="к23" localSheetId="11">#REF!</definedName>
    <definedName name="к23" localSheetId="9">#REF!</definedName>
    <definedName name="к23" localSheetId="10">#REF!</definedName>
    <definedName name="к23" localSheetId="4">#REF!</definedName>
    <definedName name="к23" localSheetId="8">#REF!</definedName>
    <definedName name="к23" localSheetId="7">#REF!</definedName>
    <definedName name="к23" localSheetId="2">#REF!</definedName>
    <definedName name="к23" localSheetId="1">#REF!</definedName>
    <definedName name="к23" localSheetId="3">#REF!</definedName>
    <definedName name="к23" localSheetId="14">#REF!</definedName>
    <definedName name="к23">#REF!</definedName>
    <definedName name="к24" localSheetId="6">#REF!</definedName>
    <definedName name="к24" localSheetId="12">#REF!</definedName>
    <definedName name="к24" localSheetId="13">#REF!</definedName>
    <definedName name="к24" localSheetId="5">#REF!</definedName>
    <definedName name="к24" localSheetId="11">#REF!</definedName>
    <definedName name="к24" localSheetId="9">#REF!</definedName>
    <definedName name="к24" localSheetId="10">#REF!</definedName>
    <definedName name="к24" localSheetId="4">#REF!</definedName>
    <definedName name="к24" localSheetId="8">#REF!</definedName>
    <definedName name="к24" localSheetId="7">#REF!</definedName>
    <definedName name="к24" localSheetId="2">#REF!</definedName>
    <definedName name="к24" localSheetId="1">#REF!</definedName>
    <definedName name="к24" localSheetId="3">#REF!</definedName>
    <definedName name="к24" localSheetId="14">#REF!</definedName>
    <definedName name="к24">#REF!</definedName>
    <definedName name="к25" localSheetId="6">#REF!</definedName>
    <definedName name="к25" localSheetId="12">#REF!</definedName>
    <definedName name="к25" localSheetId="13">#REF!</definedName>
    <definedName name="к25" localSheetId="5">#REF!</definedName>
    <definedName name="к25" localSheetId="11">#REF!</definedName>
    <definedName name="к25" localSheetId="9">#REF!</definedName>
    <definedName name="к25" localSheetId="10">#REF!</definedName>
    <definedName name="к25" localSheetId="4">#REF!</definedName>
    <definedName name="к25" localSheetId="8">#REF!</definedName>
    <definedName name="к25" localSheetId="7">#REF!</definedName>
    <definedName name="к25" localSheetId="2">#REF!</definedName>
    <definedName name="к25" localSheetId="1">#REF!</definedName>
    <definedName name="к25" localSheetId="3">#REF!</definedName>
    <definedName name="к25" localSheetId="14">#REF!</definedName>
    <definedName name="к25">#REF!</definedName>
    <definedName name="к26" localSheetId="6">#REF!</definedName>
    <definedName name="к26" localSheetId="12">#REF!</definedName>
    <definedName name="к26" localSheetId="13">#REF!</definedName>
    <definedName name="к26" localSheetId="5">#REF!</definedName>
    <definedName name="к26" localSheetId="11">#REF!</definedName>
    <definedName name="к26" localSheetId="9">#REF!</definedName>
    <definedName name="к26" localSheetId="10">#REF!</definedName>
    <definedName name="к26" localSheetId="4">#REF!</definedName>
    <definedName name="к26" localSheetId="8">#REF!</definedName>
    <definedName name="к26" localSheetId="7">#REF!</definedName>
    <definedName name="к26" localSheetId="2">#REF!</definedName>
    <definedName name="к26" localSheetId="1">#REF!</definedName>
    <definedName name="к26" localSheetId="3">#REF!</definedName>
    <definedName name="к26" localSheetId="14">#REF!</definedName>
    <definedName name="к26">#REF!</definedName>
    <definedName name="к27" localSheetId="6">#REF!</definedName>
    <definedName name="к27" localSheetId="12">#REF!</definedName>
    <definedName name="к27" localSheetId="13">#REF!</definedName>
    <definedName name="к27" localSheetId="5">#REF!</definedName>
    <definedName name="к27" localSheetId="11">#REF!</definedName>
    <definedName name="к27" localSheetId="9">#REF!</definedName>
    <definedName name="к27" localSheetId="10">#REF!</definedName>
    <definedName name="к27" localSheetId="4">#REF!</definedName>
    <definedName name="к27" localSheetId="8">#REF!</definedName>
    <definedName name="к27" localSheetId="7">#REF!</definedName>
    <definedName name="к27" localSheetId="2">#REF!</definedName>
    <definedName name="к27" localSheetId="1">#REF!</definedName>
    <definedName name="к27" localSheetId="3">#REF!</definedName>
    <definedName name="к27" localSheetId="14">#REF!</definedName>
    <definedName name="к27">#REF!</definedName>
    <definedName name="к28" localSheetId="6">#REF!</definedName>
    <definedName name="к28" localSheetId="12">#REF!</definedName>
    <definedName name="к28" localSheetId="13">#REF!</definedName>
    <definedName name="к28" localSheetId="5">#REF!</definedName>
    <definedName name="к28" localSheetId="11">#REF!</definedName>
    <definedName name="к28" localSheetId="9">#REF!</definedName>
    <definedName name="к28" localSheetId="10">#REF!</definedName>
    <definedName name="к28" localSheetId="4">#REF!</definedName>
    <definedName name="к28" localSheetId="8">#REF!</definedName>
    <definedName name="к28" localSheetId="7">#REF!</definedName>
    <definedName name="к28" localSheetId="2">#REF!</definedName>
    <definedName name="к28" localSheetId="1">#REF!</definedName>
    <definedName name="к28" localSheetId="3">#REF!</definedName>
    <definedName name="к28" localSheetId="14">#REF!</definedName>
    <definedName name="к28">#REF!</definedName>
    <definedName name="к29" localSheetId="6">#REF!</definedName>
    <definedName name="к29" localSheetId="12">#REF!</definedName>
    <definedName name="к29" localSheetId="13">#REF!</definedName>
    <definedName name="к29" localSheetId="5">#REF!</definedName>
    <definedName name="к29" localSheetId="11">#REF!</definedName>
    <definedName name="к29" localSheetId="9">#REF!</definedName>
    <definedName name="к29" localSheetId="10">#REF!</definedName>
    <definedName name="к29" localSheetId="4">#REF!</definedName>
    <definedName name="к29" localSheetId="8">#REF!</definedName>
    <definedName name="к29" localSheetId="7">#REF!</definedName>
    <definedName name="к29" localSheetId="2">#REF!</definedName>
    <definedName name="к29" localSheetId="1">#REF!</definedName>
    <definedName name="к29" localSheetId="3">#REF!</definedName>
    <definedName name="к29" localSheetId="14">#REF!</definedName>
    <definedName name="к29">#REF!</definedName>
    <definedName name="к3" localSheetId="6">#REF!</definedName>
    <definedName name="к3" localSheetId="12">#REF!</definedName>
    <definedName name="к3" localSheetId="13">#REF!</definedName>
    <definedName name="к3" localSheetId="5">#REF!</definedName>
    <definedName name="к3" localSheetId="11">#REF!</definedName>
    <definedName name="к3" localSheetId="9">#REF!</definedName>
    <definedName name="к3" localSheetId="10">#REF!</definedName>
    <definedName name="к3" localSheetId="4">#REF!</definedName>
    <definedName name="к3" localSheetId="8">#REF!</definedName>
    <definedName name="к3" localSheetId="7">#REF!</definedName>
    <definedName name="к3" localSheetId="2">#REF!</definedName>
    <definedName name="к3" localSheetId="1">#REF!</definedName>
    <definedName name="к3" localSheetId="3">#REF!</definedName>
    <definedName name="к3" localSheetId="14">#REF!</definedName>
    <definedName name="к3">#REF!</definedName>
    <definedName name="к30" localSheetId="6">#REF!</definedName>
    <definedName name="к30" localSheetId="12">#REF!</definedName>
    <definedName name="к30" localSheetId="13">#REF!</definedName>
    <definedName name="к30" localSheetId="5">#REF!</definedName>
    <definedName name="к30" localSheetId="11">#REF!</definedName>
    <definedName name="к30" localSheetId="9">#REF!</definedName>
    <definedName name="к30" localSheetId="10">#REF!</definedName>
    <definedName name="к30" localSheetId="4">#REF!</definedName>
    <definedName name="к30" localSheetId="8">#REF!</definedName>
    <definedName name="к30" localSheetId="7">#REF!</definedName>
    <definedName name="к30" localSheetId="2">#REF!</definedName>
    <definedName name="к30" localSheetId="1">#REF!</definedName>
    <definedName name="к30" localSheetId="3">#REF!</definedName>
    <definedName name="к30" localSheetId="14">#REF!</definedName>
    <definedName name="к30">#REF!</definedName>
    <definedName name="к31" localSheetId="6">#REF!</definedName>
    <definedName name="к31" localSheetId="12">#REF!</definedName>
    <definedName name="к31" localSheetId="13">#REF!</definedName>
    <definedName name="к31" localSheetId="5">#REF!</definedName>
    <definedName name="к31" localSheetId="11">#REF!</definedName>
    <definedName name="к31" localSheetId="9">#REF!</definedName>
    <definedName name="к31" localSheetId="10">#REF!</definedName>
    <definedName name="к31" localSheetId="4">#REF!</definedName>
    <definedName name="к31" localSheetId="8">#REF!</definedName>
    <definedName name="к31" localSheetId="7">#REF!</definedName>
    <definedName name="к31" localSheetId="2">#REF!</definedName>
    <definedName name="к31" localSheetId="1">#REF!</definedName>
    <definedName name="к31" localSheetId="3">#REF!</definedName>
    <definedName name="к31" localSheetId="14">#REF!</definedName>
    <definedName name="к31">#REF!</definedName>
    <definedName name="к32" localSheetId="6">#REF!</definedName>
    <definedName name="к32" localSheetId="12">#REF!</definedName>
    <definedName name="к32" localSheetId="13">#REF!</definedName>
    <definedName name="к32" localSheetId="5">#REF!</definedName>
    <definedName name="к32" localSheetId="11">#REF!</definedName>
    <definedName name="к32" localSheetId="9">#REF!</definedName>
    <definedName name="к32" localSheetId="10">#REF!</definedName>
    <definedName name="к32" localSheetId="4">#REF!</definedName>
    <definedName name="к32" localSheetId="8">#REF!</definedName>
    <definedName name="к32" localSheetId="7">#REF!</definedName>
    <definedName name="к32" localSheetId="2">#REF!</definedName>
    <definedName name="к32" localSheetId="1">#REF!</definedName>
    <definedName name="к32" localSheetId="3">#REF!</definedName>
    <definedName name="к32" localSheetId="14">#REF!</definedName>
    <definedName name="к32">#REF!</definedName>
    <definedName name="к33" localSheetId="6">#REF!</definedName>
    <definedName name="к33" localSheetId="12">#REF!</definedName>
    <definedName name="к33" localSheetId="13">#REF!</definedName>
    <definedName name="к33" localSheetId="5">#REF!</definedName>
    <definedName name="к33" localSheetId="11">#REF!</definedName>
    <definedName name="к33" localSheetId="9">#REF!</definedName>
    <definedName name="к33" localSheetId="10">#REF!</definedName>
    <definedName name="к33" localSheetId="4">#REF!</definedName>
    <definedName name="к33" localSheetId="8">#REF!</definedName>
    <definedName name="к33" localSheetId="7">#REF!</definedName>
    <definedName name="к33" localSheetId="2">#REF!</definedName>
    <definedName name="к33" localSheetId="1">#REF!</definedName>
    <definedName name="к33" localSheetId="3">#REF!</definedName>
    <definedName name="к33" localSheetId="14">#REF!</definedName>
    <definedName name="к33">#REF!</definedName>
    <definedName name="к34" localSheetId="6">#REF!</definedName>
    <definedName name="к34" localSheetId="12">#REF!</definedName>
    <definedName name="к34" localSheetId="13">#REF!</definedName>
    <definedName name="к34" localSheetId="5">#REF!</definedName>
    <definedName name="к34" localSheetId="11">#REF!</definedName>
    <definedName name="к34" localSheetId="9">#REF!</definedName>
    <definedName name="к34" localSheetId="10">#REF!</definedName>
    <definedName name="к34" localSheetId="4">#REF!</definedName>
    <definedName name="к34" localSheetId="8">#REF!</definedName>
    <definedName name="к34" localSheetId="7">#REF!</definedName>
    <definedName name="к34" localSheetId="2">#REF!</definedName>
    <definedName name="к34" localSheetId="1">#REF!</definedName>
    <definedName name="к34" localSheetId="3">#REF!</definedName>
    <definedName name="к34" localSheetId="14">#REF!</definedName>
    <definedName name="к34">#REF!</definedName>
    <definedName name="к35" localSheetId="6">#REF!</definedName>
    <definedName name="к35" localSheetId="12">#REF!</definedName>
    <definedName name="к35" localSheetId="13">#REF!</definedName>
    <definedName name="к35" localSheetId="5">#REF!</definedName>
    <definedName name="к35" localSheetId="11">#REF!</definedName>
    <definedName name="к35" localSheetId="9">#REF!</definedName>
    <definedName name="к35" localSheetId="10">#REF!</definedName>
    <definedName name="к35" localSheetId="4">#REF!</definedName>
    <definedName name="к35" localSheetId="8">#REF!</definedName>
    <definedName name="к35" localSheetId="7">#REF!</definedName>
    <definedName name="к35" localSheetId="2">#REF!</definedName>
    <definedName name="к35" localSheetId="1">#REF!</definedName>
    <definedName name="к35" localSheetId="3">#REF!</definedName>
    <definedName name="к35" localSheetId="14">#REF!</definedName>
    <definedName name="к35">#REF!</definedName>
    <definedName name="к36" localSheetId="6">#REF!</definedName>
    <definedName name="к36" localSheetId="12">#REF!</definedName>
    <definedName name="к36" localSheetId="13">#REF!</definedName>
    <definedName name="к36" localSheetId="5">#REF!</definedName>
    <definedName name="к36" localSheetId="11">#REF!</definedName>
    <definedName name="к36" localSheetId="9">#REF!</definedName>
    <definedName name="к36" localSheetId="10">#REF!</definedName>
    <definedName name="к36" localSheetId="4">#REF!</definedName>
    <definedName name="к36" localSheetId="8">#REF!</definedName>
    <definedName name="к36" localSheetId="7">#REF!</definedName>
    <definedName name="к36" localSheetId="2">#REF!</definedName>
    <definedName name="к36" localSheetId="1">#REF!</definedName>
    <definedName name="к36" localSheetId="3">#REF!</definedName>
    <definedName name="к36" localSheetId="14">#REF!</definedName>
    <definedName name="к36">#REF!</definedName>
    <definedName name="к37" localSheetId="6">#REF!</definedName>
    <definedName name="к37" localSheetId="12">#REF!</definedName>
    <definedName name="к37" localSheetId="13">#REF!</definedName>
    <definedName name="к37" localSheetId="5">#REF!</definedName>
    <definedName name="к37" localSheetId="11">#REF!</definedName>
    <definedName name="к37" localSheetId="9">#REF!</definedName>
    <definedName name="к37" localSheetId="10">#REF!</definedName>
    <definedName name="к37" localSheetId="4">#REF!</definedName>
    <definedName name="к37" localSheetId="8">#REF!</definedName>
    <definedName name="к37" localSheetId="7">#REF!</definedName>
    <definedName name="к37" localSheetId="2">#REF!</definedName>
    <definedName name="к37" localSheetId="1">#REF!</definedName>
    <definedName name="к37" localSheetId="3">#REF!</definedName>
    <definedName name="к37" localSheetId="14">#REF!</definedName>
    <definedName name="к37">#REF!</definedName>
    <definedName name="к38" localSheetId="6">#REF!</definedName>
    <definedName name="к38" localSheetId="12">#REF!</definedName>
    <definedName name="к38" localSheetId="13">#REF!</definedName>
    <definedName name="к38" localSheetId="5">#REF!</definedName>
    <definedName name="к38" localSheetId="11">#REF!</definedName>
    <definedName name="к38" localSheetId="9">#REF!</definedName>
    <definedName name="к38" localSheetId="10">#REF!</definedName>
    <definedName name="к38" localSheetId="4">#REF!</definedName>
    <definedName name="к38" localSheetId="8">#REF!</definedName>
    <definedName name="к38" localSheetId="7">#REF!</definedName>
    <definedName name="к38" localSheetId="2">#REF!</definedName>
    <definedName name="к38" localSheetId="1">#REF!</definedName>
    <definedName name="к38" localSheetId="3">#REF!</definedName>
    <definedName name="к38" localSheetId="14">#REF!</definedName>
    <definedName name="к38">#REF!</definedName>
    <definedName name="к39" localSheetId="6">#REF!</definedName>
    <definedName name="к39" localSheetId="12">#REF!</definedName>
    <definedName name="к39" localSheetId="13">#REF!</definedName>
    <definedName name="к39" localSheetId="5">#REF!</definedName>
    <definedName name="к39" localSheetId="11">#REF!</definedName>
    <definedName name="к39" localSheetId="9">#REF!</definedName>
    <definedName name="к39" localSheetId="10">#REF!</definedName>
    <definedName name="к39" localSheetId="4">#REF!</definedName>
    <definedName name="к39" localSheetId="8">#REF!</definedName>
    <definedName name="к39" localSheetId="7">#REF!</definedName>
    <definedName name="к39" localSheetId="2">#REF!</definedName>
    <definedName name="к39" localSheetId="1">#REF!</definedName>
    <definedName name="к39" localSheetId="3">#REF!</definedName>
    <definedName name="к39" localSheetId="14">#REF!</definedName>
    <definedName name="к39">#REF!</definedName>
    <definedName name="к4" localSheetId="6">#REF!</definedName>
    <definedName name="к4" localSheetId="12">#REF!</definedName>
    <definedName name="к4" localSheetId="13">#REF!</definedName>
    <definedName name="к4" localSheetId="5">#REF!</definedName>
    <definedName name="к4" localSheetId="11">#REF!</definedName>
    <definedName name="к4" localSheetId="9">#REF!</definedName>
    <definedName name="к4" localSheetId="10">#REF!</definedName>
    <definedName name="к4" localSheetId="4">#REF!</definedName>
    <definedName name="к4" localSheetId="8">#REF!</definedName>
    <definedName name="к4" localSheetId="7">#REF!</definedName>
    <definedName name="к4" localSheetId="2">#REF!</definedName>
    <definedName name="к4" localSheetId="1">#REF!</definedName>
    <definedName name="к4" localSheetId="3">#REF!</definedName>
    <definedName name="к4" localSheetId="14">#REF!</definedName>
    <definedName name="к4">#REF!</definedName>
    <definedName name="к40" localSheetId="6">#REF!</definedName>
    <definedName name="к40" localSheetId="12">#REF!</definedName>
    <definedName name="к40" localSheetId="13">#REF!</definedName>
    <definedName name="к40" localSheetId="5">#REF!</definedName>
    <definedName name="к40" localSheetId="11">#REF!</definedName>
    <definedName name="к40" localSheetId="9">#REF!</definedName>
    <definedName name="к40" localSheetId="10">#REF!</definedName>
    <definedName name="к40" localSheetId="4">#REF!</definedName>
    <definedName name="к40" localSheetId="8">#REF!</definedName>
    <definedName name="к40" localSheetId="7">#REF!</definedName>
    <definedName name="к40" localSheetId="2">#REF!</definedName>
    <definedName name="к40" localSheetId="1">#REF!</definedName>
    <definedName name="к40" localSheetId="3">#REF!</definedName>
    <definedName name="к40" localSheetId="14">#REF!</definedName>
    <definedName name="к40">#REF!</definedName>
    <definedName name="к41" localSheetId="6">#REF!</definedName>
    <definedName name="к41" localSheetId="12">#REF!</definedName>
    <definedName name="к41" localSheetId="13">#REF!</definedName>
    <definedName name="к41" localSheetId="5">#REF!</definedName>
    <definedName name="к41" localSheetId="11">#REF!</definedName>
    <definedName name="к41" localSheetId="9">#REF!</definedName>
    <definedName name="к41" localSheetId="10">#REF!</definedName>
    <definedName name="к41" localSheetId="4">#REF!</definedName>
    <definedName name="к41" localSheetId="8">#REF!</definedName>
    <definedName name="к41" localSheetId="7">#REF!</definedName>
    <definedName name="к41" localSheetId="2">#REF!</definedName>
    <definedName name="к41" localSheetId="1">#REF!</definedName>
    <definedName name="к41" localSheetId="3">#REF!</definedName>
    <definedName name="к41" localSheetId="14">#REF!</definedName>
    <definedName name="к41">#REF!</definedName>
    <definedName name="к42" localSheetId="6">#REF!</definedName>
    <definedName name="к42" localSheetId="12">#REF!</definedName>
    <definedName name="к42" localSheetId="13">#REF!</definedName>
    <definedName name="к42" localSheetId="5">#REF!</definedName>
    <definedName name="к42" localSheetId="11">#REF!</definedName>
    <definedName name="к42" localSheetId="9">#REF!</definedName>
    <definedName name="к42" localSheetId="10">#REF!</definedName>
    <definedName name="к42" localSheetId="4">#REF!</definedName>
    <definedName name="к42" localSheetId="8">#REF!</definedName>
    <definedName name="к42" localSheetId="7">#REF!</definedName>
    <definedName name="к42" localSheetId="2">#REF!</definedName>
    <definedName name="к42" localSheetId="1">#REF!</definedName>
    <definedName name="к42" localSheetId="3">#REF!</definedName>
    <definedName name="к42" localSheetId="14">#REF!</definedName>
    <definedName name="к42">#REF!</definedName>
    <definedName name="к5" localSheetId="6">#REF!</definedName>
    <definedName name="к5" localSheetId="12">#REF!</definedName>
    <definedName name="к5" localSheetId="13">#REF!</definedName>
    <definedName name="к5" localSheetId="5">#REF!</definedName>
    <definedName name="к5" localSheetId="11">#REF!</definedName>
    <definedName name="к5" localSheetId="9">#REF!</definedName>
    <definedName name="к5" localSheetId="10">#REF!</definedName>
    <definedName name="к5" localSheetId="4">#REF!</definedName>
    <definedName name="к5" localSheetId="8">#REF!</definedName>
    <definedName name="к5" localSheetId="7">#REF!</definedName>
    <definedName name="к5" localSheetId="2">#REF!</definedName>
    <definedName name="к5" localSheetId="1">#REF!</definedName>
    <definedName name="к5" localSheetId="3">#REF!</definedName>
    <definedName name="к5" localSheetId="14">#REF!</definedName>
    <definedName name="к5">#REF!</definedName>
    <definedName name="к6" localSheetId="6">#REF!</definedName>
    <definedName name="к6" localSheetId="12">#REF!</definedName>
    <definedName name="к6" localSheetId="13">#REF!</definedName>
    <definedName name="к6" localSheetId="5">#REF!</definedName>
    <definedName name="к6" localSheetId="11">#REF!</definedName>
    <definedName name="к6" localSheetId="9">#REF!</definedName>
    <definedName name="к6" localSheetId="10">#REF!</definedName>
    <definedName name="к6" localSheetId="4">#REF!</definedName>
    <definedName name="к6" localSheetId="8">#REF!</definedName>
    <definedName name="к6" localSheetId="7">#REF!</definedName>
    <definedName name="к6" localSheetId="2">#REF!</definedName>
    <definedName name="к6" localSheetId="1">#REF!</definedName>
    <definedName name="к6" localSheetId="3">#REF!</definedName>
    <definedName name="к6" localSheetId="14">#REF!</definedName>
    <definedName name="к6">#REF!</definedName>
    <definedName name="к7" localSheetId="6">#REF!</definedName>
    <definedName name="к7" localSheetId="12">#REF!</definedName>
    <definedName name="к7" localSheetId="13">#REF!</definedName>
    <definedName name="к7" localSheetId="5">#REF!</definedName>
    <definedName name="к7" localSheetId="11">#REF!</definedName>
    <definedName name="к7" localSheetId="9">#REF!</definedName>
    <definedName name="к7" localSheetId="10">#REF!</definedName>
    <definedName name="к7" localSheetId="4">#REF!</definedName>
    <definedName name="к7" localSheetId="8">#REF!</definedName>
    <definedName name="к7" localSheetId="7">#REF!</definedName>
    <definedName name="к7" localSheetId="2">#REF!</definedName>
    <definedName name="к7" localSheetId="1">#REF!</definedName>
    <definedName name="к7" localSheetId="3">#REF!</definedName>
    <definedName name="к7" localSheetId="14">#REF!</definedName>
    <definedName name="к7">#REF!</definedName>
    <definedName name="к8" localSheetId="6">#REF!</definedName>
    <definedName name="к8" localSheetId="12">#REF!</definedName>
    <definedName name="к8" localSheetId="13">#REF!</definedName>
    <definedName name="к8" localSheetId="5">#REF!</definedName>
    <definedName name="к8" localSheetId="11">#REF!</definedName>
    <definedName name="к8" localSheetId="9">#REF!</definedName>
    <definedName name="к8" localSheetId="10">#REF!</definedName>
    <definedName name="к8" localSheetId="4">#REF!</definedName>
    <definedName name="к8" localSheetId="8">#REF!</definedName>
    <definedName name="к8" localSheetId="7">#REF!</definedName>
    <definedName name="к8" localSheetId="2">#REF!</definedName>
    <definedName name="к8" localSheetId="1">#REF!</definedName>
    <definedName name="к8" localSheetId="3">#REF!</definedName>
    <definedName name="к8" localSheetId="14">#REF!</definedName>
    <definedName name="к8">#REF!</definedName>
    <definedName name="к9" localSheetId="6">#REF!</definedName>
    <definedName name="к9" localSheetId="12">#REF!</definedName>
    <definedName name="к9" localSheetId="13">#REF!</definedName>
    <definedName name="к9" localSheetId="5">#REF!</definedName>
    <definedName name="к9" localSheetId="11">#REF!</definedName>
    <definedName name="к9" localSheetId="9">#REF!</definedName>
    <definedName name="к9" localSheetId="10">#REF!</definedName>
    <definedName name="к9" localSheetId="4">#REF!</definedName>
    <definedName name="к9" localSheetId="8">#REF!</definedName>
    <definedName name="к9" localSheetId="7">#REF!</definedName>
    <definedName name="к9" localSheetId="2">#REF!</definedName>
    <definedName name="к9" localSheetId="1">#REF!</definedName>
    <definedName name="к9" localSheetId="3">#REF!</definedName>
    <definedName name="к9" localSheetId="14">#REF!</definedName>
    <definedName name="к9">#REF!</definedName>
    <definedName name="каб" localSheetId="6">#REF!</definedName>
    <definedName name="каб" localSheetId="12">#REF!</definedName>
    <definedName name="каб" localSheetId="13">#REF!</definedName>
    <definedName name="каб" localSheetId="5">#REF!</definedName>
    <definedName name="каб" localSheetId="11">#REF!</definedName>
    <definedName name="каб" localSheetId="9">#REF!</definedName>
    <definedName name="каб" localSheetId="10">#REF!</definedName>
    <definedName name="каб" localSheetId="4">#REF!</definedName>
    <definedName name="каб" localSheetId="8">#REF!</definedName>
    <definedName name="каб" localSheetId="7">#REF!</definedName>
    <definedName name="каб" localSheetId="2">#REF!</definedName>
    <definedName name="каб" localSheetId="1">#REF!</definedName>
    <definedName name="каб" localSheetId="3">#REF!</definedName>
    <definedName name="каб" localSheetId="14">#REF!</definedName>
    <definedName name="каб">#REF!</definedName>
    <definedName name="_xlnm.Print_Area" localSheetId="6">'12-23ПИ'!$A$1:$P$180</definedName>
    <definedName name="_xlnm.Print_Area" localSheetId="12">'12-24МИоз'!$A$1:$P$180</definedName>
    <definedName name="_xlnm.Print_Area" localSheetId="13">'12-24МЭоз'!$A$1:$P$180</definedName>
    <definedName name="_xlnm.Print_Area" localSheetId="5">'12-24ПИ'!$A$1:$P$180</definedName>
    <definedName name="_xlnm.Print_Area" localSheetId="11">'12-24ПИоз'!$A$1:$P$180</definedName>
    <definedName name="_xlnm.Print_Area" localSheetId="9">'12-25МИоз'!$A$1:$P$180</definedName>
    <definedName name="_xlnm.Print_Area" localSheetId="10">'12-25МЭоз'!$A$1:$P$180</definedName>
    <definedName name="_xlnm.Print_Area" localSheetId="4">'12-25ПИ'!$A$1:$P$180</definedName>
    <definedName name="_xlnm.Print_Area" localSheetId="8">'12-25ПИоз'!$A$1:$P$180</definedName>
    <definedName name="_xlnm.Print_Area" localSheetId="7">'12-25РПм'!$A$1:$P$180</definedName>
    <definedName name="_xlnm.Print_Area" localSheetId="0">'12-26'!$A$1:$P$600</definedName>
    <definedName name="_xlnm.Print_Area" localSheetId="2">'12-26МИ'!$A$1:$P$180</definedName>
    <definedName name="_xlnm.Print_Area" localSheetId="1">'12-26ПИ'!$A$1:$P$179</definedName>
    <definedName name="_xlnm.Print_Area" localSheetId="3">'12-26ФИ'!$A$1:$P$180</definedName>
    <definedName name="_xlnm.Print_Area" localSheetId="14">'2'!$A$1:$P$540</definedName>
    <definedName name="ОЛОЛО" localSheetId="6">#REF!</definedName>
    <definedName name="ОЛОЛО" localSheetId="12">#REF!</definedName>
    <definedName name="ОЛОЛО" localSheetId="13">#REF!</definedName>
    <definedName name="ОЛОЛО" localSheetId="5">#REF!</definedName>
    <definedName name="ОЛОЛО" localSheetId="11">#REF!</definedName>
    <definedName name="ОЛОЛО" localSheetId="9">#REF!</definedName>
    <definedName name="ОЛОЛО" localSheetId="10">#REF!</definedName>
    <definedName name="ОЛОЛО" localSheetId="4">#REF!</definedName>
    <definedName name="ОЛОЛО" localSheetId="8">#REF!</definedName>
    <definedName name="ОЛОЛО" localSheetId="7">#REF!</definedName>
    <definedName name="ОЛОЛО" localSheetId="2">#REF!</definedName>
    <definedName name="ОЛОЛО" localSheetId="1">#REF!</definedName>
    <definedName name="ОЛОЛО" localSheetId="3">#REF!</definedName>
    <definedName name="ОЛОЛО" localSheetId="14">#REF!</definedName>
    <definedName name="ОЛОЛО">#REF!</definedName>
    <definedName name="п1" localSheetId="6">#REF!</definedName>
    <definedName name="п1" localSheetId="12">#REF!</definedName>
    <definedName name="п1" localSheetId="13">#REF!</definedName>
    <definedName name="п1" localSheetId="5">#REF!</definedName>
    <definedName name="п1" localSheetId="11">#REF!</definedName>
    <definedName name="п1" localSheetId="9">#REF!</definedName>
    <definedName name="п1" localSheetId="10">#REF!</definedName>
    <definedName name="п1" localSheetId="4">#REF!</definedName>
    <definedName name="п1" localSheetId="8">#REF!</definedName>
    <definedName name="п1" localSheetId="7">#REF!</definedName>
    <definedName name="п1" localSheetId="2">#REF!</definedName>
    <definedName name="п1" localSheetId="1">#REF!</definedName>
    <definedName name="п1" localSheetId="3">#REF!</definedName>
    <definedName name="п1" localSheetId="14">#REF!</definedName>
    <definedName name="п1">#REF!</definedName>
    <definedName name="п21" localSheetId="6">#REF!</definedName>
    <definedName name="п21" localSheetId="12">#REF!</definedName>
    <definedName name="п21" localSheetId="13">#REF!</definedName>
    <definedName name="п21" localSheetId="5">#REF!</definedName>
    <definedName name="п21" localSheetId="11">#REF!</definedName>
    <definedName name="п21" localSheetId="9">#REF!</definedName>
    <definedName name="п21" localSheetId="10">#REF!</definedName>
    <definedName name="п21" localSheetId="4">#REF!</definedName>
    <definedName name="п21" localSheetId="8">#REF!</definedName>
    <definedName name="п21" localSheetId="7">#REF!</definedName>
    <definedName name="п21" localSheetId="2">#REF!</definedName>
    <definedName name="п21" localSheetId="1">#REF!</definedName>
    <definedName name="п21" localSheetId="3">#REF!</definedName>
    <definedName name="п21" localSheetId="14">#REF!</definedName>
    <definedName name="п21">#REF!</definedName>
    <definedName name="преп" localSheetId="6">#REF!</definedName>
    <definedName name="преп" localSheetId="12">#REF!</definedName>
    <definedName name="преп" localSheetId="13">#REF!</definedName>
    <definedName name="преп" localSheetId="5">#REF!</definedName>
    <definedName name="преп" localSheetId="11">#REF!</definedName>
    <definedName name="преп" localSheetId="9">#REF!</definedName>
    <definedName name="преп" localSheetId="10">#REF!</definedName>
    <definedName name="преп" localSheetId="4">#REF!</definedName>
    <definedName name="преп" localSheetId="8">#REF!</definedName>
    <definedName name="преп" localSheetId="7">#REF!</definedName>
    <definedName name="преп" localSheetId="2">#REF!</definedName>
    <definedName name="преп" localSheetId="1">#REF!</definedName>
    <definedName name="преп" localSheetId="3">#REF!</definedName>
    <definedName name="преп" localSheetId="14">#REF!</definedName>
    <definedName name="преп">#REF!</definedName>
    <definedName name="препод" localSheetId="6">#REF!</definedName>
    <definedName name="препод" localSheetId="12">#REF!</definedName>
    <definedName name="препод" localSheetId="13">#REF!</definedName>
    <definedName name="препод" localSheetId="5">#REF!</definedName>
    <definedName name="препод" localSheetId="11">#REF!</definedName>
    <definedName name="препод" localSheetId="9">#REF!</definedName>
    <definedName name="препод" localSheetId="10">#REF!</definedName>
    <definedName name="препод" localSheetId="4">#REF!</definedName>
    <definedName name="препод" localSheetId="8">#REF!</definedName>
    <definedName name="препод" localSheetId="7">#REF!</definedName>
    <definedName name="препод" localSheetId="2">#REF!</definedName>
    <definedName name="препод" localSheetId="1">#REF!</definedName>
    <definedName name="препод" localSheetId="3">#REF!</definedName>
    <definedName name="препод" localSheetId="14">#REF!</definedName>
    <definedName name="препод">#REF!</definedName>
    <definedName name="спец" localSheetId="6">#REF!</definedName>
    <definedName name="спец" localSheetId="12">#REF!</definedName>
    <definedName name="спец" localSheetId="13">#REF!</definedName>
    <definedName name="спец" localSheetId="5">#REF!</definedName>
    <definedName name="спец" localSheetId="11">#REF!</definedName>
    <definedName name="спец" localSheetId="9">#REF!</definedName>
    <definedName name="спец" localSheetId="10">#REF!</definedName>
    <definedName name="спец" localSheetId="4">#REF!</definedName>
    <definedName name="спец" localSheetId="8">#REF!</definedName>
    <definedName name="спец" localSheetId="7">#REF!</definedName>
    <definedName name="спец" localSheetId="2">#REF!</definedName>
    <definedName name="спец" localSheetId="1">#REF!</definedName>
    <definedName name="спец" localSheetId="3">#REF!</definedName>
    <definedName name="спец" localSheetId="14">#REF!</definedName>
    <definedName name="спец">#REF!</definedName>
  </definedNames>
  <calcPr calcId="191028" fullPrecision="0"/>
  <customWorkbookViews>
    <customWorkbookView name="User - Личное представление" guid="{1027CB8A-9D96-4D29-A7AC-E08479F1F379}" mergeInterval="0" personalView="1" maximized="1" windowWidth="1676" windowHeight="773" activeSheetId="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50" i="15" l="1"/>
  <c r="G599" i="15"/>
  <c r="F599" i="15"/>
  <c r="E599" i="15"/>
  <c r="D599" i="15"/>
  <c r="G598" i="15"/>
  <c r="F598" i="15"/>
  <c r="E598" i="15"/>
  <c r="D598" i="15"/>
  <c r="G597" i="15"/>
  <c r="F597" i="15"/>
  <c r="E597" i="15"/>
  <c r="D597" i="15"/>
  <c r="G596" i="15"/>
  <c r="F596" i="15"/>
  <c r="E596" i="15"/>
  <c r="D596" i="15"/>
  <c r="G595" i="15"/>
  <c r="F595" i="15"/>
  <c r="E595" i="15"/>
  <c r="D595" i="15"/>
  <c r="G594" i="15"/>
  <c r="F594" i="15"/>
  <c r="E594" i="15"/>
  <c r="D594" i="15"/>
  <c r="G593" i="15"/>
  <c r="F593" i="15"/>
  <c r="E593" i="15"/>
  <c r="D593" i="15"/>
  <c r="G592" i="15"/>
  <c r="F592" i="15"/>
  <c r="E592" i="15"/>
  <c r="D592" i="15"/>
  <c r="G591" i="15"/>
  <c r="F591" i="15"/>
  <c r="E591" i="15"/>
  <c r="D591" i="15"/>
  <c r="G590" i="15"/>
  <c r="F590" i="15"/>
  <c r="E590" i="15"/>
  <c r="D590" i="15"/>
  <c r="G589" i="15"/>
  <c r="F589" i="15"/>
  <c r="E589" i="15"/>
  <c r="D589" i="15"/>
  <c r="G588" i="15"/>
  <c r="F588" i="15"/>
  <c r="E588" i="15"/>
  <c r="D588" i="15"/>
  <c r="G587" i="15"/>
  <c r="F587" i="15"/>
  <c r="E587" i="15"/>
  <c r="D587" i="15"/>
  <c r="G586" i="15"/>
  <c r="F586" i="15"/>
  <c r="E586" i="15"/>
  <c r="D586" i="15"/>
  <c r="G585" i="15"/>
  <c r="F585" i="15"/>
  <c r="E585" i="15"/>
  <c r="D585" i="15"/>
  <c r="G584" i="15"/>
  <c r="F584" i="15"/>
  <c r="E584" i="15"/>
  <c r="D584" i="15"/>
  <c r="G583" i="15"/>
  <c r="F583" i="15"/>
  <c r="E583" i="15"/>
  <c r="D583" i="15"/>
  <c r="G582" i="15"/>
  <c r="F582" i="15"/>
  <c r="E582" i="15"/>
  <c r="D582" i="15"/>
  <c r="G581" i="15"/>
  <c r="F581" i="15"/>
  <c r="E581" i="15"/>
  <c r="D581" i="15"/>
  <c r="G580" i="15"/>
  <c r="F580" i="15"/>
  <c r="E580" i="15"/>
  <c r="D580" i="15"/>
  <c r="G579" i="15"/>
  <c r="F579" i="15"/>
  <c r="E579" i="15"/>
  <c r="D579" i="15"/>
  <c r="G578" i="15"/>
  <c r="F578" i="15"/>
  <c r="E578" i="15"/>
  <c r="D578" i="15"/>
  <c r="G577" i="15"/>
  <c r="F577" i="15"/>
  <c r="E577" i="15"/>
  <c r="D577" i="15"/>
  <c r="G576" i="15"/>
  <c r="F576" i="15"/>
  <c r="E576" i="15"/>
  <c r="D576" i="15"/>
  <c r="G575" i="15"/>
  <c r="F575" i="15"/>
  <c r="E575" i="15"/>
  <c r="D575" i="15"/>
  <c r="G574" i="15"/>
  <c r="F574" i="15"/>
  <c r="E574" i="15"/>
  <c r="D574" i="15"/>
  <c r="G573" i="15"/>
  <c r="F573" i="15"/>
  <c r="E573" i="15"/>
  <c r="D573" i="15"/>
  <c r="G572" i="15"/>
  <c r="F572" i="15"/>
  <c r="E572" i="15"/>
  <c r="D572" i="15"/>
  <c r="G571" i="15"/>
  <c r="F571" i="15"/>
  <c r="E571" i="15"/>
  <c r="D571" i="15"/>
  <c r="G570" i="15"/>
  <c r="F570" i="15"/>
  <c r="E570" i="15"/>
  <c r="D570" i="15"/>
  <c r="G569" i="15"/>
  <c r="F569" i="15"/>
  <c r="E569" i="15"/>
  <c r="D569" i="15"/>
  <c r="G568" i="15"/>
  <c r="F568" i="15"/>
  <c r="E568" i="15"/>
  <c r="D568" i="15"/>
  <c r="G567" i="15"/>
  <c r="F567" i="15"/>
  <c r="E567" i="15"/>
  <c r="D567" i="15"/>
  <c r="G566" i="15"/>
  <c r="F566" i="15"/>
  <c r="E566" i="15"/>
  <c r="D566" i="15"/>
  <c r="G565" i="15"/>
  <c r="F565" i="15"/>
  <c r="E565" i="15"/>
  <c r="D565" i="15"/>
  <c r="G564" i="15"/>
  <c r="F564" i="15"/>
  <c r="E564" i="15"/>
  <c r="D564" i="15"/>
  <c r="G563" i="15"/>
  <c r="F563" i="15"/>
  <c r="E563" i="15"/>
  <c r="D563" i="15"/>
  <c r="G562" i="15"/>
  <c r="F562" i="15"/>
  <c r="E562" i="15"/>
  <c r="D562" i="15"/>
  <c r="G561" i="15"/>
  <c r="F561" i="15"/>
  <c r="E561" i="15"/>
  <c r="D561" i="15"/>
  <c r="G560" i="15"/>
  <c r="F560" i="15"/>
  <c r="E560" i="15"/>
  <c r="D560" i="15"/>
  <c r="G559" i="15"/>
  <c r="F559" i="15"/>
  <c r="E559" i="15"/>
  <c r="D559" i="15"/>
  <c r="G558" i="15"/>
  <c r="F558" i="15"/>
  <c r="E558" i="15"/>
  <c r="D558" i="15"/>
  <c r="G557" i="15"/>
  <c r="F557" i="15"/>
  <c r="E557" i="15"/>
  <c r="D557" i="15"/>
  <c r="G556" i="15"/>
  <c r="F556" i="15"/>
  <c r="E556" i="15"/>
  <c r="D556" i="15"/>
  <c r="G555" i="15"/>
  <c r="F555" i="15"/>
  <c r="E555" i="15"/>
  <c r="D555" i="15"/>
  <c r="G554" i="15"/>
  <c r="F554" i="15"/>
  <c r="E554" i="15"/>
  <c r="D554" i="15"/>
  <c r="G553" i="15"/>
  <c r="F553" i="15"/>
  <c r="E553" i="15"/>
  <c r="D553" i="15"/>
  <c r="G552" i="15"/>
  <c r="F552" i="15"/>
  <c r="E552" i="15"/>
  <c r="D552" i="15"/>
  <c r="O599" i="15"/>
  <c r="N599" i="15"/>
  <c r="M599" i="15"/>
  <c r="L599" i="15"/>
  <c r="O598" i="15"/>
  <c r="N598" i="15"/>
  <c r="M598" i="15"/>
  <c r="L598" i="15"/>
  <c r="O597" i="15"/>
  <c r="N597" i="15"/>
  <c r="M597" i="15"/>
  <c r="L597" i="15"/>
  <c r="O596" i="15"/>
  <c r="N596" i="15"/>
  <c r="M596" i="15"/>
  <c r="L596" i="15"/>
  <c r="O595" i="15"/>
  <c r="N595" i="15"/>
  <c r="M595" i="15"/>
  <c r="L595" i="15"/>
  <c r="O594" i="15"/>
  <c r="N594" i="15"/>
  <c r="M594" i="15"/>
  <c r="L594" i="15"/>
  <c r="O593" i="15"/>
  <c r="N593" i="15"/>
  <c r="M593" i="15"/>
  <c r="L593" i="15"/>
  <c r="O592" i="15"/>
  <c r="N592" i="15"/>
  <c r="M592" i="15"/>
  <c r="L592" i="15"/>
  <c r="O591" i="15"/>
  <c r="N591" i="15"/>
  <c r="M591" i="15"/>
  <c r="L591" i="15"/>
  <c r="O590" i="15"/>
  <c r="N590" i="15"/>
  <c r="M590" i="15"/>
  <c r="L590" i="15"/>
  <c r="O589" i="15"/>
  <c r="N589" i="15"/>
  <c r="M589" i="15"/>
  <c r="L589" i="15"/>
  <c r="O588" i="15"/>
  <c r="N588" i="15"/>
  <c r="M588" i="15"/>
  <c r="L588" i="15"/>
  <c r="O587" i="15"/>
  <c r="N587" i="15"/>
  <c r="M587" i="15"/>
  <c r="L587" i="15"/>
  <c r="O586" i="15"/>
  <c r="N586" i="15"/>
  <c r="M586" i="15"/>
  <c r="L586" i="15"/>
  <c r="O585" i="15"/>
  <c r="N585" i="15"/>
  <c r="M585" i="15"/>
  <c r="L585" i="15"/>
  <c r="O584" i="15"/>
  <c r="N584" i="15"/>
  <c r="M584" i="15"/>
  <c r="L584" i="15"/>
  <c r="O583" i="15"/>
  <c r="N583" i="15"/>
  <c r="M583" i="15"/>
  <c r="L583" i="15"/>
  <c r="O582" i="15"/>
  <c r="N582" i="15"/>
  <c r="M582" i="15"/>
  <c r="L582" i="15"/>
  <c r="O581" i="15"/>
  <c r="N581" i="15"/>
  <c r="M581" i="15"/>
  <c r="L581" i="15"/>
  <c r="O580" i="15"/>
  <c r="N580" i="15"/>
  <c r="M580" i="15"/>
  <c r="L580" i="15"/>
  <c r="O579" i="15"/>
  <c r="N579" i="15"/>
  <c r="M579" i="15"/>
  <c r="L579" i="15"/>
  <c r="O578" i="15"/>
  <c r="N578" i="15"/>
  <c r="M578" i="15"/>
  <c r="L578" i="15"/>
  <c r="O577" i="15"/>
  <c r="N577" i="15"/>
  <c r="M577" i="15"/>
  <c r="L577" i="15"/>
  <c r="O576" i="15"/>
  <c r="N576" i="15"/>
  <c r="M576" i="15"/>
  <c r="L576" i="15"/>
  <c r="O575" i="15"/>
  <c r="N575" i="15"/>
  <c r="M575" i="15"/>
  <c r="L575" i="15"/>
  <c r="O574" i="15"/>
  <c r="N574" i="15"/>
  <c r="M574" i="15"/>
  <c r="L574" i="15"/>
  <c r="O573" i="15"/>
  <c r="N573" i="15"/>
  <c r="M573" i="15"/>
  <c r="L573" i="15"/>
  <c r="O572" i="15"/>
  <c r="N572" i="15"/>
  <c r="M572" i="15"/>
  <c r="L572" i="15"/>
  <c r="O571" i="15"/>
  <c r="N571" i="15"/>
  <c r="M571" i="15"/>
  <c r="L571" i="15"/>
  <c r="O570" i="15"/>
  <c r="N570" i="15"/>
  <c r="M570" i="15"/>
  <c r="L570" i="15"/>
  <c r="O569" i="15"/>
  <c r="N569" i="15"/>
  <c r="M569" i="15"/>
  <c r="L569" i="15"/>
  <c r="O568" i="15"/>
  <c r="N568" i="15"/>
  <c r="M568" i="15"/>
  <c r="L568" i="15"/>
  <c r="O567" i="15"/>
  <c r="N567" i="15"/>
  <c r="M567" i="15"/>
  <c r="L567" i="15"/>
  <c r="O566" i="15"/>
  <c r="N566" i="15"/>
  <c r="M566" i="15"/>
  <c r="L566" i="15"/>
  <c r="O565" i="15"/>
  <c r="N565" i="15"/>
  <c r="M565" i="15"/>
  <c r="L565" i="15"/>
  <c r="O564" i="15"/>
  <c r="N564" i="15"/>
  <c r="M564" i="15"/>
  <c r="L564" i="15"/>
  <c r="O563" i="15"/>
  <c r="N563" i="15"/>
  <c r="M563" i="15"/>
  <c r="L563" i="15"/>
  <c r="O562" i="15"/>
  <c r="N562" i="15"/>
  <c r="M562" i="15"/>
  <c r="L562" i="15"/>
  <c r="O561" i="15"/>
  <c r="N561" i="15"/>
  <c r="M561" i="15"/>
  <c r="L561" i="15"/>
  <c r="O560" i="15"/>
  <c r="N560" i="15"/>
  <c r="M560" i="15"/>
  <c r="L560" i="15"/>
  <c r="O559" i="15"/>
  <c r="N559" i="15"/>
  <c r="M559" i="15"/>
  <c r="L559" i="15"/>
  <c r="O558" i="15"/>
  <c r="N558" i="15"/>
  <c r="M558" i="15"/>
  <c r="L558" i="15"/>
  <c r="O557" i="15"/>
  <c r="N557" i="15"/>
  <c r="M557" i="15"/>
  <c r="L557" i="15"/>
  <c r="O556" i="15"/>
  <c r="N556" i="15"/>
  <c r="M556" i="15"/>
  <c r="L556" i="15"/>
  <c r="O555" i="15"/>
  <c r="N555" i="15"/>
  <c r="M555" i="15"/>
  <c r="L555" i="15"/>
  <c r="O554" i="15"/>
  <c r="N554" i="15"/>
  <c r="M554" i="15"/>
  <c r="L554" i="15"/>
  <c r="O553" i="15"/>
  <c r="N553" i="15"/>
  <c r="M553" i="15"/>
  <c r="L553" i="15"/>
  <c r="O552" i="15"/>
  <c r="N552" i="15"/>
  <c r="M552" i="15"/>
  <c r="L552" i="15"/>
  <c r="O538" i="15"/>
  <c r="N538" i="15"/>
  <c r="M538" i="15"/>
  <c r="L538" i="15"/>
  <c r="O537" i="15"/>
  <c r="N537" i="15"/>
  <c r="M537" i="15"/>
  <c r="L537" i="15"/>
  <c r="O536" i="15"/>
  <c r="N536" i="15"/>
  <c r="M536" i="15"/>
  <c r="L536" i="15"/>
  <c r="O535" i="15"/>
  <c r="N535" i="15"/>
  <c r="M535" i="15"/>
  <c r="L535" i="15"/>
  <c r="O534" i="15"/>
  <c r="N534" i="15"/>
  <c r="M534" i="15"/>
  <c r="L534" i="15"/>
  <c r="O533" i="15"/>
  <c r="N533" i="15"/>
  <c r="M533" i="15"/>
  <c r="L533" i="15"/>
  <c r="O532" i="15"/>
  <c r="N532" i="15"/>
  <c r="M532" i="15"/>
  <c r="L532" i="15"/>
  <c r="O531" i="15"/>
  <c r="N531" i="15"/>
  <c r="M531" i="15"/>
  <c r="L531" i="15"/>
  <c r="O530" i="15"/>
  <c r="N530" i="15"/>
  <c r="M530" i="15"/>
  <c r="L530" i="15"/>
  <c r="O529" i="15"/>
  <c r="N529" i="15"/>
  <c r="M529" i="15"/>
  <c r="L529" i="15"/>
  <c r="O528" i="15"/>
  <c r="N528" i="15"/>
  <c r="M528" i="15"/>
  <c r="L528" i="15"/>
  <c r="O527" i="15"/>
  <c r="N527" i="15"/>
  <c r="M527" i="15"/>
  <c r="L527" i="15"/>
  <c r="O526" i="15"/>
  <c r="N526" i="15"/>
  <c r="M526" i="15"/>
  <c r="L526" i="15"/>
  <c r="O525" i="15"/>
  <c r="N525" i="15"/>
  <c r="M525" i="15"/>
  <c r="L525" i="15"/>
  <c r="O524" i="15"/>
  <c r="N524" i="15"/>
  <c r="M524" i="15"/>
  <c r="L524" i="15"/>
  <c r="O523" i="15"/>
  <c r="N523" i="15"/>
  <c r="M523" i="15"/>
  <c r="L523" i="15"/>
  <c r="O522" i="15"/>
  <c r="N522" i="15"/>
  <c r="M522" i="15"/>
  <c r="L522" i="15"/>
  <c r="O521" i="15"/>
  <c r="N521" i="15"/>
  <c r="M521" i="15"/>
  <c r="L521" i="15"/>
  <c r="O520" i="15"/>
  <c r="N520" i="15"/>
  <c r="M520" i="15"/>
  <c r="L520" i="15"/>
  <c r="O519" i="15"/>
  <c r="N519" i="15"/>
  <c r="M519" i="15"/>
  <c r="L519" i="15"/>
  <c r="O518" i="15"/>
  <c r="N518" i="15"/>
  <c r="M518" i="15"/>
  <c r="L518" i="15"/>
  <c r="O517" i="15"/>
  <c r="N517" i="15"/>
  <c r="M517" i="15"/>
  <c r="L517" i="15"/>
  <c r="O516" i="15"/>
  <c r="N516" i="15"/>
  <c r="M516" i="15"/>
  <c r="L516" i="15"/>
  <c r="O515" i="15"/>
  <c r="N515" i="15"/>
  <c r="M515" i="15"/>
  <c r="L515" i="15"/>
  <c r="O514" i="15"/>
  <c r="N514" i="15"/>
  <c r="M514" i="15"/>
  <c r="L514" i="15"/>
  <c r="O513" i="15"/>
  <c r="N513" i="15"/>
  <c r="M513" i="15"/>
  <c r="L513" i="15"/>
  <c r="O512" i="15"/>
  <c r="N512" i="15"/>
  <c r="M512" i="15"/>
  <c r="L512" i="15"/>
  <c r="O511" i="15"/>
  <c r="N511" i="15"/>
  <c r="M511" i="15"/>
  <c r="L511" i="15"/>
  <c r="O510" i="15"/>
  <c r="N510" i="15"/>
  <c r="M510" i="15"/>
  <c r="L510" i="15"/>
  <c r="O509" i="15"/>
  <c r="N509" i="15"/>
  <c r="M509" i="15"/>
  <c r="L509" i="15"/>
  <c r="O508" i="15"/>
  <c r="N508" i="15"/>
  <c r="M508" i="15"/>
  <c r="L508" i="15"/>
  <c r="O507" i="15"/>
  <c r="N507" i="15"/>
  <c r="M507" i="15"/>
  <c r="L507" i="15"/>
  <c r="O506" i="15"/>
  <c r="N506" i="15"/>
  <c r="M506" i="15"/>
  <c r="L506" i="15"/>
  <c r="O505" i="15"/>
  <c r="N505" i="15"/>
  <c r="M505" i="15"/>
  <c r="L505" i="15"/>
  <c r="O504" i="15"/>
  <c r="N504" i="15"/>
  <c r="M504" i="15"/>
  <c r="L504" i="15"/>
  <c r="O503" i="15"/>
  <c r="N503" i="15"/>
  <c r="M503" i="15"/>
  <c r="L503" i="15"/>
  <c r="O502" i="15"/>
  <c r="N502" i="15"/>
  <c r="M502" i="15"/>
  <c r="L502" i="15"/>
  <c r="O501" i="15"/>
  <c r="N501" i="15"/>
  <c r="M501" i="15"/>
  <c r="L501" i="15"/>
  <c r="O500" i="15"/>
  <c r="N500" i="15"/>
  <c r="M500" i="15"/>
  <c r="L500" i="15"/>
  <c r="O499" i="15"/>
  <c r="N499" i="15"/>
  <c r="M499" i="15"/>
  <c r="L499" i="15"/>
  <c r="O498" i="15"/>
  <c r="N498" i="15"/>
  <c r="M498" i="15"/>
  <c r="L498" i="15"/>
  <c r="O497" i="15"/>
  <c r="N497" i="15"/>
  <c r="M497" i="15"/>
  <c r="L497" i="15"/>
  <c r="O496" i="15"/>
  <c r="N496" i="15"/>
  <c r="M496" i="15"/>
  <c r="L496" i="15"/>
  <c r="O495" i="15"/>
  <c r="N495" i="15"/>
  <c r="M495" i="15"/>
  <c r="L495" i="15"/>
  <c r="O494" i="15"/>
  <c r="N494" i="15"/>
  <c r="M494" i="15"/>
  <c r="L494" i="15"/>
  <c r="O493" i="15"/>
  <c r="N493" i="15"/>
  <c r="M493" i="15"/>
  <c r="L493" i="15"/>
  <c r="O492" i="15"/>
  <c r="N492" i="15"/>
  <c r="M492" i="15"/>
  <c r="L492" i="15"/>
  <c r="E550" i="15"/>
  <c r="M549" i="15"/>
  <c r="E549" i="15"/>
  <c r="M548" i="15"/>
  <c r="E548" i="15"/>
  <c r="J547" i="15"/>
  <c r="B547" i="15"/>
  <c r="B487" i="15"/>
  <c r="J487" i="15"/>
  <c r="E488" i="15"/>
  <c r="M488" i="15"/>
  <c r="E489" i="15"/>
  <c r="M489" i="15"/>
  <c r="E490" i="15"/>
  <c r="D492" i="15"/>
  <c r="E492" i="15"/>
  <c r="F492" i="15"/>
  <c r="G492" i="15"/>
  <c r="D493" i="15"/>
  <c r="E493" i="15"/>
  <c r="F493" i="15"/>
  <c r="G493" i="15"/>
  <c r="D494" i="15"/>
  <c r="E494" i="15"/>
  <c r="F494" i="15"/>
  <c r="G494" i="15"/>
  <c r="D495" i="15"/>
  <c r="E495" i="15"/>
  <c r="F495" i="15"/>
  <c r="G495" i="15"/>
  <c r="D496" i="15"/>
  <c r="E496" i="15"/>
  <c r="F496" i="15"/>
  <c r="G496" i="15"/>
  <c r="D497" i="15"/>
  <c r="E497" i="15"/>
  <c r="F497" i="15"/>
  <c r="G497" i="15"/>
  <c r="D498" i="15"/>
  <c r="E498" i="15"/>
  <c r="F498" i="15"/>
  <c r="G498" i="15"/>
  <c r="D499" i="15"/>
  <c r="E499" i="15"/>
  <c r="F499" i="15"/>
  <c r="G499" i="15"/>
  <c r="D500" i="15"/>
  <c r="E500" i="15"/>
  <c r="F500" i="15"/>
  <c r="G500" i="15"/>
  <c r="D501" i="15"/>
  <c r="E501" i="15"/>
  <c r="F501" i="15"/>
  <c r="G501" i="15"/>
  <c r="D502" i="15"/>
  <c r="E502" i="15"/>
  <c r="F502" i="15"/>
  <c r="G502" i="15"/>
  <c r="D503" i="15"/>
  <c r="E503" i="15"/>
  <c r="F503" i="15"/>
  <c r="G503" i="15"/>
  <c r="D504" i="15"/>
  <c r="E504" i="15"/>
  <c r="F504" i="15"/>
  <c r="G504" i="15"/>
  <c r="D505" i="15"/>
  <c r="E505" i="15"/>
  <c r="F505" i="15"/>
  <c r="G505" i="15"/>
  <c r="D506" i="15"/>
  <c r="E506" i="15"/>
  <c r="F506" i="15"/>
  <c r="G506" i="15"/>
  <c r="D507" i="15"/>
  <c r="E507" i="15"/>
  <c r="F507" i="15"/>
  <c r="G507" i="15"/>
  <c r="D508" i="15"/>
  <c r="E508" i="15"/>
  <c r="F508" i="15"/>
  <c r="G508" i="15"/>
  <c r="D509" i="15"/>
  <c r="E509" i="15"/>
  <c r="F509" i="15"/>
  <c r="G509" i="15"/>
  <c r="D510" i="15"/>
  <c r="E510" i="15"/>
  <c r="F510" i="15"/>
  <c r="G510" i="15"/>
  <c r="D511" i="15"/>
  <c r="E511" i="15"/>
  <c r="F511" i="15"/>
  <c r="G511" i="15"/>
  <c r="D512" i="15"/>
  <c r="E512" i="15"/>
  <c r="F512" i="15"/>
  <c r="G512" i="15"/>
  <c r="D513" i="15"/>
  <c r="E513" i="15"/>
  <c r="F513" i="15"/>
  <c r="G513" i="15"/>
  <c r="D514" i="15"/>
  <c r="E514" i="15"/>
  <c r="F514" i="15"/>
  <c r="G514" i="15"/>
  <c r="D515" i="15"/>
  <c r="E515" i="15"/>
  <c r="F515" i="15"/>
  <c r="G515" i="15"/>
  <c r="D516" i="15"/>
  <c r="E516" i="15"/>
  <c r="F516" i="15"/>
  <c r="G516" i="15"/>
  <c r="D517" i="15"/>
  <c r="E517" i="15"/>
  <c r="F517" i="15"/>
  <c r="G517" i="15"/>
  <c r="D518" i="15"/>
  <c r="E518" i="15"/>
  <c r="F518" i="15"/>
  <c r="G518" i="15"/>
  <c r="D519" i="15"/>
  <c r="E519" i="15"/>
  <c r="F519" i="15"/>
  <c r="G519" i="15"/>
  <c r="D520" i="15"/>
  <c r="E520" i="15"/>
  <c r="F520" i="15"/>
  <c r="G520" i="15"/>
  <c r="D521" i="15"/>
  <c r="E521" i="15"/>
  <c r="F521" i="15"/>
  <c r="G521" i="15"/>
  <c r="D522" i="15"/>
  <c r="E522" i="15"/>
  <c r="F522" i="15"/>
  <c r="G522" i="15"/>
  <c r="D523" i="15"/>
  <c r="E523" i="15"/>
  <c r="F523" i="15"/>
  <c r="G523" i="15"/>
  <c r="D524" i="15"/>
  <c r="E524" i="15"/>
  <c r="F524" i="15"/>
  <c r="G524" i="15"/>
  <c r="D525" i="15"/>
  <c r="E525" i="15"/>
  <c r="F525" i="15"/>
  <c r="G525" i="15"/>
  <c r="D526" i="15"/>
  <c r="E526" i="15"/>
  <c r="F526" i="15"/>
  <c r="G526" i="15"/>
  <c r="D527" i="15"/>
  <c r="E527" i="15"/>
  <c r="F527" i="15"/>
  <c r="G527" i="15"/>
  <c r="D528" i="15"/>
  <c r="E528" i="15"/>
  <c r="F528" i="15"/>
  <c r="G528" i="15"/>
  <c r="D529" i="15"/>
  <c r="E529" i="15"/>
  <c r="F529" i="15"/>
  <c r="G529" i="15"/>
  <c r="D530" i="15"/>
  <c r="E530" i="15"/>
  <c r="F530" i="15"/>
  <c r="G530" i="15"/>
  <c r="D531" i="15"/>
  <c r="E531" i="15"/>
  <c r="F531" i="15"/>
  <c r="G531" i="15"/>
  <c r="D532" i="15"/>
  <c r="E532" i="15"/>
  <c r="F532" i="15"/>
  <c r="G532" i="15"/>
  <c r="D533" i="15"/>
  <c r="E533" i="15"/>
  <c r="F533" i="15"/>
  <c r="G533" i="15"/>
  <c r="D534" i="15"/>
  <c r="E534" i="15"/>
  <c r="F534" i="15"/>
  <c r="G534" i="15"/>
  <c r="D535" i="15"/>
  <c r="E535" i="15"/>
  <c r="F535" i="15"/>
  <c r="G535" i="15"/>
  <c r="D536" i="15"/>
  <c r="E536" i="15"/>
  <c r="F536" i="15"/>
  <c r="G536" i="15"/>
  <c r="D537" i="15"/>
  <c r="E537" i="15"/>
  <c r="F537" i="15"/>
  <c r="G537" i="15"/>
  <c r="D538" i="15"/>
  <c r="E538" i="15"/>
  <c r="F538" i="15"/>
  <c r="G538" i="15"/>
  <c r="D539" i="15"/>
  <c r="E539" i="15"/>
  <c r="F539" i="15"/>
  <c r="G539" i="15"/>
  <c r="L539" i="15"/>
  <c r="M539" i="15"/>
  <c r="N539" i="15"/>
  <c r="O539" i="15"/>
  <c r="R26" i="42" l="1"/>
  <c r="R27" i="42"/>
  <c r="R28" i="42"/>
  <c r="R29" i="42"/>
  <c r="R30" i="42"/>
  <c r="R31" i="42"/>
  <c r="R32" i="42"/>
  <c r="R33" i="42"/>
  <c r="R16" i="34"/>
  <c r="N129" i="43"/>
  <c r="F129" i="43"/>
  <c r="N69" i="43"/>
  <c r="F69" i="43"/>
  <c r="N9" i="43"/>
  <c r="F9" i="43"/>
  <c r="N129" i="42"/>
  <c r="F129" i="42"/>
  <c r="N69" i="42"/>
  <c r="F69" i="42"/>
  <c r="N9" i="42"/>
  <c r="F9" i="42"/>
  <c r="N129" i="41"/>
  <c r="F129" i="41"/>
  <c r="N69" i="41"/>
  <c r="F69" i="41"/>
  <c r="N9" i="41"/>
  <c r="F9" i="41"/>
  <c r="N129" i="40"/>
  <c r="F129" i="40"/>
  <c r="N69" i="40"/>
  <c r="F69" i="40"/>
  <c r="N9" i="40"/>
  <c r="F9" i="40"/>
  <c r="N129" i="33"/>
  <c r="F129" i="33"/>
  <c r="N69" i="33"/>
  <c r="F69" i="33"/>
  <c r="N9" i="33"/>
  <c r="F9" i="33"/>
  <c r="N129" i="39"/>
  <c r="F129" i="39"/>
  <c r="N69" i="39"/>
  <c r="F69" i="39"/>
  <c r="N9" i="39"/>
  <c r="F9" i="39"/>
  <c r="N9" i="38"/>
  <c r="N69" i="38"/>
  <c r="N129" i="38"/>
  <c r="F129" i="38"/>
  <c r="F69" i="38"/>
  <c r="F9" i="38"/>
  <c r="N129" i="32"/>
  <c r="N69" i="32"/>
  <c r="N9" i="32"/>
  <c r="F129" i="32"/>
  <c r="F69" i="32"/>
  <c r="G9" i="32"/>
  <c r="R13" i="43"/>
  <c r="R14" i="43"/>
  <c r="R15" i="43"/>
  <c r="R16" i="43"/>
  <c r="R17" i="43"/>
  <c r="R18" i="43"/>
  <c r="R19" i="43"/>
  <c r="R20" i="43"/>
  <c r="R21" i="43"/>
  <c r="R22" i="43"/>
  <c r="R23" i="43"/>
  <c r="R24" i="43"/>
  <c r="R25" i="43"/>
  <c r="R26" i="43"/>
  <c r="R27" i="43"/>
  <c r="R28" i="43"/>
  <c r="R29" i="43"/>
  <c r="G7" i="15"/>
  <c r="R12" i="43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12" i="42"/>
  <c r="R14" i="41"/>
  <c r="R15" i="41"/>
  <c r="R16" i="41"/>
  <c r="R17" i="41"/>
  <c r="R18" i="41"/>
  <c r="R19" i="41"/>
  <c r="R20" i="41"/>
  <c r="R21" i="41"/>
  <c r="R22" i="41"/>
  <c r="R23" i="41"/>
  <c r="R24" i="41"/>
  <c r="R25" i="41"/>
  <c r="R26" i="41"/>
  <c r="R27" i="41"/>
  <c r="R28" i="41"/>
  <c r="R29" i="41"/>
  <c r="R30" i="41"/>
  <c r="R31" i="41"/>
  <c r="R32" i="41"/>
  <c r="R13" i="41"/>
  <c r="R27" i="40"/>
  <c r="R28" i="40"/>
  <c r="R29" i="40"/>
  <c r="R30" i="40"/>
  <c r="R31" i="40"/>
  <c r="R13" i="40"/>
  <c r="R14" i="40"/>
  <c r="R15" i="40"/>
  <c r="R16" i="40"/>
  <c r="R17" i="40"/>
  <c r="R18" i="40"/>
  <c r="R19" i="40"/>
  <c r="R20" i="40"/>
  <c r="R21" i="40"/>
  <c r="R22" i="40"/>
  <c r="R23" i="40"/>
  <c r="R24" i="40"/>
  <c r="R25" i="40"/>
  <c r="R26" i="40"/>
  <c r="R12" i="40"/>
  <c r="R27" i="33"/>
  <c r="R28" i="33"/>
  <c r="R29" i="33"/>
  <c r="R30" i="33"/>
  <c r="R31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12" i="33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12" i="39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12" i="38"/>
  <c r="R13" i="32"/>
  <c r="R14" i="32"/>
  <c r="R15" i="32"/>
  <c r="R16" i="32"/>
  <c r="R17" i="32"/>
  <c r="R18" i="32"/>
  <c r="R19" i="32"/>
  <c r="R20" i="32"/>
  <c r="R21" i="32"/>
  <c r="R22" i="32"/>
  <c r="R23" i="32"/>
  <c r="R24" i="32"/>
  <c r="R25" i="32"/>
  <c r="R26" i="32"/>
  <c r="R27" i="32"/>
  <c r="R28" i="32"/>
  <c r="R29" i="32"/>
  <c r="R30" i="32"/>
  <c r="R31" i="32"/>
  <c r="R12" i="32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12" i="37"/>
  <c r="R13" i="36"/>
  <c r="R14" i="36"/>
  <c r="R15" i="36"/>
  <c r="R16" i="36"/>
  <c r="R17" i="36"/>
  <c r="R18" i="36"/>
  <c r="R19" i="36"/>
  <c r="R20" i="36"/>
  <c r="R21" i="36"/>
  <c r="R22" i="36"/>
  <c r="R23" i="36"/>
  <c r="R24" i="36"/>
  <c r="R25" i="36"/>
  <c r="R26" i="36"/>
  <c r="R27" i="36"/>
  <c r="R28" i="36"/>
  <c r="R29" i="36"/>
  <c r="R30" i="36"/>
  <c r="R31" i="36"/>
  <c r="R32" i="36"/>
  <c r="R33" i="36"/>
  <c r="R34" i="36"/>
  <c r="R35" i="36"/>
  <c r="R12" i="36"/>
  <c r="R12" i="31"/>
  <c r="R26" i="31"/>
  <c r="R27" i="31"/>
  <c r="R28" i="31"/>
  <c r="R29" i="31"/>
  <c r="R30" i="31"/>
  <c r="R31" i="31"/>
  <c r="R32" i="31"/>
  <c r="R33" i="31"/>
  <c r="R34" i="31"/>
  <c r="R35" i="31"/>
  <c r="R13" i="31"/>
  <c r="R14" i="31"/>
  <c r="R15" i="31"/>
  <c r="R16" i="31"/>
  <c r="R17" i="31"/>
  <c r="R18" i="31"/>
  <c r="R19" i="31"/>
  <c r="R20" i="31"/>
  <c r="R21" i="31"/>
  <c r="R22" i="31"/>
  <c r="R23" i="31"/>
  <c r="R24" i="31"/>
  <c r="R25" i="31"/>
  <c r="R12" i="35"/>
  <c r="R27" i="35"/>
  <c r="R28" i="35"/>
  <c r="R29" i="35"/>
  <c r="R30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19" i="34"/>
  <c r="R20" i="34"/>
  <c r="R13" i="34"/>
  <c r="R14" i="34"/>
  <c r="R15" i="34"/>
  <c r="R17" i="34"/>
  <c r="R18" i="34"/>
  <c r="R21" i="34"/>
  <c r="R22" i="34"/>
  <c r="R23" i="34"/>
  <c r="R24" i="34"/>
  <c r="R25" i="34"/>
  <c r="R26" i="34"/>
  <c r="R27" i="34"/>
  <c r="R28" i="34"/>
  <c r="R29" i="34"/>
  <c r="R30" i="34"/>
  <c r="G487" i="15" l="1"/>
  <c r="O487" i="15"/>
  <c r="R12" i="34" l="1"/>
  <c r="R13" i="15" l="1"/>
  <c r="R14" i="15"/>
  <c r="R15" i="15"/>
  <c r="R16" i="15"/>
  <c r="R17" i="15"/>
  <c r="R18" i="15"/>
  <c r="R19" i="15"/>
  <c r="R20" i="15"/>
  <c r="R21" i="15"/>
  <c r="R22" i="15"/>
  <c r="R23" i="15"/>
  <c r="R24" i="15"/>
  <c r="R25" i="15"/>
  <c r="R12" i="15"/>
  <c r="H562" i="15" l="1"/>
  <c r="H564" i="15"/>
  <c r="H586" i="15"/>
  <c r="H590" i="15"/>
  <c r="P597" i="15"/>
  <c r="H595" i="15"/>
  <c r="P593" i="15"/>
  <c r="H591" i="15"/>
  <c r="P587" i="15"/>
  <c r="H587" i="15"/>
  <c r="P585" i="15"/>
  <c r="P583" i="15"/>
  <c r="P579" i="15"/>
  <c r="H579" i="15"/>
  <c r="P578" i="15"/>
  <c r="P577" i="15"/>
  <c r="P575" i="15"/>
  <c r="P573" i="15"/>
  <c r="H573" i="15"/>
  <c r="H571" i="15"/>
  <c r="P569" i="15"/>
  <c r="H569" i="15"/>
  <c r="P568" i="15"/>
  <c r="P565" i="15"/>
  <c r="H565" i="15"/>
  <c r="P564" i="15"/>
  <c r="P563" i="15"/>
  <c r="H563" i="15"/>
  <c r="P561" i="15"/>
  <c r="P559" i="15"/>
  <c r="H559" i="15"/>
  <c r="P555" i="15"/>
  <c r="P554" i="15"/>
  <c r="P538" i="15"/>
  <c r="P537" i="15"/>
  <c r="P534" i="15"/>
  <c r="P530" i="15"/>
  <c r="P529" i="15"/>
  <c r="P526" i="15"/>
  <c r="P522" i="15"/>
  <c r="P521" i="15"/>
  <c r="P518" i="15"/>
  <c r="P514" i="15"/>
  <c r="P513" i="15"/>
  <c r="P510" i="15"/>
  <c r="P506" i="15"/>
  <c r="P505" i="15"/>
  <c r="P502" i="15"/>
  <c r="P498" i="15"/>
  <c r="P497" i="15"/>
  <c r="P494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154" i="15"/>
  <c r="H153" i="15"/>
  <c r="H152" i="15"/>
  <c r="H151" i="15"/>
  <c r="H150" i="15"/>
  <c r="H149" i="15"/>
  <c r="H148" i="15"/>
  <c r="P492" i="15"/>
  <c r="P493" i="15"/>
  <c r="P495" i="15"/>
  <c r="P496" i="15"/>
  <c r="P499" i="15"/>
  <c r="P500" i="15"/>
  <c r="P501" i="15"/>
  <c r="P503" i="15"/>
  <c r="P504" i="15"/>
  <c r="P507" i="15"/>
  <c r="P508" i="15"/>
  <c r="P509" i="15"/>
  <c r="P511" i="15"/>
  <c r="P512" i="15"/>
  <c r="P515" i="15"/>
  <c r="P516" i="15"/>
  <c r="P517" i="15"/>
  <c r="P519" i="15"/>
  <c r="P520" i="15"/>
  <c r="P523" i="15"/>
  <c r="P524" i="15"/>
  <c r="P525" i="15"/>
  <c r="P527" i="15"/>
  <c r="P528" i="15"/>
  <c r="P531" i="15"/>
  <c r="P532" i="15"/>
  <c r="P533" i="15"/>
  <c r="P535" i="15"/>
  <c r="P536" i="15"/>
  <c r="P552" i="15"/>
  <c r="P553" i="15"/>
  <c r="P556" i="15"/>
  <c r="P557" i="15"/>
  <c r="P558" i="15"/>
  <c r="P560" i="15"/>
  <c r="P562" i="15"/>
  <c r="P566" i="15"/>
  <c r="P567" i="15"/>
  <c r="P570" i="15"/>
  <c r="P571" i="15"/>
  <c r="P572" i="15"/>
  <c r="P574" i="15"/>
  <c r="P576" i="15"/>
  <c r="P580" i="15"/>
  <c r="P581" i="15"/>
  <c r="P582" i="15"/>
  <c r="P584" i="15"/>
  <c r="P586" i="15"/>
  <c r="P588" i="15"/>
  <c r="P589" i="15"/>
  <c r="P590" i="15"/>
  <c r="P591" i="15"/>
  <c r="P592" i="15"/>
  <c r="P594" i="15"/>
  <c r="P595" i="15"/>
  <c r="P596" i="15"/>
  <c r="P598" i="15"/>
  <c r="H552" i="15"/>
  <c r="H553" i="15"/>
  <c r="H554" i="15"/>
  <c r="H555" i="15"/>
  <c r="H556" i="15"/>
  <c r="H557" i="15"/>
  <c r="H558" i="15"/>
  <c r="H560" i="15"/>
  <c r="H561" i="15"/>
  <c r="H566" i="15"/>
  <c r="H567" i="15"/>
  <c r="H568" i="15"/>
  <c r="H570" i="15"/>
  <c r="H572" i="15"/>
  <c r="H574" i="15"/>
  <c r="H575" i="15"/>
  <c r="H576" i="15"/>
  <c r="H577" i="15"/>
  <c r="H578" i="15"/>
  <c r="H580" i="15"/>
  <c r="H581" i="15"/>
  <c r="H582" i="15"/>
  <c r="H583" i="15"/>
  <c r="H584" i="15"/>
  <c r="H585" i="15"/>
  <c r="H588" i="15"/>
  <c r="H589" i="15"/>
  <c r="H592" i="15"/>
  <c r="H593" i="15"/>
  <c r="H594" i="15"/>
  <c r="H596" i="15"/>
  <c r="H597" i="15"/>
  <c r="H598" i="15"/>
  <c r="L493" i="44"/>
  <c r="M493" i="44"/>
  <c r="N493" i="44"/>
  <c r="O493" i="44"/>
  <c r="L494" i="44"/>
  <c r="M494" i="44"/>
  <c r="N494" i="44"/>
  <c r="O494" i="44"/>
  <c r="L495" i="44"/>
  <c r="M495" i="44"/>
  <c r="N495" i="44"/>
  <c r="O495" i="44"/>
  <c r="L496" i="44"/>
  <c r="M496" i="44"/>
  <c r="N496" i="44"/>
  <c r="O496" i="44"/>
  <c r="L497" i="44"/>
  <c r="M497" i="44"/>
  <c r="N497" i="44"/>
  <c r="O497" i="44"/>
  <c r="L498" i="44"/>
  <c r="M498" i="44"/>
  <c r="N498" i="44"/>
  <c r="O498" i="44"/>
  <c r="L499" i="44"/>
  <c r="M499" i="44"/>
  <c r="N499" i="44"/>
  <c r="O499" i="44"/>
  <c r="L500" i="44"/>
  <c r="M500" i="44"/>
  <c r="N500" i="44"/>
  <c r="O500" i="44"/>
  <c r="L501" i="44"/>
  <c r="M501" i="44"/>
  <c r="N501" i="44"/>
  <c r="O501" i="44"/>
  <c r="L502" i="44"/>
  <c r="M502" i="44"/>
  <c r="N502" i="44"/>
  <c r="O502" i="44"/>
  <c r="L503" i="44"/>
  <c r="M503" i="44"/>
  <c r="N503" i="44"/>
  <c r="O503" i="44"/>
  <c r="L504" i="44"/>
  <c r="M504" i="44"/>
  <c r="N504" i="44"/>
  <c r="O504" i="44"/>
  <c r="L505" i="44"/>
  <c r="M505" i="44"/>
  <c r="N505" i="44"/>
  <c r="O505" i="44"/>
  <c r="L506" i="44"/>
  <c r="M506" i="44"/>
  <c r="N506" i="44"/>
  <c r="O506" i="44"/>
  <c r="L507" i="44"/>
  <c r="M507" i="44"/>
  <c r="N507" i="44"/>
  <c r="O507" i="44"/>
  <c r="L508" i="44"/>
  <c r="M508" i="44"/>
  <c r="N508" i="44"/>
  <c r="O508" i="44"/>
  <c r="L509" i="44"/>
  <c r="M509" i="44"/>
  <c r="N509" i="44"/>
  <c r="O509" i="44"/>
  <c r="L510" i="44"/>
  <c r="M510" i="44"/>
  <c r="N510" i="44"/>
  <c r="O510" i="44"/>
  <c r="L511" i="44"/>
  <c r="M511" i="44"/>
  <c r="N511" i="44"/>
  <c r="O511" i="44"/>
  <c r="L512" i="44"/>
  <c r="M512" i="44"/>
  <c r="N512" i="44"/>
  <c r="O512" i="44"/>
  <c r="L513" i="44"/>
  <c r="M513" i="44"/>
  <c r="N513" i="44"/>
  <c r="O513" i="44"/>
  <c r="L514" i="44"/>
  <c r="M514" i="44"/>
  <c r="N514" i="44"/>
  <c r="O514" i="44"/>
  <c r="L515" i="44"/>
  <c r="M515" i="44"/>
  <c r="N515" i="44"/>
  <c r="O515" i="44"/>
  <c r="L516" i="44"/>
  <c r="M516" i="44"/>
  <c r="N516" i="44"/>
  <c r="O516" i="44"/>
  <c r="L517" i="44"/>
  <c r="M517" i="44"/>
  <c r="N517" i="44"/>
  <c r="O517" i="44"/>
  <c r="L518" i="44"/>
  <c r="M518" i="44"/>
  <c r="N518" i="44"/>
  <c r="O518" i="44"/>
  <c r="L519" i="44"/>
  <c r="M519" i="44"/>
  <c r="N519" i="44"/>
  <c r="O519" i="44"/>
  <c r="L520" i="44"/>
  <c r="M520" i="44"/>
  <c r="N520" i="44"/>
  <c r="O520" i="44"/>
  <c r="L521" i="44"/>
  <c r="M521" i="44"/>
  <c r="N521" i="44"/>
  <c r="O521" i="44"/>
  <c r="L522" i="44"/>
  <c r="M522" i="44"/>
  <c r="N522" i="44"/>
  <c r="O522" i="44"/>
  <c r="L523" i="44"/>
  <c r="M523" i="44"/>
  <c r="N523" i="44"/>
  <c r="O523" i="44"/>
  <c r="L524" i="44"/>
  <c r="M524" i="44"/>
  <c r="N524" i="44"/>
  <c r="O524" i="44"/>
  <c r="L525" i="44"/>
  <c r="M525" i="44"/>
  <c r="N525" i="44"/>
  <c r="O525" i="44"/>
  <c r="L526" i="44"/>
  <c r="M526" i="44"/>
  <c r="N526" i="44"/>
  <c r="O526" i="44"/>
  <c r="L527" i="44"/>
  <c r="M527" i="44"/>
  <c r="N527" i="44"/>
  <c r="O527" i="44"/>
  <c r="L528" i="44"/>
  <c r="M528" i="44"/>
  <c r="N528" i="44"/>
  <c r="O528" i="44"/>
  <c r="L529" i="44"/>
  <c r="M529" i="44"/>
  <c r="N529" i="44"/>
  <c r="O529" i="44"/>
  <c r="L530" i="44"/>
  <c r="M530" i="44"/>
  <c r="N530" i="44"/>
  <c r="O530" i="44"/>
  <c r="L531" i="44"/>
  <c r="M531" i="44"/>
  <c r="N531" i="44"/>
  <c r="O531" i="44"/>
  <c r="L532" i="44"/>
  <c r="M532" i="44"/>
  <c r="N532" i="44"/>
  <c r="O532" i="44"/>
  <c r="L533" i="44"/>
  <c r="M533" i="44"/>
  <c r="N533" i="44"/>
  <c r="O533" i="44"/>
  <c r="L534" i="44"/>
  <c r="M534" i="44"/>
  <c r="N534" i="44"/>
  <c r="O534" i="44"/>
  <c r="L535" i="44"/>
  <c r="M535" i="44"/>
  <c r="N535" i="44"/>
  <c r="O535" i="44"/>
  <c r="L536" i="44"/>
  <c r="M536" i="44"/>
  <c r="N536" i="44"/>
  <c r="O536" i="44"/>
  <c r="L537" i="44"/>
  <c r="M537" i="44"/>
  <c r="N537" i="44"/>
  <c r="O537" i="44"/>
  <c r="L538" i="44"/>
  <c r="M538" i="44"/>
  <c r="N538" i="44"/>
  <c r="O538" i="44"/>
  <c r="D493" i="44"/>
  <c r="E493" i="44"/>
  <c r="F493" i="44"/>
  <c r="G493" i="44"/>
  <c r="D494" i="44"/>
  <c r="E494" i="44"/>
  <c r="F494" i="44"/>
  <c r="G494" i="44"/>
  <c r="D495" i="44"/>
  <c r="E495" i="44"/>
  <c r="F495" i="44"/>
  <c r="G495" i="44"/>
  <c r="D496" i="44"/>
  <c r="E496" i="44"/>
  <c r="F496" i="44"/>
  <c r="G496" i="44"/>
  <c r="D497" i="44"/>
  <c r="E497" i="44"/>
  <c r="F497" i="44"/>
  <c r="G497" i="44"/>
  <c r="D498" i="44"/>
  <c r="E498" i="44"/>
  <c r="F498" i="44"/>
  <c r="G498" i="44"/>
  <c r="D499" i="44"/>
  <c r="E499" i="44"/>
  <c r="F499" i="44"/>
  <c r="G499" i="44"/>
  <c r="D500" i="44"/>
  <c r="E500" i="44"/>
  <c r="F500" i="44"/>
  <c r="G500" i="44"/>
  <c r="D501" i="44"/>
  <c r="E501" i="44"/>
  <c r="F501" i="44"/>
  <c r="G501" i="44"/>
  <c r="D502" i="44"/>
  <c r="E502" i="44"/>
  <c r="F502" i="44"/>
  <c r="G502" i="44"/>
  <c r="D503" i="44"/>
  <c r="E503" i="44"/>
  <c r="F503" i="44"/>
  <c r="G503" i="44"/>
  <c r="D504" i="44"/>
  <c r="E504" i="44"/>
  <c r="F504" i="44"/>
  <c r="G504" i="44"/>
  <c r="D505" i="44"/>
  <c r="E505" i="44"/>
  <c r="F505" i="44"/>
  <c r="G505" i="44"/>
  <c r="D506" i="44"/>
  <c r="E506" i="44"/>
  <c r="F506" i="44"/>
  <c r="G506" i="44"/>
  <c r="D507" i="44"/>
  <c r="E507" i="44"/>
  <c r="F507" i="44"/>
  <c r="G507" i="44"/>
  <c r="D508" i="44"/>
  <c r="E508" i="44"/>
  <c r="F508" i="44"/>
  <c r="G508" i="44"/>
  <c r="D509" i="44"/>
  <c r="E509" i="44"/>
  <c r="F509" i="44"/>
  <c r="G509" i="44"/>
  <c r="D510" i="44"/>
  <c r="E510" i="44"/>
  <c r="F510" i="44"/>
  <c r="G510" i="44"/>
  <c r="D511" i="44"/>
  <c r="E511" i="44"/>
  <c r="F511" i="44"/>
  <c r="G511" i="44"/>
  <c r="D512" i="44"/>
  <c r="E512" i="44"/>
  <c r="F512" i="44"/>
  <c r="G512" i="44"/>
  <c r="D513" i="44"/>
  <c r="E513" i="44"/>
  <c r="F513" i="44"/>
  <c r="G513" i="44"/>
  <c r="D514" i="44"/>
  <c r="E514" i="44"/>
  <c r="F514" i="44"/>
  <c r="G514" i="44"/>
  <c r="D515" i="44"/>
  <c r="E515" i="44"/>
  <c r="F515" i="44"/>
  <c r="G515" i="44"/>
  <c r="D516" i="44"/>
  <c r="E516" i="44"/>
  <c r="F516" i="44"/>
  <c r="G516" i="44"/>
  <c r="D517" i="44"/>
  <c r="E517" i="44"/>
  <c r="F517" i="44"/>
  <c r="G517" i="44"/>
  <c r="D518" i="44"/>
  <c r="E518" i="44"/>
  <c r="F518" i="44"/>
  <c r="G518" i="44"/>
  <c r="D519" i="44"/>
  <c r="E519" i="44"/>
  <c r="F519" i="44"/>
  <c r="G519" i="44"/>
  <c r="D520" i="44"/>
  <c r="E520" i="44"/>
  <c r="F520" i="44"/>
  <c r="G520" i="44"/>
  <c r="D521" i="44"/>
  <c r="E521" i="44"/>
  <c r="F521" i="44"/>
  <c r="G521" i="44"/>
  <c r="D522" i="44"/>
  <c r="E522" i="44"/>
  <c r="F522" i="44"/>
  <c r="G522" i="44"/>
  <c r="D523" i="44"/>
  <c r="E523" i="44"/>
  <c r="F523" i="44"/>
  <c r="G523" i="44"/>
  <c r="D524" i="44"/>
  <c r="E524" i="44"/>
  <c r="F524" i="44"/>
  <c r="G524" i="44"/>
  <c r="D525" i="44"/>
  <c r="E525" i="44"/>
  <c r="F525" i="44"/>
  <c r="G525" i="44"/>
  <c r="D526" i="44"/>
  <c r="E526" i="44"/>
  <c r="F526" i="44"/>
  <c r="G526" i="44"/>
  <c r="D527" i="44"/>
  <c r="E527" i="44"/>
  <c r="F527" i="44"/>
  <c r="G527" i="44"/>
  <c r="D528" i="44"/>
  <c r="E528" i="44"/>
  <c r="F528" i="44"/>
  <c r="G528" i="44"/>
  <c r="D529" i="44"/>
  <c r="E529" i="44"/>
  <c r="F529" i="44"/>
  <c r="G529" i="44"/>
  <c r="D530" i="44"/>
  <c r="E530" i="44"/>
  <c r="F530" i="44"/>
  <c r="G530" i="44"/>
  <c r="D531" i="44"/>
  <c r="E531" i="44"/>
  <c r="F531" i="44"/>
  <c r="G531" i="44"/>
  <c r="D532" i="44"/>
  <c r="E532" i="44"/>
  <c r="F532" i="44"/>
  <c r="G532" i="44"/>
  <c r="D533" i="44"/>
  <c r="E533" i="44"/>
  <c r="F533" i="44"/>
  <c r="G533" i="44"/>
  <c r="D534" i="44"/>
  <c r="E534" i="44"/>
  <c r="F534" i="44"/>
  <c r="G534" i="44"/>
  <c r="D535" i="44"/>
  <c r="E535" i="44"/>
  <c r="F535" i="44"/>
  <c r="G535" i="44"/>
  <c r="D536" i="44"/>
  <c r="E536" i="44"/>
  <c r="F536" i="44"/>
  <c r="G536" i="44"/>
  <c r="D537" i="44"/>
  <c r="E537" i="44"/>
  <c r="F537" i="44"/>
  <c r="G537" i="44"/>
  <c r="D538" i="44"/>
  <c r="E538" i="44"/>
  <c r="F538" i="44"/>
  <c r="G538" i="44"/>
  <c r="L433" i="44"/>
  <c r="M433" i="44"/>
  <c r="N433" i="44"/>
  <c r="O433" i="44"/>
  <c r="L434" i="44"/>
  <c r="M434" i="44"/>
  <c r="N434" i="44"/>
  <c r="O434" i="44"/>
  <c r="L435" i="44"/>
  <c r="M435" i="44"/>
  <c r="N435" i="44"/>
  <c r="O435" i="44"/>
  <c r="L436" i="44"/>
  <c r="M436" i="44"/>
  <c r="N436" i="44"/>
  <c r="O436" i="44"/>
  <c r="L437" i="44"/>
  <c r="M437" i="44"/>
  <c r="N437" i="44"/>
  <c r="O437" i="44"/>
  <c r="L438" i="44"/>
  <c r="M438" i="44"/>
  <c r="N438" i="44"/>
  <c r="O438" i="44"/>
  <c r="L439" i="44"/>
  <c r="M439" i="44"/>
  <c r="N439" i="44"/>
  <c r="O439" i="44"/>
  <c r="L440" i="44"/>
  <c r="M440" i="44"/>
  <c r="N440" i="44"/>
  <c r="O440" i="44"/>
  <c r="L441" i="44"/>
  <c r="M441" i="44"/>
  <c r="N441" i="44"/>
  <c r="O441" i="44"/>
  <c r="L442" i="44"/>
  <c r="M442" i="44"/>
  <c r="N442" i="44"/>
  <c r="O442" i="44"/>
  <c r="L443" i="44"/>
  <c r="M443" i="44"/>
  <c r="N443" i="44"/>
  <c r="O443" i="44"/>
  <c r="L444" i="44"/>
  <c r="M444" i="44"/>
  <c r="N444" i="44"/>
  <c r="O444" i="44"/>
  <c r="L445" i="44"/>
  <c r="M445" i="44"/>
  <c r="N445" i="44"/>
  <c r="O445" i="44"/>
  <c r="L446" i="44"/>
  <c r="M446" i="44"/>
  <c r="N446" i="44"/>
  <c r="O446" i="44"/>
  <c r="L447" i="44"/>
  <c r="M447" i="44"/>
  <c r="N447" i="44"/>
  <c r="O447" i="44"/>
  <c r="L448" i="44"/>
  <c r="M448" i="44"/>
  <c r="N448" i="44"/>
  <c r="O448" i="44"/>
  <c r="L449" i="44"/>
  <c r="M449" i="44"/>
  <c r="N449" i="44"/>
  <c r="O449" i="44"/>
  <c r="L450" i="44"/>
  <c r="M450" i="44"/>
  <c r="N450" i="44"/>
  <c r="O450" i="44"/>
  <c r="L451" i="44"/>
  <c r="M451" i="44"/>
  <c r="N451" i="44"/>
  <c r="O451" i="44"/>
  <c r="L452" i="44"/>
  <c r="M452" i="44"/>
  <c r="N452" i="44"/>
  <c r="O452" i="44"/>
  <c r="L453" i="44"/>
  <c r="M453" i="44"/>
  <c r="N453" i="44"/>
  <c r="O453" i="44"/>
  <c r="L454" i="44"/>
  <c r="M454" i="44"/>
  <c r="N454" i="44"/>
  <c r="O454" i="44"/>
  <c r="L455" i="44"/>
  <c r="M455" i="44"/>
  <c r="N455" i="44"/>
  <c r="O455" i="44"/>
  <c r="L456" i="44"/>
  <c r="M456" i="44"/>
  <c r="N456" i="44"/>
  <c r="O456" i="44"/>
  <c r="L457" i="44"/>
  <c r="M457" i="44"/>
  <c r="N457" i="44"/>
  <c r="O457" i="44"/>
  <c r="L458" i="44"/>
  <c r="M458" i="44"/>
  <c r="N458" i="44"/>
  <c r="O458" i="44"/>
  <c r="L459" i="44"/>
  <c r="M459" i="44"/>
  <c r="N459" i="44"/>
  <c r="O459" i="44"/>
  <c r="L460" i="44"/>
  <c r="M460" i="44"/>
  <c r="N460" i="44"/>
  <c r="O460" i="44"/>
  <c r="L461" i="44"/>
  <c r="M461" i="44"/>
  <c r="N461" i="44"/>
  <c r="O461" i="44"/>
  <c r="L462" i="44"/>
  <c r="M462" i="44"/>
  <c r="N462" i="44"/>
  <c r="O462" i="44"/>
  <c r="L463" i="44"/>
  <c r="M463" i="44"/>
  <c r="N463" i="44"/>
  <c r="O463" i="44"/>
  <c r="L464" i="44"/>
  <c r="M464" i="44"/>
  <c r="N464" i="44"/>
  <c r="O464" i="44"/>
  <c r="L465" i="44"/>
  <c r="M465" i="44"/>
  <c r="N465" i="44"/>
  <c r="O465" i="44"/>
  <c r="L466" i="44"/>
  <c r="M466" i="44"/>
  <c r="N466" i="44"/>
  <c r="O466" i="44"/>
  <c r="L467" i="44"/>
  <c r="M467" i="44"/>
  <c r="N467" i="44"/>
  <c r="O467" i="44"/>
  <c r="L468" i="44"/>
  <c r="M468" i="44"/>
  <c r="N468" i="44"/>
  <c r="O468" i="44"/>
  <c r="L469" i="44"/>
  <c r="M469" i="44"/>
  <c r="N469" i="44"/>
  <c r="O469" i="44"/>
  <c r="L470" i="44"/>
  <c r="M470" i="44"/>
  <c r="N470" i="44"/>
  <c r="O470" i="44"/>
  <c r="L471" i="44"/>
  <c r="M471" i="44"/>
  <c r="N471" i="44"/>
  <c r="O471" i="44"/>
  <c r="L472" i="44"/>
  <c r="M472" i="44"/>
  <c r="N472" i="44"/>
  <c r="O472" i="44"/>
  <c r="L473" i="44"/>
  <c r="M473" i="44"/>
  <c r="N473" i="44"/>
  <c r="O473" i="44"/>
  <c r="L474" i="44"/>
  <c r="M474" i="44"/>
  <c r="N474" i="44"/>
  <c r="O474" i="44"/>
  <c r="L475" i="44"/>
  <c r="M475" i="44"/>
  <c r="N475" i="44"/>
  <c r="O475" i="44"/>
  <c r="L476" i="44"/>
  <c r="M476" i="44"/>
  <c r="N476" i="44"/>
  <c r="O476" i="44"/>
  <c r="L477" i="44"/>
  <c r="M477" i="44"/>
  <c r="N477" i="44"/>
  <c r="O477" i="44"/>
  <c r="L478" i="44"/>
  <c r="M478" i="44"/>
  <c r="N478" i="44"/>
  <c r="O478" i="44"/>
  <c r="D433" i="44"/>
  <c r="E433" i="44"/>
  <c r="F433" i="44"/>
  <c r="G433" i="44"/>
  <c r="D434" i="44"/>
  <c r="E434" i="44"/>
  <c r="F434" i="44"/>
  <c r="G434" i="44"/>
  <c r="D435" i="44"/>
  <c r="E435" i="44"/>
  <c r="F435" i="44"/>
  <c r="G435" i="44"/>
  <c r="D436" i="44"/>
  <c r="E436" i="44"/>
  <c r="F436" i="44"/>
  <c r="G436" i="44"/>
  <c r="D437" i="44"/>
  <c r="E437" i="44"/>
  <c r="F437" i="44"/>
  <c r="G437" i="44"/>
  <c r="D438" i="44"/>
  <c r="E438" i="44"/>
  <c r="F438" i="44"/>
  <c r="G438" i="44"/>
  <c r="D439" i="44"/>
  <c r="E439" i="44"/>
  <c r="F439" i="44"/>
  <c r="G439" i="44"/>
  <c r="D440" i="44"/>
  <c r="E440" i="44"/>
  <c r="F440" i="44"/>
  <c r="G440" i="44"/>
  <c r="D441" i="44"/>
  <c r="E441" i="44"/>
  <c r="F441" i="44"/>
  <c r="G441" i="44"/>
  <c r="D442" i="44"/>
  <c r="E442" i="44"/>
  <c r="F442" i="44"/>
  <c r="G442" i="44"/>
  <c r="D443" i="44"/>
  <c r="E443" i="44"/>
  <c r="F443" i="44"/>
  <c r="G443" i="44"/>
  <c r="D444" i="44"/>
  <c r="E444" i="44"/>
  <c r="F444" i="44"/>
  <c r="G444" i="44"/>
  <c r="D445" i="44"/>
  <c r="E445" i="44"/>
  <c r="F445" i="44"/>
  <c r="G445" i="44"/>
  <c r="D446" i="44"/>
  <c r="E446" i="44"/>
  <c r="F446" i="44"/>
  <c r="G446" i="44"/>
  <c r="D447" i="44"/>
  <c r="E447" i="44"/>
  <c r="F447" i="44"/>
  <c r="G447" i="44"/>
  <c r="D448" i="44"/>
  <c r="E448" i="44"/>
  <c r="F448" i="44"/>
  <c r="G448" i="44"/>
  <c r="D449" i="44"/>
  <c r="E449" i="44"/>
  <c r="F449" i="44"/>
  <c r="G449" i="44"/>
  <c r="D450" i="44"/>
  <c r="E450" i="44"/>
  <c r="F450" i="44"/>
  <c r="G450" i="44"/>
  <c r="D451" i="44"/>
  <c r="E451" i="44"/>
  <c r="F451" i="44"/>
  <c r="G451" i="44"/>
  <c r="D452" i="44"/>
  <c r="E452" i="44"/>
  <c r="F452" i="44"/>
  <c r="G452" i="44"/>
  <c r="D453" i="44"/>
  <c r="E453" i="44"/>
  <c r="F453" i="44"/>
  <c r="G453" i="44"/>
  <c r="D454" i="44"/>
  <c r="E454" i="44"/>
  <c r="F454" i="44"/>
  <c r="G454" i="44"/>
  <c r="D455" i="44"/>
  <c r="E455" i="44"/>
  <c r="F455" i="44"/>
  <c r="G455" i="44"/>
  <c r="D456" i="44"/>
  <c r="E456" i="44"/>
  <c r="F456" i="44"/>
  <c r="G456" i="44"/>
  <c r="D457" i="44"/>
  <c r="E457" i="44"/>
  <c r="F457" i="44"/>
  <c r="G457" i="44"/>
  <c r="D458" i="44"/>
  <c r="E458" i="44"/>
  <c r="F458" i="44"/>
  <c r="G458" i="44"/>
  <c r="D459" i="44"/>
  <c r="E459" i="44"/>
  <c r="F459" i="44"/>
  <c r="G459" i="44"/>
  <c r="D460" i="44"/>
  <c r="E460" i="44"/>
  <c r="F460" i="44"/>
  <c r="G460" i="44"/>
  <c r="D461" i="44"/>
  <c r="E461" i="44"/>
  <c r="F461" i="44"/>
  <c r="G461" i="44"/>
  <c r="D462" i="44"/>
  <c r="E462" i="44"/>
  <c r="F462" i="44"/>
  <c r="G462" i="44"/>
  <c r="D463" i="44"/>
  <c r="E463" i="44"/>
  <c r="F463" i="44"/>
  <c r="G463" i="44"/>
  <c r="D464" i="44"/>
  <c r="E464" i="44"/>
  <c r="F464" i="44"/>
  <c r="G464" i="44"/>
  <c r="D465" i="44"/>
  <c r="E465" i="44"/>
  <c r="F465" i="44"/>
  <c r="G465" i="44"/>
  <c r="D466" i="44"/>
  <c r="E466" i="44"/>
  <c r="F466" i="44"/>
  <c r="G466" i="44"/>
  <c r="D467" i="44"/>
  <c r="E467" i="44"/>
  <c r="F467" i="44"/>
  <c r="G467" i="44"/>
  <c r="D468" i="44"/>
  <c r="E468" i="44"/>
  <c r="F468" i="44"/>
  <c r="G468" i="44"/>
  <c r="D469" i="44"/>
  <c r="E469" i="44"/>
  <c r="F469" i="44"/>
  <c r="G469" i="44"/>
  <c r="D470" i="44"/>
  <c r="E470" i="44"/>
  <c r="F470" i="44"/>
  <c r="G470" i="44"/>
  <c r="D471" i="44"/>
  <c r="E471" i="44"/>
  <c r="F471" i="44"/>
  <c r="G471" i="44"/>
  <c r="D472" i="44"/>
  <c r="E472" i="44"/>
  <c r="F472" i="44"/>
  <c r="G472" i="44"/>
  <c r="D473" i="44"/>
  <c r="E473" i="44"/>
  <c r="F473" i="44"/>
  <c r="G473" i="44"/>
  <c r="D474" i="44"/>
  <c r="E474" i="44"/>
  <c r="F474" i="44"/>
  <c r="G474" i="44"/>
  <c r="D475" i="44"/>
  <c r="E475" i="44"/>
  <c r="F475" i="44"/>
  <c r="G475" i="44"/>
  <c r="D476" i="44"/>
  <c r="E476" i="44"/>
  <c r="F476" i="44"/>
  <c r="G476" i="44"/>
  <c r="D477" i="44"/>
  <c r="E477" i="44"/>
  <c r="F477" i="44"/>
  <c r="G477" i="44"/>
  <c r="D478" i="44"/>
  <c r="E478" i="44"/>
  <c r="F478" i="44"/>
  <c r="G478" i="44"/>
  <c r="L373" i="44"/>
  <c r="M373" i="44"/>
  <c r="N373" i="44"/>
  <c r="O373" i="44"/>
  <c r="L374" i="44"/>
  <c r="M374" i="44"/>
  <c r="N374" i="44"/>
  <c r="O374" i="44"/>
  <c r="L375" i="44"/>
  <c r="M375" i="44"/>
  <c r="N375" i="44"/>
  <c r="O375" i="44"/>
  <c r="L376" i="44"/>
  <c r="M376" i="44"/>
  <c r="N376" i="44"/>
  <c r="O376" i="44"/>
  <c r="L377" i="44"/>
  <c r="M377" i="44"/>
  <c r="N377" i="44"/>
  <c r="O377" i="44"/>
  <c r="L378" i="44"/>
  <c r="M378" i="44"/>
  <c r="N378" i="44"/>
  <c r="O378" i="44"/>
  <c r="L379" i="44"/>
  <c r="M379" i="44"/>
  <c r="N379" i="44"/>
  <c r="O379" i="44"/>
  <c r="L380" i="44"/>
  <c r="M380" i="44"/>
  <c r="N380" i="44"/>
  <c r="O380" i="44"/>
  <c r="L381" i="44"/>
  <c r="M381" i="44"/>
  <c r="N381" i="44"/>
  <c r="O381" i="44"/>
  <c r="L382" i="44"/>
  <c r="M382" i="44"/>
  <c r="N382" i="44"/>
  <c r="O382" i="44"/>
  <c r="L383" i="44"/>
  <c r="M383" i="44"/>
  <c r="N383" i="44"/>
  <c r="O383" i="44"/>
  <c r="L384" i="44"/>
  <c r="M384" i="44"/>
  <c r="N384" i="44"/>
  <c r="O384" i="44"/>
  <c r="L385" i="44"/>
  <c r="M385" i="44"/>
  <c r="N385" i="44"/>
  <c r="O385" i="44"/>
  <c r="L386" i="44"/>
  <c r="M386" i="44"/>
  <c r="N386" i="44"/>
  <c r="O386" i="44"/>
  <c r="L387" i="44"/>
  <c r="M387" i="44"/>
  <c r="N387" i="44"/>
  <c r="O387" i="44"/>
  <c r="L388" i="44"/>
  <c r="M388" i="44"/>
  <c r="N388" i="44"/>
  <c r="O388" i="44"/>
  <c r="L389" i="44"/>
  <c r="M389" i="44"/>
  <c r="N389" i="44"/>
  <c r="O389" i="44"/>
  <c r="L390" i="44"/>
  <c r="M390" i="44"/>
  <c r="N390" i="44"/>
  <c r="O390" i="44"/>
  <c r="L391" i="44"/>
  <c r="M391" i="44"/>
  <c r="N391" i="44"/>
  <c r="O391" i="44"/>
  <c r="L392" i="44"/>
  <c r="M392" i="44"/>
  <c r="N392" i="44"/>
  <c r="O392" i="44"/>
  <c r="L393" i="44"/>
  <c r="M393" i="44"/>
  <c r="N393" i="44"/>
  <c r="O393" i="44"/>
  <c r="L394" i="44"/>
  <c r="M394" i="44"/>
  <c r="N394" i="44"/>
  <c r="O394" i="44"/>
  <c r="L395" i="44"/>
  <c r="M395" i="44"/>
  <c r="N395" i="44"/>
  <c r="O395" i="44"/>
  <c r="L396" i="44"/>
  <c r="M396" i="44"/>
  <c r="N396" i="44"/>
  <c r="O396" i="44"/>
  <c r="L397" i="44"/>
  <c r="M397" i="44"/>
  <c r="N397" i="44"/>
  <c r="O397" i="44"/>
  <c r="L398" i="44"/>
  <c r="M398" i="44"/>
  <c r="N398" i="44"/>
  <c r="O398" i="44"/>
  <c r="L399" i="44"/>
  <c r="M399" i="44"/>
  <c r="N399" i="44"/>
  <c r="O399" i="44"/>
  <c r="L400" i="44"/>
  <c r="M400" i="44"/>
  <c r="N400" i="44"/>
  <c r="O400" i="44"/>
  <c r="L401" i="44"/>
  <c r="M401" i="44"/>
  <c r="N401" i="44"/>
  <c r="O401" i="44"/>
  <c r="L402" i="44"/>
  <c r="M402" i="44"/>
  <c r="N402" i="44"/>
  <c r="O402" i="44"/>
  <c r="L403" i="44"/>
  <c r="M403" i="44"/>
  <c r="N403" i="44"/>
  <c r="O403" i="44"/>
  <c r="L404" i="44"/>
  <c r="M404" i="44"/>
  <c r="N404" i="44"/>
  <c r="O404" i="44"/>
  <c r="L405" i="44"/>
  <c r="M405" i="44"/>
  <c r="N405" i="44"/>
  <c r="O405" i="44"/>
  <c r="L406" i="44"/>
  <c r="M406" i="44"/>
  <c r="N406" i="44"/>
  <c r="O406" i="44"/>
  <c r="L407" i="44"/>
  <c r="M407" i="44"/>
  <c r="N407" i="44"/>
  <c r="O407" i="44"/>
  <c r="L408" i="44"/>
  <c r="M408" i="44"/>
  <c r="N408" i="44"/>
  <c r="O408" i="44"/>
  <c r="L409" i="44"/>
  <c r="M409" i="44"/>
  <c r="N409" i="44"/>
  <c r="O409" i="44"/>
  <c r="L410" i="44"/>
  <c r="M410" i="44"/>
  <c r="N410" i="44"/>
  <c r="O410" i="44"/>
  <c r="L411" i="44"/>
  <c r="M411" i="44"/>
  <c r="N411" i="44"/>
  <c r="O411" i="44"/>
  <c r="L412" i="44"/>
  <c r="M412" i="44"/>
  <c r="N412" i="44"/>
  <c r="O412" i="44"/>
  <c r="L413" i="44"/>
  <c r="M413" i="44"/>
  <c r="N413" i="44"/>
  <c r="O413" i="44"/>
  <c r="L414" i="44"/>
  <c r="M414" i="44"/>
  <c r="N414" i="44"/>
  <c r="O414" i="44"/>
  <c r="L415" i="44"/>
  <c r="M415" i="44"/>
  <c r="N415" i="44"/>
  <c r="O415" i="44"/>
  <c r="L416" i="44"/>
  <c r="M416" i="44"/>
  <c r="N416" i="44"/>
  <c r="O416" i="44"/>
  <c r="L417" i="44"/>
  <c r="M417" i="44"/>
  <c r="N417" i="44"/>
  <c r="O417" i="44"/>
  <c r="L418" i="44"/>
  <c r="M418" i="44"/>
  <c r="N418" i="44"/>
  <c r="O418" i="44"/>
  <c r="L419" i="44"/>
  <c r="M419" i="44"/>
  <c r="N419" i="44"/>
  <c r="O419" i="44"/>
  <c r="D373" i="44"/>
  <c r="E373" i="44"/>
  <c r="F373" i="44"/>
  <c r="G373" i="44"/>
  <c r="D374" i="44"/>
  <c r="E374" i="44"/>
  <c r="F374" i="44"/>
  <c r="G374" i="44"/>
  <c r="D375" i="44"/>
  <c r="E375" i="44"/>
  <c r="F375" i="44"/>
  <c r="G375" i="44"/>
  <c r="D376" i="44"/>
  <c r="E376" i="44"/>
  <c r="F376" i="44"/>
  <c r="G376" i="44"/>
  <c r="D377" i="44"/>
  <c r="E377" i="44"/>
  <c r="F377" i="44"/>
  <c r="G377" i="44"/>
  <c r="D378" i="44"/>
  <c r="E378" i="44"/>
  <c r="F378" i="44"/>
  <c r="G378" i="44"/>
  <c r="D379" i="44"/>
  <c r="E379" i="44"/>
  <c r="F379" i="44"/>
  <c r="G379" i="44"/>
  <c r="D380" i="44"/>
  <c r="E380" i="44"/>
  <c r="F380" i="44"/>
  <c r="G380" i="44"/>
  <c r="D381" i="44"/>
  <c r="E381" i="44"/>
  <c r="F381" i="44"/>
  <c r="G381" i="44"/>
  <c r="D382" i="44"/>
  <c r="E382" i="44"/>
  <c r="F382" i="44"/>
  <c r="G382" i="44"/>
  <c r="D383" i="44"/>
  <c r="E383" i="44"/>
  <c r="F383" i="44"/>
  <c r="G383" i="44"/>
  <c r="D384" i="44"/>
  <c r="E384" i="44"/>
  <c r="F384" i="44"/>
  <c r="G384" i="44"/>
  <c r="D385" i="44"/>
  <c r="E385" i="44"/>
  <c r="F385" i="44"/>
  <c r="G385" i="44"/>
  <c r="D386" i="44"/>
  <c r="E386" i="44"/>
  <c r="F386" i="44"/>
  <c r="G386" i="44"/>
  <c r="D387" i="44"/>
  <c r="E387" i="44"/>
  <c r="F387" i="44"/>
  <c r="G387" i="44"/>
  <c r="D388" i="44"/>
  <c r="E388" i="44"/>
  <c r="F388" i="44"/>
  <c r="G388" i="44"/>
  <c r="D389" i="44"/>
  <c r="E389" i="44"/>
  <c r="F389" i="44"/>
  <c r="G389" i="44"/>
  <c r="D390" i="44"/>
  <c r="E390" i="44"/>
  <c r="F390" i="44"/>
  <c r="G390" i="44"/>
  <c r="D391" i="44"/>
  <c r="E391" i="44"/>
  <c r="F391" i="44"/>
  <c r="G391" i="44"/>
  <c r="D392" i="44"/>
  <c r="E392" i="44"/>
  <c r="F392" i="44"/>
  <c r="G392" i="44"/>
  <c r="D393" i="44"/>
  <c r="E393" i="44"/>
  <c r="F393" i="44"/>
  <c r="G393" i="44"/>
  <c r="D394" i="44"/>
  <c r="E394" i="44"/>
  <c r="F394" i="44"/>
  <c r="G394" i="44"/>
  <c r="D395" i="44"/>
  <c r="E395" i="44"/>
  <c r="F395" i="44"/>
  <c r="G395" i="44"/>
  <c r="D396" i="44"/>
  <c r="E396" i="44"/>
  <c r="F396" i="44"/>
  <c r="G396" i="44"/>
  <c r="D397" i="44"/>
  <c r="E397" i="44"/>
  <c r="F397" i="44"/>
  <c r="G397" i="44"/>
  <c r="D398" i="44"/>
  <c r="E398" i="44"/>
  <c r="F398" i="44"/>
  <c r="G398" i="44"/>
  <c r="D399" i="44"/>
  <c r="E399" i="44"/>
  <c r="F399" i="44"/>
  <c r="G399" i="44"/>
  <c r="D400" i="44"/>
  <c r="E400" i="44"/>
  <c r="F400" i="44"/>
  <c r="G400" i="44"/>
  <c r="D401" i="44"/>
  <c r="E401" i="44"/>
  <c r="F401" i="44"/>
  <c r="G401" i="44"/>
  <c r="D402" i="44"/>
  <c r="E402" i="44"/>
  <c r="F402" i="44"/>
  <c r="G402" i="44"/>
  <c r="D403" i="44"/>
  <c r="E403" i="44"/>
  <c r="F403" i="44"/>
  <c r="G403" i="44"/>
  <c r="D404" i="44"/>
  <c r="E404" i="44"/>
  <c r="F404" i="44"/>
  <c r="G404" i="44"/>
  <c r="D405" i="44"/>
  <c r="E405" i="44"/>
  <c r="F405" i="44"/>
  <c r="G405" i="44"/>
  <c r="D406" i="44"/>
  <c r="E406" i="44"/>
  <c r="F406" i="44"/>
  <c r="G406" i="44"/>
  <c r="D407" i="44"/>
  <c r="E407" i="44"/>
  <c r="F407" i="44"/>
  <c r="G407" i="44"/>
  <c r="D408" i="44"/>
  <c r="E408" i="44"/>
  <c r="F408" i="44"/>
  <c r="G408" i="44"/>
  <c r="D409" i="44"/>
  <c r="E409" i="44"/>
  <c r="F409" i="44"/>
  <c r="G409" i="44"/>
  <c r="D410" i="44"/>
  <c r="E410" i="44"/>
  <c r="F410" i="44"/>
  <c r="G410" i="44"/>
  <c r="D411" i="44"/>
  <c r="E411" i="44"/>
  <c r="F411" i="44"/>
  <c r="G411" i="44"/>
  <c r="D412" i="44"/>
  <c r="E412" i="44"/>
  <c r="F412" i="44"/>
  <c r="G412" i="44"/>
  <c r="D413" i="44"/>
  <c r="E413" i="44"/>
  <c r="F413" i="44"/>
  <c r="G413" i="44"/>
  <c r="D414" i="44"/>
  <c r="E414" i="44"/>
  <c r="F414" i="44"/>
  <c r="G414" i="44"/>
  <c r="D415" i="44"/>
  <c r="E415" i="44"/>
  <c r="F415" i="44"/>
  <c r="G415" i="44"/>
  <c r="D416" i="44"/>
  <c r="E416" i="44"/>
  <c r="F416" i="44"/>
  <c r="G416" i="44"/>
  <c r="D417" i="44"/>
  <c r="E417" i="44"/>
  <c r="F417" i="44"/>
  <c r="G417" i="44"/>
  <c r="D418" i="44"/>
  <c r="E418" i="44"/>
  <c r="F418" i="44"/>
  <c r="G418" i="44"/>
  <c r="L313" i="44"/>
  <c r="M313" i="44"/>
  <c r="N313" i="44"/>
  <c r="O313" i="44"/>
  <c r="L314" i="44"/>
  <c r="M314" i="44"/>
  <c r="N314" i="44"/>
  <c r="O314" i="44"/>
  <c r="L315" i="44"/>
  <c r="M315" i="44"/>
  <c r="N315" i="44"/>
  <c r="O315" i="44"/>
  <c r="L316" i="44"/>
  <c r="M316" i="44"/>
  <c r="N316" i="44"/>
  <c r="O316" i="44"/>
  <c r="L317" i="44"/>
  <c r="M317" i="44"/>
  <c r="N317" i="44"/>
  <c r="O317" i="44"/>
  <c r="L318" i="44"/>
  <c r="M318" i="44"/>
  <c r="N318" i="44"/>
  <c r="O318" i="44"/>
  <c r="L319" i="44"/>
  <c r="M319" i="44"/>
  <c r="N319" i="44"/>
  <c r="O319" i="44"/>
  <c r="L320" i="44"/>
  <c r="M320" i="44"/>
  <c r="N320" i="44"/>
  <c r="O320" i="44"/>
  <c r="L321" i="44"/>
  <c r="M321" i="44"/>
  <c r="N321" i="44"/>
  <c r="O321" i="44"/>
  <c r="L322" i="44"/>
  <c r="M322" i="44"/>
  <c r="N322" i="44"/>
  <c r="O322" i="44"/>
  <c r="L323" i="44"/>
  <c r="M323" i="44"/>
  <c r="N323" i="44"/>
  <c r="O323" i="44"/>
  <c r="L324" i="44"/>
  <c r="M324" i="44"/>
  <c r="N324" i="44"/>
  <c r="O324" i="44"/>
  <c r="L325" i="44"/>
  <c r="M325" i="44"/>
  <c r="N325" i="44"/>
  <c r="O325" i="44"/>
  <c r="L326" i="44"/>
  <c r="M326" i="44"/>
  <c r="N326" i="44"/>
  <c r="O326" i="44"/>
  <c r="L327" i="44"/>
  <c r="M327" i="44"/>
  <c r="N327" i="44"/>
  <c r="O327" i="44"/>
  <c r="L328" i="44"/>
  <c r="M328" i="44"/>
  <c r="N328" i="44"/>
  <c r="O328" i="44"/>
  <c r="L329" i="44"/>
  <c r="M329" i="44"/>
  <c r="N329" i="44"/>
  <c r="O329" i="44"/>
  <c r="L330" i="44"/>
  <c r="M330" i="44"/>
  <c r="N330" i="44"/>
  <c r="O330" i="44"/>
  <c r="L331" i="44"/>
  <c r="M331" i="44"/>
  <c r="N331" i="44"/>
  <c r="O331" i="44"/>
  <c r="L332" i="44"/>
  <c r="M332" i="44"/>
  <c r="N332" i="44"/>
  <c r="O332" i="44"/>
  <c r="L333" i="44"/>
  <c r="M333" i="44"/>
  <c r="N333" i="44"/>
  <c r="O333" i="44"/>
  <c r="L334" i="44"/>
  <c r="M334" i="44"/>
  <c r="N334" i="44"/>
  <c r="O334" i="44"/>
  <c r="L335" i="44"/>
  <c r="M335" i="44"/>
  <c r="N335" i="44"/>
  <c r="O335" i="44"/>
  <c r="L336" i="44"/>
  <c r="M336" i="44"/>
  <c r="N336" i="44"/>
  <c r="O336" i="44"/>
  <c r="L337" i="44"/>
  <c r="M337" i="44"/>
  <c r="N337" i="44"/>
  <c r="O337" i="44"/>
  <c r="L338" i="44"/>
  <c r="M338" i="44"/>
  <c r="N338" i="44"/>
  <c r="O338" i="44"/>
  <c r="L339" i="44"/>
  <c r="M339" i="44"/>
  <c r="N339" i="44"/>
  <c r="O339" i="44"/>
  <c r="L340" i="44"/>
  <c r="M340" i="44"/>
  <c r="N340" i="44"/>
  <c r="O340" i="44"/>
  <c r="L341" i="44"/>
  <c r="M341" i="44"/>
  <c r="N341" i="44"/>
  <c r="O341" i="44"/>
  <c r="L342" i="44"/>
  <c r="M342" i="44"/>
  <c r="N342" i="44"/>
  <c r="O342" i="44"/>
  <c r="L343" i="44"/>
  <c r="M343" i="44"/>
  <c r="N343" i="44"/>
  <c r="O343" i="44"/>
  <c r="L344" i="44"/>
  <c r="M344" i="44"/>
  <c r="N344" i="44"/>
  <c r="O344" i="44"/>
  <c r="L345" i="44"/>
  <c r="M345" i="44"/>
  <c r="N345" i="44"/>
  <c r="O345" i="44"/>
  <c r="L346" i="44"/>
  <c r="M346" i="44"/>
  <c r="N346" i="44"/>
  <c r="O346" i="44"/>
  <c r="L347" i="44"/>
  <c r="M347" i="44"/>
  <c r="N347" i="44"/>
  <c r="O347" i="44"/>
  <c r="L348" i="44"/>
  <c r="M348" i="44"/>
  <c r="N348" i="44"/>
  <c r="O348" i="44"/>
  <c r="L349" i="44"/>
  <c r="M349" i="44"/>
  <c r="N349" i="44"/>
  <c r="O349" i="44"/>
  <c r="L350" i="44"/>
  <c r="M350" i="44"/>
  <c r="N350" i="44"/>
  <c r="O350" i="44"/>
  <c r="L351" i="44"/>
  <c r="M351" i="44"/>
  <c r="N351" i="44"/>
  <c r="O351" i="44"/>
  <c r="L352" i="44"/>
  <c r="M352" i="44"/>
  <c r="N352" i="44"/>
  <c r="O352" i="44"/>
  <c r="L353" i="44"/>
  <c r="M353" i="44"/>
  <c r="N353" i="44"/>
  <c r="O353" i="44"/>
  <c r="L354" i="44"/>
  <c r="M354" i="44"/>
  <c r="N354" i="44"/>
  <c r="O354" i="44"/>
  <c r="L355" i="44"/>
  <c r="M355" i="44"/>
  <c r="N355" i="44"/>
  <c r="O355" i="44"/>
  <c r="L356" i="44"/>
  <c r="M356" i="44"/>
  <c r="N356" i="44"/>
  <c r="O356" i="44"/>
  <c r="L357" i="44"/>
  <c r="M357" i="44"/>
  <c r="N357" i="44"/>
  <c r="O357" i="44"/>
  <c r="L358" i="44"/>
  <c r="M358" i="44"/>
  <c r="N358" i="44"/>
  <c r="O358" i="44"/>
  <c r="D313" i="44"/>
  <c r="E313" i="44"/>
  <c r="F313" i="44"/>
  <c r="G313" i="44"/>
  <c r="D314" i="44"/>
  <c r="E314" i="44"/>
  <c r="F314" i="44"/>
  <c r="G314" i="44"/>
  <c r="D315" i="44"/>
  <c r="E315" i="44"/>
  <c r="F315" i="44"/>
  <c r="G315" i="44"/>
  <c r="D316" i="44"/>
  <c r="E316" i="44"/>
  <c r="F316" i="44"/>
  <c r="G316" i="44"/>
  <c r="D317" i="44"/>
  <c r="E317" i="44"/>
  <c r="F317" i="44"/>
  <c r="G317" i="44"/>
  <c r="D318" i="44"/>
  <c r="E318" i="44"/>
  <c r="F318" i="44"/>
  <c r="G318" i="44"/>
  <c r="D319" i="44"/>
  <c r="E319" i="44"/>
  <c r="F319" i="44"/>
  <c r="G319" i="44"/>
  <c r="D320" i="44"/>
  <c r="E320" i="44"/>
  <c r="F320" i="44"/>
  <c r="G320" i="44"/>
  <c r="D321" i="44"/>
  <c r="E321" i="44"/>
  <c r="F321" i="44"/>
  <c r="G321" i="44"/>
  <c r="D322" i="44"/>
  <c r="E322" i="44"/>
  <c r="F322" i="44"/>
  <c r="G322" i="44"/>
  <c r="D323" i="44"/>
  <c r="E323" i="44"/>
  <c r="F323" i="44"/>
  <c r="G323" i="44"/>
  <c r="D324" i="44"/>
  <c r="E324" i="44"/>
  <c r="F324" i="44"/>
  <c r="G324" i="44"/>
  <c r="D325" i="44"/>
  <c r="E325" i="44"/>
  <c r="F325" i="44"/>
  <c r="G325" i="44"/>
  <c r="D326" i="44"/>
  <c r="E326" i="44"/>
  <c r="F326" i="44"/>
  <c r="G326" i="44"/>
  <c r="D327" i="44"/>
  <c r="E327" i="44"/>
  <c r="F327" i="44"/>
  <c r="G327" i="44"/>
  <c r="D328" i="44"/>
  <c r="E328" i="44"/>
  <c r="F328" i="44"/>
  <c r="G328" i="44"/>
  <c r="D329" i="44"/>
  <c r="E329" i="44"/>
  <c r="F329" i="44"/>
  <c r="G329" i="44"/>
  <c r="D330" i="44"/>
  <c r="E330" i="44"/>
  <c r="F330" i="44"/>
  <c r="G330" i="44"/>
  <c r="D331" i="44"/>
  <c r="E331" i="44"/>
  <c r="F331" i="44"/>
  <c r="G331" i="44"/>
  <c r="D332" i="44"/>
  <c r="E332" i="44"/>
  <c r="F332" i="44"/>
  <c r="G332" i="44"/>
  <c r="D333" i="44"/>
  <c r="E333" i="44"/>
  <c r="F333" i="44"/>
  <c r="G333" i="44"/>
  <c r="D334" i="44"/>
  <c r="E334" i="44"/>
  <c r="F334" i="44"/>
  <c r="G334" i="44"/>
  <c r="D335" i="44"/>
  <c r="E335" i="44"/>
  <c r="F335" i="44"/>
  <c r="G335" i="44"/>
  <c r="D336" i="44"/>
  <c r="E336" i="44"/>
  <c r="F336" i="44"/>
  <c r="G336" i="44"/>
  <c r="D337" i="44"/>
  <c r="E337" i="44"/>
  <c r="F337" i="44"/>
  <c r="G337" i="44"/>
  <c r="D338" i="44"/>
  <c r="E338" i="44"/>
  <c r="F338" i="44"/>
  <c r="G338" i="44"/>
  <c r="D339" i="44"/>
  <c r="E339" i="44"/>
  <c r="F339" i="44"/>
  <c r="G339" i="44"/>
  <c r="D340" i="44"/>
  <c r="E340" i="44"/>
  <c r="F340" i="44"/>
  <c r="G340" i="44"/>
  <c r="D341" i="44"/>
  <c r="E341" i="44"/>
  <c r="F341" i="44"/>
  <c r="G341" i="44"/>
  <c r="D342" i="44"/>
  <c r="E342" i="44"/>
  <c r="F342" i="44"/>
  <c r="G342" i="44"/>
  <c r="D343" i="44"/>
  <c r="E343" i="44"/>
  <c r="F343" i="44"/>
  <c r="G343" i="44"/>
  <c r="D344" i="44"/>
  <c r="E344" i="44"/>
  <c r="F344" i="44"/>
  <c r="G344" i="44"/>
  <c r="D345" i="44"/>
  <c r="E345" i="44"/>
  <c r="F345" i="44"/>
  <c r="G345" i="44"/>
  <c r="D346" i="44"/>
  <c r="E346" i="44"/>
  <c r="F346" i="44"/>
  <c r="G346" i="44"/>
  <c r="D347" i="44"/>
  <c r="E347" i="44"/>
  <c r="F347" i="44"/>
  <c r="G347" i="44"/>
  <c r="D348" i="44"/>
  <c r="E348" i="44"/>
  <c r="F348" i="44"/>
  <c r="G348" i="44"/>
  <c r="D349" i="44"/>
  <c r="E349" i="44"/>
  <c r="F349" i="44"/>
  <c r="G349" i="44"/>
  <c r="D350" i="44"/>
  <c r="E350" i="44"/>
  <c r="F350" i="44"/>
  <c r="G350" i="44"/>
  <c r="D351" i="44"/>
  <c r="E351" i="44"/>
  <c r="F351" i="44"/>
  <c r="G351" i="44"/>
  <c r="D352" i="44"/>
  <c r="E352" i="44"/>
  <c r="F352" i="44"/>
  <c r="G352" i="44"/>
  <c r="D353" i="44"/>
  <c r="E353" i="44"/>
  <c r="F353" i="44"/>
  <c r="G353" i="44"/>
  <c r="D354" i="44"/>
  <c r="E354" i="44"/>
  <c r="F354" i="44"/>
  <c r="G354" i="44"/>
  <c r="D355" i="44"/>
  <c r="E355" i="44"/>
  <c r="F355" i="44"/>
  <c r="G355" i="44"/>
  <c r="D356" i="44"/>
  <c r="E356" i="44"/>
  <c r="F356" i="44"/>
  <c r="G356" i="44"/>
  <c r="D357" i="44"/>
  <c r="E357" i="44"/>
  <c r="F357" i="44"/>
  <c r="G357" i="44"/>
  <c r="D358" i="44"/>
  <c r="E358" i="44"/>
  <c r="F358" i="44"/>
  <c r="G358" i="44"/>
  <c r="L253" i="44"/>
  <c r="M253" i="44"/>
  <c r="N253" i="44"/>
  <c r="O253" i="44"/>
  <c r="L254" i="44"/>
  <c r="M254" i="44"/>
  <c r="N254" i="44"/>
  <c r="O254" i="44"/>
  <c r="L255" i="44"/>
  <c r="M255" i="44"/>
  <c r="N255" i="44"/>
  <c r="O255" i="44"/>
  <c r="L256" i="44"/>
  <c r="M256" i="44"/>
  <c r="N256" i="44"/>
  <c r="O256" i="44"/>
  <c r="L257" i="44"/>
  <c r="M257" i="44"/>
  <c r="N257" i="44"/>
  <c r="O257" i="44"/>
  <c r="L258" i="44"/>
  <c r="M258" i="44"/>
  <c r="N258" i="44"/>
  <c r="O258" i="44"/>
  <c r="L259" i="44"/>
  <c r="M259" i="44"/>
  <c r="N259" i="44"/>
  <c r="O259" i="44"/>
  <c r="L260" i="44"/>
  <c r="M260" i="44"/>
  <c r="N260" i="44"/>
  <c r="O260" i="44"/>
  <c r="L261" i="44"/>
  <c r="M261" i="44"/>
  <c r="N261" i="44"/>
  <c r="O261" i="44"/>
  <c r="L262" i="44"/>
  <c r="M262" i="44"/>
  <c r="N262" i="44"/>
  <c r="O262" i="44"/>
  <c r="L263" i="44"/>
  <c r="M263" i="44"/>
  <c r="N263" i="44"/>
  <c r="O263" i="44"/>
  <c r="L264" i="44"/>
  <c r="M264" i="44"/>
  <c r="N264" i="44"/>
  <c r="O264" i="44"/>
  <c r="L265" i="44"/>
  <c r="M265" i="44"/>
  <c r="N265" i="44"/>
  <c r="O265" i="44"/>
  <c r="L266" i="44"/>
  <c r="M266" i="44"/>
  <c r="N266" i="44"/>
  <c r="O266" i="44"/>
  <c r="L267" i="44"/>
  <c r="M267" i="44"/>
  <c r="N267" i="44"/>
  <c r="O267" i="44"/>
  <c r="L268" i="44"/>
  <c r="M268" i="44"/>
  <c r="N268" i="44"/>
  <c r="O268" i="44"/>
  <c r="L269" i="44"/>
  <c r="M269" i="44"/>
  <c r="N269" i="44"/>
  <c r="O269" i="44"/>
  <c r="L270" i="44"/>
  <c r="M270" i="44"/>
  <c r="N270" i="44"/>
  <c r="O270" i="44"/>
  <c r="L271" i="44"/>
  <c r="M271" i="44"/>
  <c r="N271" i="44"/>
  <c r="O271" i="44"/>
  <c r="L272" i="44"/>
  <c r="M272" i="44"/>
  <c r="N272" i="44"/>
  <c r="O272" i="44"/>
  <c r="L273" i="44"/>
  <c r="M273" i="44"/>
  <c r="N273" i="44"/>
  <c r="O273" i="44"/>
  <c r="L274" i="44"/>
  <c r="M274" i="44"/>
  <c r="N274" i="44"/>
  <c r="O274" i="44"/>
  <c r="L275" i="44"/>
  <c r="M275" i="44"/>
  <c r="N275" i="44"/>
  <c r="O275" i="44"/>
  <c r="L276" i="44"/>
  <c r="M276" i="44"/>
  <c r="N276" i="44"/>
  <c r="O276" i="44"/>
  <c r="L277" i="44"/>
  <c r="M277" i="44"/>
  <c r="N277" i="44"/>
  <c r="O277" i="44"/>
  <c r="L278" i="44"/>
  <c r="M278" i="44"/>
  <c r="N278" i="44"/>
  <c r="O278" i="44"/>
  <c r="L279" i="44"/>
  <c r="M279" i="44"/>
  <c r="N279" i="44"/>
  <c r="O279" i="44"/>
  <c r="L280" i="44"/>
  <c r="M280" i="44"/>
  <c r="N280" i="44"/>
  <c r="O280" i="44"/>
  <c r="L281" i="44"/>
  <c r="M281" i="44"/>
  <c r="N281" i="44"/>
  <c r="O281" i="44"/>
  <c r="L282" i="44"/>
  <c r="M282" i="44"/>
  <c r="N282" i="44"/>
  <c r="O282" i="44"/>
  <c r="L283" i="44"/>
  <c r="M283" i="44"/>
  <c r="N283" i="44"/>
  <c r="O283" i="44"/>
  <c r="L284" i="44"/>
  <c r="M284" i="44"/>
  <c r="N284" i="44"/>
  <c r="O284" i="44"/>
  <c r="L285" i="44"/>
  <c r="M285" i="44"/>
  <c r="N285" i="44"/>
  <c r="O285" i="44"/>
  <c r="L286" i="44"/>
  <c r="M286" i="44"/>
  <c r="N286" i="44"/>
  <c r="O286" i="44"/>
  <c r="L287" i="44"/>
  <c r="M287" i="44"/>
  <c r="N287" i="44"/>
  <c r="O287" i="44"/>
  <c r="L288" i="44"/>
  <c r="M288" i="44"/>
  <c r="N288" i="44"/>
  <c r="O288" i="44"/>
  <c r="L289" i="44"/>
  <c r="M289" i="44"/>
  <c r="N289" i="44"/>
  <c r="O289" i="44"/>
  <c r="L290" i="44"/>
  <c r="M290" i="44"/>
  <c r="N290" i="44"/>
  <c r="O290" i="44"/>
  <c r="L291" i="44"/>
  <c r="M291" i="44"/>
  <c r="N291" i="44"/>
  <c r="O291" i="44"/>
  <c r="L292" i="44"/>
  <c r="M292" i="44"/>
  <c r="N292" i="44"/>
  <c r="O292" i="44"/>
  <c r="L293" i="44"/>
  <c r="M293" i="44"/>
  <c r="N293" i="44"/>
  <c r="O293" i="44"/>
  <c r="L294" i="44"/>
  <c r="M294" i="44"/>
  <c r="N294" i="44"/>
  <c r="O294" i="44"/>
  <c r="L295" i="44"/>
  <c r="M295" i="44"/>
  <c r="N295" i="44"/>
  <c r="O295" i="44"/>
  <c r="L296" i="44"/>
  <c r="M296" i="44"/>
  <c r="N296" i="44"/>
  <c r="O296" i="44"/>
  <c r="L297" i="44"/>
  <c r="M297" i="44"/>
  <c r="N297" i="44"/>
  <c r="O297" i="44"/>
  <c r="L298" i="44"/>
  <c r="M298" i="44"/>
  <c r="N298" i="44"/>
  <c r="O298" i="44"/>
  <c r="D253" i="44"/>
  <c r="E253" i="44"/>
  <c r="F253" i="44"/>
  <c r="G253" i="44"/>
  <c r="D254" i="44"/>
  <c r="E254" i="44"/>
  <c r="F254" i="44"/>
  <c r="G254" i="44"/>
  <c r="D255" i="44"/>
  <c r="E255" i="44"/>
  <c r="F255" i="44"/>
  <c r="G255" i="44"/>
  <c r="D256" i="44"/>
  <c r="E256" i="44"/>
  <c r="F256" i="44"/>
  <c r="G256" i="44"/>
  <c r="D257" i="44"/>
  <c r="E257" i="44"/>
  <c r="F257" i="44"/>
  <c r="G257" i="44"/>
  <c r="D258" i="44"/>
  <c r="E258" i="44"/>
  <c r="F258" i="44"/>
  <c r="G258" i="44"/>
  <c r="D259" i="44"/>
  <c r="E259" i="44"/>
  <c r="F259" i="44"/>
  <c r="G259" i="44"/>
  <c r="D260" i="44"/>
  <c r="E260" i="44"/>
  <c r="F260" i="44"/>
  <c r="G260" i="44"/>
  <c r="D261" i="44"/>
  <c r="E261" i="44"/>
  <c r="F261" i="44"/>
  <c r="G261" i="44"/>
  <c r="D262" i="44"/>
  <c r="E262" i="44"/>
  <c r="F262" i="44"/>
  <c r="G262" i="44"/>
  <c r="D263" i="44"/>
  <c r="E263" i="44"/>
  <c r="F263" i="44"/>
  <c r="G263" i="44"/>
  <c r="D264" i="44"/>
  <c r="E264" i="44"/>
  <c r="F264" i="44"/>
  <c r="G264" i="44"/>
  <c r="D265" i="44"/>
  <c r="E265" i="44"/>
  <c r="F265" i="44"/>
  <c r="G265" i="44"/>
  <c r="D266" i="44"/>
  <c r="E266" i="44"/>
  <c r="F266" i="44"/>
  <c r="G266" i="44"/>
  <c r="D267" i="44"/>
  <c r="E267" i="44"/>
  <c r="F267" i="44"/>
  <c r="G267" i="44"/>
  <c r="D268" i="44"/>
  <c r="E268" i="44"/>
  <c r="F268" i="44"/>
  <c r="G268" i="44"/>
  <c r="D269" i="44"/>
  <c r="E269" i="44"/>
  <c r="F269" i="44"/>
  <c r="G269" i="44"/>
  <c r="D270" i="44"/>
  <c r="E270" i="44"/>
  <c r="F270" i="44"/>
  <c r="G270" i="44"/>
  <c r="D271" i="44"/>
  <c r="E271" i="44"/>
  <c r="F271" i="44"/>
  <c r="G271" i="44"/>
  <c r="D272" i="44"/>
  <c r="E272" i="44"/>
  <c r="F272" i="44"/>
  <c r="G272" i="44"/>
  <c r="D273" i="44"/>
  <c r="E273" i="44"/>
  <c r="F273" i="44"/>
  <c r="G273" i="44"/>
  <c r="D274" i="44"/>
  <c r="E274" i="44"/>
  <c r="F274" i="44"/>
  <c r="G274" i="44"/>
  <c r="D275" i="44"/>
  <c r="E275" i="44"/>
  <c r="F275" i="44"/>
  <c r="G275" i="44"/>
  <c r="D276" i="44"/>
  <c r="E276" i="44"/>
  <c r="F276" i="44"/>
  <c r="G276" i="44"/>
  <c r="D277" i="44"/>
  <c r="E277" i="44"/>
  <c r="F277" i="44"/>
  <c r="G277" i="44"/>
  <c r="D278" i="44"/>
  <c r="E278" i="44"/>
  <c r="F278" i="44"/>
  <c r="G278" i="44"/>
  <c r="D279" i="44"/>
  <c r="E279" i="44"/>
  <c r="F279" i="44"/>
  <c r="G279" i="44"/>
  <c r="D280" i="44"/>
  <c r="E280" i="44"/>
  <c r="F280" i="44"/>
  <c r="G280" i="44"/>
  <c r="D281" i="44"/>
  <c r="E281" i="44"/>
  <c r="F281" i="44"/>
  <c r="G281" i="44"/>
  <c r="D282" i="44"/>
  <c r="E282" i="44"/>
  <c r="F282" i="44"/>
  <c r="G282" i="44"/>
  <c r="D283" i="44"/>
  <c r="E283" i="44"/>
  <c r="F283" i="44"/>
  <c r="G283" i="44"/>
  <c r="D284" i="44"/>
  <c r="E284" i="44"/>
  <c r="F284" i="44"/>
  <c r="G284" i="44"/>
  <c r="D285" i="44"/>
  <c r="E285" i="44"/>
  <c r="F285" i="44"/>
  <c r="G285" i="44"/>
  <c r="D286" i="44"/>
  <c r="E286" i="44"/>
  <c r="F286" i="44"/>
  <c r="G286" i="44"/>
  <c r="D287" i="44"/>
  <c r="E287" i="44"/>
  <c r="F287" i="44"/>
  <c r="G287" i="44"/>
  <c r="D288" i="44"/>
  <c r="E288" i="44"/>
  <c r="F288" i="44"/>
  <c r="G288" i="44"/>
  <c r="D289" i="44"/>
  <c r="E289" i="44"/>
  <c r="F289" i="44"/>
  <c r="G289" i="44"/>
  <c r="D290" i="44"/>
  <c r="E290" i="44"/>
  <c r="F290" i="44"/>
  <c r="G290" i="44"/>
  <c r="D291" i="44"/>
  <c r="E291" i="44"/>
  <c r="F291" i="44"/>
  <c r="G291" i="44"/>
  <c r="D292" i="44"/>
  <c r="E292" i="44"/>
  <c r="F292" i="44"/>
  <c r="G292" i="44"/>
  <c r="D293" i="44"/>
  <c r="E293" i="44"/>
  <c r="F293" i="44"/>
  <c r="G293" i="44"/>
  <c r="D294" i="44"/>
  <c r="E294" i="44"/>
  <c r="F294" i="44"/>
  <c r="G294" i="44"/>
  <c r="D295" i="44"/>
  <c r="E295" i="44"/>
  <c r="F295" i="44"/>
  <c r="G295" i="44"/>
  <c r="D296" i="44"/>
  <c r="E296" i="44"/>
  <c r="F296" i="44"/>
  <c r="G296" i="44"/>
  <c r="D297" i="44"/>
  <c r="E297" i="44"/>
  <c r="F297" i="44"/>
  <c r="G297" i="44"/>
  <c r="D298" i="44"/>
  <c r="E298" i="44"/>
  <c r="F298" i="44"/>
  <c r="G298" i="44"/>
  <c r="L193" i="44"/>
  <c r="M193" i="44"/>
  <c r="N193" i="44"/>
  <c r="O193" i="44"/>
  <c r="L194" i="44"/>
  <c r="M194" i="44"/>
  <c r="N194" i="44"/>
  <c r="O194" i="44"/>
  <c r="L195" i="44"/>
  <c r="M195" i="44"/>
  <c r="N195" i="44"/>
  <c r="O195" i="44"/>
  <c r="L196" i="44"/>
  <c r="M196" i="44"/>
  <c r="N196" i="44"/>
  <c r="O196" i="44"/>
  <c r="L197" i="44"/>
  <c r="M197" i="44"/>
  <c r="N197" i="44"/>
  <c r="O197" i="44"/>
  <c r="L198" i="44"/>
  <c r="M198" i="44"/>
  <c r="N198" i="44"/>
  <c r="O198" i="44"/>
  <c r="L199" i="44"/>
  <c r="M199" i="44"/>
  <c r="N199" i="44"/>
  <c r="O199" i="44"/>
  <c r="L200" i="44"/>
  <c r="M200" i="44"/>
  <c r="N200" i="44"/>
  <c r="O200" i="44"/>
  <c r="L201" i="44"/>
  <c r="M201" i="44"/>
  <c r="N201" i="44"/>
  <c r="O201" i="44"/>
  <c r="L202" i="44"/>
  <c r="M202" i="44"/>
  <c r="N202" i="44"/>
  <c r="O202" i="44"/>
  <c r="L203" i="44"/>
  <c r="M203" i="44"/>
  <c r="N203" i="44"/>
  <c r="O203" i="44"/>
  <c r="L204" i="44"/>
  <c r="M204" i="44"/>
  <c r="N204" i="44"/>
  <c r="O204" i="44"/>
  <c r="L205" i="44"/>
  <c r="M205" i="44"/>
  <c r="N205" i="44"/>
  <c r="O205" i="44"/>
  <c r="L206" i="44"/>
  <c r="M206" i="44"/>
  <c r="N206" i="44"/>
  <c r="O206" i="44"/>
  <c r="L207" i="44"/>
  <c r="M207" i="44"/>
  <c r="N207" i="44"/>
  <c r="O207" i="44"/>
  <c r="L208" i="44"/>
  <c r="M208" i="44"/>
  <c r="N208" i="44"/>
  <c r="O208" i="44"/>
  <c r="L209" i="44"/>
  <c r="M209" i="44"/>
  <c r="N209" i="44"/>
  <c r="O209" i="44"/>
  <c r="L210" i="44"/>
  <c r="M210" i="44"/>
  <c r="N210" i="44"/>
  <c r="O210" i="44"/>
  <c r="L211" i="44"/>
  <c r="M211" i="44"/>
  <c r="N211" i="44"/>
  <c r="O211" i="44"/>
  <c r="L212" i="44"/>
  <c r="M212" i="44"/>
  <c r="N212" i="44"/>
  <c r="O212" i="44"/>
  <c r="L213" i="44"/>
  <c r="M213" i="44"/>
  <c r="N213" i="44"/>
  <c r="O213" i="44"/>
  <c r="L214" i="44"/>
  <c r="M214" i="44"/>
  <c r="N214" i="44"/>
  <c r="O214" i="44"/>
  <c r="L215" i="44"/>
  <c r="M215" i="44"/>
  <c r="N215" i="44"/>
  <c r="O215" i="44"/>
  <c r="L216" i="44"/>
  <c r="M216" i="44"/>
  <c r="N216" i="44"/>
  <c r="O216" i="44"/>
  <c r="L217" i="44"/>
  <c r="M217" i="44"/>
  <c r="N217" i="44"/>
  <c r="O217" i="44"/>
  <c r="L218" i="44"/>
  <c r="M218" i="44"/>
  <c r="N218" i="44"/>
  <c r="O218" i="44"/>
  <c r="L219" i="44"/>
  <c r="M219" i="44"/>
  <c r="N219" i="44"/>
  <c r="O219" i="44"/>
  <c r="L220" i="44"/>
  <c r="M220" i="44"/>
  <c r="N220" i="44"/>
  <c r="O220" i="44"/>
  <c r="L221" i="44"/>
  <c r="M221" i="44"/>
  <c r="N221" i="44"/>
  <c r="O221" i="44"/>
  <c r="L222" i="44"/>
  <c r="M222" i="44"/>
  <c r="N222" i="44"/>
  <c r="O222" i="44"/>
  <c r="L223" i="44"/>
  <c r="M223" i="44"/>
  <c r="N223" i="44"/>
  <c r="O223" i="44"/>
  <c r="L224" i="44"/>
  <c r="M224" i="44"/>
  <c r="N224" i="44"/>
  <c r="O224" i="44"/>
  <c r="L225" i="44"/>
  <c r="M225" i="44"/>
  <c r="N225" i="44"/>
  <c r="O225" i="44"/>
  <c r="L226" i="44"/>
  <c r="M226" i="44"/>
  <c r="N226" i="44"/>
  <c r="O226" i="44"/>
  <c r="L227" i="44"/>
  <c r="M227" i="44"/>
  <c r="N227" i="44"/>
  <c r="O227" i="44"/>
  <c r="L228" i="44"/>
  <c r="M228" i="44"/>
  <c r="N228" i="44"/>
  <c r="O228" i="44"/>
  <c r="L229" i="44"/>
  <c r="M229" i="44"/>
  <c r="N229" i="44"/>
  <c r="O229" i="44"/>
  <c r="L230" i="44"/>
  <c r="M230" i="44"/>
  <c r="N230" i="44"/>
  <c r="O230" i="44"/>
  <c r="L231" i="44"/>
  <c r="M231" i="44"/>
  <c r="N231" i="44"/>
  <c r="O231" i="44"/>
  <c r="L232" i="44"/>
  <c r="M232" i="44"/>
  <c r="N232" i="44"/>
  <c r="O232" i="44"/>
  <c r="L233" i="44"/>
  <c r="M233" i="44"/>
  <c r="N233" i="44"/>
  <c r="O233" i="44"/>
  <c r="L234" i="44"/>
  <c r="M234" i="44"/>
  <c r="N234" i="44"/>
  <c r="O234" i="44"/>
  <c r="L235" i="44"/>
  <c r="M235" i="44"/>
  <c r="N235" i="44"/>
  <c r="O235" i="44"/>
  <c r="L236" i="44"/>
  <c r="M236" i="44"/>
  <c r="N236" i="44"/>
  <c r="O236" i="44"/>
  <c r="L237" i="44"/>
  <c r="M237" i="44"/>
  <c r="N237" i="44"/>
  <c r="O237" i="44"/>
  <c r="L238" i="44"/>
  <c r="M238" i="44"/>
  <c r="N238" i="44"/>
  <c r="O238" i="44"/>
  <c r="D193" i="44"/>
  <c r="E193" i="44"/>
  <c r="F193" i="44"/>
  <c r="G193" i="44"/>
  <c r="D194" i="44"/>
  <c r="E194" i="44"/>
  <c r="F194" i="44"/>
  <c r="G194" i="44"/>
  <c r="D195" i="44"/>
  <c r="E195" i="44"/>
  <c r="F195" i="44"/>
  <c r="G195" i="44"/>
  <c r="D196" i="44"/>
  <c r="E196" i="44"/>
  <c r="F196" i="44"/>
  <c r="G196" i="44"/>
  <c r="D197" i="44"/>
  <c r="E197" i="44"/>
  <c r="F197" i="44"/>
  <c r="G197" i="44"/>
  <c r="D198" i="44"/>
  <c r="E198" i="44"/>
  <c r="F198" i="44"/>
  <c r="G198" i="44"/>
  <c r="D199" i="44"/>
  <c r="E199" i="44"/>
  <c r="F199" i="44"/>
  <c r="G199" i="44"/>
  <c r="D200" i="44"/>
  <c r="E200" i="44"/>
  <c r="F200" i="44"/>
  <c r="G200" i="44"/>
  <c r="D201" i="44"/>
  <c r="E201" i="44"/>
  <c r="F201" i="44"/>
  <c r="G201" i="44"/>
  <c r="D202" i="44"/>
  <c r="E202" i="44"/>
  <c r="F202" i="44"/>
  <c r="G202" i="44"/>
  <c r="D203" i="44"/>
  <c r="E203" i="44"/>
  <c r="F203" i="44"/>
  <c r="G203" i="44"/>
  <c r="D204" i="44"/>
  <c r="E204" i="44"/>
  <c r="F204" i="44"/>
  <c r="G204" i="44"/>
  <c r="D205" i="44"/>
  <c r="E205" i="44"/>
  <c r="F205" i="44"/>
  <c r="G205" i="44"/>
  <c r="D206" i="44"/>
  <c r="E206" i="44"/>
  <c r="F206" i="44"/>
  <c r="G206" i="44"/>
  <c r="D207" i="44"/>
  <c r="E207" i="44"/>
  <c r="F207" i="44"/>
  <c r="G207" i="44"/>
  <c r="D208" i="44"/>
  <c r="E208" i="44"/>
  <c r="F208" i="44"/>
  <c r="G208" i="44"/>
  <c r="D209" i="44"/>
  <c r="E209" i="44"/>
  <c r="F209" i="44"/>
  <c r="G209" i="44"/>
  <c r="D210" i="44"/>
  <c r="E210" i="44"/>
  <c r="F210" i="44"/>
  <c r="G210" i="44"/>
  <c r="D211" i="44"/>
  <c r="E211" i="44"/>
  <c r="F211" i="44"/>
  <c r="G211" i="44"/>
  <c r="D212" i="44"/>
  <c r="E212" i="44"/>
  <c r="F212" i="44"/>
  <c r="G212" i="44"/>
  <c r="D213" i="44"/>
  <c r="E213" i="44"/>
  <c r="F213" i="44"/>
  <c r="G213" i="44"/>
  <c r="D214" i="44"/>
  <c r="E214" i="44"/>
  <c r="F214" i="44"/>
  <c r="G214" i="44"/>
  <c r="D215" i="44"/>
  <c r="E215" i="44"/>
  <c r="F215" i="44"/>
  <c r="G215" i="44"/>
  <c r="D216" i="44"/>
  <c r="E216" i="44"/>
  <c r="F216" i="44"/>
  <c r="G216" i="44"/>
  <c r="D217" i="44"/>
  <c r="E217" i="44"/>
  <c r="F217" i="44"/>
  <c r="G217" i="44"/>
  <c r="D218" i="44"/>
  <c r="E218" i="44"/>
  <c r="F218" i="44"/>
  <c r="G218" i="44"/>
  <c r="D219" i="44"/>
  <c r="E219" i="44"/>
  <c r="F219" i="44"/>
  <c r="G219" i="44"/>
  <c r="D220" i="44"/>
  <c r="E220" i="44"/>
  <c r="F220" i="44"/>
  <c r="G220" i="44"/>
  <c r="D221" i="44"/>
  <c r="E221" i="44"/>
  <c r="F221" i="44"/>
  <c r="G221" i="44"/>
  <c r="D222" i="44"/>
  <c r="E222" i="44"/>
  <c r="F222" i="44"/>
  <c r="G222" i="44"/>
  <c r="D223" i="44"/>
  <c r="E223" i="44"/>
  <c r="F223" i="44"/>
  <c r="G223" i="44"/>
  <c r="D224" i="44"/>
  <c r="E224" i="44"/>
  <c r="F224" i="44"/>
  <c r="G224" i="44"/>
  <c r="D225" i="44"/>
  <c r="E225" i="44"/>
  <c r="F225" i="44"/>
  <c r="G225" i="44"/>
  <c r="D226" i="44"/>
  <c r="E226" i="44"/>
  <c r="F226" i="44"/>
  <c r="G226" i="44"/>
  <c r="D227" i="44"/>
  <c r="E227" i="44"/>
  <c r="F227" i="44"/>
  <c r="G227" i="44"/>
  <c r="D228" i="44"/>
  <c r="E228" i="44"/>
  <c r="F228" i="44"/>
  <c r="G228" i="44"/>
  <c r="D229" i="44"/>
  <c r="E229" i="44"/>
  <c r="F229" i="44"/>
  <c r="G229" i="44"/>
  <c r="D230" i="44"/>
  <c r="E230" i="44"/>
  <c r="F230" i="44"/>
  <c r="G230" i="44"/>
  <c r="D231" i="44"/>
  <c r="E231" i="44"/>
  <c r="F231" i="44"/>
  <c r="G231" i="44"/>
  <c r="D232" i="44"/>
  <c r="E232" i="44"/>
  <c r="F232" i="44"/>
  <c r="G232" i="44"/>
  <c r="D233" i="44"/>
  <c r="E233" i="44"/>
  <c r="F233" i="44"/>
  <c r="G233" i="44"/>
  <c r="D234" i="44"/>
  <c r="E234" i="44"/>
  <c r="F234" i="44"/>
  <c r="G234" i="44"/>
  <c r="D235" i="44"/>
  <c r="E235" i="44"/>
  <c r="F235" i="44"/>
  <c r="G235" i="44"/>
  <c r="D236" i="44"/>
  <c r="E236" i="44"/>
  <c r="F236" i="44"/>
  <c r="G236" i="44"/>
  <c r="D237" i="44"/>
  <c r="E237" i="44"/>
  <c r="F237" i="44"/>
  <c r="G237" i="44"/>
  <c r="D238" i="44"/>
  <c r="E238" i="44"/>
  <c r="F238" i="44"/>
  <c r="G238" i="44"/>
  <c r="L133" i="44"/>
  <c r="M133" i="44"/>
  <c r="N133" i="44"/>
  <c r="O133" i="44"/>
  <c r="L134" i="44"/>
  <c r="M134" i="44"/>
  <c r="N134" i="44"/>
  <c r="O134" i="44"/>
  <c r="L135" i="44"/>
  <c r="M135" i="44"/>
  <c r="N135" i="44"/>
  <c r="O135" i="44"/>
  <c r="L136" i="44"/>
  <c r="M136" i="44"/>
  <c r="N136" i="44"/>
  <c r="O136" i="44"/>
  <c r="L137" i="44"/>
  <c r="M137" i="44"/>
  <c r="N137" i="44"/>
  <c r="O137" i="44"/>
  <c r="L138" i="44"/>
  <c r="M138" i="44"/>
  <c r="N138" i="44"/>
  <c r="O138" i="44"/>
  <c r="L139" i="44"/>
  <c r="M139" i="44"/>
  <c r="N139" i="44"/>
  <c r="O139" i="44"/>
  <c r="L140" i="44"/>
  <c r="M140" i="44"/>
  <c r="N140" i="44"/>
  <c r="O140" i="44"/>
  <c r="L141" i="44"/>
  <c r="M141" i="44"/>
  <c r="N141" i="44"/>
  <c r="O141" i="44"/>
  <c r="L142" i="44"/>
  <c r="M142" i="44"/>
  <c r="N142" i="44"/>
  <c r="O142" i="44"/>
  <c r="L143" i="44"/>
  <c r="M143" i="44"/>
  <c r="N143" i="44"/>
  <c r="O143" i="44"/>
  <c r="L144" i="44"/>
  <c r="M144" i="44"/>
  <c r="N144" i="44"/>
  <c r="O144" i="44"/>
  <c r="L145" i="44"/>
  <c r="M145" i="44"/>
  <c r="N145" i="44"/>
  <c r="O145" i="44"/>
  <c r="L146" i="44"/>
  <c r="M146" i="44"/>
  <c r="N146" i="44"/>
  <c r="O146" i="44"/>
  <c r="L147" i="44"/>
  <c r="M147" i="44"/>
  <c r="N147" i="44"/>
  <c r="O147" i="44"/>
  <c r="L148" i="44"/>
  <c r="M148" i="44"/>
  <c r="N148" i="44"/>
  <c r="O148" i="44"/>
  <c r="L149" i="44"/>
  <c r="M149" i="44"/>
  <c r="N149" i="44"/>
  <c r="O149" i="44"/>
  <c r="L150" i="44"/>
  <c r="M150" i="44"/>
  <c r="N150" i="44"/>
  <c r="O150" i="44"/>
  <c r="L151" i="44"/>
  <c r="M151" i="44"/>
  <c r="N151" i="44"/>
  <c r="O151" i="44"/>
  <c r="L152" i="44"/>
  <c r="M152" i="44"/>
  <c r="N152" i="44"/>
  <c r="O152" i="44"/>
  <c r="L153" i="44"/>
  <c r="M153" i="44"/>
  <c r="N153" i="44"/>
  <c r="O153" i="44"/>
  <c r="L154" i="44"/>
  <c r="M154" i="44"/>
  <c r="N154" i="44"/>
  <c r="O154" i="44"/>
  <c r="L155" i="44"/>
  <c r="M155" i="44"/>
  <c r="N155" i="44"/>
  <c r="O155" i="44"/>
  <c r="L156" i="44"/>
  <c r="M156" i="44"/>
  <c r="N156" i="44"/>
  <c r="O156" i="44"/>
  <c r="L157" i="44"/>
  <c r="M157" i="44"/>
  <c r="N157" i="44"/>
  <c r="O157" i="44"/>
  <c r="L158" i="44"/>
  <c r="M158" i="44"/>
  <c r="N158" i="44"/>
  <c r="O158" i="44"/>
  <c r="L159" i="44"/>
  <c r="M159" i="44"/>
  <c r="N159" i="44"/>
  <c r="O159" i="44"/>
  <c r="L160" i="44"/>
  <c r="M160" i="44"/>
  <c r="N160" i="44"/>
  <c r="O160" i="44"/>
  <c r="L161" i="44"/>
  <c r="M161" i="44"/>
  <c r="N161" i="44"/>
  <c r="O161" i="44"/>
  <c r="L162" i="44"/>
  <c r="M162" i="44"/>
  <c r="N162" i="44"/>
  <c r="O162" i="44"/>
  <c r="L163" i="44"/>
  <c r="M163" i="44"/>
  <c r="N163" i="44"/>
  <c r="O163" i="44"/>
  <c r="L164" i="44"/>
  <c r="M164" i="44"/>
  <c r="N164" i="44"/>
  <c r="O164" i="44"/>
  <c r="L165" i="44"/>
  <c r="M165" i="44"/>
  <c r="N165" i="44"/>
  <c r="O165" i="44"/>
  <c r="L166" i="44"/>
  <c r="M166" i="44"/>
  <c r="N166" i="44"/>
  <c r="O166" i="44"/>
  <c r="L167" i="44"/>
  <c r="M167" i="44"/>
  <c r="N167" i="44"/>
  <c r="O167" i="44"/>
  <c r="L168" i="44"/>
  <c r="M168" i="44"/>
  <c r="N168" i="44"/>
  <c r="O168" i="44"/>
  <c r="L169" i="44"/>
  <c r="M169" i="44"/>
  <c r="N169" i="44"/>
  <c r="O169" i="44"/>
  <c r="L170" i="44"/>
  <c r="M170" i="44"/>
  <c r="N170" i="44"/>
  <c r="O170" i="44"/>
  <c r="L171" i="44"/>
  <c r="M171" i="44"/>
  <c r="N171" i="44"/>
  <c r="O171" i="44"/>
  <c r="L172" i="44"/>
  <c r="M172" i="44"/>
  <c r="N172" i="44"/>
  <c r="O172" i="44"/>
  <c r="L173" i="44"/>
  <c r="M173" i="44"/>
  <c r="N173" i="44"/>
  <c r="O173" i="44"/>
  <c r="L174" i="44"/>
  <c r="M174" i="44"/>
  <c r="N174" i="44"/>
  <c r="O174" i="44"/>
  <c r="L175" i="44"/>
  <c r="M175" i="44"/>
  <c r="N175" i="44"/>
  <c r="O175" i="44"/>
  <c r="L176" i="44"/>
  <c r="M176" i="44"/>
  <c r="N176" i="44"/>
  <c r="O176" i="44"/>
  <c r="L177" i="44"/>
  <c r="M177" i="44"/>
  <c r="N177" i="44"/>
  <c r="O177" i="44"/>
  <c r="L178" i="44"/>
  <c r="M178" i="44"/>
  <c r="N178" i="44"/>
  <c r="O178" i="44"/>
  <c r="D133" i="44"/>
  <c r="E133" i="44"/>
  <c r="F133" i="44"/>
  <c r="G133" i="44"/>
  <c r="D134" i="44"/>
  <c r="E134" i="44"/>
  <c r="F134" i="44"/>
  <c r="G134" i="44"/>
  <c r="D135" i="44"/>
  <c r="E135" i="44"/>
  <c r="F135" i="44"/>
  <c r="G135" i="44"/>
  <c r="D136" i="44"/>
  <c r="E136" i="44"/>
  <c r="F136" i="44"/>
  <c r="G136" i="44"/>
  <c r="D137" i="44"/>
  <c r="E137" i="44"/>
  <c r="F137" i="44"/>
  <c r="G137" i="44"/>
  <c r="D138" i="44"/>
  <c r="E138" i="44"/>
  <c r="F138" i="44"/>
  <c r="G138" i="44"/>
  <c r="D139" i="44"/>
  <c r="E139" i="44"/>
  <c r="F139" i="44"/>
  <c r="G139" i="44"/>
  <c r="D140" i="44"/>
  <c r="E140" i="44"/>
  <c r="F140" i="44"/>
  <c r="G140" i="44"/>
  <c r="D141" i="44"/>
  <c r="E141" i="44"/>
  <c r="F141" i="44"/>
  <c r="G141" i="44"/>
  <c r="D142" i="44"/>
  <c r="E142" i="44"/>
  <c r="F142" i="44"/>
  <c r="G142" i="44"/>
  <c r="D143" i="44"/>
  <c r="E143" i="44"/>
  <c r="F143" i="44"/>
  <c r="G143" i="44"/>
  <c r="D144" i="44"/>
  <c r="E144" i="44"/>
  <c r="F144" i="44"/>
  <c r="G144" i="44"/>
  <c r="D145" i="44"/>
  <c r="E145" i="44"/>
  <c r="F145" i="44"/>
  <c r="G145" i="44"/>
  <c r="D146" i="44"/>
  <c r="E146" i="44"/>
  <c r="F146" i="44"/>
  <c r="G146" i="44"/>
  <c r="D147" i="44"/>
  <c r="E147" i="44"/>
  <c r="F147" i="44"/>
  <c r="G147" i="44"/>
  <c r="D148" i="44"/>
  <c r="E148" i="44"/>
  <c r="F148" i="44"/>
  <c r="G148" i="44"/>
  <c r="D149" i="44"/>
  <c r="E149" i="44"/>
  <c r="F149" i="44"/>
  <c r="G149" i="44"/>
  <c r="D150" i="44"/>
  <c r="E150" i="44"/>
  <c r="F150" i="44"/>
  <c r="G150" i="44"/>
  <c r="D151" i="44"/>
  <c r="E151" i="44"/>
  <c r="F151" i="44"/>
  <c r="G151" i="44"/>
  <c r="D152" i="44"/>
  <c r="E152" i="44"/>
  <c r="F152" i="44"/>
  <c r="G152" i="44"/>
  <c r="D153" i="44"/>
  <c r="E153" i="44"/>
  <c r="F153" i="44"/>
  <c r="G153" i="44"/>
  <c r="D154" i="44"/>
  <c r="E154" i="44"/>
  <c r="F154" i="44"/>
  <c r="G154" i="44"/>
  <c r="D155" i="44"/>
  <c r="E155" i="44"/>
  <c r="F155" i="44"/>
  <c r="G155" i="44"/>
  <c r="D156" i="44"/>
  <c r="E156" i="44"/>
  <c r="F156" i="44"/>
  <c r="G156" i="44"/>
  <c r="D157" i="44"/>
  <c r="E157" i="44"/>
  <c r="F157" i="44"/>
  <c r="G157" i="44"/>
  <c r="D158" i="44"/>
  <c r="E158" i="44"/>
  <c r="F158" i="44"/>
  <c r="G158" i="44"/>
  <c r="D159" i="44"/>
  <c r="E159" i="44"/>
  <c r="F159" i="44"/>
  <c r="G159" i="44"/>
  <c r="D160" i="44"/>
  <c r="E160" i="44"/>
  <c r="F160" i="44"/>
  <c r="G160" i="44"/>
  <c r="D161" i="44"/>
  <c r="E161" i="44"/>
  <c r="F161" i="44"/>
  <c r="G161" i="44"/>
  <c r="D162" i="44"/>
  <c r="E162" i="44"/>
  <c r="F162" i="44"/>
  <c r="G162" i="44"/>
  <c r="D163" i="44"/>
  <c r="E163" i="44"/>
  <c r="F163" i="44"/>
  <c r="G163" i="44"/>
  <c r="D164" i="44"/>
  <c r="E164" i="44"/>
  <c r="F164" i="44"/>
  <c r="G164" i="44"/>
  <c r="D165" i="44"/>
  <c r="E165" i="44"/>
  <c r="F165" i="44"/>
  <c r="G165" i="44"/>
  <c r="D166" i="44"/>
  <c r="E166" i="44"/>
  <c r="F166" i="44"/>
  <c r="G166" i="44"/>
  <c r="D167" i="44"/>
  <c r="E167" i="44"/>
  <c r="F167" i="44"/>
  <c r="G167" i="44"/>
  <c r="D168" i="44"/>
  <c r="E168" i="44"/>
  <c r="F168" i="44"/>
  <c r="G168" i="44"/>
  <c r="D169" i="44"/>
  <c r="E169" i="44"/>
  <c r="F169" i="44"/>
  <c r="G169" i="44"/>
  <c r="D170" i="44"/>
  <c r="E170" i="44"/>
  <c r="F170" i="44"/>
  <c r="G170" i="44"/>
  <c r="D171" i="44"/>
  <c r="E171" i="44"/>
  <c r="F171" i="44"/>
  <c r="G171" i="44"/>
  <c r="D172" i="44"/>
  <c r="E172" i="44"/>
  <c r="F172" i="44"/>
  <c r="G172" i="44"/>
  <c r="D173" i="44"/>
  <c r="E173" i="44"/>
  <c r="F173" i="44"/>
  <c r="G173" i="44"/>
  <c r="D174" i="44"/>
  <c r="E174" i="44"/>
  <c r="F174" i="44"/>
  <c r="G174" i="44"/>
  <c r="D175" i="44"/>
  <c r="E175" i="44"/>
  <c r="F175" i="44"/>
  <c r="G175" i="44"/>
  <c r="D176" i="44"/>
  <c r="E176" i="44"/>
  <c r="F176" i="44"/>
  <c r="G176" i="44"/>
  <c r="D177" i="44"/>
  <c r="E177" i="44"/>
  <c r="F177" i="44"/>
  <c r="G177" i="44"/>
  <c r="D178" i="44"/>
  <c r="E178" i="44"/>
  <c r="F178" i="44"/>
  <c r="G178" i="44"/>
  <c r="L73" i="44"/>
  <c r="M73" i="44"/>
  <c r="N73" i="44"/>
  <c r="O73" i="44"/>
  <c r="L74" i="44"/>
  <c r="M74" i="44"/>
  <c r="N74" i="44"/>
  <c r="O74" i="44"/>
  <c r="L75" i="44"/>
  <c r="M75" i="44"/>
  <c r="N75" i="44"/>
  <c r="O75" i="44"/>
  <c r="L76" i="44"/>
  <c r="M76" i="44"/>
  <c r="N76" i="44"/>
  <c r="O76" i="44"/>
  <c r="L77" i="44"/>
  <c r="M77" i="44"/>
  <c r="N77" i="44"/>
  <c r="O77" i="44"/>
  <c r="L78" i="44"/>
  <c r="M78" i="44"/>
  <c r="N78" i="44"/>
  <c r="O78" i="44"/>
  <c r="L79" i="44"/>
  <c r="M79" i="44"/>
  <c r="N79" i="44"/>
  <c r="O79" i="44"/>
  <c r="L80" i="44"/>
  <c r="M80" i="44"/>
  <c r="N80" i="44"/>
  <c r="O80" i="44"/>
  <c r="L81" i="44"/>
  <c r="M81" i="44"/>
  <c r="N81" i="44"/>
  <c r="O81" i="44"/>
  <c r="L82" i="44"/>
  <c r="M82" i="44"/>
  <c r="N82" i="44"/>
  <c r="O82" i="44"/>
  <c r="L83" i="44"/>
  <c r="M83" i="44"/>
  <c r="N83" i="44"/>
  <c r="O83" i="44"/>
  <c r="L84" i="44"/>
  <c r="M84" i="44"/>
  <c r="N84" i="44"/>
  <c r="O84" i="44"/>
  <c r="L85" i="44"/>
  <c r="M85" i="44"/>
  <c r="N85" i="44"/>
  <c r="O85" i="44"/>
  <c r="L86" i="44"/>
  <c r="M86" i="44"/>
  <c r="N86" i="44"/>
  <c r="O86" i="44"/>
  <c r="L87" i="44"/>
  <c r="M87" i="44"/>
  <c r="N87" i="44"/>
  <c r="O87" i="44"/>
  <c r="L88" i="44"/>
  <c r="M88" i="44"/>
  <c r="N88" i="44"/>
  <c r="O88" i="44"/>
  <c r="L89" i="44"/>
  <c r="M89" i="44"/>
  <c r="N89" i="44"/>
  <c r="O89" i="44"/>
  <c r="L90" i="44"/>
  <c r="M90" i="44"/>
  <c r="N90" i="44"/>
  <c r="O90" i="44"/>
  <c r="L91" i="44"/>
  <c r="M91" i="44"/>
  <c r="N91" i="44"/>
  <c r="O91" i="44"/>
  <c r="L92" i="44"/>
  <c r="M92" i="44"/>
  <c r="N92" i="44"/>
  <c r="O92" i="44"/>
  <c r="L93" i="44"/>
  <c r="M93" i="44"/>
  <c r="N93" i="44"/>
  <c r="O93" i="44"/>
  <c r="L94" i="44"/>
  <c r="M94" i="44"/>
  <c r="N94" i="44"/>
  <c r="O94" i="44"/>
  <c r="L95" i="44"/>
  <c r="M95" i="44"/>
  <c r="N95" i="44"/>
  <c r="O95" i="44"/>
  <c r="L96" i="44"/>
  <c r="M96" i="44"/>
  <c r="N96" i="44"/>
  <c r="O96" i="44"/>
  <c r="L97" i="44"/>
  <c r="M97" i="44"/>
  <c r="N97" i="44"/>
  <c r="O97" i="44"/>
  <c r="L98" i="44"/>
  <c r="M98" i="44"/>
  <c r="N98" i="44"/>
  <c r="O98" i="44"/>
  <c r="L99" i="44"/>
  <c r="M99" i="44"/>
  <c r="N99" i="44"/>
  <c r="O99" i="44"/>
  <c r="L100" i="44"/>
  <c r="M100" i="44"/>
  <c r="N100" i="44"/>
  <c r="O100" i="44"/>
  <c r="L101" i="44"/>
  <c r="M101" i="44"/>
  <c r="N101" i="44"/>
  <c r="O101" i="44"/>
  <c r="L102" i="44"/>
  <c r="M102" i="44"/>
  <c r="N102" i="44"/>
  <c r="O102" i="44"/>
  <c r="L103" i="44"/>
  <c r="M103" i="44"/>
  <c r="N103" i="44"/>
  <c r="O103" i="44"/>
  <c r="L104" i="44"/>
  <c r="M104" i="44"/>
  <c r="N104" i="44"/>
  <c r="O104" i="44"/>
  <c r="L105" i="44"/>
  <c r="M105" i="44"/>
  <c r="N105" i="44"/>
  <c r="O105" i="44"/>
  <c r="L106" i="44"/>
  <c r="M106" i="44"/>
  <c r="N106" i="44"/>
  <c r="O106" i="44"/>
  <c r="L107" i="44"/>
  <c r="M107" i="44"/>
  <c r="N107" i="44"/>
  <c r="O107" i="44"/>
  <c r="L108" i="44"/>
  <c r="M108" i="44"/>
  <c r="N108" i="44"/>
  <c r="O108" i="44"/>
  <c r="L109" i="44"/>
  <c r="M109" i="44"/>
  <c r="N109" i="44"/>
  <c r="O109" i="44"/>
  <c r="L110" i="44"/>
  <c r="M110" i="44"/>
  <c r="N110" i="44"/>
  <c r="O110" i="44"/>
  <c r="L111" i="44"/>
  <c r="M111" i="44"/>
  <c r="N111" i="44"/>
  <c r="O111" i="44"/>
  <c r="L112" i="44"/>
  <c r="M112" i="44"/>
  <c r="N112" i="44"/>
  <c r="O112" i="44"/>
  <c r="L113" i="44"/>
  <c r="M113" i="44"/>
  <c r="N113" i="44"/>
  <c r="O113" i="44"/>
  <c r="L114" i="44"/>
  <c r="M114" i="44"/>
  <c r="N114" i="44"/>
  <c r="O114" i="44"/>
  <c r="L115" i="44"/>
  <c r="M115" i="44"/>
  <c r="N115" i="44"/>
  <c r="O115" i="44"/>
  <c r="L116" i="44"/>
  <c r="M116" i="44"/>
  <c r="N116" i="44"/>
  <c r="O116" i="44"/>
  <c r="L117" i="44"/>
  <c r="M117" i="44"/>
  <c r="N117" i="44"/>
  <c r="O117" i="44"/>
  <c r="L118" i="44"/>
  <c r="M118" i="44"/>
  <c r="N118" i="44"/>
  <c r="O118" i="44"/>
  <c r="D73" i="44"/>
  <c r="E73" i="44"/>
  <c r="F73" i="44"/>
  <c r="G73" i="44"/>
  <c r="D74" i="44"/>
  <c r="E74" i="44"/>
  <c r="F74" i="44"/>
  <c r="G74" i="44"/>
  <c r="D75" i="44"/>
  <c r="E75" i="44"/>
  <c r="F75" i="44"/>
  <c r="G75" i="44"/>
  <c r="D76" i="44"/>
  <c r="E76" i="44"/>
  <c r="F76" i="44"/>
  <c r="G76" i="44"/>
  <c r="D77" i="44"/>
  <c r="E77" i="44"/>
  <c r="F77" i="44"/>
  <c r="G77" i="44"/>
  <c r="D78" i="44"/>
  <c r="E78" i="44"/>
  <c r="F78" i="44"/>
  <c r="G78" i="44"/>
  <c r="D79" i="44"/>
  <c r="E79" i="44"/>
  <c r="F79" i="44"/>
  <c r="G79" i="44"/>
  <c r="D80" i="44"/>
  <c r="E80" i="44"/>
  <c r="F80" i="44"/>
  <c r="G80" i="44"/>
  <c r="D81" i="44"/>
  <c r="E81" i="44"/>
  <c r="F81" i="44"/>
  <c r="G81" i="44"/>
  <c r="D82" i="44"/>
  <c r="E82" i="44"/>
  <c r="F82" i="44"/>
  <c r="G82" i="44"/>
  <c r="D83" i="44"/>
  <c r="E83" i="44"/>
  <c r="F83" i="44"/>
  <c r="G83" i="44"/>
  <c r="D84" i="44"/>
  <c r="E84" i="44"/>
  <c r="F84" i="44"/>
  <c r="G84" i="44"/>
  <c r="D85" i="44"/>
  <c r="E85" i="44"/>
  <c r="F85" i="44"/>
  <c r="G85" i="44"/>
  <c r="D86" i="44"/>
  <c r="E86" i="44"/>
  <c r="F86" i="44"/>
  <c r="G86" i="44"/>
  <c r="D87" i="44"/>
  <c r="E87" i="44"/>
  <c r="F87" i="44"/>
  <c r="G87" i="44"/>
  <c r="D88" i="44"/>
  <c r="E88" i="44"/>
  <c r="F88" i="44"/>
  <c r="G88" i="44"/>
  <c r="D89" i="44"/>
  <c r="E89" i="44"/>
  <c r="F89" i="44"/>
  <c r="G89" i="44"/>
  <c r="D90" i="44"/>
  <c r="E90" i="44"/>
  <c r="F90" i="44"/>
  <c r="G90" i="44"/>
  <c r="D91" i="44"/>
  <c r="E91" i="44"/>
  <c r="F91" i="44"/>
  <c r="G91" i="44"/>
  <c r="D92" i="44"/>
  <c r="E92" i="44"/>
  <c r="F92" i="44"/>
  <c r="G92" i="44"/>
  <c r="D93" i="44"/>
  <c r="E93" i="44"/>
  <c r="F93" i="44"/>
  <c r="G93" i="44"/>
  <c r="D94" i="44"/>
  <c r="E94" i="44"/>
  <c r="F94" i="44"/>
  <c r="G94" i="44"/>
  <c r="D95" i="44"/>
  <c r="E95" i="44"/>
  <c r="F95" i="44"/>
  <c r="G95" i="44"/>
  <c r="D96" i="44"/>
  <c r="E96" i="44"/>
  <c r="F96" i="44"/>
  <c r="G96" i="44"/>
  <c r="D97" i="44"/>
  <c r="E97" i="44"/>
  <c r="F97" i="44"/>
  <c r="G97" i="44"/>
  <c r="D98" i="44"/>
  <c r="E98" i="44"/>
  <c r="F98" i="44"/>
  <c r="G98" i="44"/>
  <c r="D99" i="44"/>
  <c r="E99" i="44"/>
  <c r="F99" i="44"/>
  <c r="G99" i="44"/>
  <c r="D100" i="44"/>
  <c r="E100" i="44"/>
  <c r="F100" i="44"/>
  <c r="G100" i="44"/>
  <c r="D101" i="44"/>
  <c r="E101" i="44"/>
  <c r="F101" i="44"/>
  <c r="G101" i="44"/>
  <c r="D102" i="44"/>
  <c r="E102" i="44"/>
  <c r="F102" i="44"/>
  <c r="G102" i="44"/>
  <c r="D103" i="44"/>
  <c r="E103" i="44"/>
  <c r="F103" i="44"/>
  <c r="G103" i="44"/>
  <c r="D104" i="44"/>
  <c r="E104" i="44"/>
  <c r="F104" i="44"/>
  <c r="G104" i="44"/>
  <c r="D105" i="44"/>
  <c r="E105" i="44"/>
  <c r="F105" i="44"/>
  <c r="G105" i="44"/>
  <c r="D106" i="44"/>
  <c r="E106" i="44"/>
  <c r="F106" i="44"/>
  <c r="G106" i="44"/>
  <c r="D107" i="44"/>
  <c r="E107" i="44"/>
  <c r="F107" i="44"/>
  <c r="G107" i="44"/>
  <c r="D108" i="44"/>
  <c r="E108" i="44"/>
  <c r="F108" i="44"/>
  <c r="G108" i="44"/>
  <c r="D109" i="44"/>
  <c r="E109" i="44"/>
  <c r="F109" i="44"/>
  <c r="G109" i="44"/>
  <c r="D110" i="44"/>
  <c r="E110" i="44"/>
  <c r="F110" i="44"/>
  <c r="G110" i="44"/>
  <c r="D111" i="44"/>
  <c r="E111" i="44"/>
  <c r="F111" i="44"/>
  <c r="G111" i="44"/>
  <c r="D112" i="44"/>
  <c r="E112" i="44"/>
  <c r="F112" i="44"/>
  <c r="G112" i="44"/>
  <c r="D113" i="44"/>
  <c r="E113" i="44"/>
  <c r="F113" i="44"/>
  <c r="G113" i="44"/>
  <c r="D114" i="44"/>
  <c r="E114" i="44"/>
  <c r="F114" i="44"/>
  <c r="G114" i="44"/>
  <c r="D115" i="44"/>
  <c r="E115" i="44"/>
  <c r="F115" i="44"/>
  <c r="G115" i="44"/>
  <c r="D116" i="44"/>
  <c r="E116" i="44"/>
  <c r="F116" i="44"/>
  <c r="G116" i="44"/>
  <c r="D117" i="44"/>
  <c r="E117" i="44"/>
  <c r="F117" i="44"/>
  <c r="G117" i="44"/>
  <c r="D118" i="44"/>
  <c r="E118" i="44"/>
  <c r="F118" i="44"/>
  <c r="G118" i="44"/>
  <c r="D119" i="44"/>
  <c r="E119" i="44"/>
  <c r="F119" i="44"/>
  <c r="G119" i="44"/>
  <c r="L13" i="44"/>
  <c r="M13" i="44"/>
  <c r="N13" i="44"/>
  <c r="O13" i="44"/>
  <c r="L14" i="44"/>
  <c r="M14" i="44"/>
  <c r="N14" i="44"/>
  <c r="O14" i="44"/>
  <c r="L15" i="44"/>
  <c r="M15" i="44"/>
  <c r="N15" i="44"/>
  <c r="O15" i="44"/>
  <c r="L16" i="44"/>
  <c r="M16" i="44"/>
  <c r="N16" i="44"/>
  <c r="O16" i="44"/>
  <c r="L17" i="44"/>
  <c r="M17" i="44"/>
  <c r="N17" i="44"/>
  <c r="O17" i="44"/>
  <c r="L18" i="44"/>
  <c r="M18" i="44"/>
  <c r="N18" i="44"/>
  <c r="O18" i="44"/>
  <c r="L19" i="44"/>
  <c r="M19" i="44"/>
  <c r="N19" i="44"/>
  <c r="O19" i="44"/>
  <c r="L20" i="44"/>
  <c r="M20" i="44"/>
  <c r="N20" i="44"/>
  <c r="O20" i="44"/>
  <c r="L21" i="44"/>
  <c r="M21" i="44"/>
  <c r="N21" i="44"/>
  <c r="O21" i="44"/>
  <c r="L22" i="44"/>
  <c r="M22" i="44"/>
  <c r="N22" i="44"/>
  <c r="O22" i="44"/>
  <c r="L23" i="44"/>
  <c r="M23" i="44"/>
  <c r="N23" i="44"/>
  <c r="O23" i="44"/>
  <c r="L24" i="44"/>
  <c r="M24" i="44"/>
  <c r="N24" i="44"/>
  <c r="O24" i="44"/>
  <c r="L25" i="44"/>
  <c r="M25" i="44"/>
  <c r="N25" i="44"/>
  <c r="O25" i="44"/>
  <c r="L26" i="44"/>
  <c r="M26" i="44"/>
  <c r="N26" i="44"/>
  <c r="O26" i="44"/>
  <c r="L27" i="44"/>
  <c r="M27" i="44"/>
  <c r="N27" i="44"/>
  <c r="O27" i="44"/>
  <c r="L28" i="44"/>
  <c r="M28" i="44"/>
  <c r="N28" i="44"/>
  <c r="O28" i="44"/>
  <c r="L29" i="44"/>
  <c r="M29" i="44"/>
  <c r="N29" i="44"/>
  <c r="O29" i="44"/>
  <c r="L30" i="44"/>
  <c r="M30" i="44"/>
  <c r="N30" i="44"/>
  <c r="O30" i="44"/>
  <c r="L31" i="44"/>
  <c r="M31" i="44"/>
  <c r="N31" i="44"/>
  <c r="O31" i="44"/>
  <c r="L32" i="44"/>
  <c r="M32" i="44"/>
  <c r="N32" i="44"/>
  <c r="O32" i="44"/>
  <c r="L33" i="44"/>
  <c r="M33" i="44"/>
  <c r="N33" i="44"/>
  <c r="O33" i="44"/>
  <c r="L34" i="44"/>
  <c r="M34" i="44"/>
  <c r="N34" i="44"/>
  <c r="O34" i="44"/>
  <c r="L35" i="44"/>
  <c r="M35" i="44"/>
  <c r="N35" i="44"/>
  <c r="O35" i="44"/>
  <c r="L36" i="44"/>
  <c r="M36" i="44"/>
  <c r="N36" i="44"/>
  <c r="O36" i="44"/>
  <c r="L37" i="44"/>
  <c r="M37" i="44"/>
  <c r="N37" i="44"/>
  <c r="O37" i="44"/>
  <c r="L38" i="44"/>
  <c r="M38" i="44"/>
  <c r="N38" i="44"/>
  <c r="O38" i="44"/>
  <c r="L39" i="44"/>
  <c r="M39" i="44"/>
  <c r="N39" i="44"/>
  <c r="O39" i="44"/>
  <c r="L40" i="44"/>
  <c r="M40" i="44"/>
  <c r="N40" i="44"/>
  <c r="O40" i="44"/>
  <c r="L41" i="44"/>
  <c r="M41" i="44"/>
  <c r="N41" i="44"/>
  <c r="O41" i="44"/>
  <c r="L42" i="44"/>
  <c r="M42" i="44"/>
  <c r="N42" i="44"/>
  <c r="O42" i="44"/>
  <c r="L43" i="44"/>
  <c r="M43" i="44"/>
  <c r="N43" i="44"/>
  <c r="O43" i="44"/>
  <c r="L44" i="44"/>
  <c r="M44" i="44"/>
  <c r="N44" i="44"/>
  <c r="O44" i="44"/>
  <c r="L45" i="44"/>
  <c r="M45" i="44"/>
  <c r="N45" i="44"/>
  <c r="O45" i="44"/>
  <c r="L46" i="44"/>
  <c r="M46" i="44"/>
  <c r="N46" i="44"/>
  <c r="O46" i="44"/>
  <c r="L47" i="44"/>
  <c r="M47" i="44"/>
  <c r="N47" i="44"/>
  <c r="O47" i="44"/>
  <c r="L48" i="44"/>
  <c r="M48" i="44"/>
  <c r="N48" i="44"/>
  <c r="O48" i="44"/>
  <c r="L49" i="44"/>
  <c r="M49" i="44"/>
  <c r="N49" i="44"/>
  <c r="O49" i="44"/>
  <c r="L50" i="44"/>
  <c r="M50" i="44"/>
  <c r="N50" i="44"/>
  <c r="O50" i="44"/>
  <c r="L51" i="44"/>
  <c r="M51" i="44"/>
  <c r="N51" i="44"/>
  <c r="O51" i="44"/>
  <c r="L52" i="44"/>
  <c r="M52" i="44"/>
  <c r="N52" i="44"/>
  <c r="O52" i="44"/>
  <c r="L53" i="44"/>
  <c r="M53" i="44"/>
  <c r="N53" i="44"/>
  <c r="O53" i="44"/>
  <c r="L54" i="44"/>
  <c r="M54" i="44"/>
  <c r="N54" i="44"/>
  <c r="O54" i="44"/>
  <c r="L55" i="44"/>
  <c r="M55" i="44"/>
  <c r="N55" i="44"/>
  <c r="O55" i="44"/>
  <c r="L56" i="44"/>
  <c r="M56" i="44"/>
  <c r="N56" i="44"/>
  <c r="O56" i="44"/>
  <c r="L57" i="44"/>
  <c r="M57" i="44"/>
  <c r="N57" i="44"/>
  <c r="O57" i="44"/>
  <c r="L58" i="44"/>
  <c r="M58" i="44"/>
  <c r="N58" i="44"/>
  <c r="O58" i="44"/>
  <c r="D13" i="44"/>
  <c r="E13" i="44"/>
  <c r="F13" i="44"/>
  <c r="G13" i="44"/>
  <c r="D14" i="44"/>
  <c r="E14" i="44"/>
  <c r="F14" i="44"/>
  <c r="G14" i="44"/>
  <c r="D15" i="44"/>
  <c r="E15" i="44"/>
  <c r="F15" i="44"/>
  <c r="G15" i="44"/>
  <c r="D16" i="44"/>
  <c r="E16" i="44"/>
  <c r="F16" i="44"/>
  <c r="G16" i="44"/>
  <c r="D17" i="44"/>
  <c r="E17" i="44"/>
  <c r="F17" i="44"/>
  <c r="G17" i="44"/>
  <c r="D18" i="44"/>
  <c r="E18" i="44"/>
  <c r="F18" i="44"/>
  <c r="G18" i="44"/>
  <c r="D19" i="44"/>
  <c r="E19" i="44"/>
  <c r="F19" i="44"/>
  <c r="G19" i="44"/>
  <c r="D20" i="44"/>
  <c r="E20" i="44"/>
  <c r="F20" i="44"/>
  <c r="G20" i="44"/>
  <c r="D21" i="44"/>
  <c r="E21" i="44"/>
  <c r="F21" i="44"/>
  <c r="G21" i="44"/>
  <c r="D22" i="44"/>
  <c r="E22" i="44"/>
  <c r="F22" i="44"/>
  <c r="G22" i="44"/>
  <c r="D23" i="44"/>
  <c r="E23" i="44"/>
  <c r="F23" i="44"/>
  <c r="G23" i="44"/>
  <c r="D24" i="44"/>
  <c r="E24" i="44"/>
  <c r="F24" i="44"/>
  <c r="G24" i="44"/>
  <c r="D25" i="44"/>
  <c r="E25" i="44"/>
  <c r="F25" i="44"/>
  <c r="G25" i="44"/>
  <c r="D26" i="44"/>
  <c r="E26" i="44"/>
  <c r="F26" i="44"/>
  <c r="G26" i="44"/>
  <c r="D27" i="44"/>
  <c r="E27" i="44"/>
  <c r="F27" i="44"/>
  <c r="G27" i="44"/>
  <c r="D28" i="44"/>
  <c r="E28" i="44"/>
  <c r="F28" i="44"/>
  <c r="G28" i="44"/>
  <c r="D29" i="44"/>
  <c r="E29" i="44"/>
  <c r="F29" i="44"/>
  <c r="G29" i="44"/>
  <c r="D30" i="44"/>
  <c r="E30" i="44"/>
  <c r="F30" i="44"/>
  <c r="G30" i="44"/>
  <c r="D31" i="44"/>
  <c r="E31" i="44"/>
  <c r="F31" i="44"/>
  <c r="G31" i="44"/>
  <c r="D32" i="44"/>
  <c r="E32" i="44"/>
  <c r="F32" i="44"/>
  <c r="G32" i="44"/>
  <c r="D33" i="44"/>
  <c r="E33" i="44"/>
  <c r="F33" i="44"/>
  <c r="G33" i="44"/>
  <c r="D34" i="44"/>
  <c r="E34" i="44"/>
  <c r="F34" i="44"/>
  <c r="G34" i="44"/>
  <c r="D35" i="44"/>
  <c r="E35" i="44"/>
  <c r="F35" i="44"/>
  <c r="G35" i="44"/>
  <c r="D36" i="44"/>
  <c r="E36" i="44"/>
  <c r="F36" i="44"/>
  <c r="G36" i="44"/>
  <c r="D37" i="44"/>
  <c r="E37" i="44"/>
  <c r="F37" i="44"/>
  <c r="G37" i="44"/>
  <c r="D38" i="44"/>
  <c r="E38" i="44"/>
  <c r="F38" i="44"/>
  <c r="G38" i="44"/>
  <c r="D39" i="44"/>
  <c r="E39" i="44"/>
  <c r="F39" i="44"/>
  <c r="G39" i="44"/>
  <c r="D40" i="44"/>
  <c r="E40" i="44"/>
  <c r="F40" i="44"/>
  <c r="G40" i="44"/>
  <c r="D41" i="44"/>
  <c r="E41" i="44"/>
  <c r="F41" i="44"/>
  <c r="G41" i="44"/>
  <c r="D42" i="44"/>
  <c r="E42" i="44"/>
  <c r="F42" i="44"/>
  <c r="G42" i="44"/>
  <c r="D43" i="44"/>
  <c r="E43" i="44"/>
  <c r="F43" i="44"/>
  <c r="G43" i="44"/>
  <c r="D44" i="44"/>
  <c r="E44" i="44"/>
  <c r="F44" i="44"/>
  <c r="G44" i="44"/>
  <c r="D45" i="44"/>
  <c r="E45" i="44"/>
  <c r="F45" i="44"/>
  <c r="G45" i="44"/>
  <c r="D46" i="44"/>
  <c r="E46" i="44"/>
  <c r="F46" i="44"/>
  <c r="G46" i="44"/>
  <c r="D47" i="44"/>
  <c r="E47" i="44"/>
  <c r="F47" i="44"/>
  <c r="G47" i="44"/>
  <c r="D48" i="44"/>
  <c r="E48" i="44"/>
  <c r="F48" i="44"/>
  <c r="G48" i="44"/>
  <c r="D49" i="44"/>
  <c r="E49" i="44"/>
  <c r="F49" i="44"/>
  <c r="G49" i="44"/>
  <c r="D50" i="44"/>
  <c r="E50" i="44"/>
  <c r="F50" i="44"/>
  <c r="G50" i="44"/>
  <c r="D51" i="44"/>
  <c r="E51" i="44"/>
  <c r="F51" i="44"/>
  <c r="G51" i="44"/>
  <c r="D52" i="44"/>
  <c r="E52" i="44"/>
  <c r="F52" i="44"/>
  <c r="G52" i="44"/>
  <c r="D53" i="44"/>
  <c r="E53" i="44"/>
  <c r="F53" i="44"/>
  <c r="G53" i="44"/>
  <c r="D54" i="44"/>
  <c r="E54" i="44"/>
  <c r="F54" i="44"/>
  <c r="G54" i="44"/>
  <c r="D55" i="44"/>
  <c r="E55" i="44"/>
  <c r="F55" i="44"/>
  <c r="G55" i="44"/>
  <c r="D56" i="44"/>
  <c r="E56" i="44"/>
  <c r="F56" i="44"/>
  <c r="G56" i="44"/>
  <c r="D57" i="44"/>
  <c r="E57" i="44"/>
  <c r="F57" i="44"/>
  <c r="G57" i="44"/>
  <c r="D58" i="44"/>
  <c r="E58" i="44"/>
  <c r="F58" i="44"/>
  <c r="G58" i="44"/>
  <c r="L133" i="43"/>
  <c r="M133" i="43"/>
  <c r="P133" i="43" s="1"/>
  <c r="N133" i="43"/>
  <c r="O133" i="43"/>
  <c r="L134" i="43"/>
  <c r="M134" i="43"/>
  <c r="P134" i="43" s="1"/>
  <c r="N134" i="43"/>
  <c r="O134" i="43"/>
  <c r="L135" i="43"/>
  <c r="M135" i="43"/>
  <c r="P135" i="43" s="1"/>
  <c r="N135" i="43"/>
  <c r="O135" i="43"/>
  <c r="L136" i="43"/>
  <c r="M136" i="43"/>
  <c r="P136" i="43" s="1"/>
  <c r="N136" i="43"/>
  <c r="O136" i="43"/>
  <c r="L137" i="43"/>
  <c r="M137" i="43"/>
  <c r="P137" i="43" s="1"/>
  <c r="N137" i="43"/>
  <c r="O137" i="43"/>
  <c r="L138" i="43"/>
  <c r="M138" i="43"/>
  <c r="P138" i="43" s="1"/>
  <c r="N138" i="43"/>
  <c r="O138" i="43"/>
  <c r="L139" i="43"/>
  <c r="M139" i="43"/>
  <c r="P139" i="43" s="1"/>
  <c r="N139" i="43"/>
  <c r="O139" i="43"/>
  <c r="L140" i="43"/>
  <c r="M140" i="43"/>
  <c r="P140" i="43" s="1"/>
  <c r="N140" i="43"/>
  <c r="O140" i="43"/>
  <c r="L141" i="43"/>
  <c r="M141" i="43"/>
  <c r="P141" i="43" s="1"/>
  <c r="N141" i="43"/>
  <c r="O141" i="43"/>
  <c r="L142" i="43"/>
  <c r="M142" i="43"/>
  <c r="P142" i="43" s="1"/>
  <c r="N142" i="43"/>
  <c r="O142" i="43"/>
  <c r="L143" i="43"/>
  <c r="M143" i="43"/>
  <c r="P143" i="43" s="1"/>
  <c r="N143" i="43"/>
  <c r="O143" i="43"/>
  <c r="L144" i="43"/>
  <c r="M144" i="43"/>
  <c r="P144" i="43" s="1"/>
  <c r="N144" i="43"/>
  <c r="O144" i="43"/>
  <c r="L145" i="43"/>
  <c r="M145" i="43"/>
  <c r="P145" i="43" s="1"/>
  <c r="N145" i="43"/>
  <c r="O145" i="43"/>
  <c r="L146" i="43"/>
  <c r="M146" i="43"/>
  <c r="P146" i="43" s="1"/>
  <c r="N146" i="43"/>
  <c r="O146" i="43"/>
  <c r="L147" i="43"/>
  <c r="M147" i="43"/>
  <c r="P147" i="43" s="1"/>
  <c r="N147" i="43"/>
  <c r="O147" i="43"/>
  <c r="L148" i="43"/>
  <c r="M148" i="43"/>
  <c r="P148" i="43" s="1"/>
  <c r="N148" i="43"/>
  <c r="O148" i="43"/>
  <c r="L149" i="43"/>
  <c r="M149" i="43"/>
  <c r="P149" i="43" s="1"/>
  <c r="N149" i="43"/>
  <c r="O149" i="43"/>
  <c r="L150" i="43"/>
  <c r="M150" i="43"/>
  <c r="P150" i="43" s="1"/>
  <c r="N150" i="43"/>
  <c r="O150" i="43"/>
  <c r="L151" i="43"/>
  <c r="M151" i="43"/>
  <c r="P151" i="43" s="1"/>
  <c r="N151" i="43"/>
  <c r="O151" i="43"/>
  <c r="L152" i="43"/>
  <c r="M152" i="43"/>
  <c r="P152" i="43" s="1"/>
  <c r="N152" i="43"/>
  <c r="O152" i="43"/>
  <c r="L153" i="43"/>
  <c r="M153" i="43"/>
  <c r="P153" i="43" s="1"/>
  <c r="N153" i="43"/>
  <c r="O153" i="43"/>
  <c r="L154" i="43"/>
  <c r="M154" i="43"/>
  <c r="P154" i="43" s="1"/>
  <c r="N154" i="43"/>
  <c r="O154" i="43"/>
  <c r="L155" i="43"/>
  <c r="M155" i="43"/>
  <c r="P155" i="43" s="1"/>
  <c r="N155" i="43"/>
  <c r="O155" i="43"/>
  <c r="L156" i="43"/>
  <c r="M156" i="43"/>
  <c r="P156" i="43" s="1"/>
  <c r="N156" i="43"/>
  <c r="O156" i="43"/>
  <c r="L157" i="43"/>
  <c r="M157" i="43"/>
  <c r="P157" i="43" s="1"/>
  <c r="N157" i="43"/>
  <c r="O157" i="43"/>
  <c r="L158" i="43"/>
  <c r="M158" i="43"/>
  <c r="P158" i="43" s="1"/>
  <c r="N158" i="43"/>
  <c r="O158" i="43"/>
  <c r="L159" i="43"/>
  <c r="M159" i="43"/>
  <c r="P159" i="43" s="1"/>
  <c r="N159" i="43"/>
  <c r="O159" i="43"/>
  <c r="L160" i="43"/>
  <c r="M160" i="43"/>
  <c r="P160" i="43" s="1"/>
  <c r="N160" i="43"/>
  <c r="O160" i="43"/>
  <c r="L161" i="43"/>
  <c r="M161" i="43"/>
  <c r="P161" i="43" s="1"/>
  <c r="N161" i="43"/>
  <c r="O161" i="43"/>
  <c r="L162" i="43"/>
  <c r="M162" i="43"/>
  <c r="P162" i="43" s="1"/>
  <c r="N162" i="43"/>
  <c r="O162" i="43"/>
  <c r="L163" i="43"/>
  <c r="M163" i="43"/>
  <c r="P163" i="43" s="1"/>
  <c r="N163" i="43"/>
  <c r="O163" i="43"/>
  <c r="L164" i="43"/>
  <c r="M164" i="43"/>
  <c r="P164" i="43" s="1"/>
  <c r="N164" i="43"/>
  <c r="O164" i="43"/>
  <c r="L165" i="43"/>
  <c r="M165" i="43"/>
  <c r="P165" i="43" s="1"/>
  <c r="N165" i="43"/>
  <c r="O165" i="43"/>
  <c r="L166" i="43"/>
  <c r="M166" i="43"/>
  <c r="P166" i="43" s="1"/>
  <c r="N166" i="43"/>
  <c r="O166" i="43"/>
  <c r="L167" i="43"/>
  <c r="M167" i="43"/>
  <c r="P167" i="43" s="1"/>
  <c r="N167" i="43"/>
  <c r="O167" i="43"/>
  <c r="L168" i="43"/>
  <c r="M168" i="43"/>
  <c r="P168" i="43" s="1"/>
  <c r="N168" i="43"/>
  <c r="O168" i="43"/>
  <c r="L169" i="43"/>
  <c r="M169" i="43"/>
  <c r="P169" i="43" s="1"/>
  <c r="N169" i="43"/>
  <c r="O169" i="43"/>
  <c r="L170" i="43"/>
  <c r="M170" i="43"/>
  <c r="P170" i="43" s="1"/>
  <c r="N170" i="43"/>
  <c r="O170" i="43"/>
  <c r="L171" i="43"/>
  <c r="M171" i="43"/>
  <c r="P171" i="43" s="1"/>
  <c r="N171" i="43"/>
  <c r="O171" i="43"/>
  <c r="L172" i="43"/>
  <c r="M172" i="43"/>
  <c r="P172" i="43" s="1"/>
  <c r="N172" i="43"/>
  <c r="O172" i="43"/>
  <c r="L173" i="43"/>
  <c r="M173" i="43"/>
  <c r="P173" i="43" s="1"/>
  <c r="N173" i="43"/>
  <c r="O173" i="43"/>
  <c r="L174" i="43"/>
  <c r="M174" i="43"/>
  <c r="P174" i="43" s="1"/>
  <c r="N174" i="43"/>
  <c r="O174" i="43"/>
  <c r="L175" i="43"/>
  <c r="M175" i="43"/>
  <c r="P175" i="43" s="1"/>
  <c r="N175" i="43"/>
  <c r="O175" i="43"/>
  <c r="L176" i="43"/>
  <c r="M176" i="43"/>
  <c r="P176" i="43" s="1"/>
  <c r="N176" i="43"/>
  <c r="O176" i="43"/>
  <c r="L177" i="43"/>
  <c r="M177" i="43"/>
  <c r="P177" i="43" s="1"/>
  <c r="N177" i="43"/>
  <c r="O177" i="43"/>
  <c r="L178" i="43"/>
  <c r="M178" i="43"/>
  <c r="P178" i="43" s="1"/>
  <c r="N178" i="43"/>
  <c r="O178" i="43"/>
  <c r="D133" i="43"/>
  <c r="E133" i="43"/>
  <c r="H133" i="43" s="1"/>
  <c r="F133" i="43"/>
  <c r="G133" i="43"/>
  <c r="D134" i="43"/>
  <c r="E134" i="43"/>
  <c r="H134" i="43" s="1"/>
  <c r="F134" i="43"/>
  <c r="G134" i="43"/>
  <c r="D135" i="43"/>
  <c r="E135" i="43"/>
  <c r="H135" i="43" s="1"/>
  <c r="F135" i="43"/>
  <c r="G135" i="43"/>
  <c r="D136" i="43"/>
  <c r="E136" i="43"/>
  <c r="H136" i="43" s="1"/>
  <c r="F136" i="43"/>
  <c r="G136" i="43"/>
  <c r="D137" i="43"/>
  <c r="E137" i="43"/>
  <c r="H137" i="43" s="1"/>
  <c r="F137" i="43"/>
  <c r="G137" i="43"/>
  <c r="D138" i="43"/>
  <c r="E138" i="43"/>
  <c r="H138" i="43" s="1"/>
  <c r="F138" i="43"/>
  <c r="G138" i="43"/>
  <c r="D139" i="43"/>
  <c r="E139" i="43"/>
  <c r="H139" i="43" s="1"/>
  <c r="F139" i="43"/>
  <c r="G139" i="43"/>
  <c r="D140" i="43"/>
  <c r="E140" i="43"/>
  <c r="H140" i="43" s="1"/>
  <c r="F140" i="43"/>
  <c r="G140" i="43"/>
  <c r="D141" i="43"/>
  <c r="E141" i="43"/>
  <c r="H141" i="43" s="1"/>
  <c r="F141" i="43"/>
  <c r="G141" i="43"/>
  <c r="D142" i="43"/>
  <c r="E142" i="43"/>
  <c r="H142" i="43" s="1"/>
  <c r="F142" i="43"/>
  <c r="G142" i="43"/>
  <c r="D143" i="43"/>
  <c r="E143" i="43"/>
  <c r="H143" i="43" s="1"/>
  <c r="F143" i="43"/>
  <c r="G143" i="43"/>
  <c r="D144" i="43"/>
  <c r="E144" i="43"/>
  <c r="H144" i="43" s="1"/>
  <c r="F144" i="43"/>
  <c r="G144" i="43"/>
  <c r="D145" i="43"/>
  <c r="E145" i="43"/>
  <c r="H145" i="43" s="1"/>
  <c r="F145" i="43"/>
  <c r="G145" i="43"/>
  <c r="D146" i="43"/>
  <c r="E146" i="43"/>
  <c r="H146" i="43" s="1"/>
  <c r="F146" i="43"/>
  <c r="G146" i="43"/>
  <c r="D147" i="43"/>
  <c r="E147" i="43"/>
  <c r="H147" i="43" s="1"/>
  <c r="F147" i="43"/>
  <c r="G147" i="43"/>
  <c r="D148" i="43"/>
  <c r="E148" i="43"/>
  <c r="H148" i="43" s="1"/>
  <c r="F148" i="43"/>
  <c r="G148" i="43"/>
  <c r="D149" i="43"/>
  <c r="E149" i="43"/>
  <c r="H149" i="43" s="1"/>
  <c r="F149" i="43"/>
  <c r="G149" i="43"/>
  <c r="D150" i="43"/>
  <c r="E150" i="43"/>
  <c r="H150" i="43" s="1"/>
  <c r="F150" i="43"/>
  <c r="G150" i="43"/>
  <c r="D151" i="43"/>
  <c r="E151" i="43"/>
  <c r="H151" i="43" s="1"/>
  <c r="F151" i="43"/>
  <c r="G151" i="43"/>
  <c r="D152" i="43"/>
  <c r="E152" i="43"/>
  <c r="H152" i="43" s="1"/>
  <c r="F152" i="43"/>
  <c r="G152" i="43"/>
  <c r="D153" i="43"/>
  <c r="E153" i="43"/>
  <c r="H153" i="43" s="1"/>
  <c r="F153" i="43"/>
  <c r="G153" i="43"/>
  <c r="D154" i="43"/>
  <c r="E154" i="43"/>
  <c r="H154" i="43" s="1"/>
  <c r="F154" i="43"/>
  <c r="G154" i="43"/>
  <c r="D155" i="43"/>
  <c r="E155" i="43"/>
  <c r="H155" i="43" s="1"/>
  <c r="F155" i="43"/>
  <c r="G155" i="43"/>
  <c r="D156" i="43"/>
  <c r="E156" i="43"/>
  <c r="H156" i="43" s="1"/>
  <c r="F156" i="43"/>
  <c r="G156" i="43"/>
  <c r="D157" i="43"/>
  <c r="E157" i="43"/>
  <c r="H157" i="43" s="1"/>
  <c r="F157" i="43"/>
  <c r="G157" i="43"/>
  <c r="D158" i="43"/>
  <c r="E158" i="43"/>
  <c r="H158" i="43" s="1"/>
  <c r="F158" i="43"/>
  <c r="G158" i="43"/>
  <c r="D159" i="43"/>
  <c r="E159" i="43"/>
  <c r="H159" i="43" s="1"/>
  <c r="F159" i="43"/>
  <c r="G159" i="43"/>
  <c r="D160" i="43"/>
  <c r="E160" i="43"/>
  <c r="H160" i="43" s="1"/>
  <c r="F160" i="43"/>
  <c r="G160" i="43"/>
  <c r="D161" i="43"/>
  <c r="E161" i="43"/>
  <c r="H161" i="43" s="1"/>
  <c r="F161" i="43"/>
  <c r="G161" i="43"/>
  <c r="D162" i="43"/>
  <c r="E162" i="43"/>
  <c r="H162" i="43" s="1"/>
  <c r="F162" i="43"/>
  <c r="G162" i="43"/>
  <c r="D163" i="43"/>
  <c r="E163" i="43"/>
  <c r="H163" i="43" s="1"/>
  <c r="F163" i="43"/>
  <c r="G163" i="43"/>
  <c r="D164" i="43"/>
  <c r="E164" i="43"/>
  <c r="H164" i="43" s="1"/>
  <c r="F164" i="43"/>
  <c r="G164" i="43"/>
  <c r="D165" i="43"/>
  <c r="E165" i="43"/>
  <c r="H165" i="43" s="1"/>
  <c r="F165" i="43"/>
  <c r="G165" i="43"/>
  <c r="D166" i="43"/>
  <c r="E166" i="43"/>
  <c r="H166" i="43" s="1"/>
  <c r="F166" i="43"/>
  <c r="G166" i="43"/>
  <c r="D167" i="43"/>
  <c r="E167" i="43"/>
  <c r="H167" i="43" s="1"/>
  <c r="F167" i="43"/>
  <c r="G167" i="43"/>
  <c r="D168" i="43"/>
  <c r="E168" i="43"/>
  <c r="H168" i="43" s="1"/>
  <c r="F168" i="43"/>
  <c r="G168" i="43"/>
  <c r="D169" i="43"/>
  <c r="E169" i="43"/>
  <c r="H169" i="43" s="1"/>
  <c r="F169" i="43"/>
  <c r="G169" i="43"/>
  <c r="D170" i="43"/>
  <c r="E170" i="43"/>
  <c r="H170" i="43" s="1"/>
  <c r="F170" i="43"/>
  <c r="G170" i="43"/>
  <c r="D171" i="43"/>
  <c r="E171" i="43"/>
  <c r="H171" i="43" s="1"/>
  <c r="F171" i="43"/>
  <c r="G171" i="43"/>
  <c r="D172" i="43"/>
  <c r="E172" i="43"/>
  <c r="H172" i="43" s="1"/>
  <c r="F172" i="43"/>
  <c r="G172" i="43"/>
  <c r="D173" i="43"/>
  <c r="E173" i="43"/>
  <c r="H173" i="43" s="1"/>
  <c r="F173" i="43"/>
  <c r="G173" i="43"/>
  <c r="D174" i="43"/>
  <c r="E174" i="43"/>
  <c r="H174" i="43" s="1"/>
  <c r="F174" i="43"/>
  <c r="G174" i="43"/>
  <c r="D175" i="43"/>
  <c r="E175" i="43"/>
  <c r="H175" i="43" s="1"/>
  <c r="F175" i="43"/>
  <c r="G175" i="43"/>
  <c r="D176" i="43"/>
  <c r="E176" i="43"/>
  <c r="H176" i="43" s="1"/>
  <c r="F176" i="43"/>
  <c r="G176" i="43"/>
  <c r="D177" i="43"/>
  <c r="E177" i="43"/>
  <c r="H177" i="43" s="1"/>
  <c r="F177" i="43"/>
  <c r="G177" i="43"/>
  <c r="D178" i="43"/>
  <c r="E178" i="43"/>
  <c r="H178" i="43" s="1"/>
  <c r="F178" i="43"/>
  <c r="G178" i="43"/>
  <c r="D179" i="43"/>
  <c r="E179" i="43"/>
  <c r="F179" i="43"/>
  <c r="G179" i="43"/>
  <c r="L73" i="43"/>
  <c r="M73" i="43"/>
  <c r="P73" i="43" s="1"/>
  <c r="N73" i="43"/>
  <c r="O73" i="43"/>
  <c r="L74" i="43"/>
  <c r="M74" i="43"/>
  <c r="P74" i="43" s="1"/>
  <c r="N74" i="43"/>
  <c r="O74" i="43"/>
  <c r="L75" i="43"/>
  <c r="M75" i="43"/>
  <c r="P75" i="43" s="1"/>
  <c r="N75" i="43"/>
  <c r="O75" i="43"/>
  <c r="L76" i="43"/>
  <c r="M76" i="43"/>
  <c r="P76" i="43" s="1"/>
  <c r="N76" i="43"/>
  <c r="O76" i="43"/>
  <c r="L77" i="43"/>
  <c r="M77" i="43"/>
  <c r="P77" i="43" s="1"/>
  <c r="N77" i="43"/>
  <c r="O77" i="43"/>
  <c r="L78" i="43"/>
  <c r="M78" i="43"/>
  <c r="P78" i="43" s="1"/>
  <c r="N78" i="43"/>
  <c r="O78" i="43"/>
  <c r="L79" i="43"/>
  <c r="M79" i="43"/>
  <c r="P79" i="43" s="1"/>
  <c r="N79" i="43"/>
  <c r="O79" i="43"/>
  <c r="L80" i="43"/>
  <c r="M80" i="43"/>
  <c r="P80" i="43" s="1"/>
  <c r="N80" i="43"/>
  <c r="O80" i="43"/>
  <c r="L81" i="43"/>
  <c r="M81" i="43"/>
  <c r="P81" i="43" s="1"/>
  <c r="N81" i="43"/>
  <c r="O81" i="43"/>
  <c r="L82" i="43"/>
  <c r="M82" i="43"/>
  <c r="P82" i="43" s="1"/>
  <c r="N82" i="43"/>
  <c r="O82" i="43"/>
  <c r="L83" i="43"/>
  <c r="M83" i="43"/>
  <c r="P83" i="43" s="1"/>
  <c r="N83" i="43"/>
  <c r="O83" i="43"/>
  <c r="L84" i="43"/>
  <c r="M84" i="43"/>
  <c r="P84" i="43" s="1"/>
  <c r="N84" i="43"/>
  <c r="O84" i="43"/>
  <c r="L85" i="43"/>
  <c r="M85" i="43"/>
  <c r="P85" i="43" s="1"/>
  <c r="N85" i="43"/>
  <c r="O85" i="43"/>
  <c r="L86" i="43"/>
  <c r="M86" i="43"/>
  <c r="P86" i="43" s="1"/>
  <c r="N86" i="43"/>
  <c r="O86" i="43"/>
  <c r="L87" i="43"/>
  <c r="M87" i="43"/>
  <c r="P87" i="43" s="1"/>
  <c r="N87" i="43"/>
  <c r="O87" i="43"/>
  <c r="L88" i="43"/>
  <c r="M88" i="43"/>
  <c r="P88" i="43" s="1"/>
  <c r="N88" i="43"/>
  <c r="O88" i="43"/>
  <c r="L89" i="43"/>
  <c r="M89" i="43"/>
  <c r="P89" i="43" s="1"/>
  <c r="N89" i="43"/>
  <c r="O89" i="43"/>
  <c r="L90" i="43"/>
  <c r="M90" i="43"/>
  <c r="P90" i="43" s="1"/>
  <c r="N90" i="43"/>
  <c r="O90" i="43"/>
  <c r="L91" i="43"/>
  <c r="M91" i="43"/>
  <c r="P91" i="43" s="1"/>
  <c r="N91" i="43"/>
  <c r="O91" i="43"/>
  <c r="L92" i="43"/>
  <c r="M92" i="43"/>
  <c r="P92" i="43" s="1"/>
  <c r="N92" i="43"/>
  <c r="O92" i="43"/>
  <c r="L93" i="43"/>
  <c r="M93" i="43"/>
  <c r="P93" i="43" s="1"/>
  <c r="N93" i="43"/>
  <c r="O93" i="43"/>
  <c r="L94" i="43"/>
  <c r="M94" i="43"/>
  <c r="P94" i="43" s="1"/>
  <c r="N94" i="43"/>
  <c r="O94" i="43"/>
  <c r="L95" i="43"/>
  <c r="M95" i="43"/>
  <c r="P95" i="43" s="1"/>
  <c r="N95" i="43"/>
  <c r="O95" i="43"/>
  <c r="L96" i="43"/>
  <c r="M96" i="43"/>
  <c r="P96" i="43" s="1"/>
  <c r="N96" i="43"/>
  <c r="O96" i="43"/>
  <c r="L97" i="43"/>
  <c r="M97" i="43"/>
  <c r="P97" i="43" s="1"/>
  <c r="N97" i="43"/>
  <c r="O97" i="43"/>
  <c r="L98" i="43"/>
  <c r="M98" i="43"/>
  <c r="P98" i="43" s="1"/>
  <c r="N98" i="43"/>
  <c r="O98" i="43"/>
  <c r="L99" i="43"/>
  <c r="M99" i="43"/>
  <c r="P99" i="43" s="1"/>
  <c r="N99" i="43"/>
  <c r="O99" i="43"/>
  <c r="L100" i="43"/>
  <c r="M100" i="43"/>
  <c r="P100" i="43" s="1"/>
  <c r="N100" i="43"/>
  <c r="O100" i="43"/>
  <c r="L101" i="43"/>
  <c r="M101" i="43"/>
  <c r="P101" i="43" s="1"/>
  <c r="N101" i="43"/>
  <c r="O101" i="43"/>
  <c r="L102" i="43"/>
  <c r="M102" i="43"/>
  <c r="P102" i="43" s="1"/>
  <c r="N102" i="43"/>
  <c r="O102" i="43"/>
  <c r="L103" i="43"/>
  <c r="M103" i="43"/>
  <c r="P103" i="43" s="1"/>
  <c r="N103" i="43"/>
  <c r="O103" i="43"/>
  <c r="L104" i="43"/>
  <c r="M104" i="43"/>
  <c r="P104" i="43" s="1"/>
  <c r="N104" i="43"/>
  <c r="O104" i="43"/>
  <c r="L105" i="43"/>
  <c r="M105" i="43"/>
  <c r="P105" i="43" s="1"/>
  <c r="N105" i="43"/>
  <c r="O105" i="43"/>
  <c r="L106" i="43"/>
  <c r="M106" i="43"/>
  <c r="P106" i="43" s="1"/>
  <c r="N106" i="43"/>
  <c r="O106" i="43"/>
  <c r="L107" i="43"/>
  <c r="M107" i="43"/>
  <c r="P107" i="43" s="1"/>
  <c r="N107" i="43"/>
  <c r="O107" i="43"/>
  <c r="L108" i="43"/>
  <c r="M108" i="43"/>
  <c r="P108" i="43" s="1"/>
  <c r="N108" i="43"/>
  <c r="O108" i="43"/>
  <c r="L109" i="43"/>
  <c r="M109" i="43"/>
  <c r="P109" i="43" s="1"/>
  <c r="N109" i="43"/>
  <c r="O109" i="43"/>
  <c r="L110" i="43"/>
  <c r="M110" i="43"/>
  <c r="P110" i="43" s="1"/>
  <c r="N110" i="43"/>
  <c r="O110" i="43"/>
  <c r="L111" i="43"/>
  <c r="M111" i="43"/>
  <c r="P111" i="43" s="1"/>
  <c r="N111" i="43"/>
  <c r="O111" i="43"/>
  <c r="L112" i="43"/>
  <c r="M112" i="43"/>
  <c r="P112" i="43" s="1"/>
  <c r="N112" i="43"/>
  <c r="O112" i="43"/>
  <c r="L113" i="43"/>
  <c r="M113" i="43"/>
  <c r="P113" i="43" s="1"/>
  <c r="N113" i="43"/>
  <c r="O113" i="43"/>
  <c r="L114" i="43"/>
  <c r="M114" i="43"/>
  <c r="P114" i="43" s="1"/>
  <c r="N114" i="43"/>
  <c r="O114" i="43"/>
  <c r="L115" i="43"/>
  <c r="M115" i="43"/>
  <c r="P115" i="43" s="1"/>
  <c r="N115" i="43"/>
  <c r="O115" i="43"/>
  <c r="L116" i="43"/>
  <c r="M116" i="43"/>
  <c r="P116" i="43" s="1"/>
  <c r="N116" i="43"/>
  <c r="O116" i="43"/>
  <c r="L117" i="43"/>
  <c r="M117" i="43"/>
  <c r="P117" i="43" s="1"/>
  <c r="N117" i="43"/>
  <c r="O117" i="43"/>
  <c r="L118" i="43"/>
  <c r="M118" i="43"/>
  <c r="P118" i="43" s="1"/>
  <c r="N118" i="43"/>
  <c r="O118" i="43"/>
  <c r="D73" i="43"/>
  <c r="E73" i="43"/>
  <c r="H73" i="43" s="1"/>
  <c r="F73" i="43"/>
  <c r="G73" i="43"/>
  <c r="D74" i="43"/>
  <c r="E74" i="43"/>
  <c r="H74" i="43" s="1"/>
  <c r="F74" i="43"/>
  <c r="G74" i="43"/>
  <c r="D75" i="43"/>
  <c r="E75" i="43"/>
  <c r="H75" i="43" s="1"/>
  <c r="F75" i="43"/>
  <c r="G75" i="43"/>
  <c r="D76" i="43"/>
  <c r="E76" i="43"/>
  <c r="H76" i="43" s="1"/>
  <c r="F76" i="43"/>
  <c r="G76" i="43"/>
  <c r="D77" i="43"/>
  <c r="E77" i="43"/>
  <c r="H77" i="43" s="1"/>
  <c r="F77" i="43"/>
  <c r="G77" i="43"/>
  <c r="D78" i="43"/>
  <c r="E78" i="43"/>
  <c r="H78" i="43" s="1"/>
  <c r="F78" i="43"/>
  <c r="G78" i="43"/>
  <c r="D79" i="43"/>
  <c r="E79" i="43"/>
  <c r="H79" i="43" s="1"/>
  <c r="F79" i="43"/>
  <c r="G79" i="43"/>
  <c r="D80" i="43"/>
  <c r="E80" i="43"/>
  <c r="H80" i="43" s="1"/>
  <c r="F80" i="43"/>
  <c r="G80" i="43"/>
  <c r="D81" i="43"/>
  <c r="E81" i="43"/>
  <c r="H81" i="43" s="1"/>
  <c r="F81" i="43"/>
  <c r="G81" i="43"/>
  <c r="D82" i="43"/>
  <c r="E82" i="43"/>
  <c r="H82" i="43" s="1"/>
  <c r="F82" i="43"/>
  <c r="G82" i="43"/>
  <c r="D83" i="43"/>
  <c r="E83" i="43"/>
  <c r="H83" i="43" s="1"/>
  <c r="F83" i="43"/>
  <c r="G83" i="43"/>
  <c r="D84" i="43"/>
  <c r="E84" i="43"/>
  <c r="H84" i="43" s="1"/>
  <c r="F84" i="43"/>
  <c r="G84" i="43"/>
  <c r="D85" i="43"/>
  <c r="E85" i="43"/>
  <c r="H85" i="43" s="1"/>
  <c r="F85" i="43"/>
  <c r="G85" i="43"/>
  <c r="D86" i="43"/>
  <c r="E86" i="43"/>
  <c r="H86" i="43" s="1"/>
  <c r="F86" i="43"/>
  <c r="G86" i="43"/>
  <c r="D87" i="43"/>
  <c r="E87" i="43"/>
  <c r="H87" i="43" s="1"/>
  <c r="F87" i="43"/>
  <c r="G87" i="43"/>
  <c r="D88" i="43"/>
  <c r="E88" i="43"/>
  <c r="H88" i="43" s="1"/>
  <c r="F88" i="43"/>
  <c r="G88" i="43"/>
  <c r="D89" i="43"/>
  <c r="E89" i="43"/>
  <c r="H89" i="43" s="1"/>
  <c r="F89" i="43"/>
  <c r="G89" i="43"/>
  <c r="D90" i="43"/>
  <c r="E90" i="43"/>
  <c r="H90" i="43" s="1"/>
  <c r="F90" i="43"/>
  <c r="G90" i="43"/>
  <c r="D91" i="43"/>
  <c r="E91" i="43"/>
  <c r="H91" i="43" s="1"/>
  <c r="F91" i="43"/>
  <c r="G91" i="43"/>
  <c r="D92" i="43"/>
  <c r="E92" i="43"/>
  <c r="H92" i="43" s="1"/>
  <c r="F92" i="43"/>
  <c r="G92" i="43"/>
  <c r="D93" i="43"/>
  <c r="E93" i="43"/>
  <c r="H93" i="43" s="1"/>
  <c r="F93" i="43"/>
  <c r="G93" i="43"/>
  <c r="D94" i="43"/>
  <c r="E94" i="43"/>
  <c r="H94" i="43" s="1"/>
  <c r="F94" i="43"/>
  <c r="G94" i="43"/>
  <c r="D95" i="43"/>
  <c r="E95" i="43"/>
  <c r="H95" i="43" s="1"/>
  <c r="F95" i="43"/>
  <c r="G95" i="43"/>
  <c r="D96" i="43"/>
  <c r="E96" i="43"/>
  <c r="H96" i="43" s="1"/>
  <c r="F96" i="43"/>
  <c r="G96" i="43"/>
  <c r="D97" i="43"/>
  <c r="E97" i="43"/>
  <c r="H97" i="43" s="1"/>
  <c r="F97" i="43"/>
  <c r="G97" i="43"/>
  <c r="D98" i="43"/>
  <c r="E98" i="43"/>
  <c r="H98" i="43" s="1"/>
  <c r="F98" i="43"/>
  <c r="G98" i="43"/>
  <c r="D99" i="43"/>
  <c r="E99" i="43"/>
  <c r="H99" i="43" s="1"/>
  <c r="F99" i="43"/>
  <c r="G99" i="43"/>
  <c r="D100" i="43"/>
  <c r="E100" i="43"/>
  <c r="H100" i="43" s="1"/>
  <c r="F100" i="43"/>
  <c r="G100" i="43"/>
  <c r="D101" i="43"/>
  <c r="E101" i="43"/>
  <c r="H101" i="43" s="1"/>
  <c r="F101" i="43"/>
  <c r="G101" i="43"/>
  <c r="D102" i="43"/>
  <c r="E102" i="43"/>
  <c r="H102" i="43" s="1"/>
  <c r="F102" i="43"/>
  <c r="G102" i="43"/>
  <c r="D103" i="43"/>
  <c r="E103" i="43"/>
  <c r="H103" i="43" s="1"/>
  <c r="F103" i="43"/>
  <c r="G103" i="43"/>
  <c r="D104" i="43"/>
  <c r="E104" i="43"/>
  <c r="H104" i="43" s="1"/>
  <c r="F104" i="43"/>
  <c r="G104" i="43"/>
  <c r="D105" i="43"/>
  <c r="E105" i="43"/>
  <c r="H105" i="43" s="1"/>
  <c r="F105" i="43"/>
  <c r="G105" i="43"/>
  <c r="D106" i="43"/>
  <c r="E106" i="43"/>
  <c r="H106" i="43" s="1"/>
  <c r="F106" i="43"/>
  <c r="G106" i="43"/>
  <c r="D107" i="43"/>
  <c r="E107" i="43"/>
  <c r="H107" i="43" s="1"/>
  <c r="F107" i="43"/>
  <c r="G107" i="43"/>
  <c r="D108" i="43"/>
  <c r="E108" i="43"/>
  <c r="H108" i="43" s="1"/>
  <c r="F108" i="43"/>
  <c r="G108" i="43"/>
  <c r="D109" i="43"/>
  <c r="E109" i="43"/>
  <c r="H109" i="43" s="1"/>
  <c r="F109" i="43"/>
  <c r="G109" i="43"/>
  <c r="D110" i="43"/>
  <c r="E110" i="43"/>
  <c r="H110" i="43" s="1"/>
  <c r="F110" i="43"/>
  <c r="G110" i="43"/>
  <c r="D111" i="43"/>
  <c r="E111" i="43"/>
  <c r="H111" i="43" s="1"/>
  <c r="F111" i="43"/>
  <c r="G111" i="43"/>
  <c r="D112" i="43"/>
  <c r="E112" i="43"/>
  <c r="H112" i="43" s="1"/>
  <c r="F112" i="43"/>
  <c r="G112" i="43"/>
  <c r="D113" i="43"/>
  <c r="E113" i="43"/>
  <c r="H113" i="43" s="1"/>
  <c r="F113" i="43"/>
  <c r="G113" i="43"/>
  <c r="D114" i="43"/>
  <c r="E114" i="43"/>
  <c r="H114" i="43" s="1"/>
  <c r="F114" i="43"/>
  <c r="G114" i="43"/>
  <c r="D115" i="43"/>
  <c r="E115" i="43"/>
  <c r="H115" i="43" s="1"/>
  <c r="F115" i="43"/>
  <c r="G115" i="43"/>
  <c r="D116" i="43"/>
  <c r="E116" i="43"/>
  <c r="H116" i="43" s="1"/>
  <c r="F116" i="43"/>
  <c r="G116" i="43"/>
  <c r="D117" i="43"/>
  <c r="E117" i="43"/>
  <c r="H117" i="43" s="1"/>
  <c r="F117" i="43"/>
  <c r="G117" i="43"/>
  <c r="D118" i="43"/>
  <c r="E118" i="43"/>
  <c r="H118" i="43" s="1"/>
  <c r="F118" i="43"/>
  <c r="G118" i="43"/>
  <c r="L13" i="43"/>
  <c r="M13" i="43"/>
  <c r="P13" i="43" s="1"/>
  <c r="N13" i="43"/>
  <c r="O13" i="43"/>
  <c r="L14" i="43"/>
  <c r="M14" i="43"/>
  <c r="P14" i="43" s="1"/>
  <c r="N14" i="43"/>
  <c r="O14" i="43"/>
  <c r="L15" i="43"/>
  <c r="M15" i="43"/>
  <c r="P15" i="43" s="1"/>
  <c r="N15" i="43"/>
  <c r="O15" i="43"/>
  <c r="L16" i="43"/>
  <c r="M16" i="43"/>
  <c r="P16" i="43" s="1"/>
  <c r="N16" i="43"/>
  <c r="O16" i="43"/>
  <c r="L17" i="43"/>
  <c r="M17" i="43"/>
  <c r="P17" i="43" s="1"/>
  <c r="N17" i="43"/>
  <c r="O17" i="43"/>
  <c r="L18" i="43"/>
  <c r="M18" i="43"/>
  <c r="P18" i="43" s="1"/>
  <c r="N18" i="43"/>
  <c r="O18" i="43"/>
  <c r="L19" i="43"/>
  <c r="M19" i="43"/>
  <c r="P19" i="43" s="1"/>
  <c r="N19" i="43"/>
  <c r="O19" i="43"/>
  <c r="L20" i="43"/>
  <c r="M20" i="43"/>
  <c r="P20" i="43" s="1"/>
  <c r="N20" i="43"/>
  <c r="O20" i="43"/>
  <c r="L21" i="43"/>
  <c r="M21" i="43"/>
  <c r="P21" i="43" s="1"/>
  <c r="N21" i="43"/>
  <c r="O21" i="43"/>
  <c r="L22" i="43"/>
  <c r="M22" i="43"/>
  <c r="P22" i="43" s="1"/>
  <c r="N22" i="43"/>
  <c r="O22" i="43"/>
  <c r="L23" i="43"/>
  <c r="M23" i="43"/>
  <c r="P23" i="43" s="1"/>
  <c r="N23" i="43"/>
  <c r="O23" i="43"/>
  <c r="L24" i="43"/>
  <c r="M24" i="43"/>
  <c r="P24" i="43" s="1"/>
  <c r="N24" i="43"/>
  <c r="O24" i="43"/>
  <c r="L25" i="43"/>
  <c r="M25" i="43"/>
  <c r="P25" i="43" s="1"/>
  <c r="N25" i="43"/>
  <c r="O25" i="43"/>
  <c r="L26" i="43"/>
  <c r="M26" i="43"/>
  <c r="P26" i="43" s="1"/>
  <c r="N26" i="43"/>
  <c r="O26" i="43"/>
  <c r="L27" i="43"/>
  <c r="M27" i="43"/>
  <c r="P27" i="43" s="1"/>
  <c r="N27" i="43"/>
  <c r="O27" i="43"/>
  <c r="L28" i="43"/>
  <c r="M28" i="43"/>
  <c r="P28" i="43" s="1"/>
  <c r="N28" i="43"/>
  <c r="O28" i="43"/>
  <c r="L29" i="43"/>
  <c r="M29" i="43"/>
  <c r="P29" i="43" s="1"/>
  <c r="N29" i="43"/>
  <c r="O29" i="43"/>
  <c r="L30" i="43"/>
  <c r="M30" i="43"/>
  <c r="P30" i="43" s="1"/>
  <c r="N30" i="43"/>
  <c r="O30" i="43"/>
  <c r="L31" i="43"/>
  <c r="M31" i="43"/>
  <c r="P31" i="43" s="1"/>
  <c r="N31" i="43"/>
  <c r="O31" i="43"/>
  <c r="L32" i="43"/>
  <c r="M32" i="43"/>
  <c r="P32" i="43" s="1"/>
  <c r="N32" i="43"/>
  <c r="O32" i="43"/>
  <c r="L33" i="43"/>
  <c r="M33" i="43"/>
  <c r="P33" i="43" s="1"/>
  <c r="N33" i="43"/>
  <c r="O33" i="43"/>
  <c r="L34" i="43"/>
  <c r="M34" i="43"/>
  <c r="P34" i="43" s="1"/>
  <c r="N34" i="43"/>
  <c r="O34" i="43"/>
  <c r="L35" i="43"/>
  <c r="M35" i="43"/>
  <c r="P35" i="43" s="1"/>
  <c r="N35" i="43"/>
  <c r="O35" i="43"/>
  <c r="L36" i="43"/>
  <c r="M36" i="43"/>
  <c r="P36" i="43" s="1"/>
  <c r="N36" i="43"/>
  <c r="O36" i="43"/>
  <c r="L37" i="43"/>
  <c r="M37" i="43"/>
  <c r="P37" i="43" s="1"/>
  <c r="N37" i="43"/>
  <c r="O37" i="43"/>
  <c r="L38" i="43"/>
  <c r="M38" i="43"/>
  <c r="P38" i="43" s="1"/>
  <c r="N38" i="43"/>
  <c r="O38" i="43"/>
  <c r="L39" i="43"/>
  <c r="M39" i="43"/>
  <c r="P39" i="43" s="1"/>
  <c r="N39" i="43"/>
  <c r="O39" i="43"/>
  <c r="L40" i="43"/>
  <c r="M40" i="43"/>
  <c r="P40" i="43" s="1"/>
  <c r="N40" i="43"/>
  <c r="O40" i="43"/>
  <c r="L41" i="43"/>
  <c r="M41" i="43"/>
  <c r="P41" i="43" s="1"/>
  <c r="N41" i="43"/>
  <c r="O41" i="43"/>
  <c r="L42" i="43"/>
  <c r="M42" i="43"/>
  <c r="P42" i="43" s="1"/>
  <c r="N42" i="43"/>
  <c r="O42" i="43"/>
  <c r="L43" i="43"/>
  <c r="M43" i="43"/>
  <c r="P43" i="43" s="1"/>
  <c r="N43" i="43"/>
  <c r="O43" i="43"/>
  <c r="L44" i="43"/>
  <c r="M44" i="43"/>
  <c r="P44" i="43" s="1"/>
  <c r="N44" i="43"/>
  <c r="O44" i="43"/>
  <c r="L45" i="43"/>
  <c r="M45" i="43"/>
  <c r="P45" i="43" s="1"/>
  <c r="N45" i="43"/>
  <c r="O45" i="43"/>
  <c r="L46" i="43"/>
  <c r="M46" i="43"/>
  <c r="P46" i="43" s="1"/>
  <c r="N46" i="43"/>
  <c r="O46" i="43"/>
  <c r="L47" i="43"/>
  <c r="M47" i="43"/>
  <c r="P47" i="43" s="1"/>
  <c r="N47" i="43"/>
  <c r="O47" i="43"/>
  <c r="L48" i="43"/>
  <c r="M48" i="43"/>
  <c r="P48" i="43" s="1"/>
  <c r="N48" i="43"/>
  <c r="O48" i="43"/>
  <c r="L49" i="43"/>
  <c r="M49" i="43"/>
  <c r="P49" i="43" s="1"/>
  <c r="N49" i="43"/>
  <c r="O49" i="43"/>
  <c r="L50" i="43"/>
  <c r="M50" i="43"/>
  <c r="P50" i="43" s="1"/>
  <c r="N50" i="43"/>
  <c r="O50" i="43"/>
  <c r="L51" i="43"/>
  <c r="M51" i="43"/>
  <c r="P51" i="43" s="1"/>
  <c r="N51" i="43"/>
  <c r="O51" i="43"/>
  <c r="L52" i="43"/>
  <c r="M52" i="43"/>
  <c r="P52" i="43" s="1"/>
  <c r="N52" i="43"/>
  <c r="O52" i="43"/>
  <c r="L53" i="43"/>
  <c r="M53" i="43"/>
  <c r="P53" i="43" s="1"/>
  <c r="N53" i="43"/>
  <c r="O53" i="43"/>
  <c r="L54" i="43"/>
  <c r="M54" i="43"/>
  <c r="P54" i="43" s="1"/>
  <c r="N54" i="43"/>
  <c r="O54" i="43"/>
  <c r="L55" i="43"/>
  <c r="M55" i="43"/>
  <c r="P55" i="43" s="1"/>
  <c r="N55" i="43"/>
  <c r="O55" i="43"/>
  <c r="L56" i="43"/>
  <c r="M56" i="43"/>
  <c r="P56" i="43" s="1"/>
  <c r="N56" i="43"/>
  <c r="O56" i="43"/>
  <c r="L57" i="43"/>
  <c r="M57" i="43"/>
  <c r="P57" i="43" s="1"/>
  <c r="N57" i="43"/>
  <c r="O57" i="43"/>
  <c r="L58" i="43"/>
  <c r="M58" i="43"/>
  <c r="P58" i="43" s="1"/>
  <c r="N58" i="43"/>
  <c r="O58" i="43"/>
  <c r="L59" i="43"/>
  <c r="M59" i="43"/>
  <c r="N59" i="43"/>
  <c r="O59" i="43"/>
  <c r="D13" i="43"/>
  <c r="E13" i="43"/>
  <c r="H13" i="43" s="1"/>
  <c r="F13" i="43"/>
  <c r="G13" i="43"/>
  <c r="D14" i="43"/>
  <c r="E14" i="43"/>
  <c r="H14" i="43" s="1"/>
  <c r="F14" i="43"/>
  <c r="G14" i="43"/>
  <c r="D15" i="43"/>
  <c r="E15" i="43"/>
  <c r="H15" i="43" s="1"/>
  <c r="F15" i="43"/>
  <c r="G15" i="43"/>
  <c r="D16" i="43"/>
  <c r="E16" i="43"/>
  <c r="H16" i="43" s="1"/>
  <c r="F16" i="43"/>
  <c r="G16" i="43"/>
  <c r="D17" i="43"/>
  <c r="E17" i="43"/>
  <c r="H17" i="43" s="1"/>
  <c r="F17" i="43"/>
  <c r="G17" i="43"/>
  <c r="D18" i="43"/>
  <c r="E18" i="43"/>
  <c r="H18" i="43" s="1"/>
  <c r="F18" i="43"/>
  <c r="G18" i="43"/>
  <c r="D19" i="43"/>
  <c r="E19" i="43"/>
  <c r="H19" i="43" s="1"/>
  <c r="F19" i="43"/>
  <c r="G19" i="43"/>
  <c r="D20" i="43"/>
  <c r="E20" i="43"/>
  <c r="H20" i="43" s="1"/>
  <c r="F20" i="43"/>
  <c r="G20" i="43"/>
  <c r="D21" i="43"/>
  <c r="E21" i="43"/>
  <c r="H21" i="43" s="1"/>
  <c r="F21" i="43"/>
  <c r="G21" i="43"/>
  <c r="D22" i="43"/>
  <c r="E22" i="43"/>
  <c r="H22" i="43" s="1"/>
  <c r="F22" i="43"/>
  <c r="G22" i="43"/>
  <c r="D23" i="43"/>
  <c r="E23" i="43"/>
  <c r="H23" i="43" s="1"/>
  <c r="F23" i="43"/>
  <c r="G23" i="43"/>
  <c r="D24" i="43"/>
  <c r="E24" i="43"/>
  <c r="H24" i="43" s="1"/>
  <c r="F24" i="43"/>
  <c r="G24" i="43"/>
  <c r="D25" i="43"/>
  <c r="E25" i="43"/>
  <c r="H25" i="43" s="1"/>
  <c r="F25" i="43"/>
  <c r="G25" i="43"/>
  <c r="D26" i="43"/>
  <c r="E26" i="43"/>
  <c r="H26" i="43" s="1"/>
  <c r="F26" i="43"/>
  <c r="G26" i="43"/>
  <c r="D27" i="43"/>
  <c r="E27" i="43"/>
  <c r="H27" i="43" s="1"/>
  <c r="F27" i="43"/>
  <c r="G27" i="43"/>
  <c r="D28" i="43"/>
  <c r="E28" i="43"/>
  <c r="H28" i="43" s="1"/>
  <c r="F28" i="43"/>
  <c r="G28" i="43"/>
  <c r="D29" i="43"/>
  <c r="E29" i="43"/>
  <c r="H29" i="43" s="1"/>
  <c r="F29" i="43"/>
  <c r="G29" i="43"/>
  <c r="D30" i="43"/>
  <c r="E30" i="43"/>
  <c r="H30" i="43" s="1"/>
  <c r="F30" i="43"/>
  <c r="G30" i="43"/>
  <c r="D31" i="43"/>
  <c r="E31" i="43"/>
  <c r="H31" i="43" s="1"/>
  <c r="F31" i="43"/>
  <c r="G31" i="43"/>
  <c r="D32" i="43"/>
  <c r="E32" i="43"/>
  <c r="H32" i="43" s="1"/>
  <c r="F32" i="43"/>
  <c r="G32" i="43"/>
  <c r="D33" i="43"/>
  <c r="E33" i="43"/>
  <c r="H33" i="43" s="1"/>
  <c r="F33" i="43"/>
  <c r="G33" i="43"/>
  <c r="D34" i="43"/>
  <c r="E34" i="43"/>
  <c r="H34" i="43" s="1"/>
  <c r="F34" i="43"/>
  <c r="G34" i="43"/>
  <c r="D35" i="43"/>
  <c r="E35" i="43"/>
  <c r="H35" i="43" s="1"/>
  <c r="F35" i="43"/>
  <c r="G35" i="43"/>
  <c r="D36" i="43"/>
  <c r="E36" i="43"/>
  <c r="H36" i="43" s="1"/>
  <c r="F36" i="43"/>
  <c r="G36" i="43"/>
  <c r="D37" i="43"/>
  <c r="E37" i="43"/>
  <c r="H37" i="43" s="1"/>
  <c r="F37" i="43"/>
  <c r="G37" i="43"/>
  <c r="D38" i="43"/>
  <c r="E38" i="43"/>
  <c r="H38" i="43" s="1"/>
  <c r="F38" i="43"/>
  <c r="G38" i="43"/>
  <c r="D39" i="43"/>
  <c r="E39" i="43"/>
  <c r="H39" i="43" s="1"/>
  <c r="F39" i="43"/>
  <c r="G39" i="43"/>
  <c r="D40" i="43"/>
  <c r="E40" i="43"/>
  <c r="H40" i="43" s="1"/>
  <c r="F40" i="43"/>
  <c r="G40" i="43"/>
  <c r="D41" i="43"/>
  <c r="E41" i="43"/>
  <c r="H41" i="43" s="1"/>
  <c r="F41" i="43"/>
  <c r="G41" i="43"/>
  <c r="D42" i="43"/>
  <c r="E42" i="43"/>
  <c r="H42" i="43" s="1"/>
  <c r="F42" i="43"/>
  <c r="G42" i="43"/>
  <c r="D43" i="43"/>
  <c r="E43" i="43"/>
  <c r="H43" i="43" s="1"/>
  <c r="F43" i="43"/>
  <c r="G43" i="43"/>
  <c r="D44" i="43"/>
  <c r="E44" i="43"/>
  <c r="H44" i="43" s="1"/>
  <c r="F44" i="43"/>
  <c r="G44" i="43"/>
  <c r="D45" i="43"/>
  <c r="E45" i="43"/>
  <c r="H45" i="43" s="1"/>
  <c r="F45" i="43"/>
  <c r="G45" i="43"/>
  <c r="D46" i="43"/>
  <c r="E46" i="43"/>
  <c r="H46" i="43" s="1"/>
  <c r="F46" i="43"/>
  <c r="G46" i="43"/>
  <c r="D47" i="43"/>
  <c r="E47" i="43"/>
  <c r="H47" i="43" s="1"/>
  <c r="F47" i="43"/>
  <c r="G47" i="43"/>
  <c r="D48" i="43"/>
  <c r="E48" i="43"/>
  <c r="H48" i="43" s="1"/>
  <c r="F48" i="43"/>
  <c r="G48" i="43"/>
  <c r="D49" i="43"/>
  <c r="E49" i="43"/>
  <c r="H49" i="43" s="1"/>
  <c r="F49" i="43"/>
  <c r="G49" i="43"/>
  <c r="D50" i="43"/>
  <c r="E50" i="43"/>
  <c r="H50" i="43" s="1"/>
  <c r="F50" i="43"/>
  <c r="G50" i="43"/>
  <c r="D51" i="43"/>
  <c r="E51" i="43"/>
  <c r="H51" i="43" s="1"/>
  <c r="F51" i="43"/>
  <c r="G51" i="43"/>
  <c r="D52" i="43"/>
  <c r="E52" i="43"/>
  <c r="H52" i="43" s="1"/>
  <c r="F52" i="43"/>
  <c r="G52" i="43"/>
  <c r="D53" i="43"/>
  <c r="E53" i="43"/>
  <c r="H53" i="43" s="1"/>
  <c r="F53" i="43"/>
  <c r="G53" i="43"/>
  <c r="D54" i="43"/>
  <c r="E54" i="43"/>
  <c r="H54" i="43" s="1"/>
  <c r="F54" i="43"/>
  <c r="G54" i="43"/>
  <c r="D55" i="43"/>
  <c r="E55" i="43"/>
  <c r="H55" i="43" s="1"/>
  <c r="F55" i="43"/>
  <c r="G55" i="43"/>
  <c r="D56" i="43"/>
  <c r="E56" i="43"/>
  <c r="H56" i="43" s="1"/>
  <c r="F56" i="43"/>
  <c r="G56" i="43"/>
  <c r="D57" i="43"/>
  <c r="E57" i="43"/>
  <c r="H57" i="43" s="1"/>
  <c r="F57" i="43"/>
  <c r="G57" i="43"/>
  <c r="D58" i="43"/>
  <c r="E58" i="43"/>
  <c r="H58" i="43" s="1"/>
  <c r="F58" i="43"/>
  <c r="G58" i="43"/>
  <c r="L133" i="42"/>
  <c r="M133" i="42"/>
  <c r="P133" i="42" s="1"/>
  <c r="N133" i="42"/>
  <c r="O133" i="42"/>
  <c r="L134" i="42"/>
  <c r="M134" i="42"/>
  <c r="P134" i="42" s="1"/>
  <c r="N134" i="42"/>
  <c r="O134" i="42"/>
  <c r="L135" i="42"/>
  <c r="M135" i="42"/>
  <c r="P135" i="42" s="1"/>
  <c r="N135" i="42"/>
  <c r="O135" i="42"/>
  <c r="L136" i="42"/>
  <c r="M136" i="42"/>
  <c r="P136" i="42" s="1"/>
  <c r="N136" i="42"/>
  <c r="O136" i="42"/>
  <c r="L137" i="42"/>
  <c r="M137" i="42"/>
  <c r="P137" i="42" s="1"/>
  <c r="N137" i="42"/>
  <c r="O137" i="42"/>
  <c r="L138" i="42"/>
  <c r="M138" i="42"/>
  <c r="P138" i="42" s="1"/>
  <c r="N138" i="42"/>
  <c r="O138" i="42"/>
  <c r="L139" i="42"/>
  <c r="M139" i="42"/>
  <c r="P139" i="42" s="1"/>
  <c r="N139" i="42"/>
  <c r="O139" i="42"/>
  <c r="L140" i="42"/>
  <c r="M140" i="42"/>
  <c r="P140" i="42" s="1"/>
  <c r="N140" i="42"/>
  <c r="O140" i="42"/>
  <c r="L141" i="42"/>
  <c r="M141" i="42"/>
  <c r="P141" i="42" s="1"/>
  <c r="N141" i="42"/>
  <c r="O141" i="42"/>
  <c r="L142" i="42"/>
  <c r="M142" i="42"/>
  <c r="P142" i="42" s="1"/>
  <c r="N142" i="42"/>
  <c r="O142" i="42"/>
  <c r="L143" i="42"/>
  <c r="M143" i="42"/>
  <c r="P143" i="42" s="1"/>
  <c r="N143" i="42"/>
  <c r="O143" i="42"/>
  <c r="L144" i="42"/>
  <c r="M144" i="42"/>
  <c r="P144" i="42" s="1"/>
  <c r="N144" i="42"/>
  <c r="O144" i="42"/>
  <c r="L145" i="42"/>
  <c r="M145" i="42"/>
  <c r="P145" i="42" s="1"/>
  <c r="N145" i="42"/>
  <c r="O145" i="42"/>
  <c r="L146" i="42"/>
  <c r="M146" i="42"/>
  <c r="P146" i="42" s="1"/>
  <c r="N146" i="42"/>
  <c r="O146" i="42"/>
  <c r="L147" i="42"/>
  <c r="M147" i="42"/>
  <c r="P147" i="42" s="1"/>
  <c r="N147" i="42"/>
  <c r="O147" i="42"/>
  <c r="L148" i="42"/>
  <c r="M148" i="42"/>
  <c r="P148" i="42" s="1"/>
  <c r="N148" i="42"/>
  <c r="O148" i="42"/>
  <c r="L149" i="42"/>
  <c r="M149" i="42"/>
  <c r="P149" i="42" s="1"/>
  <c r="N149" i="42"/>
  <c r="O149" i="42"/>
  <c r="L150" i="42"/>
  <c r="M150" i="42"/>
  <c r="P150" i="42" s="1"/>
  <c r="N150" i="42"/>
  <c r="O150" i="42"/>
  <c r="L151" i="42"/>
  <c r="M151" i="42"/>
  <c r="P151" i="42" s="1"/>
  <c r="N151" i="42"/>
  <c r="O151" i="42"/>
  <c r="L152" i="42"/>
  <c r="M152" i="42"/>
  <c r="P152" i="42" s="1"/>
  <c r="N152" i="42"/>
  <c r="O152" i="42"/>
  <c r="L153" i="42"/>
  <c r="M153" i="42"/>
  <c r="P153" i="42" s="1"/>
  <c r="N153" i="42"/>
  <c r="O153" i="42"/>
  <c r="L154" i="42"/>
  <c r="M154" i="42"/>
  <c r="P154" i="42" s="1"/>
  <c r="N154" i="42"/>
  <c r="O154" i="42"/>
  <c r="L155" i="42"/>
  <c r="M155" i="42"/>
  <c r="P155" i="42" s="1"/>
  <c r="N155" i="42"/>
  <c r="O155" i="42"/>
  <c r="L156" i="42"/>
  <c r="M156" i="42"/>
  <c r="P156" i="42" s="1"/>
  <c r="N156" i="42"/>
  <c r="O156" i="42"/>
  <c r="L157" i="42"/>
  <c r="M157" i="42"/>
  <c r="P157" i="42" s="1"/>
  <c r="N157" i="42"/>
  <c r="O157" i="42"/>
  <c r="L158" i="42"/>
  <c r="M158" i="42"/>
  <c r="P158" i="42" s="1"/>
  <c r="N158" i="42"/>
  <c r="O158" i="42"/>
  <c r="L159" i="42"/>
  <c r="M159" i="42"/>
  <c r="P159" i="42" s="1"/>
  <c r="N159" i="42"/>
  <c r="O159" i="42"/>
  <c r="L160" i="42"/>
  <c r="M160" i="42"/>
  <c r="P160" i="42" s="1"/>
  <c r="N160" i="42"/>
  <c r="O160" i="42"/>
  <c r="L161" i="42"/>
  <c r="M161" i="42"/>
  <c r="P161" i="42" s="1"/>
  <c r="N161" i="42"/>
  <c r="O161" i="42"/>
  <c r="L162" i="42"/>
  <c r="M162" i="42"/>
  <c r="P162" i="42" s="1"/>
  <c r="N162" i="42"/>
  <c r="O162" i="42"/>
  <c r="L163" i="42"/>
  <c r="M163" i="42"/>
  <c r="P163" i="42" s="1"/>
  <c r="N163" i="42"/>
  <c r="O163" i="42"/>
  <c r="L164" i="42"/>
  <c r="M164" i="42"/>
  <c r="P164" i="42" s="1"/>
  <c r="N164" i="42"/>
  <c r="O164" i="42"/>
  <c r="L165" i="42"/>
  <c r="M165" i="42"/>
  <c r="P165" i="42" s="1"/>
  <c r="N165" i="42"/>
  <c r="O165" i="42"/>
  <c r="L166" i="42"/>
  <c r="M166" i="42"/>
  <c r="P166" i="42" s="1"/>
  <c r="N166" i="42"/>
  <c r="O166" i="42"/>
  <c r="L167" i="42"/>
  <c r="M167" i="42"/>
  <c r="P167" i="42" s="1"/>
  <c r="N167" i="42"/>
  <c r="O167" i="42"/>
  <c r="L168" i="42"/>
  <c r="M168" i="42"/>
  <c r="P168" i="42" s="1"/>
  <c r="N168" i="42"/>
  <c r="O168" i="42"/>
  <c r="L169" i="42"/>
  <c r="M169" i="42"/>
  <c r="P169" i="42" s="1"/>
  <c r="N169" i="42"/>
  <c r="O169" i="42"/>
  <c r="L170" i="42"/>
  <c r="M170" i="42"/>
  <c r="P170" i="42" s="1"/>
  <c r="N170" i="42"/>
  <c r="O170" i="42"/>
  <c r="L171" i="42"/>
  <c r="M171" i="42"/>
  <c r="P171" i="42" s="1"/>
  <c r="N171" i="42"/>
  <c r="O171" i="42"/>
  <c r="L172" i="42"/>
  <c r="M172" i="42"/>
  <c r="P172" i="42" s="1"/>
  <c r="N172" i="42"/>
  <c r="O172" i="42"/>
  <c r="L173" i="42"/>
  <c r="M173" i="42"/>
  <c r="P173" i="42" s="1"/>
  <c r="N173" i="42"/>
  <c r="O173" i="42"/>
  <c r="L174" i="42"/>
  <c r="M174" i="42"/>
  <c r="P174" i="42" s="1"/>
  <c r="N174" i="42"/>
  <c r="O174" i="42"/>
  <c r="L175" i="42"/>
  <c r="M175" i="42"/>
  <c r="P175" i="42" s="1"/>
  <c r="N175" i="42"/>
  <c r="O175" i="42"/>
  <c r="L176" i="42"/>
  <c r="M176" i="42"/>
  <c r="P176" i="42" s="1"/>
  <c r="N176" i="42"/>
  <c r="O176" i="42"/>
  <c r="L177" i="42"/>
  <c r="M177" i="42"/>
  <c r="P177" i="42" s="1"/>
  <c r="N177" i="42"/>
  <c r="O177" i="42"/>
  <c r="L178" i="42"/>
  <c r="M178" i="42"/>
  <c r="P178" i="42" s="1"/>
  <c r="N178" i="42"/>
  <c r="O178" i="42"/>
  <c r="D133" i="42"/>
  <c r="E133" i="42"/>
  <c r="H133" i="42" s="1"/>
  <c r="F133" i="42"/>
  <c r="G133" i="42"/>
  <c r="D134" i="42"/>
  <c r="E134" i="42"/>
  <c r="H134" i="42" s="1"/>
  <c r="F134" i="42"/>
  <c r="G134" i="42"/>
  <c r="D135" i="42"/>
  <c r="E135" i="42"/>
  <c r="H135" i="42" s="1"/>
  <c r="F135" i="42"/>
  <c r="G135" i="42"/>
  <c r="D136" i="42"/>
  <c r="E136" i="42"/>
  <c r="H136" i="42" s="1"/>
  <c r="F136" i="42"/>
  <c r="G136" i="42"/>
  <c r="D137" i="42"/>
  <c r="E137" i="42"/>
  <c r="H137" i="42" s="1"/>
  <c r="F137" i="42"/>
  <c r="G137" i="42"/>
  <c r="D138" i="42"/>
  <c r="E138" i="42"/>
  <c r="H138" i="42" s="1"/>
  <c r="F138" i="42"/>
  <c r="G138" i="42"/>
  <c r="D139" i="42"/>
  <c r="E139" i="42"/>
  <c r="H139" i="42" s="1"/>
  <c r="F139" i="42"/>
  <c r="G139" i="42"/>
  <c r="D140" i="42"/>
  <c r="E140" i="42"/>
  <c r="H140" i="42" s="1"/>
  <c r="F140" i="42"/>
  <c r="G140" i="42"/>
  <c r="D141" i="42"/>
  <c r="E141" i="42"/>
  <c r="H141" i="42" s="1"/>
  <c r="F141" i="42"/>
  <c r="G141" i="42"/>
  <c r="D142" i="42"/>
  <c r="E142" i="42"/>
  <c r="H142" i="42" s="1"/>
  <c r="F142" i="42"/>
  <c r="G142" i="42"/>
  <c r="D143" i="42"/>
  <c r="E143" i="42"/>
  <c r="H143" i="42" s="1"/>
  <c r="F143" i="42"/>
  <c r="G143" i="42"/>
  <c r="D144" i="42"/>
  <c r="E144" i="42"/>
  <c r="H144" i="42" s="1"/>
  <c r="F144" i="42"/>
  <c r="G144" i="42"/>
  <c r="D145" i="42"/>
  <c r="E145" i="42"/>
  <c r="H145" i="42" s="1"/>
  <c r="F145" i="42"/>
  <c r="G145" i="42"/>
  <c r="D146" i="42"/>
  <c r="E146" i="42"/>
  <c r="H146" i="42" s="1"/>
  <c r="F146" i="42"/>
  <c r="G146" i="42"/>
  <c r="D147" i="42"/>
  <c r="E147" i="42"/>
  <c r="H147" i="42" s="1"/>
  <c r="F147" i="42"/>
  <c r="G147" i="42"/>
  <c r="D148" i="42"/>
  <c r="E148" i="42"/>
  <c r="H148" i="42" s="1"/>
  <c r="F148" i="42"/>
  <c r="G148" i="42"/>
  <c r="D149" i="42"/>
  <c r="E149" i="42"/>
  <c r="H149" i="42" s="1"/>
  <c r="F149" i="42"/>
  <c r="G149" i="42"/>
  <c r="D150" i="42"/>
  <c r="E150" i="42"/>
  <c r="H150" i="42" s="1"/>
  <c r="F150" i="42"/>
  <c r="G150" i="42"/>
  <c r="D151" i="42"/>
  <c r="E151" i="42"/>
  <c r="H151" i="42" s="1"/>
  <c r="F151" i="42"/>
  <c r="G151" i="42"/>
  <c r="D152" i="42"/>
  <c r="E152" i="42"/>
  <c r="H152" i="42" s="1"/>
  <c r="F152" i="42"/>
  <c r="G152" i="42"/>
  <c r="D153" i="42"/>
  <c r="E153" i="42"/>
  <c r="H153" i="42" s="1"/>
  <c r="F153" i="42"/>
  <c r="G153" i="42"/>
  <c r="D154" i="42"/>
  <c r="E154" i="42"/>
  <c r="H154" i="42" s="1"/>
  <c r="F154" i="42"/>
  <c r="G154" i="42"/>
  <c r="D155" i="42"/>
  <c r="E155" i="42"/>
  <c r="H155" i="42" s="1"/>
  <c r="F155" i="42"/>
  <c r="G155" i="42"/>
  <c r="D156" i="42"/>
  <c r="E156" i="42"/>
  <c r="H156" i="42" s="1"/>
  <c r="F156" i="42"/>
  <c r="G156" i="42"/>
  <c r="D157" i="42"/>
  <c r="E157" i="42"/>
  <c r="H157" i="42" s="1"/>
  <c r="F157" i="42"/>
  <c r="G157" i="42"/>
  <c r="D158" i="42"/>
  <c r="E158" i="42"/>
  <c r="H158" i="42" s="1"/>
  <c r="F158" i="42"/>
  <c r="G158" i="42"/>
  <c r="D159" i="42"/>
  <c r="E159" i="42"/>
  <c r="H159" i="42" s="1"/>
  <c r="F159" i="42"/>
  <c r="G159" i="42"/>
  <c r="D160" i="42"/>
  <c r="E160" i="42"/>
  <c r="H160" i="42" s="1"/>
  <c r="F160" i="42"/>
  <c r="G160" i="42"/>
  <c r="D161" i="42"/>
  <c r="E161" i="42"/>
  <c r="H161" i="42" s="1"/>
  <c r="F161" i="42"/>
  <c r="G161" i="42"/>
  <c r="D162" i="42"/>
  <c r="E162" i="42"/>
  <c r="H162" i="42" s="1"/>
  <c r="F162" i="42"/>
  <c r="G162" i="42"/>
  <c r="D163" i="42"/>
  <c r="E163" i="42"/>
  <c r="H163" i="42" s="1"/>
  <c r="F163" i="42"/>
  <c r="G163" i="42"/>
  <c r="D164" i="42"/>
  <c r="E164" i="42"/>
  <c r="H164" i="42" s="1"/>
  <c r="F164" i="42"/>
  <c r="G164" i="42"/>
  <c r="D165" i="42"/>
  <c r="E165" i="42"/>
  <c r="H165" i="42" s="1"/>
  <c r="F165" i="42"/>
  <c r="G165" i="42"/>
  <c r="D166" i="42"/>
  <c r="E166" i="42"/>
  <c r="H166" i="42" s="1"/>
  <c r="F166" i="42"/>
  <c r="G166" i="42"/>
  <c r="D167" i="42"/>
  <c r="E167" i="42"/>
  <c r="H167" i="42" s="1"/>
  <c r="F167" i="42"/>
  <c r="G167" i="42"/>
  <c r="D168" i="42"/>
  <c r="E168" i="42"/>
  <c r="H168" i="42" s="1"/>
  <c r="F168" i="42"/>
  <c r="G168" i="42"/>
  <c r="D169" i="42"/>
  <c r="E169" i="42"/>
  <c r="H169" i="42" s="1"/>
  <c r="F169" i="42"/>
  <c r="G169" i="42"/>
  <c r="D170" i="42"/>
  <c r="E170" i="42"/>
  <c r="H170" i="42" s="1"/>
  <c r="F170" i="42"/>
  <c r="G170" i="42"/>
  <c r="D171" i="42"/>
  <c r="E171" i="42"/>
  <c r="H171" i="42" s="1"/>
  <c r="F171" i="42"/>
  <c r="G171" i="42"/>
  <c r="D172" i="42"/>
  <c r="E172" i="42"/>
  <c r="H172" i="42" s="1"/>
  <c r="F172" i="42"/>
  <c r="G172" i="42"/>
  <c r="D173" i="42"/>
  <c r="E173" i="42"/>
  <c r="H173" i="42" s="1"/>
  <c r="F173" i="42"/>
  <c r="G173" i="42"/>
  <c r="D174" i="42"/>
  <c r="E174" i="42"/>
  <c r="H174" i="42" s="1"/>
  <c r="F174" i="42"/>
  <c r="G174" i="42"/>
  <c r="D175" i="42"/>
  <c r="E175" i="42"/>
  <c r="H175" i="42" s="1"/>
  <c r="F175" i="42"/>
  <c r="G175" i="42"/>
  <c r="D176" i="42"/>
  <c r="E176" i="42"/>
  <c r="H176" i="42" s="1"/>
  <c r="F176" i="42"/>
  <c r="G176" i="42"/>
  <c r="D177" i="42"/>
  <c r="E177" i="42"/>
  <c r="H177" i="42" s="1"/>
  <c r="F177" i="42"/>
  <c r="G177" i="42"/>
  <c r="D178" i="42"/>
  <c r="E178" i="42"/>
  <c r="H178" i="42" s="1"/>
  <c r="F178" i="42"/>
  <c r="G178" i="42"/>
  <c r="L73" i="42"/>
  <c r="M73" i="42"/>
  <c r="P73" i="42" s="1"/>
  <c r="N73" i="42"/>
  <c r="O73" i="42"/>
  <c r="L74" i="42"/>
  <c r="M74" i="42"/>
  <c r="P74" i="42" s="1"/>
  <c r="N74" i="42"/>
  <c r="O74" i="42"/>
  <c r="L75" i="42"/>
  <c r="M75" i="42"/>
  <c r="P75" i="42" s="1"/>
  <c r="N75" i="42"/>
  <c r="O75" i="42"/>
  <c r="L76" i="42"/>
  <c r="M76" i="42"/>
  <c r="P76" i="42" s="1"/>
  <c r="N76" i="42"/>
  <c r="O76" i="42"/>
  <c r="L77" i="42"/>
  <c r="M77" i="42"/>
  <c r="P77" i="42" s="1"/>
  <c r="N77" i="42"/>
  <c r="O77" i="42"/>
  <c r="L78" i="42"/>
  <c r="M78" i="42"/>
  <c r="P78" i="42" s="1"/>
  <c r="N78" i="42"/>
  <c r="O78" i="42"/>
  <c r="L79" i="42"/>
  <c r="M79" i="42"/>
  <c r="P79" i="42" s="1"/>
  <c r="N79" i="42"/>
  <c r="O79" i="42"/>
  <c r="L80" i="42"/>
  <c r="M80" i="42"/>
  <c r="P80" i="42" s="1"/>
  <c r="N80" i="42"/>
  <c r="O80" i="42"/>
  <c r="L81" i="42"/>
  <c r="M81" i="42"/>
  <c r="P81" i="42" s="1"/>
  <c r="N81" i="42"/>
  <c r="O81" i="42"/>
  <c r="L82" i="42"/>
  <c r="M82" i="42"/>
  <c r="P82" i="42" s="1"/>
  <c r="N82" i="42"/>
  <c r="O82" i="42"/>
  <c r="L83" i="42"/>
  <c r="M83" i="42"/>
  <c r="P83" i="42" s="1"/>
  <c r="N83" i="42"/>
  <c r="O83" i="42"/>
  <c r="L84" i="42"/>
  <c r="M84" i="42"/>
  <c r="P84" i="42" s="1"/>
  <c r="N84" i="42"/>
  <c r="O84" i="42"/>
  <c r="L85" i="42"/>
  <c r="M85" i="42"/>
  <c r="P85" i="42" s="1"/>
  <c r="N85" i="42"/>
  <c r="O85" i="42"/>
  <c r="L86" i="42"/>
  <c r="M86" i="42"/>
  <c r="P86" i="42" s="1"/>
  <c r="N86" i="42"/>
  <c r="O86" i="42"/>
  <c r="L87" i="42"/>
  <c r="M87" i="42"/>
  <c r="P87" i="42" s="1"/>
  <c r="N87" i="42"/>
  <c r="O87" i="42"/>
  <c r="L88" i="42"/>
  <c r="M88" i="42"/>
  <c r="P88" i="42" s="1"/>
  <c r="N88" i="42"/>
  <c r="O88" i="42"/>
  <c r="L89" i="42"/>
  <c r="M89" i="42"/>
  <c r="P89" i="42" s="1"/>
  <c r="N89" i="42"/>
  <c r="O89" i="42"/>
  <c r="L90" i="42"/>
  <c r="M90" i="42"/>
  <c r="P90" i="42" s="1"/>
  <c r="N90" i="42"/>
  <c r="O90" i="42"/>
  <c r="L91" i="42"/>
  <c r="M91" i="42"/>
  <c r="P91" i="42" s="1"/>
  <c r="N91" i="42"/>
  <c r="O91" i="42"/>
  <c r="L92" i="42"/>
  <c r="M92" i="42"/>
  <c r="P92" i="42" s="1"/>
  <c r="N92" i="42"/>
  <c r="O92" i="42"/>
  <c r="L93" i="42"/>
  <c r="M93" i="42"/>
  <c r="P93" i="42" s="1"/>
  <c r="N93" i="42"/>
  <c r="O93" i="42"/>
  <c r="L94" i="42"/>
  <c r="M94" i="42"/>
  <c r="P94" i="42" s="1"/>
  <c r="N94" i="42"/>
  <c r="O94" i="42"/>
  <c r="L95" i="42"/>
  <c r="M95" i="42"/>
  <c r="P95" i="42" s="1"/>
  <c r="N95" i="42"/>
  <c r="O95" i="42"/>
  <c r="L96" i="42"/>
  <c r="M96" i="42"/>
  <c r="P96" i="42" s="1"/>
  <c r="N96" i="42"/>
  <c r="O96" i="42"/>
  <c r="L97" i="42"/>
  <c r="M97" i="42"/>
  <c r="P97" i="42" s="1"/>
  <c r="N97" i="42"/>
  <c r="O97" i="42"/>
  <c r="L98" i="42"/>
  <c r="M98" i="42"/>
  <c r="P98" i="42" s="1"/>
  <c r="N98" i="42"/>
  <c r="O98" i="42"/>
  <c r="L99" i="42"/>
  <c r="M99" i="42"/>
  <c r="P99" i="42" s="1"/>
  <c r="N99" i="42"/>
  <c r="O99" i="42"/>
  <c r="L100" i="42"/>
  <c r="M100" i="42"/>
  <c r="P100" i="42" s="1"/>
  <c r="N100" i="42"/>
  <c r="O100" i="42"/>
  <c r="L101" i="42"/>
  <c r="M101" i="42"/>
  <c r="P101" i="42" s="1"/>
  <c r="N101" i="42"/>
  <c r="O101" i="42"/>
  <c r="L102" i="42"/>
  <c r="M102" i="42"/>
  <c r="P102" i="42" s="1"/>
  <c r="N102" i="42"/>
  <c r="O102" i="42"/>
  <c r="L103" i="42"/>
  <c r="M103" i="42"/>
  <c r="P103" i="42" s="1"/>
  <c r="N103" i="42"/>
  <c r="O103" i="42"/>
  <c r="L104" i="42"/>
  <c r="M104" i="42"/>
  <c r="P104" i="42" s="1"/>
  <c r="N104" i="42"/>
  <c r="O104" i="42"/>
  <c r="L105" i="42"/>
  <c r="M105" i="42"/>
  <c r="P105" i="42" s="1"/>
  <c r="N105" i="42"/>
  <c r="O105" i="42"/>
  <c r="L106" i="42"/>
  <c r="M106" i="42"/>
  <c r="P106" i="42" s="1"/>
  <c r="N106" i="42"/>
  <c r="O106" i="42"/>
  <c r="L107" i="42"/>
  <c r="M107" i="42"/>
  <c r="P107" i="42" s="1"/>
  <c r="N107" i="42"/>
  <c r="O107" i="42"/>
  <c r="L108" i="42"/>
  <c r="M108" i="42"/>
  <c r="P108" i="42" s="1"/>
  <c r="N108" i="42"/>
  <c r="O108" i="42"/>
  <c r="L109" i="42"/>
  <c r="M109" i="42"/>
  <c r="P109" i="42" s="1"/>
  <c r="N109" i="42"/>
  <c r="O109" i="42"/>
  <c r="L110" i="42"/>
  <c r="M110" i="42"/>
  <c r="P110" i="42" s="1"/>
  <c r="N110" i="42"/>
  <c r="O110" i="42"/>
  <c r="L111" i="42"/>
  <c r="M111" i="42"/>
  <c r="P111" i="42" s="1"/>
  <c r="N111" i="42"/>
  <c r="O111" i="42"/>
  <c r="L112" i="42"/>
  <c r="M112" i="42"/>
  <c r="P112" i="42" s="1"/>
  <c r="N112" i="42"/>
  <c r="O112" i="42"/>
  <c r="L113" i="42"/>
  <c r="M113" i="42"/>
  <c r="P113" i="42" s="1"/>
  <c r="N113" i="42"/>
  <c r="O113" i="42"/>
  <c r="L114" i="42"/>
  <c r="M114" i="42"/>
  <c r="P114" i="42" s="1"/>
  <c r="N114" i="42"/>
  <c r="O114" i="42"/>
  <c r="L115" i="42"/>
  <c r="M115" i="42"/>
  <c r="P115" i="42" s="1"/>
  <c r="N115" i="42"/>
  <c r="O115" i="42"/>
  <c r="L116" i="42"/>
  <c r="M116" i="42"/>
  <c r="P116" i="42" s="1"/>
  <c r="N116" i="42"/>
  <c r="O116" i="42"/>
  <c r="L117" i="42"/>
  <c r="M117" i="42"/>
  <c r="P117" i="42" s="1"/>
  <c r="N117" i="42"/>
  <c r="O117" i="42"/>
  <c r="L118" i="42"/>
  <c r="M118" i="42"/>
  <c r="P118" i="42" s="1"/>
  <c r="N118" i="42"/>
  <c r="O118" i="42"/>
  <c r="D73" i="42"/>
  <c r="E73" i="42"/>
  <c r="H73" i="42" s="1"/>
  <c r="F73" i="42"/>
  <c r="G73" i="42"/>
  <c r="D74" i="42"/>
  <c r="E74" i="42"/>
  <c r="H74" i="42" s="1"/>
  <c r="F74" i="42"/>
  <c r="G74" i="42"/>
  <c r="D75" i="42"/>
  <c r="E75" i="42"/>
  <c r="H75" i="42" s="1"/>
  <c r="F75" i="42"/>
  <c r="G75" i="42"/>
  <c r="D76" i="42"/>
  <c r="E76" i="42"/>
  <c r="H76" i="42" s="1"/>
  <c r="F76" i="42"/>
  <c r="G76" i="42"/>
  <c r="D77" i="42"/>
  <c r="E77" i="42"/>
  <c r="H77" i="42" s="1"/>
  <c r="F77" i="42"/>
  <c r="G77" i="42"/>
  <c r="D78" i="42"/>
  <c r="E78" i="42"/>
  <c r="H78" i="42" s="1"/>
  <c r="F78" i="42"/>
  <c r="G78" i="42"/>
  <c r="D79" i="42"/>
  <c r="E79" i="42"/>
  <c r="H79" i="42" s="1"/>
  <c r="F79" i="42"/>
  <c r="G79" i="42"/>
  <c r="D80" i="42"/>
  <c r="E80" i="42"/>
  <c r="H80" i="42" s="1"/>
  <c r="F80" i="42"/>
  <c r="G80" i="42"/>
  <c r="D81" i="42"/>
  <c r="E81" i="42"/>
  <c r="H81" i="42" s="1"/>
  <c r="F81" i="42"/>
  <c r="G81" i="42"/>
  <c r="D82" i="42"/>
  <c r="E82" i="42"/>
  <c r="H82" i="42" s="1"/>
  <c r="F82" i="42"/>
  <c r="G82" i="42"/>
  <c r="D83" i="42"/>
  <c r="E83" i="42"/>
  <c r="H83" i="42" s="1"/>
  <c r="F83" i="42"/>
  <c r="G83" i="42"/>
  <c r="D84" i="42"/>
  <c r="E84" i="42"/>
  <c r="H84" i="42" s="1"/>
  <c r="F84" i="42"/>
  <c r="G84" i="42"/>
  <c r="D85" i="42"/>
  <c r="E85" i="42"/>
  <c r="H85" i="42" s="1"/>
  <c r="F85" i="42"/>
  <c r="G85" i="42"/>
  <c r="D86" i="42"/>
  <c r="E86" i="42"/>
  <c r="H86" i="42" s="1"/>
  <c r="F86" i="42"/>
  <c r="G86" i="42"/>
  <c r="D87" i="42"/>
  <c r="E87" i="42"/>
  <c r="H87" i="42" s="1"/>
  <c r="F87" i="42"/>
  <c r="G87" i="42"/>
  <c r="D88" i="42"/>
  <c r="E88" i="42"/>
  <c r="H88" i="42" s="1"/>
  <c r="F88" i="42"/>
  <c r="G88" i="42"/>
  <c r="D89" i="42"/>
  <c r="E89" i="42"/>
  <c r="H89" i="42" s="1"/>
  <c r="F89" i="42"/>
  <c r="G89" i="42"/>
  <c r="D90" i="42"/>
  <c r="E90" i="42"/>
  <c r="H90" i="42" s="1"/>
  <c r="F90" i="42"/>
  <c r="G90" i="42"/>
  <c r="D91" i="42"/>
  <c r="E91" i="42"/>
  <c r="H91" i="42" s="1"/>
  <c r="F91" i="42"/>
  <c r="G91" i="42"/>
  <c r="D92" i="42"/>
  <c r="E92" i="42"/>
  <c r="H92" i="42" s="1"/>
  <c r="F92" i="42"/>
  <c r="G92" i="42"/>
  <c r="D93" i="42"/>
  <c r="E93" i="42"/>
  <c r="H93" i="42" s="1"/>
  <c r="F93" i="42"/>
  <c r="G93" i="42"/>
  <c r="D94" i="42"/>
  <c r="E94" i="42"/>
  <c r="H94" i="42" s="1"/>
  <c r="F94" i="42"/>
  <c r="G94" i="42"/>
  <c r="D95" i="42"/>
  <c r="E95" i="42"/>
  <c r="H95" i="42" s="1"/>
  <c r="F95" i="42"/>
  <c r="G95" i="42"/>
  <c r="D96" i="42"/>
  <c r="E96" i="42"/>
  <c r="H96" i="42" s="1"/>
  <c r="F96" i="42"/>
  <c r="G96" i="42"/>
  <c r="D97" i="42"/>
  <c r="E97" i="42"/>
  <c r="H97" i="42" s="1"/>
  <c r="F97" i="42"/>
  <c r="G97" i="42"/>
  <c r="D98" i="42"/>
  <c r="E98" i="42"/>
  <c r="H98" i="42" s="1"/>
  <c r="F98" i="42"/>
  <c r="G98" i="42"/>
  <c r="D99" i="42"/>
  <c r="E99" i="42"/>
  <c r="H99" i="42" s="1"/>
  <c r="F99" i="42"/>
  <c r="G99" i="42"/>
  <c r="D100" i="42"/>
  <c r="E100" i="42"/>
  <c r="H100" i="42" s="1"/>
  <c r="F100" i="42"/>
  <c r="G100" i="42"/>
  <c r="D101" i="42"/>
  <c r="E101" i="42"/>
  <c r="H101" i="42" s="1"/>
  <c r="F101" i="42"/>
  <c r="G101" i="42"/>
  <c r="D102" i="42"/>
  <c r="E102" i="42"/>
  <c r="H102" i="42" s="1"/>
  <c r="F102" i="42"/>
  <c r="G102" i="42"/>
  <c r="D103" i="42"/>
  <c r="E103" i="42"/>
  <c r="H103" i="42" s="1"/>
  <c r="F103" i="42"/>
  <c r="G103" i="42"/>
  <c r="D104" i="42"/>
  <c r="E104" i="42"/>
  <c r="H104" i="42" s="1"/>
  <c r="F104" i="42"/>
  <c r="G104" i="42"/>
  <c r="D105" i="42"/>
  <c r="E105" i="42"/>
  <c r="H105" i="42" s="1"/>
  <c r="F105" i="42"/>
  <c r="G105" i="42"/>
  <c r="D106" i="42"/>
  <c r="E106" i="42"/>
  <c r="H106" i="42" s="1"/>
  <c r="F106" i="42"/>
  <c r="G106" i="42"/>
  <c r="D107" i="42"/>
  <c r="E107" i="42"/>
  <c r="H107" i="42" s="1"/>
  <c r="F107" i="42"/>
  <c r="G107" i="42"/>
  <c r="D108" i="42"/>
  <c r="E108" i="42"/>
  <c r="H108" i="42" s="1"/>
  <c r="F108" i="42"/>
  <c r="G108" i="42"/>
  <c r="D109" i="42"/>
  <c r="E109" i="42"/>
  <c r="H109" i="42" s="1"/>
  <c r="F109" i="42"/>
  <c r="G109" i="42"/>
  <c r="D110" i="42"/>
  <c r="E110" i="42"/>
  <c r="H110" i="42" s="1"/>
  <c r="F110" i="42"/>
  <c r="G110" i="42"/>
  <c r="D111" i="42"/>
  <c r="E111" i="42"/>
  <c r="H111" i="42" s="1"/>
  <c r="F111" i="42"/>
  <c r="G111" i="42"/>
  <c r="D112" i="42"/>
  <c r="E112" i="42"/>
  <c r="H112" i="42" s="1"/>
  <c r="F112" i="42"/>
  <c r="G112" i="42"/>
  <c r="D113" i="42"/>
  <c r="E113" i="42"/>
  <c r="H113" i="42" s="1"/>
  <c r="F113" i="42"/>
  <c r="G113" i="42"/>
  <c r="D114" i="42"/>
  <c r="E114" i="42"/>
  <c r="H114" i="42" s="1"/>
  <c r="F114" i="42"/>
  <c r="G114" i="42"/>
  <c r="D115" i="42"/>
  <c r="E115" i="42"/>
  <c r="H115" i="42" s="1"/>
  <c r="F115" i="42"/>
  <c r="G115" i="42"/>
  <c r="D116" i="42"/>
  <c r="E116" i="42"/>
  <c r="H116" i="42" s="1"/>
  <c r="F116" i="42"/>
  <c r="G116" i="42"/>
  <c r="D117" i="42"/>
  <c r="E117" i="42"/>
  <c r="H117" i="42" s="1"/>
  <c r="F117" i="42"/>
  <c r="G117" i="42"/>
  <c r="D118" i="42"/>
  <c r="E118" i="42"/>
  <c r="H118" i="42" s="1"/>
  <c r="F118" i="42"/>
  <c r="G118" i="42"/>
  <c r="L13" i="42"/>
  <c r="M13" i="42"/>
  <c r="P13" i="42" s="1"/>
  <c r="N13" i="42"/>
  <c r="O13" i="42"/>
  <c r="L14" i="42"/>
  <c r="M14" i="42"/>
  <c r="P14" i="42" s="1"/>
  <c r="N14" i="42"/>
  <c r="O14" i="42"/>
  <c r="L15" i="42"/>
  <c r="M15" i="42"/>
  <c r="P15" i="42" s="1"/>
  <c r="N15" i="42"/>
  <c r="O15" i="42"/>
  <c r="L16" i="42"/>
  <c r="M16" i="42"/>
  <c r="P16" i="42" s="1"/>
  <c r="N16" i="42"/>
  <c r="O16" i="42"/>
  <c r="L17" i="42"/>
  <c r="M17" i="42"/>
  <c r="P17" i="42" s="1"/>
  <c r="N17" i="42"/>
  <c r="O17" i="42"/>
  <c r="L18" i="42"/>
  <c r="M18" i="42"/>
  <c r="P18" i="42" s="1"/>
  <c r="N18" i="42"/>
  <c r="O18" i="42"/>
  <c r="L19" i="42"/>
  <c r="M19" i="42"/>
  <c r="P19" i="42" s="1"/>
  <c r="N19" i="42"/>
  <c r="O19" i="42"/>
  <c r="L20" i="42"/>
  <c r="M20" i="42"/>
  <c r="P20" i="42" s="1"/>
  <c r="N20" i="42"/>
  <c r="O20" i="42"/>
  <c r="L21" i="42"/>
  <c r="M21" i="42"/>
  <c r="P21" i="42" s="1"/>
  <c r="N21" i="42"/>
  <c r="O21" i="42"/>
  <c r="L22" i="42"/>
  <c r="M22" i="42"/>
  <c r="P22" i="42" s="1"/>
  <c r="N22" i="42"/>
  <c r="O22" i="42"/>
  <c r="L23" i="42"/>
  <c r="M23" i="42"/>
  <c r="P23" i="42" s="1"/>
  <c r="N23" i="42"/>
  <c r="O23" i="42"/>
  <c r="L24" i="42"/>
  <c r="M24" i="42"/>
  <c r="P24" i="42" s="1"/>
  <c r="N24" i="42"/>
  <c r="O24" i="42"/>
  <c r="L25" i="42"/>
  <c r="M25" i="42"/>
  <c r="P25" i="42" s="1"/>
  <c r="N25" i="42"/>
  <c r="O25" i="42"/>
  <c r="L26" i="42"/>
  <c r="M26" i="42"/>
  <c r="P26" i="42" s="1"/>
  <c r="N26" i="42"/>
  <c r="O26" i="42"/>
  <c r="L27" i="42"/>
  <c r="M27" i="42"/>
  <c r="P27" i="42" s="1"/>
  <c r="N27" i="42"/>
  <c r="O27" i="42"/>
  <c r="L28" i="42"/>
  <c r="M28" i="42"/>
  <c r="P28" i="42" s="1"/>
  <c r="N28" i="42"/>
  <c r="O28" i="42"/>
  <c r="L29" i="42"/>
  <c r="M29" i="42"/>
  <c r="P29" i="42" s="1"/>
  <c r="N29" i="42"/>
  <c r="O29" i="42"/>
  <c r="L30" i="42"/>
  <c r="M30" i="42"/>
  <c r="P30" i="42" s="1"/>
  <c r="N30" i="42"/>
  <c r="O30" i="42"/>
  <c r="L31" i="42"/>
  <c r="M31" i="42"/>
  <c r="P31" i="42" s="1"/>
  <c r="N31" i="42"/>
  <c r="O31" i="42"/>
  <c r="L32" i="42"/>
  <c r="M32" i="42"/>
  <c r="P32" i="42" s="1"/>
  <c r="N32" i="42"/>
  <c r="O32" i="42"/>
  <c r="L33" i="42"/>
  <c r="M33" i="42"/>
  <c r="P33" i="42" s="1"/>
  <c r="N33" i="42"/>
  <c r="O33" i="42"/>
  <c r="L34" i="42"/>
  <c r="M34" i="42"/>
  <c r="P34" i="42" s="1"/>
  <c r="N34" i="42"/>
  <c r="O34" i="42"/>
  <c r="L35" i="42"/>
  <c r="M35" i="42"/>
  <c r="P35" i="42" s="1"/>
  <c r="N35" i="42"/>
  <c r="O35" i="42"/>
  <c r="L36" i="42"/>
  <c r="M36" i="42"/>
  <c r="P36" i="42" s="1"/>
  <c r="N36" i="42"/>
  <c r="O36" i="42"/>
  <c r="L37" i="42"/>
  <c r="M37" i="42"/>
  <c r="P37" i="42" s="1"/>
  <c r="N37" i="42"/>
  <c r="O37" i="42"/>
  <c r="L38" i="42"/>
  <c r="M38" i="42"/>
  <c r="P38" i="42" s="1"/>
  <c r="N38" i="42"/>
  <c r="O38" i="42"/>
  <c r="L39" i="42"/>
  <c r="M39" i="42"/>
  <c r="P39" i="42" s="1"/>
  <c r="N39" i="42"/>
  <c r="O39" i="42"/>
  <c r="L40" i="42"/>
  <c r="M40" i="42"/>
  <c r="P40" i="42" s="1"/>
  <c r="N40" i="42"/>
  <c r="O40" i="42"/>
  <c r="L41" i="42"/>
  <c r="M41" i="42"/>
  <c r="P41" i="42" s="1"/>
  <c r="N41" i="42"/>
  <c r="O41" i="42"/>
  <c r="L42" i="42"/>
  <c r="M42" i="42"/>
  <c r="P42" i="42" s="1"/>
  <c r="N42" i="42"/>
  <c r="O42" i="42"/>
  <c r="L43" i="42"/>
  <c r="M43" i="42"/>
  <c r="P43" i="42" s="1"/>
  <c r="N43" i="42"/>
  <c r="O43" i="42"/>
  <c r="L44" i="42"/>
  <c r="M44" i="42"/>
  <c r="P44" i="42" s="1"/>
  <c r="N44" i="42"/>
  <c r="O44" i="42"/>
  <c r="L45" i="42"/>
  <c r="M45" i="42"/>
  <c r="P45" i="42" s="1"/>
  <c r="N45" i="42"/>
  <c r="O45" i="42"/>
  <c r="L46" i="42"/>
  <c r="M46" i="42"/>
  <c r="P46" i="42" s="1"/>
  <c r="N46" i="42"/>
  <c r="O46" i="42"/>
  <c r="L47" i="42"/>
  <c r="M47" i="42"/>
  <c r="P47" i="42" s="1"/>
  <c r="N47" i="42"/>
  <c r="O47" i="42"/>
  <c r="L48" i="42"/>
  <c r="M48" i="42"/>
  <c r="P48" i="42" s="1"/>
  <c r="N48" i="42"/>
  <c r="O48" i="42"/>
  <c r="L49" i="42"/>
  <c r="M49" i="42"/>
  <c r="P49" i="42" s="1"/>
  <c r="N49" i="42"/>
  <c r="O49" i="42"/>
  <c r="L50" i="42"/>
  <c r="M50" i="42"/>
  <c r="P50" i="42" s="1"/>
  <c r="N50" i="42"/>
  <c r="O50" i="42"/>
  <c r="L51" i="42"/>
  <c r="M51" i="42"/>
  <c r="P51" i="42" s="1"/>
  <c r="N51" i="42"/>
  <c r="O51" i="42"/>
  <c r="L52" i="42"/>
  <c r="M52" i="42"/>
  <c r="P52" i="42" s="1"/>
  <c r="N52" i="42"/>
  <c r="O52" i="42"/>
  <c r="L53" i="42"/>
  <c r="M53" i="42"/>
  <c r="P53" i="42" s="1"/>
  <c r="N53" i="42"/>
  <c r="O53" i="42"/>
  <c r="L54" i="42"/>
  <c r="M54" i="42"/>
  <c r="P54" i="42" s="1"/>
  <c r="N54" i="42"/>
  <c r="O54" i="42"/>
  <c r="L55" i="42"/>
  <c r="M55" i="42"/>
  <c r="P55" i="42" s="1"/>
  <c r="N55" i="42"/>
  <c r="O55" i="42"/>
  <c r="L56" i="42"/>
  <c r="M56" i="42"/>
  <c r="P56" i="42" s="1"/>
  <c r="N56" i="42"/>
  <c r="O56" i="42"/>
  <c r="L57" i="42"/>
  <c r="M57" i="42"/>
  <c r="P57" i="42" s="1"/>
  <c r="N57" i="42"/>
  <c r="O57" i="42"/>
  <c r="L58" i="42"/>
  <c r="M58" i="42"/>
  <c r="P58" i="42" s="1"/>
  <c r="N58" i="42"/>
  <c r="O58" i="42"/>
  <c r="D13" i="42"/>
  <c r="E13" i="42"/>
  <c r="H13" i="42" s="1"/>
  <c r="F13" i="42"/>
  <c r="G13" i="42"/>
  <c r="D14" i="42"/>
  <c r="E14" i="42"/>
  <c r="H14" i="42" s="1"/>
  <c r="F14" i="42"/>
  <c r="G14" i="42"/>
  <c r="D15" i="42"/>
  <c r="E15" i="42"/>
  <c r="H15" i="42" s="1"/>
  <c r="F15" i="42"/>
  <c r="G15" i="42"/>
  <c r="D16" i="42"/>
  <c r="E16" i="42"/>
  <c r="H16" i="42" s="1"/>
  <c r="F16" i="42"/>
  <c r="G16" i="42"/>
  <c r="D17" i="42"/>
  <c r="E17" i="42"/>
  <c r="H17" i="42" s="1"/>
  <c r="F17" i="42"/>
  <c r="G17" i="42"/>
  <c r="D18" i="42"/>
  <c r="E18" i="42"/>
  <c r="H18" i="42" s="1"/>
  <c r="F18" i="42"/>
  <c r="G18" i="42"/>
  <c r="D19" i="42"/>
  <c r="E19" i="42"/>
  <c r="H19" i="42" s="1"/>
  <c r="F19" i="42"/>
  <c r="G19" i="42"/>
  <c r="D20" i="42"/>
  <c r="E20" i="42"/>
  <c r="H20" i="42" s="1"/>
  <c r="F20" i="42"/>
  <c r="G20" i="42"/>
  <c r="D21" i="42"/>
  <c r="E21" i="42"/>
  <c r="H21" i="42" s="1"/>
  <c r="F21" i="42"/>
  <c r="G21" i="42"/>
  <c r="D22" i="42"/>
  <c r="E22" i="42"/>
  <c r="H22" i="42" s="1"/>
  <c r="F22" i="42"/>
  <c r="G22" i="42"/>
  <c r="D23" i="42"/>
  <c r="E23" i="42"/>
  <c r="H23" i="42" s="1"/>
  <c r="F23" i="42"/>
  <c r="G23" i="42"/>
  <c r="D24" i="42"/>
  <c r="E24" i="42"/>
  <c r="H24" i="42" s="1"/>
  <c r="F24" i="42"/>
  <c r="G24" i="42"/>
  <c r="D25" i="42"/>
  <c r="E25" i="42"/>
  <c r="H25" i="42" s="1"/>
  <c r="F25" i="42"/>
  <c r="G25" i="42"/>
  <c r="D26" i="42"/>
  <c r="E26" i="42"/>
  <c r="H26" i="42" s="1"/>
  <c r="F26" i="42"/>
  <c r="G26" i="42"/>
  <c r="D27" i="42"/>
  <c r="E27" i="42"/>
  <c r="H27" i="42" s="1"/>
  <c r="F27" i="42"/>
  <c r="G27" i="42"/>
  <c r="D28" i="42"/>
  <c r="E28" i="42"/>
  <c r="H28" i="42" s="1"/>
  <c r="F28" i="42"/>
  <c r="G28" i="42"/>
  <c r="D29" i="42"/>
  <c r="E29" i="42"/>
  <c r="H29" i="42" s="1"/>
  <c r="F29" i="42"/>
  <c r="G29" i="42"/>
  <c r="D30" i="42"/>
  <c r="E30" i="42"/>
  <c r="H30" i="42" s="1"/>
  <c r="F30" i="42"/>
  <c r="G30" i="42"/>
  <c r="D31" i="42"/>
  <c r="E31" i="42"/>
  <c r="H31" i="42" s="1"/>
  <c r="F31" i="42"/>
  <c r="G31" i="42"/>
  <c r="D32" i="42"/>
  <c r="E32" i="42"/>
  <c r="H32" i="42" s="1"/>
  <c r="F32" i="42"/>
  <c r="G32" i="42"/>
  <c r="D33" i="42"/>
  <c r="E33" i="42"/>
  <c r="H33" i="42" s="1"/>
  <c r="F33" i="42"/>
  <c r="G33" i="42"/>
  <c r="D34" i="42"/>
  <c r="E34" i="42"/>
  <c r="H34" i="42" s="1"/>
  <c r="F34" i="42"/>
  <c r="G34" i="42"/>
  <c r="D35" i="42"/>
  <c r="E35" i="42"/>
  <c r="H35" i="42" s="1"/>
  <c r="F35" i="42"/>
  <c r="G35" i="42"/>
  <c r="D36" i="42"/>
  <c r="E36" i="42"/>
  <c r="H36" i="42" s="1"/>
  <c r="F36" i="42"/>
  <c r="G36" i="42"/>
  <c r="D37" i="42"/>
  <c r="E37" i="42"/>
  <c r="H37" i="42" s="1"/>
  <c r="F37" i="42"/>
  <c r="G37" i="42"/>
  <c r="D38" i="42"/>
  <c r="E38" i="42"/>
  <c r="H38" i="42" s="1"/>
  <c r="F38" i="42"/>
  <c r="G38" i="42"/>
  <c r="D39" i="42"/>
  <c r="E39" i="42"/>
  <c r="H39" i="42" s="1"/>
  <c r="F39" i="42"/>
  <c r="G39" i="42"/>
  <c r="D40" i="42"/>
  <c r="E40" i="42"/>
  <c r="H40" i="42" s="1"/>
  <c r="F40" i="42"/>
  <c r="G40" i="42"/>
  <c r="D41" i="42"/>
  <c r="E41" i="42"/>
  <c r="H41" i="42" s="1"/>
  <c r="F41" i="42"/>
  <c r="G41" i="42"/>
  <c r="D42" i="42"/>
  <c r="E42" i="42"/>
  <c r="H42" i="42" s="1"/>
  <c r="F42" i="42"/>
  <c r="G42" i="42"/>
  <c r="D43" i="42"/>
  <c r="E43" i="42"/>
  <c r="H43" i="42" s="1"/>
  <c r="F43" i="42"/>
  <c r="G43" i="42"/>
  <c r="D44" i="42"/>
  <c r="E44" i="42"/>
  <c r="H44" i="42" s="1"/>
  <c r="F44" i="42"/>
  <c r="G44" i="42"/>
  <c r="D45" i="42"/>
  <c r="E45" i="42"/>
  <c r="H45" i="42" s="1"/>
  <c r="F45" i="42"/>
  <c r="G45" i="42"/>
  <c r="D46" i="42"/>
  <c r="E46" i="42"/>
  <c r="H46" i="42" s="1"/>
  <c r="F46" i="42"/>
  <c r="G46" i="42"/>
  <c r="D47" i="42"/>
  <c r="E47" i="42"/>
  <c r="H47" i="42" s="1"/>
  <c r="F47" i="42"/>
  <c r="G47" i="42"/>
  <c r="D48" i="42"/>
  <c r="E48" i="42"/>
  <c r="H48" i="42" s="1"/>
  <c r="F48" i="42"/>
  <c r="G48" i="42"/>
  <c r="D49" i="42"/>
  <c r="E49" i="42"/>
  <c r="H49" i="42" s="1"/>
  <c r="F49" i="42"/>
  <c r="G49" i="42"/>
  <c r="D50" i="42"/>
  <c r="E50" i="42"/>
  <c r="H50" i="42" s="1"/>
  <c r="F50" i="42"/>
  <c r="G50" i="42"/>
  <c r="D51" i="42"/>
  <c r="E51" i="42"/>
  <c r="H51" i="42" s="1"/>
  <c r="F51" i="42"/>
  <c r="G51" i="42"/>
  <c r="D52" i="42"/>
  <c r="E52" i="42"/>
  <c r="H52" i="42" s="1"/>
  <c r="F52" i="42"/>
  <c r="G52" i="42"/>
  <c r="D53" i="42"/>
  <c r="E53" i="42"/>
  <c r="H53" i="42" s="1"/>
  <c r="F53" i="42"/>
  <c r="G53" i="42"/>
  <c r="D54" i="42"/>
  <c r="E54" i="42"/>
  <c r="H54" i="42" s="1"/>
  <c r="F54" i="42"/>
  <c r="G54" i="42"/>
  <c r="D55" i="42"/>
  <c r="E55" i="42"/>
  <c r="H55" i="42" s="1"/>
  <c r="F55" i="42"/>
  <c r="G55" i="42"/>
  <c r="D56" i="42"/>
  <c r="E56" i="42"/>
  <c r="H56" i="42" s="1"/>
  <c r="F56" i="42"/>
  <c r="G56" i="42"/>
  <c r="D57" i="42"/>
  <c r="E57" i="42"/>
  <c r="H57" i="42" s="1"/>
  <c r="F57" i="42"/>
  <c r="G57" i="42"/>
  <c r="D58" i="42"/>
  <c r="E58" i="42"/>
  <c r="H58" i="42" s="1"/>
  <c r="F58" i="42"/>
  <c r="G58" i="42"/>
  <c r="O492" i="44"/>
  <c r="N492" i="44"/>
  <c r="M492" i="44"/>
  <c r="L492" i="44"/>
  <c r="G492" i="44"/>
  <c r="F492" i="44"/>
  <c r="E492" i="44"/>
  <c r="D492" i="44"/>
  <c r="O432" i="44"/>
  <c r="N432" i="44"/>
  <c r="M432" i="44"/>
  <c r="L432" i="44"/>
  <c r="G432" i="44"/>
  <c r="F432" i="44"/>
  <c r="E432" i="44"/>
  <c r="D432" i="44"/>
  <c r="O372" i="44"/>
  <c r="N372" i="44"/>
  <c r="M372" i="44"/>
  <c r="L372" i="44"/>
  <c r="G372" i="44"/>
  <c r="F372" i="44"/>
  <c r="E372" i="44"/>
  <c r="D372" i="44"/>
  <c r="O312" i="44"/>
  <c r="N312" i="44"/>
  <c r="M312" i="44"/>
  <c r="L312" i="44"/>
  <c r="G312" i="44"/>
  <c r="F312" i="44"/>
  <c r="E312" i="44"/>
  <c r="D312" i="44"/>
  <c r="O252" i="44"/>
  <c r="N252" i="44"/>
  <c r="M252" i="44"/>
  <c r="L252" i="44"/>
  <c r="G252" i="44"/>
  <c r="F252" i="44"/>
  <c r="E252" i="44"/>
  <c r="D252" i="44"/>
  <c r="O192" i="44"/>
  <c r="N192" i="44"/>
  <c r="M192" i="44"/>
  <c r="L192" i="44"/>
  <c r="G192" i="44"/>
  <c r="F192" i="44"/>
  <c r="E192" i="44"/>
  <c r="D192" i="44"/>
  <c r="O132" i="44"/>
  <c r="N132" i="44"/>
  <c r="M132" i="44"/>
  <c r="L132" i="44"/>
  <c r="G132" i="44"/>
  <c r="F132" i="44"/>
  <c r="E132" i="44"/>
  <c r="D132" i="44"/>
  <c r="O72" i="44"/>
  <c r="N72" i="44"/>
  <c r="M72" i="44"/>
  <c r="L72" i="44"/>
  <c r="G72" i="44"/>
  <c r="F72" i="44"/>
  <c r="E72" i="44"/>
  <c r="D72" i="44"/>
  <c r="O12" i="44"/>
  <c r="N12" i="44"/>
  <c r="M12" i="44"/>
  <c r="L12" i="44"/>
  <c r="G12" i="44"/>
  <c r="F12" i="44"/>
  <c r="E12" i="44"/>
  <c r="D12" i="44"/>
  <c r="O132" i="43"/>
  <c r="N132" i="43"/>
  <c r="M132" i="43"/>
  <c r="P132" i="43" s="1"/>
  <c r="L132" i="43"/>
  <c r="G132" i="43"/>
  <c r="F132" i="43"/>
  <c r="E132" i="43"/>
  <c r="H132" i="43" s="1"/>
  <c r="D132" i="43"/>
  <c r="O72" i="43"/>
  <c r="N72" i="43"/>
  <c r="M72" i="43"/>
  <c r="P72" i="43" s="1"/>
  <c r="L72" i="43"/>
  <c r="G72" i="43"/>
  <c r="F72" i="43"/>
  <c r="E72" i="43"/>
  <c r="H72" i="43" s="1"/>
  <c r="D72" i="43"/>
  <c r="O12" i="43"/>
  <c r="N12" i="43"/>
  <c r="M12" i="43"/>
  <c r="P12" i="43" s="1"/>
  <c r="L12" i="43"/>
  <c r="G12" i="43"/>
  <c r="F12" i="43"/>
  <c r="E12" i="43"/>
  <c r="H12" i="43" s="1"/>
  <c r="D12" i="43"/>
  <c r="O132" i="42"/>
  <c r="N132" i="42"/>
  <c r="M132" i="42"/>
  <c r="P132" i="42" s="1"/>
  <c r="L132" i="42"/>
  <c r="G132" i="42"/>
  <c r="F132" i="42"/>
  <c r="E132" i="42"/>
  <c r="H132" i="42" s="1"/>
  <c r="D132" i="42"/>
  <c r="O72" i="42"/>
  <c r="N72" i="42"/>
  <c r="M72" i="42"/>
  <c r="P72" i="42" s="1"/>
  <c r="L72" i="42"/>
  <c r="G72" i="42"/>
  <c r="F72" i="42"/>
  <c r="E72" i="42"/>
  <c r="H72" i="42" s="1"/>
  <c r="D72" i="42"/>
  <c r="O12" i="42"/>
  <c r="N12" i="42"/>
  <c r="M12" i="42"/>
  <c r="P12" i="42" s="1"/>
  <c r="L12" i="42"/>
  <c r="G12" i="42"/>
  <c r="F12" i="42"/>
  <c r="E12" i="42"/>
  <c r="H12" i="42" s="1"/>
  <c r="D12" i="42"/>
  <c r="H7" i="44"/>
  <c r="H487" i="44" s="1"/>
  <c r="E7" i="44"/>
  <c r="E367" i="44" s="1"/>
  <c r="E7" i="43"/>
  <c r="M67" i="43" s="1"/>
  <c r="E7" i="42"/>
  <c r="O539" i="44"/>
  <c r="N539" i="44"/>
  <c r="M539" i="44"/>
  <c r="L539" i="44"/>
  <c r="G539" i="44"/>
  <c r="F539" i="44"/>
  <c r="E539" i="44"/>
  <c r="D539" i="44"/>
  <c r="M489" i="44"/>
  <c r="E489" i="44"/>
  <c r="M488" i="44"/>
  <c r="E488" i="44"/>
  <c r="J487" i="44"/>
  <c r="B487" i="44"/>
  <c r="O479" i="44"/>
  <c r="N479" i="44"/>
  <c r="M479" i="44"/>
  <c r="L479" i="44"/>
  <c r="G479" i="44"/>
  <c r="F479" i="44"/>
  <c r="E479" i="44"/>
  <c r="D479" i="44"/>
  <c r="M429" i="44"/>
  <c r="E429" i="44"/>
  <c r="M428" i="44"/>
  <c r="E428" i="44"/>
  <c r="J427" i="44"/>
  <c r="B427" i="44"/>
  <c r="G419" i="44"/>
  <c r="F419" i="44"/>
  <c r="E419" i="44"/>
  <c r="D419" i="44"/>
  <c r="M369" i="44"/>
  <c r="E369" i="44"/>
  <c r="M368" i="44"/>
  <c r="E368" i="44"/>
  <c r="J367" i="44"/>
  <c r="B367" i="44"/>
  <c r="O359" i="44"/>
  <c r="N359" i="44"/>
  <c r="M359" i="44"/>
  <c r="L359" i="44"/>
  <c r="G359" i="44"/>
  <c r="F359" i="44"/>
  <c r="E359" i="44"/>
  <c r="D359" i="44"/>
  <c r="M309" i="44"/>
  <c r="E309" i="44"/>
  <c r="M308" i="44"/>
  <c r="E308" i="44"/>
  <c r="J307" i="44"/>
  <c r="B307" i="44"/>
  <c r="O299" i="44"/>
  <c r="N299" i="44"/>
  <c r="M299" i="44"/>
  <c r="L299" i="44"/>
  <c r="G299" i="44"/>
  <c r="F299" i="44"/>
  <c r="E299" i="44"/>
  <c r="D299" i="44"/>
  <c r="M249" i="44"/>
  <c r="E249" i="44"/>
  <c r="M248" i="44"/>
  <c r="E248" i="44"/>
  <c r="J247" i="44"/>
  <c r="B247" i="44"/>
  <c r="O239" i="44"/>
  <c r="N239" i="44"/>
  <c r="M239" i="44"/>
  <c r="L239" i="44"/>
  <c r="G239" i="44"/>
  <c r="F239" i="44"/>
  <c r="E239" i="44"/>
  <c r="D239" i="44"/>
  <c r="M189" i="44"/>
  <c r="E189" i="44"/>
  <c r="M188" i="44"/>
  <c r="E188" i="44"/>
  <c r="J187" i="44"/>
  <c r="B187" i="44"/>
  <c r="O179" i="44"/>
  <c r="N179" i="44"/>
  <c r="M179" i="44"/>
  <c r="L179" i="44"/>
  <c r="G179" i="44"/>
  <c r="F179" i="44"/>
  <c r="E179" i="44"/>
  <c r="D179" i="44"/>
  <c r="M129" i="44"/>
  <c r="E129" i="44"/>
  <c r="M128" i="44"/>
  <c r="E128" i="44"/>
  <c r="J127" i="44"/>
  <c r="B127" i="44"/>
  <c r="O119" i="44"/>
  <c r="N119" i="44"/>
  <c r="M119" i="44"/>
  <c r="L119" i="44"/>
  <c r="M69" i="44"/>
  <c r="E69" i="44"/>
  <c r="M68" i="44"/>
  <c r="E68" i="44"/>
  <c r="J67" i="44"/>
  <c r="B67" i="44"/>
  <c r="M59" i="44"/>
  <c r="L59" i="44"/>
  <c r="E59" i="44"/>
  <c r="D59" i="44"/>
  <c r="M10" i="44"/>
  <c r="E70" i="44" s="1"/>
  <c r="M70" i="44" s="1"/>
  <c r="E130" i="44" s="1"/>
  <c r="M130" i="44" s="1"/>
  <c r="E190" i="44" s="1"/>
  <c r="M190" i="44" s="1"/>
  <c r="E250" i="44" s="1"/>
  <c r="M250" i="44" s="1"/>
  <c r="E310" i="44" s="1"/>
  <c r="M310" i="44" s="1"/>
  <c r="E370" i="44" s="1"/>
  <c r="M370" i="44" s="1"/>
  <c r="E430" i="44" s="1"/>
  <c r="M430" i="44" s="1"/>
  <c r="E490" i="44" s="1"/>
  <c r="M490" i="44" s="1"/>
  <c r="M9" i="44"/>
  <c r="M8" i="44"/>
  <c r="J7" i="44"/>
  <c r="B7" i="44"/>
  <c r="O179" i="43"/>
  <c r="N179" i="43"/>
  <c r="M179" i="43"/>
  <c r="L179" i="43"/>
  <c r="M129" i="43"/>
  <c r="E129" i="43"/>
  <c r="M128" i="43"/>
  <c r="E128" i="43"/>
  <c r="J127" i="43"/>
  <c r="B127" i="43"/>
  <c r="O119" i="43"/>
  <c r="N119" i="43"/>
  <c r="M119" i="43"/>
  <c r="L119" i="43"/>
  <c r="G119" i="43"/>
  <c r="F119" i="43"/>
  <c r="E119" i="43"/>
  <c r="D119" i="43"/>
  <c r="M69" i="43"/>
  <c r="E69" i="43"/>
  <c r="M68" i="43"/>
  <c r="E68" i="43"/>
  <c r="J67" i="43"/>
  <c r="B67" i="43"/>
  <c r="G59" i="43"/>
  <c r="F59" i="43"/>
  <c r="E59" i="43"/>
  <c r="H59" i="43" s="1"/>
  <c r="D59" i="43"/>
  <c r="M10" i="43"/>
  <c r="E70" i="43" s="1"/>
  <c r="M70" i="43" s="1"/>
  <c r="E130" i="43" s="1"/>
  <c r="M130" i="43" s="1"/>
  <c r="M9" i="43"/>
  <c r="M8" i="43"/>
  <c r="J7" i="43"/>
  <c r="B7" i="43"/>
  <c r="O179" i="42"/>
  <c r="N179" i="42"/>
  <c r="M179" i="42"/>
  <c r="L179" i="42"/>
  <c r="G179" i="42"/>
  <c r="F179" i="42"/>
  <c r="E179" i="42"/>
  <c r="D179" i="42"/>
  <c r="M129" i="42"/>
  <c r="E129" i="42"/>
  <c r="M128" i="42"/>
  <c r="E128" i="42"/>
  <c r="J127" i="42"/>
  <c r="B127" i="42"/>
  <c r="O119" i="42"/>
  <c r="N119" i="42"/>
  <c r="M119" i="42"/>
  <c r="L119" i="42"/>
  <c r="G119" i="42"/>
  <c r="F119" i="42"/>
  <c r="E119" i="42"/>
  <c r="D119" i="42"/>
  <c r="M69" i="42"/>
  <c r="E69" i="42"/>
  <c r="M68" i="42"/>
  <c r="E68" i="42"/>
  <c r="J67" i="42"/>
  <c r="B67" i="42"/>
  <c r="O59" i="42"/>
  <c r="N59" i="42"/>
  <c r="M59" i="42"/>
  <c r="L59" i="42"/>
  <c r="G59" i="42"/>
  <c r="F59" i="42"/>
  <c r="E59" i="42"/>
  <c r="H59" i="42" s="1"/>
  <c r="D59" i="42"/>
  <c r="M10" i="42"/>
  <c r="E70" i="42" s="1"/>
  <c r="M70" i="42" s="1"/>
  <c r="E130" i="42" s="1"/>
  <c r="M130" i="42" s="1"/>
  <c r="M9" i="42"/>
  <c r="M8" i="42"/>
  <c r="J7" i="42"/>
  <c r="B7" i="42"/>
  <c r="L133" i="41"/>
  <c r="M133" i="41"/>
  <c r="P133" i="41" s="1"/>
  <c r="N133" i="41"/>
  <c r="O133" i="41"/>
  <c r="L134" i="41"/>
  <c r="M134" i="41"/>
  <c r="P134" i="41" s="1"/>
  <c r="N134" i="41"/>
  <c r="O134" i="41"/>
  <c r="L135" i="41"/>
  <c r="M135" i="41"/>
  <c r="P135" i="41" s="1"/>
  <c r="N135" i="41"/>
  <c r="O135" i="41"/>
  <c r="L136" i="41"/>
  <c r="M136" i="41"/>
  <c r="P136" i="41" s="1"/>
  <c r="N136" i="41"/>
  <c r="O136" i="41"/>
  <c r="L137" i="41"/>
  <c r="M137" i="41"/>
  <c r="P137" i="41" s="1"/>
  <c r="N137" i="41"/>
  <c r="O137" i="41"/>
  <c r="L138" i="41"/>
  <c r="M138" i="41"/>
  <c r="P138" i="41" s="1"/>
  <c r="N138" i="41"/>
  <c r="O138" i="41"/>
  <c r="L139" i="41"/>
  <c r="M139" i="41"/>
  <c r="P139" i="41" s="1"/>
  <c r="N139" i="41"/>
  <c r="O139" i="41"/>
  <c r="L140" i="41"/>
  <c r="M140" i="41"/>
  <c r="P140" i="41" s="1"/>
  <c r="N140" i="41"/>
  <c r="O140" i="41"/>
  <c r="L141" i="41"/>
  <c r="M141" i="41"/>
  <c r="P141" i="41" s="1"/>
  <c r="N141" i="41"/>
  <c r="O141" i="41"/>
  <c r="L142" i="41"/>
  <c r="M142" i="41"/>
  <c r="P142" i="41" s="1"/>
  <c r="N142" i="41"/>
  <c r="O142" i="41"/>
  <c r="L143" i="41"/>
  <c r="M143" i="41"/>
  <c r="P143" i="41" s="1"/>
  <c r="N143" i="41"/>
  <c r="O143" i="41"/>
  <c r="L144" i="41"/>
  <c r="M144" i="41"/>
  <c r="P144" i="41" s="1"/>
  <c r="N144" i="41"/>
  <c r="O144" i="41"/>
  <c r="L145" i="41"/>
  <c r="M145" i="41"/>
  <c r="P145" i="41" s="1"/>
  <c r="N145" i="41"/>
  <c r="O145" i="41"/>
  <c r="L146" i="41"/>
  <c r="M146" i="41"/>
  <c r="P146" i="41" s="1"/>
  <c r="N146" i="41"/>
  <c r="O146" i="41"/>
  <c r="L147" i="41"/>
  <c r="M147" i="41"/>
  <c r="P147" i="41" s="1"/>
  <c r="N147" i="41"/>
  <c r="O147" i="41"/>
  <c r="L148" i="41"/>
  <c r="M148" i="41"/>
  <c r="P148" i="41" s="1"/>
  <c r="N148" i="41"/>
  <c r="O148" i="41"/>
  <c r="L149" i="41"/>
  <c r="M149" i="41"/>
  <c r="P149" i="41" s="1"/>
  <c r="N149" i="41"/>
  <c r="O149" i="41"/>
  <c r="L150" i="41"/>
  <c r="M150" i="41"/>
  <c r="P150" i="41" s="1"/>
  <c r="N150" i="41"/>
  <c r="O150" i="41"/>
  <c r="L151" i="41"/>
  <c r="M151" i="41"/>
  <c r="P151" i="41" s="1"/>
  <c r="N151" i="41"/>
  <c r="O151" i="41"/>
  <c r="L152" i="41"/>
  <c r="M152" i="41"/>
  <c r="P152" i="41" s="1"/>
  <c r="N152" i="41"/>
  <c r="O152" i="41"/>
  <c r="L153" i="41"/>
  <c r="M153" i="41"/>
  <c r="P153" i="41" s="1"/>
  <c r="N153" i="41"/>
  <c r="O153" i="41"/>
  <c r="L154" i="41"/>
  <c r="M154" i="41"/>
  <c r="P154" i="41" s="1"/>
  <c r="N154" i="41"/>
  <c r="O154" i="41"/>
  <c r="L155" i="41"/>
  <c r="M155" i="41"/>
  <c r="P155" i="41" s="1"/>
  <c r="N155" i="41"/>
  <c r="O155" i="41"/>
  <c r="L156" i="41"/>
  <c r="M156" i="41"/>
  <c r="P156" i="41" s="1"/>
  <c r="N156" i="41"/>
  <c r="O156" i="41"/>
  <c r="L157" i="41"/>
  <c r="M157" i="41"/>
  <c r="P157" i="41" s="1"/>
  <c r="N157" i="41"/>
  <c r="O157" i="41"/>
  <c r="L158" i="41"/>
  <c r="M158" i="41"/>
  <c r="P158" i="41" s="1"/>
  <c r="N158" i="41"/>
  <c r="O158" i="41"/>
  <c r="L159" i="41"/>
  <c r="M159" i="41"/>
  <c r="P159" i="41" s="1"/>
  <c r="N159" i="41"/>
  <c r="O159" i="41"/>
  <c r="L160" i="41"/>
  <c r="M160" i="41"/>
  <c r="P160" i="41" s="1"/>
  <c r="N160" i="41"/>
  <c r="O160" i="41"/>
  <c r="L161" i="41"/>
  <c r="M161" i="41"/>
  <c r="P161" i="41" s="1"/>
  <c r="N161" i="41"/>
  <c r="O161" i="41"/>
  <c r="L162" i="41"/>
  <c r="M162" i="41"/>
  <c r="P162" i="41" s="1"/>
  <c r="N162" i="41"/>
  <c r="O162" i="41"/>
  <c r="L163" i="41"/>
  <c r="M163" i="41"/>
  <c r="P163" i="41" s="1"/>
  <c r="N163" i="41"/>
  <c r="O163" i="41"/>
  <c r="L164" i="41"/>
  <c r="M164" i="41"/>
  <c r="P164" i="41" s="1"/>
  <c r="N164" i="41"/>
  <c r="O164" i="41"/>
  <c r="L165" i="41"/>
  <c r="M165" i="41"/>
  <c r="P165" i="41" s="1"/>
  <c r="N165" i="41"/>
  <c r="O165" i="41"/>
  <c r="L166" i="41"/>
  <c r="M166" i="41"/>
  <c r="P166" i="41" s="1"/>
  <c r="N166" i="41"/>
  <c r="O166" i="41"/>
  <c r="L167" i="41"/>
  <c r="M167" i="41"/>
  <c r="P167" i="41" s="1"/>
  <c r="N167" i="41"/>
  <c r="O167" i="41"/>
  <c r="L168" i="41"/>
  <c r="M168" i="41"/>
  <c r="P168" i="41" s="1"/>
  <c r="N168" i="41"/>
  <c r="O168" i="41"/>
  <c r="L169" i="41"/>
  <c r="M169" i="41"/>
  <c r="P169" i="41" s="1"/>
  <c r="N169" i="41"/>
  <c r="O169" i="41"/>
  <c r="L170" i="41"/>
  <c r="M170" i="41"/>
  <c r="P170" i="41" s="1"/>
  <c r="N170" i="41"/>
  <c r="O170" i="41"/>
  <c r="L171" i="41"/>
  <c r="M171" i="41"/>
  <c r="P171" i="41" s="1"/>
  <c r="N171" i="41"/>
  <c r="O171" i="41"/>
  <c r="L172" i="41"/>
  <c r="M172" i="41"/>
  <c r="P172" i="41" s="1"/>
  <c r="N172" i="41"/>
  <c r="O172" i="41"/>
  <c r="L173" i="41"/>
  <c r="M173" i="41"/>
  <c r="P173" i="41" s="1"/>
  <c r="N173" i="41"/>
  <c r="O173" i="41"/>
  <c r="L174" i="41"/>
  <c r="M174" i="41"/>
  <c r="P174" i="41" s="1"/>
  <c r="N174" i="41"/>
  <c r="O174" i="41"/>
  <c r="L175" i="41"/>
  <c r="M175" i="41"/>
  <c r="P175" i="41" s="1"/>
  <c r="N175" i="41"/>
  <c r="O175" i="41"/>
  <c r="L176" i="41"/>
  <c r="M176" i="41"/>
  <c r="P176" i="41" s="1"/>
  <c r="N176" i="41"/>
  <c r="O176" i="41"/>
  <c r="L177" i="41"/>
  <c r="M177" i="41"/>
  <c r="P177" i="41" s="1"/>
  <c r="N177" i="41"/>
  <c r="O177" i="41"/>
  <c r="L178" i="41"/>
  <c r="M178" i="41"/>
  <c r="P178" i="41" s="1"/>
  <c r="N178" i="41"/>
  <c r="O178" i="41"/>
  <c r="D133" i="41"/>
  <c r="E133" i="41"/>
  <c r="H133" i="41" s="1"/>
  <c r="F133" i="41"/>
  <c r="G133" i="41"/>
  <c r="D134" i="41"/>
  <c r="E134" i="41"/>
  <c r="H134" i="41" s="1"/>
  <c r="F134" i="41"/>
  <c r="G134" i="41"/>
  <c r="D135" i="41"/>
  <c r="E135" i="41"/>
  <c r="H135" i="41" s="1"/>
  <c r="F135" i="41"/>
  <c r="G135" i="41"/>
  <c r="D136" i="41"/>
  <c r="E136" i="41"/>
  <c r="H136" i="41" s="1"/>
  <c r="F136" i="41"/>
  <c r="G136" i="41"/>
  <c r="D137" i="41"/>
  <c r="E137" i="41"/>
  <c r="H137" i="41" s="1"/>
  <c r="F137" i="41"/>
  <c r="G137" i="41"/>
  <c r="D138" i="41"/>
  <c r="E138" i="41"/>
  <c r="H138" i="41" s="1"/>
  <c r="F138" i="41"/>
  <c r="G138" i="41"/>
  <c r="D139" i="41"/>
  <c r="E139" i="41"/>
  <c r="H139" i="41" s="1"/>
  <c r="F139" i="41"/>
  <c r="G139" i="41"/>
  <c r="D140" i="41"/>
  <c r="E140" i="41"/>
  <c r="H140" i="41" s="1"/>
  <c r="F140" i="41"/>
  <c r="G140" i="41"/>
  <c r="D141" i="41"/>
  <c r="E141" i="41"/>
  <c r="H141" i="41" s="1"/>
  <c r="F141" i="41"/>
  <c r="G141" i="41"/>
  <c r="D142" i="41"/>
  <c r="E142" i="41"/>
  <c r="H142" i="41" s="1"/>
  <c r="F142" i="41"/>
  <c r="G142" i="41"/>
  <c r="D143" i="41"/>
  <c r="E143" i="41"/>
  <c r="H143" i="41" s="1"/>
  <c r="F143" i="41"/>
  <c r="G143" i="41"/>
  <c r="D144" i="41"/>
  <c r="E144" i="41"/>
  <c r="H144" i="41" s="1"/>
  <c r="F144" i="41"/>
  <c r="G144" i="41"/>
  <c r="D145" i="41"/>
  <c r="E145" i="41"/>
  <c r="H145" i="41" s="1"/>
  <c r="F145" i="41"/>
  <c r="G145" i="41"/>
  <c r="D146" i="41"/>
  <c r="E146" i="41"/>
  <c r="H146" i="41" s="1"/>
  <c r="F146" i="41"/>
  <c r="G146" i="41"/>
  <c r="D147" i="41"/>
  <c r="E147" i="41"/>
  <c r="H147" i="41" s="1"/>
  <c r="F147" i="41"/>
  <c r="G147" i="41"/>
  <c r="D148" i="41"/>
  <c r="E148" i="41"/>
  <c r="H148" i="41" s="1"/>
  <c r="F148" i="41"/>
  <c r="G148" i="41"/>
  <c r="D149" i="41"/>
  <c r="E149" i="41"/>
  <c r="H149" i="41" s="1"/>
  <c r="F149" i="41"/>
  <c r="G149" i="41"/>
  <c r="D150" i="41"/>
  <c r="E150" i="41"/>
  <c r="H150" i="41" s="1"/>
  <c r="F150" i="41"/>
  <c r="G150" i="41"/>
  <c r="D151" i="41"/>
  <c r="E151" i="41"/>
  <c r="H151" i="41" s="1"/>
  <c r="F151" i="41"/>
  <c r="G151" i="41"/>
  <c r="D152" i="41"/>
  <c r="E152" i="41"/>
  <c r="H152" i="41" s="1"/>
  <c r="F152" i="41"/>
  <c r="G152" i="41"/>
  <c r="D153" i="41"/>
  <c r="E153" i="41"/>
  <c r="H153" i="41" s="1"/>
  <c r="F153" i="41"/>
  <c r="G153" i="41"/>
  <c r="D154" i="41"/>
  <c r="E154" i="41"/>
  <c r="H154" i="41" s="1"/>
  <c r="F154" i="41"/>
  <c r="G154" i="41"/>
  <c r="D155" i="41"/>
  <c r="E155" i="41"/>
  <c r="H155" i="41" s="1"/>
  <c r="F155" i="41"/>
  <c r="G155" i="41"/>
  <c r="D156" i="41"/>
  <c r="E156" i="41"/>
  <c r="H156" i="41" s="1"/>
  <c r="F156" i="41"/>
  <c r="G156" i="41"/>
  <c r="D157" i="41"/>
  <c r="E157" i="41"/>
  <c r="H157" i="41" s="1"/>
  <c r="F157" i="41"/>
  <c r="G157" i="41"/>
  <c r="D158" i="41"/>
  <c r="E158" i="41"/>
  <c r="H158" i="41" s="1"/>
  <c r="F158" i="41"/>
  <c r="G158" i="41"/>
  <c r="D159" i="41"/>
  <c r="E159" i="41"/>
  <c r="H159" i="41" s="1"/>
  <c r="F159" i="41"/>
  <c r="G159" i="41"/>
  <c r="D160" i="41"/>
  <c r="E160" i="41"/>
  <c r="H160" i="41" s="1"/>
  <c r="F160" i="41"/>
  <c r="G160" i="41"/>
  <c r="D161" i="41"/>
  <c r="E161" i="41"/>
  <c r="H161" i="41" s="1"/>
  <c r="F161" i="41"/>
  <c r="G161" i="41"/>
  <c r="D162" i="41"/>
  <c r="E162" i="41"/>
  <c r="H162" i="41" s="1"/>
  <c r="F162" i="41"/>
  <c r="G162" i="41"/>
  <c r="D163" i="41"/>
  <c r="E163" i="41"/>
  <c r="H163" i="41" s="1"/>
  <c r="F163" i="41"/>
  <c r="G163" i="41"/>
  <c r="D164" i="41"/>
  <c r="E164" i="41"/>
  <c r="H164" i="41" s="1"/>
  <c r="F164" i="41"/>
  <c r="G164" i="41"/>
  <c r="D165" i="41"/>
  <c r="E165" i="41"/>
  <c r="H165" i="41" s="1"/>
  <c r="F165" i="41"/>
  <c r="G165" i="41"/>
  <c r="D166" i="41"/>
  <c r="E166" i="41"/>
  <c r="H166" i="41" s="1"/>
  <c r="F166" i="41"/>
  <c r="G166" i="41"/>
  <c r="D167" i="41"/>
  <c r="E167" i="41"/>
  <c r="H167" i="41" s="1"/>
  <c r="F167" i="41"/>
  <c r="G167" i="41"/>
  <c r="D168" i="41"/>
  <c r="E168" i="41"/>
  <c r="H168" i="41" s="1"/>
  <c r="F168" i="41"/>
  <c r="G168" i="41"/>
  <c r="D169" i="41"/>
  <c r="E169" i="41"/>
  <c r="H169" i="41" s="1"/>
  <c r="F169" i="41"/>
  <c r="G169" i="41"/>
  <c r="D170" i="41"/>
  <c r="E170" i="41"/>
  <c r="H170" i="41" s="1"/>
  <c r="F170" i="41"/>
  <c r="G170" i="41"/>
  <c r="D171" i="41"/>
  <c r="E171" i="41"/>
  <c r="H171" i="41" s="1"/>
  <c r="F171" i="41"/>
  <c r="G171" i="41"/>
  <c r="D172" i="41"/>
  <c r="E172" i="41"/>
  <c r="H172" i="41" s="1"/>
  <c r="F172" i="41"/>
  <c r="G172" i="41"/>
  <c r="D173" i="41"/>
  <c r="E173" i="41"/>
  <c r="H173" i="41" s="1"/>
  <c r="F173" i="41"/>
  <c r="G173" i="41"/>
  <c r="D174" i="41"/>
  <c r="E174" i="41"/>
  <c r="H174" i="41" s="1"/>
  <c r="F174" i="41"/>
  <c r="G174" i="41"/>
  <c r="D175" i="41"/>
  <c r="E175" i="41"/>
  <c r="H175" i="41" s="1"/>
  <c r="F175" i="41"/>
  <c r="G175" i="41"/>
  <c r="D176" i="41"/>
  <c r="E176" i="41"/>
  <c r="H176" i="41" s="1"/>
  <c r="F176" i="41"/>
  <c r="G176" i="41"/>
  <c r="D177" i="41"/>
  <c r="E177" i="41"/>
  <c r="H177" i="41" s="1"/>
  <c r="F177" i="41"/>
  <c r="G177" i="41"/>
  <c r="D178" i="41"/>
  <c r="E178" i="41"/>
  <c r="H178" i="41" s="1"/>
  <c r="F178" i="41"/>
  <c r="G178" i="41"/>
  <c r="L73" i="41"/>
  <c r="M73" i="41"/>
  <c r="P73" i="41" s="1"/>
  <c r="N73" i="41"/>
  <c r="O73" i="41"/>
  <c r="L74" i="41"/>
  <c r="M74" i="41"/>
  <c r="P74" i="41" s="1"/>
  <c r="N74" i="41"/>
  <c r="O74" i="41"/>
  <c r="L75" i="41"/>
  <c r="M75" i="41"/>
  <c r="P75" i="41" s="1"/>
  <c r="N75" i="41"/>
  <c r="O75" i="41"/>
  <c r="L76" i="41"/>
  <c r="M76" i="41"/>
  <c r="P76" i="41" s="1"/>
  <c r="N76" i="41"/>
  <c r="O76" i="41"/>
  <c r="L77" i="41"/>
  <c r="M77" i="41"/>
  <c r="P77" i="41" s="1"/>
  <c r="N77" i="41"/>
  <c r="O77" i="41"/>
  <c r="L78" i="41"/>
  <c r="M78" i="41"/>
  <c r="P78" i="41" s="1"/>
  <c r="N78" i="41"/>
  <c r="O78" i="41"/>
  <c r="L79" i="41"/>
  <c r="M79" i="41"/>
  <c r="P79" i="41" s="1"/>
  <c r="N79" i="41"/>
  <c r="O79" i="41"/>
  <c r="L80" i="41"/>
  <c r="M80" i="41"/>
  <c r="P80" i="41" s="1"/>
  <c r="N80" i="41"/>
  <c r="O80" i="41"/>
  <c r="L81" i="41"/>
  <c r="M81" i="41"/>
  <c r="P81" i="41" s="1"/>
  <c r="N81" i="41"/>
  <c r="O81" i="41"/>
  <c r="L82" i="41"/>
  <c r="M82" i="41"/>
  <c r="P82" i="41" s="1"/>
  <c r="N82" i="41"/>
  <c r="O82" i="41"/>
  <c r="L83" i="41"/>
  <c r="M83" i="41"/>
  <c r="P83" i="41" s="1"/>
  <c r="N83" i="41"/>
  <c r="O83" i="41"/>
  <c r="L84" i="41"/>
  <c r="M84" i="41"/>
  <c r="P84" i="41" s="1"/>
  <c r="N84" i="41"/>
  <c r="O84" i="41"/>
  <c r="L85" i="41"/>
  <c r="M85" i="41"/>
  <c r="P85" i="41" s="1"/>
  <c r="N85" i="41"/>
  <c r="O85" i="41"/>
  <c r="L86" i="41"/>
  <c r="M86" i="41"/>
  <c r="P86" i="41" s="1"/>
  <c r="N86" i="41"/>
  <c r="O86" i="41"/>
  <c r="L87" i="41"/>
  <c r="M87" i="41"/>
  <c r="P87" i="41" s="1"/>
  <c r="N87" i="41"/>
  <c r="O87" i="41"/>
  <c r="L88" i="41"/>
  <c r="M88" i="41"/>
  <c r="P88" i="41" s="1"/>
  <c r="N88" i="41"/>
  <c r="O88" i="41"/>
  <c r="L89" i="41"/>
  <c r="M89" i="41"/>
  <c r="P89" i="41" s="1"/>
  <c r="N89" i="41"/>
  <c r="O89" i="41"/>
  <c r="L90" i="41"/>
  <c r="M90" i="41"/>
  <c r="P90" i="41" s="1"/>
  <c r="N90" i="41"/>
  <c r="O90" i="41"/>
  <c r="L91" i="41"/>
  <c r="M91" i="41"/>
  <c r="P91" i="41" s="1"/>
  <c r="N91" i="41"/>
  <c r="O91" i="41"/>
  <c r="L92" i="41"/>
  <c r="M92" i="41"/>
  <c r="P92" i="41" s="1"/>
  <c r="N92" i="41"/>
  <c r="O92" i="41"/>
  <c r="L93" i="41"/>
  <c r="M93" i="41"/>
  <c r="P93" i="41" s="1"/>
  <c r="N93" i="41"/>
  <c r="O93" i="41"/>
  <c r="L94" i="41"/>
  <c r="M94" i="41"/>
  <c r="P94" i="41" s="1"/>
  <c r="N94" i="41"/>
  <c r="O94" i="41"/>
  <c r="L95" i="41"/>
  <c r="M95" i="41"/>
  <c r="P95" i="41" s="1"/>
  <c r="N95" i="41"/>
  <c r="O95" i="41"/>
  <c r="L96" i="41"/>
  <c r="M96" i="41"/>
  <c r="P96" i="41" s="1"/>
  <c r="N96" i="41"/>
  <c r="O96" i="41"/>
  <c r="L97" i="41"/>
  <c r="M97" i="41"/>
  <c r="P97" i="41" s="1"/>
  <c r="N97" i="41"/>
  <c r="O97" i="41"/>
  <c r="L98" i="41"/>
  <c r="M98" i="41"/>
  <c r="P98" i="41" s="1"/>
  <c r="N98" i="41"/>
  <c r="O98" i="41"/>
  <c r="L99" i="41"/>
  <c r="M99" i="41"/>
  <c r="P99" i="41" s="1"/>
  <c r="N99" i="41"/>
  <c r="O99" i="41"/>
  <c r="L100" i="41"/>
  <c r="M100" i="41"/>
  <c r="P100" i="41" s="1"/>
  <c r="N100" i="41"/>
  <c r="O100" i="41"/>
  <c r="L101" i="41"/>
  <c r="M101" i="41"/>
  <c r="P101" i="41" s="1"/>
  <c r="N101" i="41"/>
  <c r="O101" i="41"/>
  <c r="L102" i="41"/>
  <c r="M102" i="41"/>
  <c r="P102" i="41" s="1"/>
  <c r="N102" i="41"/>
  <c r="O102" i="41"/>
  <c r="L103" i="41"/>
  <c r="M103" i="41"/>
  <c r="P103" i="41" s="1"/>
  <c r="N103" i="41"/>
  <c r="O103" i="41"/>
  <c r="L104" i="41"/>
  <c r="M104" i="41"/>
  <c r="P104" i="41" s="1"/>
  <c r="N104" i="41"/>
  <c r="O104" i="41"/>
  <c r="L105" i="41"/>
  <c r="M105" i="41"/>
  <c r="P105" i="41" s="1"/>
  <c r="N105" i="41"/>
  <c r="O105" i="41"/>
  <c r="L106" i="41"/>
  <c r="M106" i="41"/>
  <c r="P106" i="41" s="1"/>
  <c r="N106" i="41"/>
  <c r="O106" i="41"/>
  <c r="L107" i="41"/>
  <c r="M107" i="41"/>
  <c r="P107" i="41" s="1"/>
  <c r="N107" i="41"/>
  <c r="O107" i="41"/>
  <c r="L108" i="41"/>
  <c r="M108" i="41"/>
  <c r="P108" i="41" s="1"/>
  <c r="N108" i="41"/>
  <c r="O108" i="41"/>
  <c r="L109" i="41"/>
  <c r="M109" i="41"/>
  <c r="P109" i="41" s="1"/>
  <c r="N109" i="41"/>
  <c r="O109" i="41"/>
  <c r="L110" i="41"/>
  <c r="M110" i="41"/>
  <c r="P110" i="41" s="1"/>
  <c r="N110" i="41"/>
  <c r="O110" i="41"/>
  <c r="L111" i="41"/>
  <c r="M111" i="41"/>
  <c r="P111" i="41" s="1"/>
  <c r="N111" i="41"/>
  <c r="O111" i="41"/>
  <c r="L112" i="41"/>
  <c r="M112" i="41"/>
  <c r="P112" i="41" s="1"/>
  <c r="N112" i="41"/>
  <c r="O112" i="41"/>
  <c r="L113" i="41"/>
  <c r="M113" i="41"/>
  <c r="P113" i="41" s="1"/>
  <c r="N113" i="41"/>
  <c r="O113" i="41"/>
  <c r="L114" i="41"/>
  <c r="M114" i="41"/>
  <c r="P114" i="41" s="1"/>
  <c r="N114" i="41"/>
  <c r="O114" i="41"/>
  <c r="L115" i="41"/>
  <c r="M115" i="41"/>
  <c r="P115" i="41" s="1"/>
  <c r="N115" i="41"/>
  <c r="O115" i="41"/>
  <c r="L116" i="41"/>
  <c r="M116" i="41"/>
  <c r="P116" i="41" s="1"/>
  <c r="N116" i="41"/>
  <c r="O116" i="41"/>
  <c r="L117" i="41"/>
  <c r="M117" i="41"/>
  <c r="P117" i="41" s="1"/>
  <c r="N117" i="41"/>
  <c r="O117" i="41"/>
  <c r="L118" i="41"/>
  <c r="M118" i="41"/>
  <c r="P118" i="41" s="1"/>
  <c r="N118" i="41"/>
  <c r="O118" i="41"/>
  <c r="L119" i="41"/>
  <c r="M119" i="41"/>
  <c r="N119" i="41"/>
  <c r="O119" i="41"/>
  <c r="D73" i="41"/>
  <c r="E73" i="41"/>
  <c r="H73" i="41" s="1"/>
  <c r="F73" i="41"/>
  <c r="G73" i="41"/>
  <c r="D74" i="41"/>
  <c r="E74" i="41"/>
  <c r="H74" i="41" s="1"/>
  <c r="F74" i="41"/>
  <c r="G74" i="41"/>
  <c r="D75" i="41"/>
  <c r="E75" i="41"/>
  <c r="H75" i="41" s="1"/>
  <c r="F75" i="41"/>
  <c r="G75" i="41"/>
  <c r="D76" i="41"/>
  <c r="E76" i="41"/>
  <c r="H76" i="41" s="1"/>
  <c r="F76" i="41"/>
  <c r="G76" i="41"/>
  <c r="D77" i="41"/>
  <c r="E77" i="41"/>
  <c r="H77" i="41" s="1"/>
  <c r="F77" i="41"/>
  <c r="G77" i="41"/>
  <c r="D78" i="41"/>
  <c r="E78" i="41"/>
  <c r="H78" i="41" s="1"/>
  <c r="F78" i="41"/>
  <c r="G78" i="41"/>
  <c r="D79" i="41"/>
  <c r="E79" i="41"/>
  <c r="H79" i="41" s="1"/>
  <c r="F79" i="41"/>
  <c r="G79" i="41"/>
  <c r="D80" i="41"/>
  <c r="E80" i="41"/>
  <c r="H80" i="41" s="1"/>
  <c r="F80" i="41"/>
  <c r="G80" i="41"/>
  <c r="D81" i="41"/>
  <c r="E81" i="41"/>
  <c r="H81" i="41" s="1"/>
  <c r="F81" i="41"/>
  <c r="G81" i="41"/>
  <c r="D82" i="41"/>
  <c r="E82" i="41"/>
  <c r="H82" i="41" s="1"/>
  <c r="F82" i="41"/>
  <c r="G82" i="41"/>
  <c r="D83" i="41"/>
  <c r="E83" i="41"/>
  <c r="H83" i="41" s="1"/>
  <c r="F83" i="41"/>
  <c r="G83" i="41"/>
  <c r="D84" i="41"/>
  <c r="E84" i="41"/>
  <c r="H84" i="41" s="1"/>
  <c r="F84" i="41"/>
  <c r="G84" i="41"/>
  <c r="D85" i="41"/>
  <c r="E85" i="41"/>
  <c r="H85" i="41" s="1"/>
  <c r="F85" i="41"/>
  <c r="G85" i="41"/>
  <c r="D86" i="41"/>
  <c r="E86" i="41"/>
  <c r="H86" i="41" s="1"/>
  <c r="F86" i="41"/>
  <c r="G86" i="41"/>
  <c r="D87" i="41"/>
  <c r="E87" i="41"/>
  <c r="H87" i="41" s="1"/>
  <c r="F87" i="41"/>
  <c r="G87" i="41"/>
  <c r="D88" i="41"/>
  <c r="E88" i="41"/>
  <c r="H88" i="41" s="1"/>
  <c r="F88" i="41"/>
  <c r="G88" i="41"/>
  <c r="D89" i="41"/>
  <c r="E89" i="41"/>
  <c r="H89" i="41" s="1"/>
  <c r="F89" i="41"/>
  <c r="G89" i="41"/>
  <c r="D90" i="41"/>
  <c r="E90" i="41"/>
  <c r="H90" i="41" s="1"/>
  <c r="F90" i="41"/>
  <c r="G90" i="41"/>
  <c r="D91" i="41"/>
  <c r="E91" i="41"/>
  <c r="H91" i="41" s="1"/>
  <c r="F91" i="41"/>
  <c r="G91" i="41"/>
  <c r="D92" i="41"/>
  <c r="E92" i="41"/>
  <c r="H92" i="41" s="1"/>
  <c r="F92" i="41"/>
  <c r="G92" i="41"/>
  <c r="D93" i="41"/>
  <c r="E93" i="41"/>
  <c r="H93" i="41" s="1"/>
  <c r="F93" i="41"/>
  <c r="G93" i="41"/>
  <c r="D94" i="41"/>
  <c r="E94" i="41"/>
  <c r="H94" i="41" s="1"/>
  <c r="F94" i="41"/>
  <c r="G94" i="41"/>
  <c r="D95" i="41"/>
  <c r="E95" i="41"/>
  <c r="H95" i="41" s="1"/>
  <c r="F95" i="41"/>
  <c r="G95" i="41"/>
  <c r="D96" i="41"/>
  <c r="E96" i="41"/>
  <c r="H96" i="41" s="1"/>
  <c r="F96" i="41"/>
  <c r="G96" i="41"/>
  <c r="D97" i="41"/>
  <c r="E97" i="41"/>
  <c r="H97" i="41" s="1"/>
  <c r="F97" i="41"/>
  <c r="G97" i="41"/>
  <c r="D98" i="41"/>
  <c r="E98" i="41"/>
  <c r="H98" i="41" s="1"/>
  <c r="F98" i="41"/>
  <c r="G98" i="41"/>
  <c r="D99" i="41"/>
  <c r="E99" i="41"/>
  <c r="H99" i="41" s="1"/>
  <c r="F99" i="41"/>
  <c r="G99" i="41"/>
  <c r="D100" i="41"/>
  <c r="E100" i="41"/>
  <c r="H100" i="41" s="1"/>
  <c r="F100" i="41"/>
  <c r="G100" i="41"/>
  <c r="D101" i="41"/>
  <c r="E101" i="41"/>
  <c r="H101" i="41" s="1"/>
  <c r="F101" i="41"/>
  <c r="G101" i="41"/>
  <c r="D102" i="41"/>
  <c r="E102" i="41"/>
  <c r="H102" i="41" s="1"/>
  <c r="F102" i="41"/>
  <c r="G102" i="41"/>
  <c r="D103" i="41"/>
  <c r="E103" i="41"/>
  <c r="H103" i="41" s="1"/>
  <c r="F103" i="41"/>
  <c r="G103" i="41"/>
  <c r="D104" i="41"/>
  <c r="E104" i="41"/>
  <c r="H104" i="41" s="1"/>
  <c r="F104" i="41"/>
  <c r="G104" i="41"/>
  <c r="D105" i="41"/>
  <c r="E105" i="41"/>
  <c r="H105" i="41" s="1"/>
  <c r="F105" i="41"/>
  <c r="G105" i="41"/>
  <c r="D106" i="41"/>
  <c r="E106" i="41"/>
  <c r="H106" i="41" s="1"/>
  <c r="F106" i="41"/>
  <c r="G106" i="41"/>
  <c r="D107" i="41"/>
  <c r="E107" i="41"/>
  <c r="H107" i="41" s="1"/>
  <c r="F107" i="41"/>
  <c r="G107" i="41"/>
  <c r="D108" i="41"/>
  <c r="E108" i="41"/>
  <c r="H108" i="41" s="1"/>
  <c r="F108" i="41"/>
  <c r="G108" i="41"/>
  <c r="D109" i="41"/>
  <c r="E109" i="41"/>
  <c r="H109" i="41" s="1"/>
  <c r="F109" i="41"/>
  <c r="G109" i="41"/>
  <c r="D110" i="41"/>
  <c r="E110" i="41"/>
  <c r="H110" i="41" s="1"/>
  <c r="F110" i="41"/>
  <c r="G110" i="41"/>
  <c r="D111" i="41"/>
  <c r="E111" i="41"/>
  <c r="H111" i="41" s="1"/>
  <c r="F111" i="41"/>
  <c r="G111" i="41"/>
  <c r="D112" i="41"/>
  <c r="E112" i="41"/>
  <c r="H112" i="41" s="1"/>
  <c r="F112" i="41"/>
  <c r="G112" i="41"/>
  <c r="D113" i="41"/>
  <c r="E113" i="41"/>
  <c r="H113" i="41" s="1"/>
  <c r="F113" i="41"/>
  <c r="G113" i="41"/>
  <c r="D114" i="41"/>
  <c r="E114" i="41"/>
  <c r="H114" i="41" s="1"/>
  <c r="F114" i="41"/>
  <c r="G114" i="41"/>
  <c r="D115" i="41"/>
  <c r="E115" i="41"/>
  <c r="H115" i="41" s="1"/>
  <c r="F115" i="41"/>
  <c r="G115" i="41"/>
  <c r="D116" i="41"/>
  <c r="E116" i="41"/>
  <c r="H116" i="41" s="1"/>
  <c r="F116" i="41"/>
  <c r="G116" i="41"/>
  <c r="D117" i="41"/>
  <c r="E117" i="41"/>
  <c r="H117" i="41" s="1"/>
  <c r="F117" i="41"/>
  <c r="G117" i="41"/>
  <c r="D118" i="41"/>
  <c r="E118" i="41"/>
  <c r="H118" i="41" s="1"/>
  <c r="F118" i="41"/>
  <c r="G118" i="41"/>
  <c r="L13" i="41"/>
  <c r="M13" i="41"/>
  <c r="P13" i="41" s="1"/>
  <c r="N13" i="41"/>
  <c r="O13" i="41"/>
  <c r="L14" i="41"/>
  <c r="M14" i="41"/>
  <c r="P14" i="41" s="1"/>
  <c r="N14" i="41"/>
  <c r="O14" i="41"/>
  <c r="L15" i="41"/>
  <c r="M15" i="41"/>
  <c r="P15" i="41" s="1"/>
  <c r="N15" i="41"/>
  <c r="O15" i="41"/>
  <c r="L16" i="41"/>
  <c r="M16" i="41"/>
  <c r="P16" i="41" s="1"/>
  <c r="N16" i="41"/>
  <c r="O16" i="41"/>
  <c r="L17" i="41"/>
  <c r="M17" i="41"/>
  <c r="P17" i="41" s="1"/>
  <c r="N17" i="41"/>
  <c r="O17" i="41"/>
  <c r="L18" i="41"/>
  <c r="M18" i="41"/>
  <c r="P18" i="41" s="1"/>
  <c r="N18" i="41"/>
  <c r="O18" i="41"/>
  <c r="L19" i="41"/>
  <c r="M19" i="41"/>
  <c r="P19" i="41" s="1"/>
  <c r="N19" i="41"/>
  <c r="O19" i="41"/>
  <c r="L20" i="41"/>
  <c r="M20" i="41"/>
  <c r="P20" i="41" s="1"/>
  <c r="N20" i="41"/>
  <c r="O20" i="41"/>
  <c r="L21" i="41"/>
  <c r="M21" i="41"/>
  <c r="P21" i="41" s="1"/>
  <c r="N21" i="41"/>
  <c r="O21" i="41"/>
  <c r="L22" i="41"/>
  <c r="M22" i="41"/>
  <c r="P22" i="41" s="1"/>
  <c r="N22" i="41"/>
  <c r="O22" i="41"/>
  <c r="L23" i="41"/>
  <c r="M23" i="41"/>
  <c r="P23" i="41" s="1"/>
  <c r="N23" i="41"/>
  <c r="O23" i="41"/>
  <c r="L24" i="41"/>
  <c r="M24" i="41"/>
  <c r="P24" i="41" s="1"/>
  <c r="N24" i="41"/>
  <c r="O24" i="41"/>
  <c r="L25" i="41"/>
  <c r="M25" i="41"/>
  <c r="P25" i="41" s="1"/>
  <c r="N25" i="41"/>
  <c r="O25" i="41"/>
  <c r="L26" i="41"/>
  <c r="M26" i="41"/>
  <c r="P26" i="41" s="1"/>
  <c r="N26" i="41"/>
  <c r="O26" i="41"/>
  <c r="L27" i="41"/>
  <c r="M27" i="41"/>
  <c r="P27" i="41" s="1"/>
  <c r="N27" i="41"/>
  <c r="O27" i="41"/>
  <c r="L28" i="41"/>
  <c r="M28" i="41"/>
  <c r="P28" i="41" s="1"/>
  <c r="N28" i="41"/>
  <c r="O28" i="41"/>
  <c r="L29" i="41"/>
  <c r="M29" i="41"/>
  <c r="P29" i="41" s="1"/>
  <c r="N29" i="41"/>
  <c r="O29" i="41"/>
  <c r="L30" i="41"/>
  <c r="M30" i="41"/>
  <c r="P30" i="41" s="1"/>
  <c r="N30" i="41"/>
  <c r="O30" i="41"/>
  <c r="L31" i="41"/>
  <c r="M31" i="41"/>
  <c r="P31" i="41" s="1"/>
  <c r="N31" i="41"/>
  <c r="O31" i="41"/>
  <c r="L32" i="41"/>
  <c r="M32" i="41"/>
  <c r="P32" i="41" s="1"/>
  <c r="N32" i="41"/>
  <c r="O32" i="41"/>
  <c r="L33" i="41"/>
  <c r="M33" i="41"/>
  <c r="P33" i="41" s="1"/>
  <c r="N33" i="41"/>
  <c r="O33" i="41"/>
  <c r="L34" i="41"/>
  <c r="M34" i="41"/>
  <c r="P34" i="41" s="1"/>
  <c r="N34" i="41"/>
  <c r="O34" i="41"/>
  <c r="L35" i="41"/>
  <c r="M35" i="41"/>
  <c r="P35" i="41" s="1"/>
  <c r="N35" i="41"/>
  <c r="O35" i="41"/>
  <c r="L36" i="41"/>
  <c r="M36" i="41"/>
  <c r="P36" i="41" s="1"/>
  <c r="N36" i="41"/>
  <c r="O36" i="41"/>
  <c r="L37" i="41"/>
  <c r="M37" i="41"/>
  <c r="P37" i="41" s="1"/>
  <c r="N37" i="41"/>
  <c r="O37" i="41"/>
  <c r="L38" i="41"/>
  <c r="M38" i="41"/>
  <c r="P38" i="41" s="1"/>
  <c r="N38" i="41"/>
  <c r="O38" i="41"/>
  <c r="L39" i="41"/>
  <c r="M39" i="41"/>
  <c r="P39" i="41" s="1"/>
  <c r="N39" i="41"/>
  <c r="O39" i="41"/>
  <c r="L40" i="41"/>
  <c r="M40" i="41"/>
  <c r="P40" i="41" s="1"/>
  <c r="N40" i="41"/>
  <c r="O40" i="41"/>
  <c r="L41" i="41"/>
  <c r="M41" i="41"/>
  <c r="P41" i="41" s="1"/>
  <c r="N41" i="41"/>
  <c r="O41" i="41"/>
  <c r="L42" i="41"/>
  <c r="M42" i="41"/>
  <c r="P42" i="41" s="1"/>
  <c r="N42" i="41"/>
  <c r="O42" i="41"/>
  <c r="L43" i="41"/>
  <c r="M43" i="41"/>
  <c r="P43" i="41" s="1"/>
  <c r="N43" i="41"/>
  <c r="O43" i="41"/>
  <c r="L44" i="41"/>
  <c r="M44" i="41"/>
  <c r="P44" i="41" s="1"/>
  <c r="N44" i="41"/>
  <c r="O44" i="41"/>
  <c r="L45" i="41"/>
  <c r="M45" i="41"/>
  <c r="P45" i="41" s="1"/>
  <c r="N45" i="41"/>
  <c r="O45" i="41"/>
  <c r="L46" i="41"/>
  <c r="M46" i="41"/>
  <c r="P46" i="41" s="1"/>
  <c r="N46" i="41"/>
  <c r="O46" i="41"/>
  <c r="L47" i="41"/>
  <c r="M47" i="41"/>
  <c r="P47" i="41" s="1"/>
  <c r="N47" i="41"/>
  <c r="O47" i="41"/>
  <c r="L48" i="41"/>
  <c r="M48" i="41"/>
  <c r="P48" i="41" s="1"/>
  <c r="N48" i="41"/>
  <c r="O48" i="41"/>
  <c r="L49" i="41"/>
  <c r="M49" i="41"/>
  <c r="P49" i="41" s="1"/>
  <c r="N49" i="41"/>
  <c r="O49" i="41"/>
  <c r="L50" i="41"/>
  <c r="M50" i="41"/>
  <c r="P50" i="41" s="1"/>
  <c r="N50" i="41"/>
  <c r="O50" i="41"/>
  <c r="L51" i="41"/>
  <c r="M51" i="41"/>
  <c r="P51" i="41" s="1"/>
  <c r="N51" i="41"/>
  <c r="O51" i="41"/>
  <c r="L52" i="41"/>
  <c r="M52" i="41"/>
  <c r="P52" i="41" s="1"/>
  <c r="N52" i="41"/>
  <c r="O52" i="41"/>
  <c r="L53" i="41"/>
  <c r="M53" i="41"/>
  <c r="P53" i="41" s="1"/>
  <c r="N53" i="41"/>
  <c r="O53" i="41"/>
  <c r="L54" i="41"/>
  <c r="M54" i="41"/>
  <c r="P54" i="41" s="1"/>
  <c r="N54" i="41"/>
  <c r="O54" i="41"/>
  <c r="L55" i="41"/>
  <c r="M55" i="41"/>
  <c r="P55" i="41" s="1"/>
  <c r="N55" i="41"/>
  <c r="O55" i="41"/>
  <c r="L56" i="41"/>
  <c r="M56" i="41"/>
  <c r="P56" i="41" s="1"/>
  <c r="N56" i="41"/>
  <c r="O56" i="41"/>
  <c r="L57" i="41"/>
  <c r="M57" i="41"/>
  <c r="P57" i="41" s="1"/>
  <c r="N57" i="41"/>
  <c r="O57" i="41"/>
  <c r="L58" i="41"/>
  <c r="M58" i="41"/>
  <c r="P58" i="41" s="1"/>
  <c r="N58" i="41"/>
  <c r="O58" i="41"/>
  <c r="D13" i="41"/>
  <c r="E13" i="41"/>
  <c r="H13" i="41" s="1"/>
  <c r="F13" i="41"/>
  <c r="G13" i="41"/>
  <c r="D14" i="41"/>
  <c r="E14" i="41"/>
  <c r="H14" i="41" s="1"/>
  <c r="F14" i="41"/>
  <c r="G14" i="41"/>
  <c r="D15" i="41"/>
  <c r="E15" i="41"/>
  <c r="H15" i="41" s="1"/>
  <c r="F15" i="41"/>
  <c r="G15" i="41"/>
  <c r="D16" i="41"/>
  <c r="E16" i="41"/>
  <c r="H16" i="41" s="1"/>
  <c r="F16" i="41"/>
  <c r="G16" i="41"/>
  <c r="D17" i="41"/>
  <c r="E17" i="41"/>
  <c r="H17" i="41" s="1"/>
  <c r="F17" i="41"/>
  <c r="G17" i="41"/>
  <c r="D18" i="41"/>
  <c r="E18" i="41"/>
  <c r="H18" i="41" s="1"/>
  <c r="F18" i="41"/>
  <c r="G18" i="41"/>
  <c r="D19" i="41"/>
  <c r="E19" i="41"/>
  <c r="H19" i="41" s="1"/>
  <c r="F19" i="41"/>
  <c r="G19" i="41"/>
  <c r="D20" i="41"/>
  <c r="E20" i="41"/>
  <c r="H20" i="41" s="1"/>
  <c r="F20" i="41"/>
  <c r="G20" i="41"/>
  <c r="D21" i="41"/>
  <c r="E21" i="41"/>
  <c r="H21" i="41" s="1"/>
  <c r="F21" i="41"/>
  <c r="G21" i="41"/>
  <c r="D22" i="41"/>
  <c r="E22" i="41"/>
  <c r="H22" i="41" s="1"/>
  <c r="F22" i="41"/>
  <c r="G22" i="41"/>
  <c r="D23" i="41"/>
  <c r="E23" i="41"/>
  <c r="H23" i="41" s="1"/>
  <c r="F23" i="41"/>
  <c r="G23" i="41"/>
  <c r="D24" i="41"/>
  <c r="E24" i="41"/>
  <c r="H24" i="41" s="1"/>
  <c r="F24" i="41"/>
  <c r="G24" i="41"/>
  <c r="D25" i="41"/>
  <c r="E25" i="41"/>
  <c r="H25" i="41" s="1"/>
  <c r="F25" i="41"/>
  <c r="G25" i="41"/>
  <c r="D26" i="41"/>
  <c r="E26" i="41"/>
  <c r="H26" i="41" s="1"/>
  <c r="F26" i="41"/>
  <c r="G26" i="41"/>
  <c r="D27" i="41"/>
  <c r="E27" i="41"/>
  <c r="H27" i="41" s="1"/>
  <c r="F27" i="41"/>
  <c r="G27" i="41"/>
  <c r="D28" i="41"/>
  <c r="E28" i="41"/>
  <c r="H28" i="41" s="1"/>
  <c r="F28" i="41"/>
  <c r="G28" i="41"/>
  <c r="D29" i="41"/>
  <c r="E29" i="41"/>
  <c r="H29" i="41" s="1"/>
  <c r="F29" i="41"/>
  <c r="G29" i="41"/>
  <c r="D30" i="41"/>
  <c r="E30" i="41"/>
  <c r="H30" i="41" s="1"/>
  <c r="F30" i="41"/>
  <c r="G30" i="41"/>
  <c r="D31" i="41"/>
  <c r="E31" i="41"/>
  <c r="H31" i="41" s="1"/>
  <c r="F31" i="41"/>
  <c r="G31" i="41"/>
  <c r="D32" i="41"/>
  <c r="E32" i="41"/>
  <c r="H32" i="41" s="1"/>
  <c r="F32" i="41"/>
  <c r="G32" i="41"/>
  <c r="D33" i="41"/>
  <c r="E33" i="41"/>
  <c r="H33" i="41" s="1"/>
  <c r="F33" i="41"/>
  <c r="G33" i="41"/>
  <c r="D34" i="41"/>
  <c r="E34" i="41"/>
  <c r="H34" i="41" s="1"/>
  <c r="F34" i="41"/>
  <c r="G34" i="41"/>
  <c r="D35" i="41"/>
  <c r="E35" i="41"/>
  <c r="H35" i="41" s="1"/>
  <c r="F35" i="41"/>
  <c r="G35" i="41"/>
  <c r="D36" i="41"/>
  <c r="E36" i="41"/>
  <c r="H36" i="41" s="1"/>
  <c r="F36" i="41"/>
  <c r="G36" i="41"/>
  <c r="D37" i="41"/>
  <c r="E37" i="41"/>
  <c r="H37" i="41" s="1"/>
  <c r="F37" i="41"/>
  <c r="G37" i="41"/>
  <c r="D38" i="41"/>
  <c r="E38" i="41"/>
  <c r="H38" i="41" s="1"/>
  <c r="F38" i="41"/>
  <c r="G38" i="41"/>
  <c r="D39" i="41"/>
  <c r="E39" i="41"/>
  <c r="H39" i="41" s="1"/>
  <c r="F39" i="41"/>
  <c r="G39" i="41"/>
  <c r="D40" i="41"/>
  <c r="E40" i="41"/>
  <c r="H40" i="41" s="1"/>
  <c r="F40" i="41"/>
  <c r="G40" i="41"/>
  <c r="D41" i="41"/>
  <c r="E41" i="41"/>
  <c r="H41" i="41" s="1"/>
  <c r="F41" i="41"/>
  <c r="G41" i="41"/>
  <c r="D42" i="41"/>
  <c r="E42" i="41"/>
  <c r="H42" i="41" s="1"/>
  <c r="F42" i="41"/>
  <c r="G42" i="41"/>
  <c r="D43" i="41"/>
  <c r="E43" i="41"/>
  <c r="H43" i="41" s="1"/>
  <c r="F43" i="41"/>
  <c r="G43" i="41"/>
  <c r="D44" i="41"/>
  <c r="E44" i="41"/>
  <c r="H44" i="41" s="1"/>
  <c r="F44" i="41"/>
  <c r="G44" i="41"/>
  <c r="D45" i="41"/>
  <c r="E45" i="41"/>
  <c r="H45" i="41" s="1"/>
  <c r="F45" i="41"/>
  <c r="G45" i="41"/>
  <c r="D46" i="41"/>
  <c r="E46" i="41"/>
  <c r="H46" i="41" s="1"/>
  <c r="F46" i="41"/>
  <c r="G46" i="41"/>
  <c r="D47" i="41"/>
  <c r="E47" i="41"/>
  <c r="H47" i="41" s="1"/>
  <c r="F47" i="41"/>
  <c r="G47" i="41"/>
  <c r="D48" i="41"/>
  <c r="E48" i="41"/>
  <c r="H48" i="41" s="1"/>
  <c r="F48" i="41"/>
  <c r="G48" i="41"/>
  <c r="D49" i="41"/>
  <c r="E49" i="41"/>
  <c r="H49" i="41" s="1"/>
  <c r="F49" i="41"/>
  <c r="G49" i="41"/>
  <c r="D50" i="41"/>
  <c r="E50" i="41"/>
  <c r="H50" i="41" s="1"/>
  <c r="F50" i="41"/>
  <c r="G50" i="41"/>
  <c r="D51" i="41"/>
  <c r="E51" i="41"/>
  <c r="H51" i="41" s="1"/>
  <c r="F51" i="41"/>
  <c r="G51" i="41"/>
  <c r="D52" i="41"/>
  <c r="E52" i="41"/>
  <c r="H52" i="41" s="1"/>
  <c r="F52" i="41"/>
  <c r="G52" i="41"/>
  <c r="D53" i="41"/>
  <c r="E53" i="41"/>
  <c r="H53" i="41" s="1"/>
  <c r="F53" i="41"/>
  <c r="G53" i="41"/>
  <c r="D54" i="41"/>
  <c r="E54" i="41"/>
  <c r="H54" i="41" s="1"/>
  <c r="F54" i="41"/>
  <c r="G54" i="41"/>
  <c r="D55" i="41"/>
  <c r="E55" i="41"/>
  <c r="H55" i="41" s="1"/>
  <c r="F55" i="41"/>
  <c r="G55" i="41"/>
  <c r="D56" i="41"/>
  <c r="E56" i="41"/>
  <c r="H56" i="41" s="1"/>
  <c r="F56" i="41"/>
  <c r="G56" i="41"/>
  <c r="D57" i="41"/>
  <c r="E57" i="41"/>
  <c r="H57" i="41" s="1"/>
  <c r="F57" i="41"/>
  <c r="G57" i="41"/>
  <c r="D58" i="41"/>
  <c r="E58" i="41"/>
  <c r="H58" i="41" s="1"/>
  <c r="F58" i="41"/>
  <c r="G58" i="41"/>
  <c r="O132" i="41"/>
  <c r="N132" i="41"/>
  <c r="M132" i="41"/>
  <c r="P132" i="41" s="1"/>
  <c r="L132" i="41"/>
  <c r="G132" i="41"/>
  <c r="F132" i="41"/>
  <c r="E132" i="41"/>
  <c r="H132" i="41" s="1"/>
  <c r="D132" i="41"/>
  <c r="O72" i="41"/>
  <c r="N72" i="41"/>
  <c r="M72" i="41"/>
  <c r="P72" i="41" s="1"/>
  <c r="L72" i="41"/>
  <c r="G72" i="41"/>
  <c r="F72" i="41"/>
  <c r="E72" i="41"/>
  <c r="H72" i="41" s="1"/>
  <c r="D72" i="41"/>
  <c r="O12" i="41"/>
  <c r="N12" i="41"/>
  <c r="M12" i="41"/>
  <c r="P12" i="41" s="1"/>
  <c r="L12" i="41"/>
  <c r="G12" i="41"/>
  <c r="F12" i="41"/>
  <c r="E12" i="41"/>
  <c r="H12" i="41" s="1"/>
  <c r="D12" i="41"/>
  <c r="E7" i="41"/>
  <c r="O179" i="41"/>
  <c r="N179" i="41"/>
  <c r="M179" i="41"/>
  <c r="L179" i="41"/>
  <c r="G179" i="41"/>
  <c r="F179" i="41"/>
  <c r="E179" i="41"/>
  <c r="D179" i="41"/>
  <c r="M129" i="41"/>
  <c r="E129" i="41"/>
  <c r="M128" i="41"/>
  <c r="E128" i="41"/>
  <c r="J127" i="41"/>
  <c r="B127" i="41"/>
  <c r="E119" i="41"/>
  <c r="D119" i="41"/>
  <c r="M69" i="41"/>
  <c r="E69" i="41"/>
  <c r="M68" i="41"/>
  <c r="E68" i="41"/>
  <c r="J67" i="41"/>
  <c r="B67" i="41"/>
  <c r="M59" i="41"/>
  <c r="L59" i="41"/>
  <c r="E59" i="41"/>
  <c r="H59" i="41" s="1"/>
  <c r="D59" i="41"/>
  <c r="M10" i="41"/>
  <c r="E70" i="41" s="1"/>
  <c r="M70" i="41" s="1"/>
  <c r="E130" i="41" s="1"/>
  <c r="M130" i="41" s="1"/>
  <c r="M9" i="41"/>
  <c r="M8" i="41"/>
  <c r="J7" i="41"/>
  <c r="B7" i="41"/>
  <c r="P487" i="44" l="1"/>
  <c r="H67" i="44"/>
  <c r="H187" i="44"/>
  <c r="H307" i="44"/>
  <c r="H427" i="44"/>
  <c r="M247" i="44"/>
  <c r="E307" i="44"/>
  <c r="M7" i="44"/>
  <c r="M367" i="44"/>
  <c r="E67" i="44"/>
  <c r="P127" i="44"/>
  <c r="P247" i="44"/>
  <c r="P367" i="44"/>
  <c r="P7" i="44"/>
  <c r="M67" i="44"/>
  <c r="M187" i="44"/>
  <c r="M307" i="44"/>
  <c r="M427" i="44"/>
  <c r="M127" i="44"/>
  <c r="E187" i="44"/>
  <c r="E427" i="44"/>
  <c r="P67" i="44"/>
  <c r="E127" i="44"/>
  <c r="P187" i="44"/>
  <c r="E247" i="44"/>
  <c r="P307" i="44"/>
  <c r="P427" i="44"/>
  <c r="H127" i="44"/>
  <c r="H247" i="44"/>
  <c r="H367" i="44"/>
  <c r="E67" i="43"/>
  <c r="M127" i="43"/>
  <c r="E127" i="43"/>
  <c r="M7" i="43"/>
  <c r="M67" i="42"/>
  <c r="E127" i="42"/>
  <c r="M127" i="42"/>
  <c r="M7" i="42"/>
  <c r="E67" i="42"/>
  <c r="M7" i="41"/>
  <c r="M127" i="41"/>
  <c r="E67" i="41"/>
  <c r="M67" i="41"/>
  <c r="E127" i="41"/>
  <c r="E487" i="44" l="1"/>
  <c r="M487" i="44"/>
  <c r="M8" i="32"/>
  <c r="G7" i="37" l="1"/>
  <c r="G7" i="36"/>
  <c r="G7" i="31"/>
  <c r="G7" i="35"/>
  <c r="G7" i="34"/>
  <c r="O427" i="15"/>
  <c r="O67" i="34" l="1"/>
  <c r="G67" i="37"/>
  <c r="G67" i="31"/>
  <c r="O67" i="31"/>
  <c r="G67" i="34"/>
  <c r="O67" i="37"/>
  <c r="G127" i="15"/>
  <c r="G367" i="15"/>
  <c r="G127" i="35"/>
  <c r="G127" i="36"/>
  <c r="O7" i="15"/>
  <c r="O247" i="15"/>
  <c r="O127" i="35"/>
  <c r="O7" i="36"/>
  <c r="O67" i="15"/>
  <c r="G187" i="15"/>
  <c r="G307" i="15"/>
  <c r="G427" i="15"/>
  <c r="O127" i="34"/>
  <c r="O67" i="35"/>
  <c r="G127" i="31"/>
  <c r="G67" i="36"/>
  <c r="G127" i="37"/>
  <c r="G247" i="15"/>
  <c r="O127" i="15"/>
  <c r="O367" i="15"/>
  <c r="O7" i="35"/>
  <c r="O127" i="36"/>
  <c r="G67" i="15"/>
  <c r="O187" i="15"/>
  <c r="O307" i="15"/>
  <c r="O7" i="34"/>
  <c r="G127" i="34"/>
  <c r="G67" i="35"/>
  <c r="O7" i="31"/>
  <c r="O127" i="31"/>
  <c r="O67" i="36"/>
  <c r="O7" i="37"/>
  <c r="O127" i="37"/>
  <c r="E7" i="40"/>
  <c r="M7" i="40" s="1"/>
  <c r="N179" i="40"/>
  <c r="F179" i="40"/>
  <c r="N178" i="40"/>
  <c r="F178" i="40"/>
  <c r="N177" i="40"/>
  <c r="F177" i="40"/>
  <c r="N176" i="40"/>
  <c r="F176" i="40"/>
  <c r="N175" i="40"/>
  <c r="F175" i="40"/>
  <c r="N174" i="40"/>
  <c r="F174" i="40"/>
  <c r="N173" i="40"/>
  <c r="F173" i="40"/>
  <c r="N172" i="40"/>
  <c r="F172" i="40"/>
  <c r="N171" i="40"/>
  <c r="F171" i="40"/>
  <c r="N170" i="40"/>
  <c r="F170" i="40"/>
  <c r="N169" i="40"/>
  <c r="F169" i="40"/>
  <c r="N168" i="40"/>
  <c r="F168" i="40"/>
  <c r="N167" i="40"/>
  <c r="F167" i="40"/>
  <c r="N166" i="40"/>
  <c r="F166" i="40"/>
  <c r="N165" i="40"/>
  <c r="F165" i="40"/>
  <c r="N164" i="40"/>
  <c r="F164" i="40"/>
  <c r="N163" i="40"/>
  <c r="F163" i="40"/>
  <c r="N162" i="40"/>
  <c r="F162" i="40"/>
  <c r="N161" i="40"/>
  <c r="F161" i="40"/>
  <c r="N160" i="40"/>
  <c r="F160" i="40"/>
  <c r="N159" i="40"/>
  <c r="F159" i="40"/>
  <c r="N158" i="40"/>
  <c r="F158" i="40"/>
  <c r="N157" i="40"/>
  <c r="F157" i="40"/>
  <c r="N156" i="40"/>
  <c r="F156" i="40"/>
  <c r="N155" i="40"/>
  <c r="F155" i="40"/>
  <c r="N154" i="40"/>
  <c r="F154" i="40"/>
  <c r="N153" i="40"/>
  <c r="F153" i="40"/>
  <c r="N152" i="40"/>
  <c r="F152" i="40"/>
  <c r="N151" i="40"/>
  <c r="F151" i="40"/>
  <c r="N150" i="40"/>
  <c r="F150" i="40"/>
  <c r="N149" i="40"/>
  <c r="F149" i="40"/>
  <c r="N148" i="40"/>
  <c r="F148" i="40"/>
  <c r="N147" i="40"/>
  <c r="F147" i="40"/>
  <c r="N146" i="40"/>
  <c r="F146" i="40"/>
  <c r="N145" i="40"/>
  <c r="F145" i="40"/>
  <c r="N144" i="40"/>
  <c r="F144" i="40"/>
  <c r="N143" i="40"/>
  <c r="F143" i="40"/>
  <c r="N142" i="40"/>
  <c r="F142" i="40"/>
  <c r="N141" i="40"/>
  <c r="F141" i="40"/>
  <c r="N140" i="40"/>
  <c r="F140" i="40"/>
  <c r="N139" i="40"/>
  <c r="F139" i="40"/>
  <c r="N138" i="40"/>
  <c r="F138" i="40"/>
  <c r="N137" i="40"/>
  <c r="F137" i="40"/>
  <c r="N136" i="40"/>
  <c r="F136" i="40"/>
  <c r="N135" i="40"/>
  <c r="F135" i="40"/>
  <c r="N134" i="40"/>
  <c r="F134" i="40"/>
  <c r="N133" i="40"/>
  <c r="F133" i="40"/>
  <c r="N132" i="40"/>
  <c r="F132" i="40"/>
  <c r="N119" i="40"/>
  <c r="F119" i="40"/>
  <c r="N118" i="40"/>
  <c r="F118" i="40"/>
  <c r="N117" i="40"/>
  <c r="F117" i="40"/>
  <c r="N116" i="40"/>
  <c r="F116" i="40"/>
  <c r="N115" i="40"/>
  <c r="F115" i="40"/>
  <c r="N114" i="40"/>
  <c r="F114" i="40"/>
  <c r="N113" i="40"/>
  <c r="F113" i="40"/>
  <c r="N112" i="40"/>
  <c r="F112" i="40"/>
  <c r="N111" i="40"/>
  <c r="F111" i="40"/>
  <c r="N110" i="40"/>
  <c r="F110" i="40"/>
  <c r="N109" i="40"/>
  <c r="F109" i="40"/>
  <c r="N108" i="40"/>
  <c r="F108" i="40"/>
  <c r="N107" i="40"/>
  <c r="F107" i="40"/>
  <c r="N106" i="40"/>
  <c r="F106" i="40"/>
  <c r="N105" i="40"/>
  <c r="F105" i="40"/>
  <c r="N104" i="40"/>
  <c r="F104" i="40"/>
  <c r="N103" i="40"/>
  <c r="F103" i="40"/>
  <c r="N102" i="40"/>
  <c r="F102" i="40"/>
  <c r="N101" i="40"/>
  <c r="F101" i="40"/>
  <c r="N100" i="40"/>
  <c r="F100" i="40"/>
  <c r="N99" i="40"/>
  <c r="F99" i="40"/>
  <c r="N98" i="40"/>
  <c r="F98" i="40"/>
  <c r="N97" i="40"/>
  <c r="F97" i="40"/>
  <c r="N96" i="40"/>
  <c r="F96" i="40"/>
  <c r="N95" i="40"/>
  <c r="F95" i="40"/>
  <c r="N94" i="40"/>
  <c r="F94" i="40"/>
  <c r="N93" i="40"/>
  <c r="F93" i="40"/>
  <c r="N92" i="40"/>
  <c r="F92" i="40"/>
  <c r="N91" i="40"/>
  <c r="F91" i="40"/>
  <c r="N90" i="40"/>
  <c r="F90" i="40"/>
  <c r="N89" i="40"/>
  <c r="F89" i="40"/>
  <c r="N88" i="40"/>
  <c r="F88" i="40"/>
  <c r="N87" i="40"/>
  <c r="F87" i="40"/>
  <c r="N86" i="40"/>
  <c r="F86" i="40"/>
  <c r="N85" i="40"/>
  <c r="F85" i="40"/>
  <c r="N84" i="40"/>
  <c r="F84" i="40"/>
  <c r="N83" i="40"/>
  <c r="F83" i="40"/>
  <c r="N82" i="40"/>
  <c r="F82" i="40"/>
  <c r="N81" i="40"/>
  <c r="F81" i="40"/>
  <c r="N80" i="40"/>
  <c r="F80" i="40"/>
  <c r="N79" i="40"/>
  <c r="F79" i="40"/>
  <c r="N78" i="40"/>
  <c r="F78" i="40"/>
  <c r="N77" i="40"/>
  <c r="F77" i="40"/>
  <c r="N76" i="40"/>
  <c r="F76" i="40"/>
  <c r="N75" i="40"/>
  <c r="F75" i="40"/>
  <c r="N74" i="40"/>
  <c r="F74" i="40"/>
  <c r="N73" i="40"/>
  <c r="F73" i="40"/>
  <c r="N72" i="40"/>
  <c r="F72" i="40"/>
  <c r="N59" i="40"/>
  <c r="F59" i="40"/>
  <c r="N58" i="40"/>
  <c r="F58" i="40"/>
  <c r="N57" i="40"/>
  <c r="F57" i="40"/>
  <c r="N56" i="40"/>
  <c r="F56" i="40"/>
  <c r="N55" i="40"/>
  <c r="F55" i="40"/>
  <c r="N54" i="40"/>
  <c r="F54" i="40"/>
  <c r="N53" i="40"/>
  <c r="F53" i="40"/>
  <c r="N52" i="40"/>
  <c r="F52" i="40"/>
  <c r="N51" i="40"/>
  <c r="F51" i="40"/>
  <c r="N50" i="40"/>
  <c r="F50" i="40"/>
  <c r="N49" i="40"/>
  <c r="F49" i="40"/>
  <c r="N48" i="40"/>
  <c r="F48" i="40"/>
  <c r="N47" i="40"/>
  <c r="F47" i="40"/>
  <c r="N46" i="40"/>
  <c r="F46" i="40"/>
  <c r="N45" i="40"/>
  <c r="F45" i="40"/>
  <c r="N44" i="40"/>
  <c r="F44" i="40"/>
  <c r="N43" i="40"/>
  <c r="F43" i="40"/>
  <c r="N42" i="40"/>
  <c r="F42" i="40"/>
  <c r="N41" i="40"/>
  <c r="F41" i="40"/>
  <c r="N40" i="40"/>
  <c r="F40" i="40"/>
  <c r="N39" i="40"/>
  <c r="F39" i="40"/>
  <c r="N38" i="40"/>
  <c r="F38" i="40"/>
  <c r="N37" i="40"/>
  <c r="F37" i="40"/>
  <c r="N36" i="40"/>
  <c r="F36" i="40"/>
  <c r="N35" i="40"/>
  <c r="F35" i="40"/>
  <c r="N34" i="40"/>
  <c r="F34" i="40"/>
  <c r="N33" i="40"/>
  <c r="F33" i="40"/>
  <c r="N32" i="40"/>
  <c r="F32" i="40"/>
  <c r="N31" i="40"/>
  <c r="F31" i="40"/>
  <c r="N30" i="40"/>
  <c r="F30" i="40"/>
  <c r="N29" i="40"/>
  <c r="F29" i="40"/>
  <c r="N28" i="40"/>
  <c r="F28" i="40"/>
  <c r="N27" i="40"/>
  <c r="F27" i="40"/>
  <c r="N26" i="40"/>
  <c r="F26" i="40"/>
  <c r="N25" i="40"/>
  <c r="F25" i="40"/>
  <c r="N24" i="40"/>
  <c r="F24" i="40"/>
  <c r="N23" i="40"/>
  <c r="F23" i="40"/>
  <c r="N22" i="40"/>
  <c r="F22" i="40"/>
  <c r="N21" i="40"/>
  <c r="F21" i="40"/>
  <c r="N20" i="40"/>
  <c r="F20" i="40"/>
  <c r="N19" i="40"/>
  <c r="F19" i="40"/>
  <c r="N18" i="40"/>
  <c r="F18" i="40"/>
  <c r="N17" i="40"/>
  <c r="F17" i="40"/>
  <c r="N16" i="40"/>
  <c r="F16" i="40"/>
  <c r="N15" i="40"/>
  <c r="F15" i="40"/>
  <c r="N14" i="40"/>
  <c r="F14" i="40"/>
  <c r="N13" i="40"/>
  <c r="F13" i="40"/>
  <c r="N12" i="40"/>
  <c r="F12" i="40"/>
  <c r="M179" i="40"/>
  <c r="E179" i="40"/>
  <c r="M178" i="40"/>
  <c r="P178" i="40" s="1"/>
  <c r="E178" i="40"/>
  <c r="H178" i="40" s="1"/>
  <c r="M177" i="40"/>
  <c r="P177" i="40" s="1"/>
  <c r="E177" i="40"/>
  <c r="H177" i="40" s="1"/>
  <c r="M176" i="40"/>
  <c r="P176" i="40" s="1"/>
  <c r="E176" i="40"/>
  <c r="H176" i="40" s="1"/>
  <c r="M175" i="40"/>
  <c r="P175" i="40" s="1"/>
  <c r="E175" i="40"/>
  <c r="H175" i="40" s="1"/>
  <c r="M174" i="40"/>
  <c r="P174" i="40" s="1"/>
  <c r="E174" i="40"/>
  <c r="H174" i="40" s="1"/>
  <c r="M173" i="40"/>
  <c r="P173" i="40" s="1"/>
  <c r="E173" i="40"/>
  <c r="H173" i="40" s="1"/>
  <c r="M172" i="40"/>
  <c r="P172" i="40" s="1"/>
  <c r="E172" i="40"/>
  <c r="H172" i="40" s="1"/>
  <c r="M171" i="40"/>
  <c r="P171" i="40" s="1"/>
  <c r="E171" i="40"/>
  <c r="H171" i="40" s="1"/>
  <c r="M170" i="40"/>
  <c r="P170" i="40" s="1"/>
  <c r="E170" i="40"/>
  <c r="H170" i="40" s="1"/>
  <c r="M169" i="40"/>
  <c r="P169" i="40" s="1"/>
  <c r="E169" i="40"/>
  <c r="H169" i="40" s="1"/>
  <c r="M168" i="40"/>
  <c r="P168" i="40" s="1"/>
  <c r="E168" i="40"/>
  <c r="H168" i="40" s="1"/>
  <c r="M167" i="40"/>
  <c r="P167" i="40" s="1"/>
  <c r="E167" i="40"/>
  <c r="H167" i="40" s="1"/>
  <c r="M166" i="40"/>
  <c r="P166" i="40" s="1"/>
  <c r="E166" i="40"/>
  <c r="H166" i="40" s="1"/>
  <c r="M165" i="40"/>
  <c r="P165" i="40" s="1"/>
  <c r="E165" i="40"/>
  <c r="H165" i="40" s="1"/>
  <c r="M164" i="40"/>
  <c r="P164" i="40" s="1"/>
  <c r="E164" i="40"/>
  <c r="H164" i="40" s="1"/>
  <c r="M163" i="40"/>
  <c r="P163" i="40" s="1"/>
  <c r="E163" i="40"/>
  <c r="H163" i="40" s="1"/>
  <c r="M162" i="40"/>
  <c r="P162" i="40" s="1"/>
  <c r="E162" i="40"/>
  <c r="H162" i="40" s="1"/>
  <c r="M161" i="40"/>
  <c r="P161" i="40" s="1"/>
  <c r="E161" i="40"/>
  <c r="H161" i="40" s="1"/>
  <c r="M160" i="40"/>
  <c r="P160" i="40" s="1"/>
  <c r="E160" i="40"/>
  <c r="H160" i="40" s="1"/>
  <c r="M159" i="40"/>
  <c r="P159" i="40" s="1"/>
  <c r="E159" i="40"/>
  <c r="H159" i="40" s="1"/>
  <c r="M158" i="40"/>
  <c r="P158" i="40" s="1"/>
  <c r="E158" i="40"/>
  <c r="H158" i="40" s="1"/>
  <c r="M157" i="40"/>
  <c r="P157" i="40" s="1"/>
  <c r="E157" i="40"/>
  <c r="H157" i="40" s="1"/>
  <c r="M156" i="40"/>
  <c r="P156" i="40" s="1"/>
  <c r="E156" i="40"/>
  <c r="H156" i="40" s="1"/>
  <c r="M155" i="40"/>
  <c r="P155" i="40" s="1"/>
  <c r="E155" i="40"/>
  <c r="H155" i="40" s="1"/>
  <c r="M154" i="40"/>
  <c r="P154" i="40" s="1"/>
  <c r="E154" i="40"/>
  <c r="H154" i="40" s="1"/>
  <c r="M153" i="40"/>
  <c r="P153" i="40" s="1"/>
  <c r="E153" i="40"/>
  <c r="H153" i="40" s="1"/>
  <c r="M152" i="40"/>
  <c r="P152" i="40" s="1"/>
  <c r="E152" i="40"/>
  <c r="H152" i="40" s="1"/>
  <c r="M151" i="40"/>
  <c r="P151" i="40" s="1"/>
  <c r="E151" i="40"/>
  <c r="H151" i="40" s="1"/>
  <c r="M150" i="40"/>
  <c r="P150" i="40" s="1"/>
  <c r="E150" i="40"/>
  <c r="H150" i="40" s="1"/>
  <c r="M149" i="40"/>
  <c r="P149" i="40" s="1"/>
  <c r="E149" i="40"/>
  <c r="H149" i="40" s="1"/>
  <c r="M148" i="40"/>
  <c r="P148" i="40" s="1"/>
  <c r="E148" i="40"/>
  <c r="H148" i="40" s="1"/>
  <c r="M147" i="40"/>
  <c r="P147" i="40" s="1"/>
  <c r="E147" i="40"/>
  <c r="H147" i="40" s="1"/>
  <c r="M146" i="40"/>
  <c r="P146" i="40" s="1"/>
  <c r="E146" i="40"/>
  <c r="H146" i="40" s="1"/>
  <c r="M145" i="40"/>
  <c r="P145" i="40" s="1"/>
  <c r="E145" i="40"/>
  <c r="H145" i="40" s="1"/>
  <c r="M144" i="40"/>
  <c r="P144" i="40" s="1"/>
  <c r="E144" i="40"/>
  <c r="H144" i="40" s="1"/>
  <c r="M143" i="40"/>
  <c r="P143" i="40" s="1"/>
  <c r="E143" i="40"/>
  <c r="H143" i="40" s="1"/>
  <c r="M142" i="40"/>
  <c r="P142" i="40" s="1"/>
  <c r="E142" i="40"/>
  <c r="H142" i="40" s="1"/>
  <c r="M141" i="40"/>
  <c r="P141" i="40" s="1"/>
  <c r="E141" i="40"/>
  <c r="H141" i="40" s="1"/>
  <c r="M140" i="40"/>
  <c r="P140" i="40" s="1"/>
  <c r="E140" i="40"/>
  <c r="H140" i="40" s="1"/>
  <c r="M139" i="40"/>
  <c r="P139" i="40" s="1"/>
  <c r="E139" i="40"/>
  <c r="H139" i="40" s="1"/>
  <c r="M138" i="40"/>
  <c r="P138" i="40" s="1"/>
  <c r="E138" i="40"/>
  <c r="H138" i="40" s="1"/>
  <c r="M137" i="40"/>
  <c r="P137" i="40" s="1"/>
  <c r="E137" i="40"/>
  <c r="H137" i="40" s="1"/>
  <c r="M136" i="40"/>
  <c r="P136" i="40" s="1"/>
  <c r="E136" i="40"/>
  <c r="H136" i="40" s="1"/>
  <c r="M135" i="40"/>
  <c r="P135" i="40" s="1"/>
  <c r="E135" i="40"/>
  <c r="H135" i="40" s="1"/>
  <c r="M134" i="40"/>
  <c r="P134" i="40" s="1"/>
  <c r="E134" i="40"/>
  <c r="H134" i="40" s="1"/>
  <c r="M133" i="40"/>
  <c r="P133" i="40" s="1"/>
  <c r="E133" i="40"/>
  <c r="H133" i="40" s="1"/>
  <c r="M132" i="40"/>
  <c r="P132" i="40" s="1"/>
  <c r="E132" i="40"/>
  <c r="H132" i="40" s="1"/>
  <c r="M119" i="40"/>
  <c r="E119" i="40"/>
  <c r="M118" i="40"/>
  <c r="P118" i="40" s="1"/>
  <c r="E118" i="40"/>
  <c r="H118" i="40" s="1"/>
  <c r="M117" i="40"/>
  <c r="P117" i="40" s="1"/>
  <c r="E117" i="40"/>
  <c r="H117" i="40" s="1"/>
  <c r="M116" i="40"/>
  <c r="P116" i="40" s="1"/>
  <c r="E116" i="40"/>
  <c r="H116" i="40" s="1"/>
  <c r="M115" i="40"/>
  <c r="P115" i="40" s="1"/>
  <c r="E115" i="40"/>
  <c r="H115" i="40" s="1"/>
  <c r="M114" i="40"/>
  <c r="P114" i="40" s="1"/>
  <c r="E114" i="40"/>
  <c r="H114" i="40" s="1"/>
  <c r="M113" i="40"/>
  <c r="P113" i="40" s="1"/>
  <c r="E113" i="40"/>
  <c r="H113" i="40" s="1"/>
  <c r="M112" i="40"/>
  <c r="P112" i="40" s="1"/>
  <c r="E112" i="40"/>
  <c r="H112" i="40" s="1"/>
  <c r="M111" i="40"/>
  <c r="P111" i="40" s="1"/>
  <c r="E111" i="40"/>
  <c r="H111" i="40" s="1"/>
  <c r="M110" i="40"/>
  <c r="P110" i="40" s="1"/>
  <c r="E110" i="40"/>
  <c r="H110" i="40" s="1"/>
  <c r="M109" i="40"/>
  <c r="P109" i="40" s="1"/>
  <c r="E109" i="40"/>
  <c r="H109" i="40" s="1"/>
  <c r="M108" i="40"/>
  <c r="P108" i="40" s="1"/>
  <c r="E108" i="40"/>
  <c r="H108" i="40" s="1"/>
  <c r="M107" i="40"/>
  <c r="P107" i="40" s="1"/>
  <c r="E107" i="40"/>
  <c r="H107" i="40" s="1"/>
  <c r="M106" i="40"/>
  <c r="P106" i="40" s="1"/>
  <c r="E106" i="40"/>
  <c r="H106" i="40" s="1"/>
  <c r="M105" i="40"/>
  <c r="P105" i="40" s="1"/>
  <c r="E105" i="40"/>
  <c r="H105" i="40" s="1"/>
  <c r="M104" i="40"/>
  <c r="P104" i="40" s="1"/>
  <c r="E104" i="40"/>
  <c r="H104" i="40" s="1"/>
  <c r="M103" i="40"/>
  <c r="P103" i="40" s="1"/>
  <c r="E103" i="40"/>
  <c r="H103" i="40" s="1"/>
  <c r="M102" i="40"/>
  <c r="P102" i="40" s="1"/>
  <c r="E102" i="40"/>
  <c r="H102" i="40" s="1"/>
  <c r="M101" i="40"/>
  <c r="P101" i="40" s="1"/>
  <c r="E101" i="40"/>
  <c r="H101" i="40" s="1"/>
  <c r="M100" i="40"/>
  <c r="P100" i="40" s="1"/>
  <c r="E100" i="40"/>
  <c r="H100" i="40" s="1"/>
  <c r="M99" i="40"/>
  <c r="P99" i="40" s="1"/>
  <c r="E99" i="40"/>
  <c r="H99" i="40" s="1"/>
  <c r="M98" i="40"/>
  <c r="P98" i="40" s="1"/>
  <c r="E98" i="40"/>
  <c r="H98" i="40" s="1"/>
  <c r="M97" i="40"/>
  <c r="P97" i="40" s="1"/>
  <c r="E97" i="40"/>
  <c r="H97" i="40" s="1"/>
  <c r="M96" i="40"/>
  <c r="P96" i="40" s="1"/>
  <c r="E96" i="40"/>
  <c r="H96" i="40" s="1"/>
  <c r="M95" i="40"/>
  <c r="P95" i="40" s="1"/>
  <c r="E95" i="40"/>
  <c r="H95" i="40" s="1"/>
  <c r="M94" i="40"/>
  <c r="P94" i="40" s="1"/>
  <c r="E94" i="40"/>
  <c r="H94" i="40" s="1"/>
  <c r="M93" i="40"/>
  <c r="P93" i="40" s="1"/>
  <c r="E93" i="40"/>
  <c r="H93" i="40" s="1"/>
  <c r="M92" i="40"/>
  <c r="P92" i="40" s="1"/>
  <c r="E92" i="40"/>
  <c r="H92" i="40" s="1"/>
  <c r="M91" i="40"/>
  <c r="P91" i="40" s="1"/>
  <c r="E91" i="40"/>
  <c r="H91" i="40" s="1"/>
  <c r="M90" i="40"/>
  <c r="P90" i="40" s="1"/>
  <c r="E90" i="40"/>
  <c r="H90" i="40" s="1"/>
  <c r="M89" i="40"/>
  <c r="P89" i="40" s="1"/>
  <c r="E89" i="40"/>
  <c r="H89" i="40" s="1"/>
  <c r="M88" i="40"/>
  <c r="P88" i="40" s="1"/>
  <c r="E88" i="40"/>
  <c r="H88" i="40" s="1"/>
  <c r="M87" i="40"/>
  <c r="P87" i="40" s="1"/>
  <c r="E87" i="40"/>
  <c r="H87" i="40" s="1"/>
  <c r="M86" i="40"/>
  <c r="P86" i="40" s="1"/>
  <c r="E86" i="40"/>
  <c r="H86" i="40" s="1"/>
  <c r="M85" i="40"/>
  <c r="P85" i="40" s="1"/>
  <c r="E85" i="40"/>
  <c r="H85" i="40" s="1"/>
  <c r="M84" i="40"/>
  <c r="P84" i="40" s="1"/>
  <c r="E84" i="40"/>
  <c r="H84" i="40" s="1"/>
  <c r="M83" i="40"/>
  <c r="P83" i="40" s="1"/>
  <c r="E83" i="40"/>
  <c r="H83" i="40" s="1"/>
  <c r="M82" i="40"/>
  <c r="P82" i="40" s="1"/>
  <c r="E82" i="40"/>
  <c r="H82" i="40" s="1"/>
  <c r="M81" i="40"/>
  <c r="P81" i="40" s="1"/>
  <c r="E81" i="40"/>
  <c r="H81" i="40" s="1"/>
  <c r="M80" i="40"/>
  <c r="P80" i="40" s="1"/>
  <c r="E80" i="40"/>
  <c r="H80" i="40" s="1"/>
  <c r="M79" i="40"/>
  <c r="P79" i="40" s="1"/>
  <c r="E79" i="40"/>
  <c r="H79" i="40" s="1"/>
  <c r="M78" i="40"/>
  <c r="P78" i="40" s="1"/>
  <c r="E78" i="40"/>
  <c r="H78" i="40" s="1"/>
  <c r="M77" i="40"/>
  <c r="P77" i="40" s="1"/>
  <c r="E77" i="40"/>
  <c r="H77" i="40" s="1"/>
  <c r="M76" i="40"/>
  <c r="P76" i="40" s="1"/>
  <c r="E76" i="40"/>
  <c r="H76" i="40" s="1"/>
  <c r="M75" i="40"/>
  <c r="P75" i="40" s="1"/>
  <c r="E75" i="40"/>
  <c r="H75" i="40" s="1"/>
  <c r="M74" i="40"/>
  <c r="P74" i="40" s="1"/>
  <c r="E74" i="40"/>
  <c r="H74" i="40" s="1"/>
  <c r="M73" i="40"/>
  <c r="P73" i="40" s="1"/>
  <c r="E73" i="40"/>
  <c r="H73" i="40" s="1"/>
  <c r="M72" i="40"/>
  <c r="P72" i="40" s="1"/>
  <c r="E72" i="40"/>
  <c r="H72" i="40" s="1"/>
  <c r="M59" i="40"/>
  <c r="E59" i="40"/>
  <c r="H59" i="40" s="1"/>
  <c r="M58" i="40"/>
  <c r="P58" i="40" s="1"/>
  <c r="E58" i="40"/>
  <c r="H58" i="40" s="1"/>
  <c r="M57" i="40"/>
  <c r="P57" i="40" s="1"/>
  <c r="E57" i="40"/>
  <c r="H57" i="40" s="1"/>
  <c r="M56" i="40"/>
  <c r="P56" i="40" s="1"/>
  <c r="E56" i="40"/>
  <c r="H56" i="40" s="1"/>
  <c r="M55" i="40"/>
  <c r="P55" i="40" s="1"/>
  <c r="E55" i="40"/>
  <c r="H55" i="40" s="1"/>
  <c r="M54" i="40"/>
  <c r="P54" i="40" s="1"/>
  <c r="E54" i="40"/>
  <c r="H54" i="40" s="1"/>
  <c r="M53" i="40"/>
  <c r="P53" i="40" s="1"/>
  <c r="E53" i="40"/>
  <c r="H53" i="40" s="1"/>
  <c r="M52" i="40"/>
  <c r="P52" i="40" s="1"/>
  <c r="E52" i="40"/>
  <c r="H52" i="40" s="1"/>
  <c r="M51" i="40"/>
  <c r="P51" i="40" s="1"/>
  <c r="E51" i="40"/>
  <c r="H51" i="40" s="1"/>
  <c r="M50" i="40"/>
  <c r="P50" i="40" s="1"/>
  <c r="E50" i="40"/>
  <c r="H50" i="40" s="1"/>
  <c r="M49" i="40"/>
  <c r="P49" i="40" s="1"/>
  <c r="E49" i="40"/>
  <c r="H49" i="40" s="1"/>
  <c r="M48" i="40"/>
  <c r="P48" i="40" s="1"/>
  <c r="E48" i="40"/>
  <c r="H48" i="40" s="1"/>
  <c r="M47" i="40"/>
  <c r="P47" i="40" s="1"/>
  <c r="E47" i="40"/>
  <c r="H47" i="40" s="1"/>
  <c r="M46" i="40"/>
  <c r="P46" i="40" s="1"/>
  <c r="E46" i="40"/>
  <c r="H46" i="40" s="1"/>
  <c r="M45" i="40"/>
  <c r="P45" i="40" s="1"/>
  <c r="E45" i="40"/>
  <c r="H45" i="40" s="1"/>
  <c r="M44" i="40"/>
  <c r="P44" i="40" s="1"/>
  <c r="E44" i="40"/>
  <c r="H44" i="40" s="1"/>
  <c r="M43" i="40"/>
  <c r="P43" i="40" s="1"/>
  <c r="E43" i="40"/>
  <c r="H43" i="40" s="1"/>
  <c r="M42" i="40"/>
  <c r="P42" i="40" s="1"/>
  <c r="E42" i="40"/>
  <c r="H42" i="40" s="1"/>
  <c r="M41" i="40"/>
  <c r="P41" i="40" s="1"/>
  <c r="E41" i="40"/>
  <c r="H41" i="40" s="1"/>
  <c r="M40" i="40"/>
  <c r="P40" i="40" s="1"/>
  <c r="E40" i="40"/>
  <c r="H40" i="40" s="1"/>
  <c r="M39" i="40"/>
  <c r="P39" i="40" s="1"/>
  <c r="E39" i="40"/>
  <c r="H39" i="40" s="1"/>
  <c r="M38" i="40"/>
  <c r="P38" i="40" s="1"/>
  <c r="E38" i="40"/>
  <c r="H38" i="40" s="1"/>
  <c r="M37" i="40"/>
  <c r="P37" i="40" s="1"/>
  <c r="E37" i="40"/>
  <c r="H37" i="40" s="1"/>
  <c r="M36" i="40"/>
  <c r="P36" i="40" s="1"/>
  <c r="E36" i="40"/>
  <c r="H36" i="40" s="1"/>
  <c r="M35" i="40"/>
  <c r="P35" i="40" s="1"/>
  <c r="E35" i="40"/>
  <c r="H35" i="40" s="1"/>
  <c r="M34" i="40"/>
  <c r="P34" i="40" s="1"/>
  <c r="E34" i="40"/>
  <c r="H34" i="40" s="1"/>
  <c r="M33" i="40"/>
  <c r="P33" i="40" s="1"/>
  <c r="E33" i="40"/>
  <c r="H33" i="40" s="1"/>
  <c r="M32" i="40"/>
  <c r="P32" i="40" s="1"/>
  <c r="E32" i="40"/>
  <c r="H32" i="40" s="1"/>
  <c r="M31" i="40"/>
  <c r="P31" i="40" s="1"/>
  <c r="E31" i="40"/>
  <c r="H31" i="40" s="1"/>
  <c r="M30" i="40"/>
  <c r="P30" i="40" s="1"/>
  <c r="E30" i="40"/>
  <c r="H30" i="40" s="1"/>
  <c r="M29" i="40"/>
  <c r="P29" i="40" s="1"/>
  <c r="E29" i="40"/>
  <c r="H29" i="40" s="1"/>
  <c r="M28" i="40"/>
  <c r="P28" i="40" s="1"/>
  <c r="E28" i="40"/>
  <c r="H28" i="40" s="1"/>
  <c r="M27" i="40"/>
  <c r="P27" i="40" s="1"/>
  <c r="E27" i="40"/>
  <c r="H27" i="40" s="1"/>
  <c r="M26" i="40"/>
  <c r="P26" i="40" s="1"/>
  <c r="E26" i="40"/>
  <c r="H26" i="40" s="1"/>
  <c r="M25" i="40"/>
  <c r="P25" i="40" s="1"/>
  <c r="E25" i="40"/>
  <c r="H25" i="40" s="1"/>
  <c r="M24" i="40"/>
  <c r="P24" i="40" s="1"/>
  <c r="E24" i="40"/>
  <c r="H24" i="40" s="1"/>
  <c r="M23" i="40"/>
  <c r="P23" i="40" s="1"/>
  <c r="E23" i="40"/>
  <c r="H23" i="40" s="1"/>
  <c r="M22" i="40"/>
  <c r="P22" i="40" s="1"/>
  <c r="E22" i="40"/>
  <c r="H22" i="40" s="1"/>
  <c r="M21" i="40"/>
  <c r="P21" i="40" s="1"/>
  <c r="E21" i="40"/>
  <c r="H21" i="40" s="1"/>
  <c r="M20" i="40"/>
  <c r="P20" i="40" s="1"/>
  <c r="E20" i="40"/>
  <c r="H20" i="40" s="1"/>
  <c r="M19" i="40"/>
  <c r="P19" i="40" s="1"/>
  <c r="E19" i="40"/>
  <c r="H19" i="40" s="1"/>
  <c r="M18" i="40"/>
  <c r="P18" i="40" s="1"/>
  <c r="E18" i="40"/>
  <c r="H18" i="40" s="1"/>
  <c r="M17" i="40"/>
  <c r="P17" i="40" s="1"/>
  <c r="E17" i="40"/>
  <c r="H17" i="40" s="1"/>
  <c r="M16" i="40"/>
  <c r="P16" i="40" s="1"/>
  <c r="E16" i="40"/>
  <c r="H16" i="40" s="1"/>
  <c r="M15" i="40"/>
  <c r="P15" i="40" s="1"/>
  <c r="E15" i="40"/>
  <c r="H15" i="40" s="1"/>
  <c r="M14" i="40"/>
  <c r="P14" i="40" s="1"/>
  <c r="E14" i="40"/>
  <c r="H14" i="40" s="1"/>
  <c r="M13" i="40"/>
  <c r="P13" i="40" s="1"/>
  <c r="E13" i="40"/>
  <c r="H13" i="40" s="1"/>
  <c r="M12" i="40"/>
  <c r="P12" i="40" s="1"/>
  <c r="E12" i="40"/>
  <c r="H12" i="40" s="1"/>
  <c r="L179" i="40"/>
  <c r="D179" i="40"/>
  <c r="L178" i="40"/>
  <c r="D178" i="40"/>
  <c r="L177" i="40"/>
  <c r="D177" i="40"/>
  <c r="L176" i="40"/>
  <c r="D176" i="40"/>
  <c r="L175" i="40"/>
  <c r="D175" i="40"/>
  <c r="L174" i="40"/>
  <c r="D174" i="40"/>
  <c r="L173" i="40"/>
  <c r="D173" i="40"/>
  <c r="L172" i="40"/>
  <c r="D172" i="40"/>
  <c r="L171" i="40"/>
  <c r="D171" i="40"/>
  <c r="L170" i="40"/>
  <c r="D170" i="40"/>
  <c r="L169" i="40"/>
  <c r="D169" i="40"/>
  <c r="L168" i="40"/>
  <c r="D168" i="40"/>
  <c r="L167" i="40"/>
  <c r="D167" i="40"/>
  <c r="L166" i="40"/>
  <c r="D166" i="40"/>
  <c r="L165" i="40"/>
  <c r="D165" i="40"/>
  <c r="L164" i="40"/>
  <c r="D164" i="40"/>
  <c r="L163" i="40"/>
  <c r="D163" i="40"/>
  <c r="L162" i="40"/>
  <c r="D162" i="40"/>
  <c r="L161" i="40"/>
  <c r="D161" i="40"/>
  <c r="L160" i="40"/>
  <c r="D160" i="40"/>
  <c r="L159" i="40"/>
  <c r="D159" i="40"/>
  <c r="L158" i="40"/>
  <c r="D158" i="40"/>
  <c r="L157" i="40"/>
  <c r="D157" i="40"/>
  <c r="L156" i="40"/>
  <c r="D156" i="40"/>
  <c r="L155" i="40"/>
  <c r="D155" i="40"/>
  <c r="L154" i="40"/>
  <c r="D154" i="40"/>
  <c r="L153" i="40"/>
  <c r="D153" i="40"/>
  <c r="L152" i="40"/>
  <c r="D152" i="40"/>
  <c r="L151" i="40"/>
  <c r="D151" i="40"/>
  <c r="L150" i="40"/>
  <c r="D150" i="40"/>
  <c r="L149" i="40"/>
  <c r="D149" i="40"/>
  <c r="L148" i="40"/>
  <c r="D148" i="40"/>
  <c r="L147" i="40"/>
  <c r="D147" i="40"/>
  <c r="L146" i="40"/>
  <c r="D146" i="40"/>
  <c r="L145" i="40"/>
  <c r="D145" i="40"/>
  <c r="L144" i="40"/>
  <c r="D144" i="40"/>
  <c r="L143" i="40"/>
  <c r="D143" i="40"/>
  <c r="L142" i="40"/>
  <c r="D142" i="40"/>
  <c r="L141" i="40"/>
  <c r="D141" i="40"/>
  <c r="L140" i="40"/>
  <c r="D140" i="40"/>
  <c r="L139" i="40"/>
  <c r="D139" i="40"/>
  <c r="L138" i="40"/>
  <c r="D138" i="40"/>
  <c r="L137" i="40"/>
  <c r="D137" i="40"/>
  <c r="L136" i="40"/>
  <c r="D136" i="40"/>
  <c r="L135" i="40"/>
  <c r="D135" i="40"/>
  <c r="L134" i="40"/>
  <c r="D134" i="40"/>
  <c r="L133" i="40"/>
  <c r="D133" i="40"/>
  <c r="L132" i="40"/>
  <c r="D132" i="40"/>
  <c r="L119" i="40"/>
  <c r="D119" i="40"/>
  <c r="L118" i="40"/>
  <c r="D118" i="40"/>
  <c r="L117" i="40"/>
  <c r="D117" i="40"/>
  <c r="L116" i="40"/>
  <c r="D116" i="40"/>
  <c r="L115" i="40"/>
  <c r="D115" i="40"/>
  <c r="L114" i="40"/>
  <c r="D114" i="40"/>
  <c r="L113" i="40"/>
  <c r="D113" i="40"/>
  <c r="L112" i="40"/>
  <c r="D112" i="40"/>
  <c r="L111" i="40"/>
  <c r="D111" i="40"/>
  <c r="L110" i="40"/>
  <c r="D110" i="40"/>
  <c r="L109" i="40"/>
  <c r="D109" i="40"/>
  <c r="L108" i="40"/>
  <c r="D108" i="40"/>
  <c r="L107" i="40"/>
  <c r="D107" i="40"/>
  <c r="L106" i="40"/>
  <c r="D106" i="40"/>
  <c r="L105" i="40"/>
  <c r="D105" i="40"/>
  <c r="L104" i="40"/>
  <c r="D104" i="40"/>
  <c r="L103" i="40"/>
  <c r="D103" i="40"/>
  <c r="L102" i="40"/>
  <c r="D102" i="40"/>
  <c r="L101" i="40"/>
  <c r="D101" i="40"/>
  <c r="L100" i="40"/>
  <c r="D100" i="40"/>
  <c r="L99" i="40"/>
  <c r="D99" i="40"/>
  <c r="L98" i="40"/>
  <c r="D98" i="40"/>
  <c r="L97" i="40"/>
  <c r="D97" i="40"/>
  <c r="L96" i="40"/>
  <c r="D96" i="40"/>
  <c r="L95" i="40"/>
  <c r="D95" i="40"/>
  <c r="L94" i="40"/>
  <c r="D94" i="40"/>
  <c r="L93" i="40"/>
  <c r="D93" i="40"/>
  <c r="L92" i="40"/>
  <c r="D92" i="40"/>
  <c r="L91" i="40"/>
  <c r="D91" i="40"/>
  <c r="L90" i="40"/>
  <c r="D90" i="40"/>
  <c r="L89" i="40"/>
  <c r="D89" i="40"/>
  <c r="L88" i="40"/>
  <c r="D88" i="40"/>
  <c r="L87" i="40"/>
  <c r="D87" i="40"/>
  <c r="L86" i="40"/>
  <c r="D86" i="40"/>
  <c r="L85" i="40"/>
  <c r="D85" i="40"/>
  <c r="L84" i="40"/>
  <c r="D84" i="40"/>
  <c r="L83" i="40"/>
  <c r="D83" i="40"/>
  <c r="L82" i="40"/>
  <c r="D82" i="40"/>
  <c r="L81" i="40"/>
  <c r="D81" i="40"/>
  <c r="L80" i="40"/>
  <c r="D80" i="40"/>
  <c r="L79" i="40"/>
  <c r="D79" i="40"/>
  <c r="L78" i="40"/>
  <c r="D78" i="40"/>
  <c r="L77" i="40"/>
  <c r="D77" i="40"/>
  <c r="L76" i="40"/>
  <c r="D76" i="40"/>
  <c r="L75" i="40"/>
  <c r="D75" i="40"/>
  <c r="L74" i="40"/>
  <c r="D74" i="40"/>
  <c r="L73" i="40"/>
  <c r="D73" i="40"/>
  <c r="L72" i="40"/>
  <c r="D72" i="40"/>
  <c r="L59" i="40"/>
  <c r="D59" i="40"/>
  <c r="L58" i="40"/>
  <c r="D58" i="40"/>
  <c r="L57" i="40"/>
  <c r="D57" i="40"/>
  <c r="L56" i="40"/>
  <c r="D56" i="40"/>
  <c r="L55" i="40"/>
  <c r="D55" i="40"/>
  <c r="L54" i="40"/>
  <c r="D54" i="40"/>
  <c r="L53" i="40"/>
  <c r="D53" i="40"/>
  <c r="L52" i="40"/>
  <c r="D52" i="40"/>
  <c r="L51" i="40"/>
  <c r="D51" i="40"/>
  <c r="L50" i="40"/>
  <c r="D50" i="40"/>
  <c r="L49" i="40"/>
  <c r="D49" i="40"/>
  <c r="L48" i="40"/>
  <c r="D48" i="40"/>
  <c r="L47" i="40"/>
  <c r="D47" i="40"/>
  <c r="L46" i="40"/>
  <c r="D46" i="40"/>
  <c r="L45" i="40"/>
  <c r="D45" i="40"/>
  <c r="L44" i="40"/>
  <c r="D44" i="40"/>
  <c r="L43" i="40"/>
  <c r="D43" i="40"/>
  <c r="L42" i="40"/>
  <c r="D42" i="40"/>
  <c r="L41" i="40"/>
  <c r="D41" i="40"/>
  <c r="L40" i="40"/>
  <c r="D40" i="40"/>
  <c r="L39" i="40"/>
  <c r="D39" i="40"/>
  <c r="L38" i="40"/>
  <c r="D38" i="40"/>
  <c r="L37" i="40"/>
  <c r="D37" i="40"/>
  <c r="L36" i="40"/>
  <c r="D36" i="40"/>
  <c r="L35" i="40"/>
  <c r="D35" i="40"/>
  <c r="L34" i="40"/>
  <c r="D34" i="40"/>
  <c r="L33" i="40"/>
  <c r="D33" i="40"/>
  <c r="L32" i="40"/>
  <c r="D32" i="40"/>
  <c r="L31" i="40"/>
  <c r="D31" i="40"/>
  <c r="L30" i="40"/>
  <c r="D30" i="40"/>
  <c r="L29" i="40"/>
  <c r="D29" i="40"/>
  <c r="L28" i="40"/>
  <c r="D28" i="40"/>
  <c r="L27" i="40"/>
  <c r="D27" i="40"/>
  <c r="L26" i="40"/>
  <c r="D26" i="40"/>
  <c r="L25" i="40"/>
  <c r="D25" i="40"/>
  <c r="L24" i="40"/>
  <c r="D24" i="40"/>
  <c r="L23" i="40"/>
  <c r="D23" i="40"/>
  <c r="L22" i="40"/>
  <c r="D22" i="40"/>
  <c r="L21" i="40"/>
  <c r="D21" i="40"/>
  <c r="L20" i="40"/>
  <c r="D20" i="40"/>
  <c r="L19" i="40"/>
  <c r="D19" i="40"/>
  <c r="L18" i="40"/>
  <c r="D18" i="40"/>
  <c r="L17" i="40"/>
  <c r="D17" i="40"/>
  <c r="L16" i="40"/>
  <c r="D16" i="40"/>
  <c r="L15" i="40"/>
  <c r="D15" i="40"/>
  <c r="L14" i="40"/>
  <c r="D14" i="40"/>
  <c r="L13" i="40"/>
  <c r="D13" i="40"/>
  <c r="L12" i="40"/>
  <c r="D12" i="40"/>
  <c r="M129" i="40"/>
  <c r="E129" i="40"/>
  <c r="M128" i="40"/>
  <c r="E128" i="40"/>
  <c r="J127" i="40"/>
  <c r="B127" i="40"/>
  <c r="M69" i="40"/>
  <c r="E69" i="40"/>
  <c r="M68" i="40"/>
  <c r="E68" i="40"/>
  <c r="J67" i="40"/>
  <c r="B67" i="40"/>
  <c r="M10" i="40"/>
  <c r="E70" i="40" s="1"/>
  <c r="M70" i="40" s="1"/>
  <c r="E130" i="40" s="1"/>
  <c r="M130" i="40" s="1"/>
  <c r="M9" i="40"/>
  <c r="M8" i="40"/>
  <c r="J7" i="40"/>
  <c r="B7" i="40"/>
  <c r="E7" i="39"/>
  <c r="N179" i="39"/>
  <c r="F179" i="39"/>
  <c r="N178" i="39"/>
  <c r="F178" i="39"/>
  <c r="N177" i="39"/>
  <c r="F177" i="39"/>
  <c r="N176" i="39"/>
  <c r="F176" i="39"/>
  <c r="N175" i="39"/>
  <c r="F175" i="39"/>
  <c r="N174" i="39"/>
  <c r="F174" i="39"/>
  <c r="N173" i="39"/>
  <c r="F173" i="39"/>
  <c r="N172" i="39"/>
  <c r="F172" i="39"/>
  <c r="N171" i="39"/>
  <c r="F171" i="39"/>
  <c r="N170" i="39"/>
  <c r="F170" i="39"/>
  <c r="N169" i="39"/>
  <c r="F169" i="39"/>
  <c r="N168" i="39"/>
  <c r="F168" i="39"/>
  <c r="N167" i="39"/>
  <c r="F167" i="39"/>
  <c r="N166" i="39"/>
  <c r="F166" i="39"/>
  <c r="N165" i="39"/>
  <c r="F165" i="39"/>
  <c r="N164" i="39"/>
  <c r="F164" i="39"/>
  <c r="N163" i="39"/>
  <c r="F163" i="39"/>
  <c r="N162" i="39"/>
  <c r="F162" i="39"/>
  <c r="N161" i="39"/>
  <c r="F161" i="39"/>
  <c r="N160" i="39"/>
  <c r="F160" i="39"/>
  <c r="N159" i="39"/>
  <c r="F159" i="39"/>
  <c r="N158" i="39"/>
  <c r="F158" i="39"/>
  <c r="N157" i="39"/>
  <c r="F157" i="39"/>
  <c r="N156" i="39"/>
  <c r="F156" i="39"/>
  <c r="N155" i="39"/>
  <c r="F155" i="39"/>
  <c r="N154" i="39"/>
  <c r="F154" i="39"/>
  <c r="N153" i="39"/>
  <c r="F153" i="39"/>
  <c r="N152" i="39"/>
  <c r="F152" i="39"/>
  <c r="N151" i="39"/>
  <c r="F151" i="39"/>
  <c r="N150" i="39"/>
  <c r="F150" i="39"/>
  <c r="N149" i="39"/>
  <c r="F149" i="39"/>
  <c r="N148" i="39"/>
  <c r="F148" i="39"/>
  <c r="N147" i="39"/>
  <c r="F147" i="39"/>
  <c r="N146" i="39"/>
  <c r="F146" i="39"/>
  <c r="N145" i="39"/>
  <c r="F145" i="39"/>
  <c r="N144" i="39"/>
  <c r="F144" i="39"/>
  <c r="N143" i="39"/>
  <c r="F143" i="39"/>
  <c r="N142" i="39"/>
  <c r="F142" i="39"/>
  <c r="N141" i="39"/>
  <c r="F141" i="39"/>
  <c r="N140" i="39"/>
  <c r="F140" i="39"/>
  <c r="N139" i="39"/>
  <c r="F139" i="39"/>
  <c r="N138" i="39"/>
  <c r="F138" i="39"/>
  <c r="N137" i="39"/>
  <c r="F137" i="39"/>
  <c r="N136" i="39"/>
  <c r="F136" i="39"/>
  <c r="N135" i="39"/>
  <c r="F135" i="39"/>
  <c r="N134" i="39"/>
  <c r="F134" i="39"/>
  <c r="N133" i="39"/>
  <c r="F133" i="39"/>
  <c r="N132" i="39"/>
  <c r="F132" i="39"/>
  <c r="N119" i="39"/>
  <c r="N118" i="39"/>
  <c r="F118" i="39"/>
  <c r="N117" i="39"/>
  <c r="F117" i="39"/>
  <c r="N116" i="39"/>
  <c r="F116" i="39"/>
  <c r="N115" i="39"/>
  <c r="F115" i="39"/>
  <c r="N114" i="39"/>
  <c r="F114" i="39"/>
  <c r="N113" i="39"/>
  <c r="F113" i="39"/>
  <c r="N112" i="39"/>
  <c r="F112" i="39"/>
  <c r="N111" i="39"/>
  <c r="F111" i="39"/>
  <c r="N110" i="39"/>
  <c r="F110" i="39"/>
  <c r="N109" i="39"/>
  <c r="F109" i="39"/>
  <c r="N108" i="39"/>
  <c r="F108" i="39"/>
  <c r="N107" i="39"/>
  <c r="F107" i="39"/>
  <c r="N106" i="39"/>
  <c r="F106" i="39"/>
  <c r="N105" i="39"/>
  <c r="F105" i="39"/>
  <c r="N104" i="39"/>
  <c r="F104" i="39"/>
  <c r="N103" i="39"/>
  <c r="F103" i="39"/>
  <c r="N102" i="39"/>
  <c r="F102" i="39"/>
  <c r="N101" i="39"/>
  <c r="F101" i="39"/>
  <c r="N100" i="39"/>
  <c r="F100" i="39"/>
  <c r="N99" i="39"/>
  <c r="F99" i="39"/>
  <c r="N98" i="39"/>
  <c r="F98" i="39"/>
  <c r="N97" i="39"/>
  <c r="F97" i="39"/>
  <c r="N96" i="39"/>
  <c r="F96" i="39"/>
  <c r="N95" i="39"/>
  <c r="F95" i="39"/>
  <c r="N94" i="39"/>
  <c r="F94" i="39"/>
  <c r="N93" i="39"/>
  <c r="F93" i="39"/>
  <c r="N92" i="39"/>
  <c r="F92" i="39"/>
  <c r="F91" i="39"/>
  <c r="F90" i="39"/>
  <c r="F89" i="39"/>
  <c r="N88" i="39"/>
  <c r="F88" i="39"/>
  <c r="N87" i="39"/>
  <c r="F87" i="39"/>
  <c r="N86" i="39"/>
  <c r="F86" i="39"/>
  <c r="N85" i="39"/>
  <c r="F85" i="39"/>
  <c r="N84" i="39"/>
  <c r="F84" i="39"/>
  <c r="N83" i="39"/>
  <c r="F83" i="39"/>
  <c r="N82" i="39"/>
  <c r="F82" i="39"/>
  <c r="N81" i="39"/>
  <c r="F81" i="39"/>
  <c r="N80" i="39"/>
  <c r="F80" i="39"/>
  <c r="N79" i="39"/>
  <c r="F79" i="39"/>
  <c r="N78" i="39"/>
  <c r="F78" i="39"/>
  <c r="N77" i="39"/>
  <c r="F77" i="39"/>
  <c r="N76" i="39"/>
  <c r="F76" i="39"/>
  <c r="N75" i="39"/>
  <c r="F75" i="39"/>
  <c r="N74" i="39"/>
  <c r="F74" i="39"/>
  <c r="N73" i="39"/>
  <c r="F73" i="39"/>
  <c r="N72" i="39"/>
  <c r="F72" i="39"/>
  <c r="N58" i="39"/>
  <c r="F58" i="39"/>
  <c r="N57" i="39"/>
  <c r="F57" i="39"/>
  <c r="N56" i="39"/>
  <c r="F56" i="39"/>
  <c r="N55" i="39"/>
  <c r="F55" i="39"/>
  <c r="N54" i="39"/>
  <c r="F54" i="39"/>
  <c r="N53" i="39"/>
  <c r="F53" i="39"/>
  <c r="N52" i="39"/>
  <c r="F52" i="39"/>
  <c r="N51" i="39"/>
  <c r="F51" i="39"/>
  <c r="N50" i="39"/>
  <c r="F50" i="39"/>
  <c r="N49" i="39"/>
  <c r="F49" i="39"/>
  <c r="N48" i="39"/>
  <c r="F48" i="39"/>
  <c r="N47" i="39"/>
  <c r="F47" i="39"/>
  <c r="N46" i="39"/>
  <c r="F46" i="39"/>
  <c r="N45" i="39"/>
  <c r="F45" i="39"/>
  <c r="N44" i="39"/>
  <c r="F44" i="39"/>
  <c r="N43" i="39"/>
  <c r="F43" i="39"/>
  <c r="N42" i="39"/>
  <c r="F42" i="39"/>
  <c r="N41" i="39"/>
  <c r="F41" i="39"/>
  <c r="N40" i="39"/>
  <c r="F40" i="39"/>
  <c r="N39" i="39"/>
  <c r="F39" i="39"/>
  <c r="N38" i="39"/>
  <c r="F38" i="39"/>
  <c r="N37" i="39"/>
  <c r="F37" i="39"/>
  <c r="N36" i="39"/>
  <c r="F36" i="39"/>
  <c r="N35" i="39"/>
  <c r="F35" i="39"/>
  <c r="N34" i="39"/>
  <c r="F34" i="39"/>
  <c r="N33" i="39"/>
  <c r="F33" i="39"/>
  <c r="N32" i="39"/>
  <c r="F32" i="39"/>
  <c r="N31" i="39"/>
  <c r="F31" i="39"/>
  <c r="N30" i="39"/>
  <c r="F30" i="39"/>
  <c r="N29" i="39"/>
  <c r="F29" i="39"/>
  <c r="N28" i="39"/>
  <c r="F28" i="39"/>
  <c r="N27" i="39"/>
  <c r="F27" i="39"/>
  <c r="N26" i="39"/>
  <c r="F26" i="39"/>
  <c r="N25" i="39"/>
  <c r="F25" i="39"/>
  <c r="N24" i="39"/>
  <c r="F24" i="39"/>
  <c r="N23" i="39"/>
  <c r="F23" i="39"/>
  <c r="N22" i="39"/>
  <c r="F22" i="39"/>
  <c r="N21" i="39"/>
  <c r="F21" i="39"/>
  <c r="N20" i="39"/>
  <c r="F20" i="39"/>
  <c r="N19" i="39"/>
  <c r="F19" i="39"/>
  <c r="N18" i="39"/>
  <c r="F18" i="39"/>
  <c r="N17" i="39"/>
  <c r="F17" i="39"/>
  <c r="N16" i="39"/>
  <c r="F16" i="39"/>
  <c r="N15" i="39"/>
  <c r="F15" i="39"/>
  <c r="N14" i="39"/>
  <c r="F14" i="39"/>
  <c r="N13" i="39"/>
  <c r="F13" i="39"/>
  <c r="N12" i="39"/>
  <c r="F12" i="39"/>
  <c r="M179" i="39"/>
  <c r="E179" i="39"/>
  <c r="M178" i="39"/>
  <c r="P178" i="39" s="1"/>
  <c r="E178" i="39"/>
  <c r="H178" i="39" s="1"/>
  <c r="M177" i="39"/>
  <c r="P177" i="39" s="1"/>
  <c r="E177" i="39"/>
  <c r="H177" i="39" s="1"/>
  <c r="M176" i="39"/>
  <c r="P176" i="39" s="1"/>
  <c r="E176" i="39"/>
  <c r="H176" i="39" s="1"/>
  <c r="M175" i="39"/>
  <c r="P175" i="39" s="1"/>
  <c r="E175" i="39"/>
  <c r="H175" i="39" s="1"/>
  <c r="M174" i="39"/>
  <c r="P174" i="39" s="1"/>
  <c r="E174" i="39"/>
  <c r="H174" i="39" s="1"/>
  <c r="M173" i="39"/>
  <c r="P173" i="39" s="1"/>
  <c r="E173" i="39"/>
  <c r="H173" i="39" s="1"/>
  <c r="M172" i="39"/>
  <c r="P172" i="39" s="1"/>
  <c r="E172" i="39"/>
  <c r="H172" i="39" s="1"/>
  <c r="M171" i="39"/>
  <c r="P171" i="39" s="1"/>
  <c r="E171" i="39"/>
  <c r="H171" i="39" s="1"/>
  <c r="M170" i="39"/>
  <c r="P170" i="39" s="1"/>
  <c r="E170" i="39"/>
  <c r="H170" i="39" s="1"/>
  <c r="M169" i="39"/>
  <c r="P169" i="39" s="1"/>
  <c r="E169" i="39"/>
  <c r="H169" i="39" s="1"/>
  <c r="M168" i="39"/>
  <c r="P168" i="39" s="1"/>
  <c r="E168" i="39"/>
  <c r="H168" i="39" s="1"/>
  <c r="M167" i="39"/>
  <c r="P167" i="39" s="1"/>
  <c r="E167" i="39"/>
  <c r="H167" i="39" s="1"/>
  <c r="M166" i="39"/>
  <c r="P166" i="39" s="1"/>
  <c r="E166" i="39"/>
  <c r="H166" i="39" s="1"/>
  <c r="M165" i="39"/>
  <c r="P165" i="39" s="1"/>
  <c r="E165" i="39"/>
  <c r="H165" i="39" s="1"/>
  <c r="M164" i="39"/>
  <c r="P164" i="39" s="1"/>
  <c r="E164" i="39"/>
  <c r="H164" i="39" s="1"/>
  <c r="M163" i="39"/>
  <c r="P163" i="39" s="1"/>
  <c r="E163" i="39"/>
  <c r="H163" i="39" s="1"/>
  <c r="M162" i="39"/>
  <c r="P162" i="39" s="1"/>
  <c r="E162" i="39"/>
  <c r="H162" i="39" s="1"/>
  <c r="M161" i="39"/>
  <c r="P161" i="39" s="1"/>
  <c r="E161" i="39"/>
  <c r="H161" i="39" s="1"/>
  <c r="M160" i="39"/>
  <c r="P160" i="39" s="1"/>
  <c r="E160" i="39"/>
  <c r="H160" i="39" s="1"/>
  <c r="M159" i="39"/>
  <c r="P159" i="39" s="1"/>
  <c r="E159" i="39"/>
  <c r="H159" i="39" s="1"/>
  <c r="M158" i="39"/>
  <c r="P158" i="39" s="1"/>
  <c r="E158" i="39"/>
  <c r="H158" i="39" s="1"/>
  <c r="M157" i="39"/>
  <c r="P157" i="39" s="1"/>
  <c r="E157" i="39"/>
  <c r="H157" i="39" s="1"/>
  <c r="M156" i="39"/>
  <c r="P156" i="39" s="1"/>
  <c r="E156" i="39"/>
  <c r="H156" i="39" s="1"/>
  <c r="M155" i="39"/>
  <c r="P155" i="39" s="1"/>
  <c r="E155" i="39"/>
  <c r="H155" i="39" s="1"/>
  <c r="M154" i="39"/>
  <c r="P154" i="39" s="1"/>
  <c r="E154" i="39"/>
  <c r="H154" i="39" s="1"/>
  <c r="M153" i="39"/>
  <c r="P153" i="39" s="1"/>
  <c r="E153" i="39"/>
  <c r="H153" i="39" s="1"/>
  <c r="M152" i="39"/>
  <c r="P152" i="39" s="1"/>
  <c r="E152" i="39"/>
  <c r="H152" i="39" s="1"/>
  <c r="M151" i="39"/>
  <c r="P151" i="39" s="1"/>
  <c r="E151" i="39"/>
  <c r="H151" i="39" s="1"/>
  <c r="M150" i="39"/>
  <c r="P150" i="39" s="1"/>
  <c r="E150" i="39"/>
  <c r="H150" i="39" s="1"/>
  <c r="M149" i="39"/>
  <c r="P149" i="39" s="1"/>
  <c r="E149" i="39"/>
  <c r="H149" i="39" s="1"/>
  <c r="M148" i="39"/>
  <c r="P148" i="39" s="1"/>
  <c r="E148" i="39"/>
  <c r="H148" i="39" s="1"/>
  <c r="M147" i="39"/>
  <c r="P147" i="39" s="1"/>
  <c r="E147" i="39"/>
  <c r="H147" i="39" s="1"/>
  <c r="M146" i="39"/>
  <c r="P146" i="39" s="1"/>
  <c r="E146" i="39"/>
  <c r="H146" i="39" s="1"/>
  <c r="M145" i="39"/>
  <c r="P145" i="39" s="1"/>
  <c r="E145" i="39"/>
  <c r="H145" i="39" s="1"/>
  <c r="M144" i="39"/>
  <c r="P144" i="39" s="1"/>
  <c r="E144" i="39"/>
  <c r="H144" i="39" s="1"/>
  <c r="M143" i="39"/>
  <c r="P143" i="39" s="1"/>
  <c r="E143" i="39"/>
  <c r="H143" i="39" s="1"/>
  <c r="M142" i="39"/>
  <c r="P142" i="39" s="1"/>
  <c r="E142" i="39"/>
  <c r="H142" i="39" s="1"/>
  <c r="M141" i="39"/>
  <c r="P141" i="39" s="1"/>
  <c r="E141" i="39"/>
  <c r="H141" i="39" s="1"/>
  <c r="M140" i="39"/>
  <c r="P140" i="39" s="1"/>
  <c r="E140" i="39"/>
  <c r="H140" i="39" s="1"/>
  <c r="M139" i="39"/>
  <c r="P139" i="39" s="1"/>
  <c r="E139" i="39"/>
  <c r="H139" i="39" s="1"/>
  <c r="M138" i="39"/>
  <c r="P138" i="39" s="1"/>
  <c r="E138" i="39"/>
  <c r="H138" i="39" s="1"/>
  <c r="M137" i="39"/>
  <c r="P137" i="39" s="1"/>
  <c r="E137" i="39"/>
  <c r="H137" i="39" s="1"/>
  <c r="M136" i="39"/>
  <c r="P136" i="39" s="1"/>
  <c r="E136" i="39"/>
  <c r="H136" i="39" s="1"/>
  <c r="M135" i="39"/>
  <c r="P135" i="39" s="1"/>
  <c r="E135" i="39"/>
  <c r="H135" i="39" s="1"/>
  <c r="M134" i="39"/>
  <c r="P134" i="39" s="1"/>
  <c r="E134" i="39"/>
  <c r="H134" i="39" s="1"/>
  <c r="M133" i="39"/>
  <c r="P133" i="39" s="1"/>
  <c r="E133" i="39"/>
  <c r="H133" i="39" s="1"/>
  <c r="M132" i="39"/>
  <c r="P132" i="39" s="1"/>
  <c r="E132" i="39"/>
  <c r="H132" i="39" s="1"/>
  <c r="M119" i="39"/>
  <c r="E119" i="39"/>
  <c r="M118" i="39"/>
  <c r="P118" i="39" s="1"/>
  <c r="E118" i="39"/>
  <c r="H118" i="39" s="1"/>
  <c r="M117" i="39"/>
  <c r="P117" i="39" s="1"/>
  <c r="E117" i="39"/>
  <c r="H117" i="39" s="1"/>
  <c r="M116" i="39"/>
  <c r="P116" i="39" s="1"/>
  <c r="E116" i="39"/>
  <c r="H116" i="39" s="1"/>
  <c r="M115" i="39"/>
  <c r="P115" i="39" s="1"/>
  <c r="E115" i="39"/>
  <c r="H115" i="39" s="1"/>
  <c r="M114" i="39"/>
  <c r="P114" i="39" s="1"/>
  <c r="E114" i="39"/>
  <c r="H114" i="39" s="1"/>
  <c r="M113" i="39"/>
  <c r="P113" i="39" s="1"/>
  <c r="E113" i="39"/>
  <c r="H113" i="39" s="1"/>
  <c r="M112" i="39"/>
  <c r="P112" i="39" s="1"/>
  <c r="E112" i="39"/>
  <c r="H112" i="39" s="1"/>
  <c r="M111" i="39"/>
  <c r="P111" i="39" s="1"/>
  <c r="E111" i="39"/>
  <c r="H111" i="39" s="1"/>
  <c r="M110" i="39"/>
  <c r="P110" i="39" s="1"/>
  <c r="E110" i="39"/>
  <c r="H110" i="39" s="1"/>
  <c r="M109" i="39"/>
  <c r="P109" i="39" s="1"/>
  <c r="E109" i="39"/>
  <c r="H109" i="39" s="1"/>
  <c r="M108" i="39"/>
  <c r="P108" i="39" s="1"/>
  <c r="E108" i="39"/>
  <c r="H108" i="39" s="1"/>
  <c r="M107" i="39"/>
  <c r="P107" i="39" s="1"/>
  <c r="E107" i="39"/>
  <c r="H107" i="39" s="1"/>
  <c r="M106" i="39"/>
  <c r="P106" i="39" s="1"/>
  <c r="E106" i="39"/>
  <c r="H106" i="39" s="1"/>
  <c r="M105" i="39"/>
  <c r="P105" i="39" s="1"/>
  <c r="E105" i="39"/>
  <c r="H105" i="39" s="1"/>
  <c r="M104" i="39"/>
  <c r="P104" i="39" s="1"/>
  <c r="E104" i="39"/>
  <c r="H104" i="39" s="1"/>
  <c r="M103" i="39"/>
  <c r="P103" i="39" s="1"/>
  <c r="E103" i="39"/>
  <c r="H103" i="39" s="1"/>
  <c r="M102" i="39"/>
  <c r="P102" i="39" s="1"/>
  <c r="E102" i="39"/>
  <c r="H102" i="39" s="1"/>
  <c r="M101" i="39"/>
  <c r="P101" i="39" s="1"/>
  <c r="E101" i="39"/>
  <c r="H101" i="39" s="1"/>
  <c r="M100" i="39"/>
  <c r="P100" i="39" s="1"/>
  <c r="E100" i="39"/>
  <c r="H100" i="39" s="1"/>
  <c r="M99" i="39"/>
  <c r="P99" i="39" s="1"/>
  <c r="E99" i="39"/>
  <c r="H99" i="39" s="1"/>
  <c r="M98" i="39"/>
  <c r="P98" i="39" s="1"/>
  <c r="E98" i="39"/>
  <c r="H98" i="39" s="1"/>
  <c r="M97" i="39"/>
  <c r="P97" i="39" s="1"/>
  <c r="E97" i="39"/>
  <c r="H97" i="39" s="1"/>
  <c r="M96" i="39"/>
  <c r="P96" i="39" s="1"/>
  <c r="E96" i="39"/>
  <c r="H96" i="39" s="1"/>
  <c r="M95" i="39"/>
  <c r="P95" i="39" s="1"/>
  <c r="E95" i="39"/>
  <c r="H95" i="39" s="1"/>
  <c r="M94" i="39"/>
  <c r="P94" i="39" s="1"/>
  <c r="E94" i="39"/>
  <c r="H94" i="39" s="1"/>
  <c r="M93" i="39"/>
  <c r="P93" i="39" s="1"/>
  <c r="E93" i="39"/>
  <c r="H93" i="39" s="1"/>
  <c r="M92" i="39"/>
  <c r="P92" i="39" s="1"/>
  <c r="E92" i="39"/>
  <c r="H92" i="39" s="1"/>
  <c r="E91" i="39"/>
  <c r="H91" i="39" s="1"/>
  <c r="E90" i="39"/>
  <c r="H90" i="39" s="1"/>
  <c r="E89" i="39"/>
  <c r="H89" i="39" s="1"/>
  <c r="M88" i="39"/>
  <c r="P88" i="39" s="1"/>
  <c r="E88" i="39"/>
  <c r="H88" i="39" s="1"/>
  <c r="M87" i="39"/>
  <c r="P87" i="39" s="1"/>
  <c r="E87" i="39"/>
  <c r="H87" i="39" s="1"/>
  <c r="M86" i="39"/>
  <c r="P86" i="39" s="1"/>
  <c r="E86" i="39"/>
  <c r="H86" i="39" s="1"/>
  <c r="M85" i="39"/>
  <c r="P85" i="39" s="1"/>
  <c r="E85" i="39"/>
  <c r="H85" i="39" s="1"/>
  <c r="M84" i="39"/>
  <c r="P84" i="39" s="1"/>
  <c r="E84" i="39"/>
  <c r="H84" i="39" s="1"/>
  <c r="M83" i="39"/>
  <c r="P83" i="39" s="1"/>
  <c r="E83" i="39"/>
  <c r="H83" i="39" s="1"/>
  <c r="M82" i="39"/>
  <c r="P82" i="39" s="1"/>
  <c r="E82" i="39"/>
  <c r="H82" i="39" s="1"/>
  <c r="M81" i="39"/>
  <c r="P81" i="39" s="1"/>
  <c r="E81" i="39"/>
  <c r="H81" i="39" s="1"/>
  <c r="M80" i="39"/>
  <c r="P80" i="39" s="1"/>
  <c r="E80" i="39"/>
  <c r="H80" i="39" s="1"/>
  <c r="M79" i="39"/>
  <c r="P79" i="39" s="1"/>
  <c r="E79" i="39"/>
  <c r="H79" i="39" s="1"/>
  <c r="M78" i="39"/>
  <c r="P78" i="39" s="1"/>
  <c r="E78" i="39"/>
  <c r="H78" i="39" s="1"/>
  <c r="M77" i="39"/>
  <c r="P77" i="39" s="1"/>
  <c r="E77" i="39"/>
  <c r="H77" i="39" s="1"/>
  <c r="M76" i="39"/>
  <c r="P76" i="39" s="1"/>
  <c r="E76" i="39"/>
  <c r="H76" i="39" s="1"/>
  <c r="M75" i="39"/>
  <c r="P75" i="39" s="1"/>
  <c r="E75" i="39"/>
  <c r="H75" i="39" s="1"/>
  <c r="M74" i="39"/>
  <c r="P74" i="39" s="1"/>
  <c r="E74" i="39"/>
  <c r="H74" i="39" s="1"/>
  <c r="M73" i="39"/>
  <c r="P73" i="39" s="1"/>
  <c r="E73" i="39"/>
  <c r="H73" i="39" s="1"/>
  <c r="M72" i="39"/>
  <c r="P72" i="39" s="1"/>
  <c r="E72" i="39"/>
  <c r="H72" i="39" s="1"/>
  <c r="M59" i="39"/>
  <c r="E59" i="39"/>
  <c r="H59" i="39" s="1"/>
  <c r="M58" i="39"/>
  <c r="P58" i="39" s="1"/>
  <c r="E58" i="39"/>
  <c r="H58" i="39" s="1"/>
  <c r="M57" i="39"/>
  <c r="P57" i="39" s="1"/>
  <c r="E57" i="39"/>
  <c r="H57" i="39" s="1"/>
  <c r="M56" i="39"/>
  <c r="P56" i="39" s="1"/>
  <c r="E56" i="39"/>
  <c r="H56" i="39" s="1"/>
  <c r="M55" i="39"/>
  <c r="P55" i="39" s="1"/>
  <c r="E55" i="39"/>
  <c r="H55" i="39" s="1"/>
  <c r="M54" i="39"/>
  <c r="P54" i="39" s="1"/>
  <c r="E54" i="39"/>
  <c r="H54" i="39" s="1"/>
  <c r="M53" i="39"/>
  <c r="P53" i="39" s="1"/>
  <c r="E53" i="39"/>
  <c r="H53" i="39" s="1"/>
  <c r="M52" i="39"/>
  <c r="P52" i="39" s="1"/>
  <c r="E52" i="39"/>
  <c r="H52" i="39" s="1"/>
  <c r="M51" i="39"/>
  <c r="P51" i="39" s="1"/>
  <c r="E51" i="39"/>
  <c r="H51" i="39" s="1"/>
  <c r="M50" i="39"/>
  <c r="P50" i="39" s="1"/>
  <c r="E50" i="39"/>
  <c r="H50" i="39" s="1"/>
  <c r="M49" i="39"/>
  <c r="P49" i="39" s="1"/>
  <c r="E49" i="39"/>
  <c r="H49" i="39" s="1"/>
  <c r="M48" i="39"/>
  <c r="P48" i="39" s="1"/>
  <c r="E48" i="39"/>
  <c r="H48" i="39" s="1"/>
  <c r="M47" i="39"/>
  <c r="P47" i="39" s="1"/>
  <c r="E47" i="39"/>
  <c r="H47" i="39" s="1"/>
  <c r="M46" i="39"/>
  <c r="P46" i="39" s="1"/>
  <c r="E46" i="39"/>
  <c r="H46" i="39" s="1"/>
  <c r="M45" i="39"/>
  <c r="P45" i="39" s="1"/>
  <c r="E45" i="39"/>
  <c r="H45" i="39" s="1"/>
  <c r="M44" i="39"/>
  <c r="P44" i="39" s="1"/>
  <c r="E44" i="39"/>
  <c r="H44" i="39" s="1"/>
  <c r="M43" i="39"/>
  <c r="P43" i="39" s="1"/>
  <c r="E43" i="39"/>
  <c r="H43" i="39" s="1"/>
  <c r="M42" i="39"/>
  <c r="P42" i="39" s="1"/>
  <c r="E42" i="39"/>
  <c r="H42" i="39" s="1"/>
  <c r="M41" i="39"/>
  <c r="P41" i="39" s="1"/>
  <c r="E41" i="39"/>
  <c r="H41" i="39" s="1"/>
  <c r="M40" i="39"/>
  <c r="P40" i="39" s="1"/>
  <c r="E40" i="39"/>
  <c r="H40" i="39" s="1"/>
  <c r="M39" i="39"/>
  <c r="P39" i="39" s="1"/>
  <c r="E39" i="39"/>
  <c r="H39" i="39" s="1"/>
  <c r="M38" i="39"/>
  <c r="P38" i="39" s="1"/>
  <c r="E38" i="39"/>
  <c r="H38" i="39" s="1"/>
  <c r="M37" i="39"/>
  <c r="P37" i="39" s="1"/>
  <c r="E37" i="39"/>
  <c r="H37" i="39" s="1"/>
  <c r="M36" i="39"/>
  <c r="P36" i="39" s="1"/>
  <c r="E36" i="39"/>
  <c r="H36" i="39" s="1"/>
  <c r="M35" i="39"/>
  <c r="P35" i="39" s="1"/>
  <c r="E35" i="39"/>
  <c r="H35" i="39" s="1"/>
  <c r="M34" i="39"/>
  <c r="P34" i="39" s="1"/>
  <c r="E34" i="39"/>
  <c r="H34" i="39" s="1"/>
  <c r="M33" i="39"/>
  <c r="P33" i="39" s="1"/>
  <c r="E33" i="39"/>
  <c r="H33" i="39" s="1"/>
  <c r="M32" i="39"/>
  <c r="P32" i="39" s="1"/>
  <c r="E32" i="39"/>
  <c r="H32" i="39" s="1"/>
  <c r="M31" i="39"/>
  <c r="P31" i="39" s="1"/>
  <c r="E31" i="39"/>
  <c r="H31" i="39" s="1"/>
  <c r="M30" i="39"/>
  <c r="P30" i="39" s="1"/>
  <c r="E30" i="39"/>
  <c r="H30" i="39" s="1"/>
  <c r="M29" i="39"/>
  <c r="P29" i="39" s="1"/>
  <c r="E29" i="39"/>
  <c r="H29" i="39" s="1"/>
  <c r="M28" i="39"/>
  <c r="P28" i="39" s="1"/>
  <c r="E28" i="39"/>
  <c r="H28" i="39" s="1"/>
  <c r="M27" i="39"/>
  <c r="P27" i="39" s="1"/>
  <c r="E27" i="39"/>
  <c r="H27" i="39" s="1"/>
  <c r="M26" i="39"/>
  <c r="P26" i="39" s="1"/>
  <c r="E26" i="39"/>
  <c r="H26" i="39" s="1"/>
  <c r="M25" i="39"/>
  <c r="P25" i="39" s="1"/>
  <c r="E25" i="39"/>
  <c r="H25" i="39" s="1"/>
  <c r="M24" i="39"/>
  <c r="P24" i="39" s="1"/>
  <c r="E24" i="39"/>
  <c r="H24" i="39" s="1"/>
  <c r="M23" i="39"/>
  <c r="P23" i="39" s="1"/>
  <c r="E23" i="39"/>
  <c r="H23" i="39" s="1"/>
  <c r="M22" i="39"/>
  <c r="P22" i="39" s="1"/>
  <c r="E22" i="39"/>
  <c r="H22" i="39" s="1"/>
  <c r="M21" i="39"/>
  <c r="P21" i="39" s="1"/>
  <c r="E21" i="39"/>
  <c r="H21" i="39" s="1"/>
  <c r="M20" i="39"/>
  <c r="P20" i="39" s="1"/>
  <c r="E20" i="39"/>
  <c r="H20" i="39" s="1"/>
  <c r="M19" i="39"/>
  <c r="P19" i="39" s="1"/>
  <c r="E19" i="39"/>
  <c r="H19" i="39" s="1"/>
  <c r="M18" i="39"/>
  <c r="P18" i="39" s="1"/>
  <c r="E18" i="39"/>
  <c r="H18" i="39" s="1"/>
  <c r="M17" i="39"/>
  <c r="P17" i="39" s="1"/>
  <c r="E17" i="39"/>
  <c r="H17" i="39" s="1"/>
  <c r="M16" i="39"/>
  <c r="P16" i="39" s="1"/>
  <c r="E16" i="39"/>
  <c r="H16" i="39" s="1"/>
  <c r="M15" i="39"/>
  <c r="P15" i="39" s="1"/>
  <c r="E15" i="39"/>
  <c r="H15" i="39" s="1"/>
  <c r="M14" i="39"/>
  <c r="P14" i="39" s="1"/>
  <c r="E14" i="39"/>
  <c r="H14" i="39" s="1"/>
  <c r="M13" i="39"/>
  <c r="P13" i="39" s="1"/>
  <c r="E13" i="39"/>
  <c r="H13" i="39" s="1"/>
  <c r="M12" i="39"/>
  <c r="P12" i="39" s="1"/>
  <c r="E12" i="39"/>
  <c r="H12" i="39" s="1"/>
  <c r="L179" i="39"/>
  <c r="D179" i="39"/>
  <c r="L178" i="39"/>
  <c r="D178" i="39"/>
  <c r="L177" i="39"/>
  <c r="D177" i="39"/>
  <c r="L176" i="39"/>
  <c r="D176" i="39"/>
  <c r="L175" i="39"/>
  <c r="D175" i="39"/>
  <c r="L174" i="39"/>
  <c r="D174" i="39"/>
  <c r="L173" i="39"/>
  <c r="D173" i="39"/>
  <c r="L172" i="39"/>
  <c r="D172" i="39"/>
  <c r="L171" i="39"/>
  <c r="D171" i="39"/>
  <c r="L170" i="39"/>
  <c r="D170" i="39"/>
  <c r="L169" i="39"/>
  <c r="D169" i="39"/>
  <c r="L168" i="39"/>
  <c r="D168" i="39"/>
  <c r="L167" i="39"/>
  <c r="D167" i="39"/>
  <c r="L166" i="39"/>
  <c r="D166" i="39"/>
  <c r="L165" i="39"/>
  <c r="D165" i="39"/>
  <c r="L164" i="39"/>
  <c r="D164" i="39"/>
  <c r="L163" i="39"/>
  <c r="D163" i="39"/>
  <c r="L162" i="39"/>
  <c r="D162" i="39"/>
  <c r="L161" i="39"/>
  <c r="D161" i="39"/>
  <c r="L160" i="39"/>
  <c r="D160" i="39"/>
  <c r="L159" i="39"/>
  <c r="D159" i="39"/>
  <c r="L158" i="39"/>
  <c r="D158" i="39"/>
  <c r="L157" i="39"/>
  <c r="D157" i="39"/>
  <c r="L156" i="39"/>
  <c r="D156" i="39"/>
  <c r="L155" i="39"/>
  <c r="D155" i="39"/>
  <c r="L154" i="39"/>
  <c r="D154" i="39"/>
  <c r="L153" i="39"/>
  <c r="D153" i="39"/>
  <c r="L152" i="39"/>
  <c r="D152" i="39"/>
  <c r="L151" i="39"/>
  <c r="D151" i="39"/>
  <c r="L150" i="39"/>
  <c r="D150" i="39"/>
  <c r="L149" i="39"/>
  <c r="D149" i="39"/>
  <c r="L148" i="39"/>
  <c r="D148" i="39"/>
  <c r="L147" i="39"/>
  <c r="D147" i="39"/>
  <c r="L146" i="39"/>
  <c r="D146" i="39"/>
  <c r="L145" i="39"/>
  <c r="D145" i="39"/>
  <c r="L144" i="39"/>
  <c r="D144" i="39"/>
  <c r="L143" i="39"/>
  <c r="D143" i="39"/>
  <c r="L142" i="39"/>
  <c r="D142" i="39"/>
  <c r="L141" i="39"/>
  <c r="D141" i="39"/>
  <c r="L140" i="39"/>
  <c r="D140" i="39"/>
  <c r="L139" i="39"/>
  <c r="D139" i="39"/>
  <c r="L138" i="39"/>
  <c r="D138" i="39"/>
  <c r="L137" i="39"/>
  <c r="D137" i="39"/>
  <c r="L136" i="39"/>
  <c r="D136" i="39"/>
  <c r="L135" i="39"/>
  <c r="D135" i="39"/>
  <c r="L134" i="39"/>
  <c r="D134" i="39"/>
  <c r="L133" i="39"/>
  <c r="D133" i="39"/>
  <c r="L132" i="39"/>
  <c r="D132" i="39"/>
  <c r="L119" i="39"/>
  <c r="D119" i="39"/>
  <c r="L118" i="39"/>
  <c r="D118" i="39"/>
  <c r="L117" i="39"/>
  <c r="D117" i="39"/>
  <c r="L116" i="39"/>
  <c r="D116" i="39"/>
  <c r="L115" i="39"/>
  <c r="D115" i="39"/>
  <c r="L114" i="39"/>
  <c r="D114" i="39"/>
  <c r="L113" i="39"/>
  <c r="D113" i="39"/>
  <c r="L112" i="39"/>
  <c r="D112" i="39"/>
  <c r="L111" i="39"/>
  <c r="D111" i="39"/>
  <c r="L110" i="39"/>
  <c r="D110" i="39"/>
  <c r="L109" i="39"/>
  <c r="D109" i="39"/>
  <c r="L108" i="39"/>
  <c r="D108" i="39"/>
  <c r="L107" i="39"/>
  <c r="D107" i="39"/>
  <c r="L106" i="39"/>
  <c r="D106" i="39"/>
  <c r="L105" i="39"/>
  <c r="D105" i="39"/>
  <c r="L104" i="39"/>
  <c r="D104" i="39"/>
  <c r="L103" i="39"/>
  <c r="D103" i="39"/>
  <c r="L102" i="39"/>
  <c r="D102" i="39"/>
  <c r="L101" i="39"/>
  <c r="D101" i="39"/>
  <c r="L100" i="39"/>
  <c r="D100" i="39"/>
  <c r="L99" i="39"/>
  <c r="D99" i="39"/>
  <c r="L98" i="39"/>
  <c r="D98" i="39"/>
  <c r="L97" i="39"/>
  <c r="D97" i="39"/>
  <c r="L96" i="39"/>
  <c r="D96" i="39"/>
  <c r="L95" i="39"/>
  <c r="D95" i="39"/>
  <c r="L94" i="39"/>
  <c r="D94" i="39"/>
  <c r="L93" i="39"/>
  <c r="D93" i="39"/>
  <c r="L92" i="39"/>
  <c r="D92" i="39"/>
  <c r="D91" i="39"/>
  <c r="D90" i="39"/>
  <c r="D89" i="39"/>
  <c r="L88" i="39"/>
  <c r="D88" i="39"/>
  <c r="L87" i="39"/>
  <c r="D87" i="39"/>
  <c r="L86" i="39"/>
  <c r="D86" i="39"/>
  <c r="L85" i="39"/>
  <c r="D85" i="39"/>
  <c r="L84" i="39"/>
  <c r="D84" i="39"/>
  <c r="L83" i="39"/>
  <c r="D83" i="39"/>
  <c r="L82" i="39"/>
  <c r="D82" i="39"/>
  <c r="L81" i="39"/>
  <c r="D81" i="39"/>
  <c r="L80" i="39"/>
  <c r="D80" i="39"/>
  <c r="L79" i="39"/>
  <c r="D79" i="39"/>
  <c r="L78" i="39"/>
  <c r="D78" i="39"/>
  <c r="L77" i="39"/>
  <c r="D77" i="39"/>
  <c r="L76" i="39"/>
  <c r="D76" i="39"/>
  <c r="L75" i="39"/>
  <c r="D75" i="39"/>
  <c r="L74" i="39"/>
  <c r="D74" i="39"/>
  <c r="L73" i="39"/>
  <c r="D73" i="39"/>
  <c r="L72" i="39"/>
  <c r="D72" i="39"/>
  <c r="L59" i="39"/>
  <c r="D59" i="39"/>
  <c r="L58" i="39"/>
  <c r="D58" i="39"/>
  <c r="L57" i="39"/>
  <c r="D57" i="39"/>
  <c r="L56" i="39"/>
  <c r="D56" i="39"/>
  <c r="L55" i="39"/>
  <c r="D55" i="39"/>
  <c r="L54" i="39"/>
  <c r="D54" i="39"/>
  <c r="L53" i="39"/>
  <c r="D53" i="39"/>
  <c r="L52" i="39"/>
  <c r="D52" i="39"/>
  <c r="L51" i="39"/>
  <c r="D51" i="39"/>
  <c r="L50" i="39"/>
  <c r="D50" i="39"/>
  <c r="L49" i="39"/>
  <c r="D49" i="39"/>
  <c r="L48" i="39"/>
  <c r="D48" i="39"/>
  <c r="L47" i="39"/>
  <c r="D47" i="39"/>
  <c r="L46" i="39"/>
  <c r="D46" i="39"/>
  <c r="L45" i="39"/>
  <c r="D45" i="39"/>
  <c r="L44" i="39"/>
  <c r="D44" i="39"/>
  <c r="L43" i="39"/>
  <c r="D43" i="39"/>
  <c r="L42" i="39"/>
  <c r="D42" i="39"/>
  <c r="L41" i="39"/>
  <c r="D41" i="39"/>
  <c r="L40" i="39"/>
  <c r="D40" i="39"/>
  <c r="L39" i="39"/>
  <c r="D39" i="39"/>
  <c r="L38" i="39"/>
  <c r="D38" i="39"/>
  <c r="L37" i="39"/>
  <c r="D37" i="39"/>
  <c r="L36" i="39"/>
  <c r="D36" i="39"/>
  <c r="L35" i="39"/>
  <c r="D35" i="39"/>
  <c r="L34" i="39"/>
  <c r="D34" i="39"/>
  <c r="L33" i="39"/>
  <c r="D33" i="39"/>
  <c r="L32" i="39"/>
  <c r="D32" i="39"/>
  <c r="L31" i="39"/>
  <c r="D31" i="39"/>
  <c r="L30" i="39"/>
  <c r="D30" i="39"/>
  <c r="L29" i="39"/>
  <c r="D29" i="39"/>
  <c r="L28" i="39"/>
  <c r="D28" i="39"/>
  <c r="L27" i="39"/>
  <c r="D27" i="39"/>
  <c r="L26" i="39"/>
  <c r="D26" i="39"/>
  <c r="L25" i="39"/>
  <c r="D25" i="39"/>
  <c r="L24" i="39"/>
  <c r="D24" i="39"/>
  <c r="L23" i="39"/>
  <c r="D23" i="39"/>
  <c r="L22" i="39"/>
  <c r="D22" i="39"/>
  <c r="L21" i="39"/>
  <c r="D21" i="39"/>
  <c r="L20" i="39"/>
  <c r="D20" i="39"/>
  <c r="L19" i="39"/>
  <c r="D19" i="39"/>
  <c r="L18" i="39"/>
  <c r="D18" i="39"/>
  <c r="L17" i="39"/>
  <c r="D17" i="39"/>
  <c r="L16" i="39"/>
  <c r="D16" i="39"/>
  <c r="L15" i="39"/>
  <c r="D15" i="39"/>
  <c r="L14" i="39"/>
  <c r="D14" i="39"/>
  <c r="L13" i="39"/>
  <c r="D13" i="39"/>
  <c r="L12" i="39"/>
  <c r="D12" i="39"/>
  <c r="M129" i="39"/>
  <c r="E129" i="39"/>
  <c r="M128" i="39"/>
  <c r="E128" i="39"/>
  <c r="J127" i="39"/>
  <c r="B127" i="39"/>
  <c r="M69" i="39"/>
  <c r="E69" i="39"/>
  <c r="M68" i="39"/>
  <c r="E68" i="39"/>
  <c r="J67" i="39"/>
  <c r="B67" i="39"/>
  <c r="M10" i="39"/>
  <c r="E70" i="39" s="1"/>
  <c r="M70" i="39" s="1"/>
  <c r="E130" i="39" s="1"/>
  <c r="M130" i="39" s="1"/>
  <c r="M9" i="39"/>
  <c r="M8" i="39"/>
  <c r="J7" i="39"/>
  <c r="B7" i="39"/>
  <c r="O547" i="15" l="1"/>
  <c r="G547" i="15"/>
  <c r="M67" i="39"/>
  <c r="M7" i="39"/>
  <c r="M127" i="39"/>
  <c r="E67" i="39"/>
  <c r="E127" i="39"/>
  <c r="E67" i="40"/>
  <c r="M127" i="40"/>
  <c r="M67" i="40"/>
  <c r="E127" i="40"/>
  <c r="E7" i="38"/>
  <c r="E67" i="38" s="1"/>
  <c r="N179" i="38"/>
  <c r="F119" i="38"/>
  <c r="N59" i="38"/>
  <c r="F59" i="38"/>
  <c r="M179" i="38"/>
  <c r="E179" i="38"/>
  <c r="M178" i="38"/>
  <c r="P178" i="38" s="1"/>
  <c r="E178" i="38"/>
  <c r="H178" i="38" s="1"/>
  <c r="M177" i="38"/>
  <c r="P177" i="38" s="1"/>
  <c r="E177" i="38"/>
  <c r="H177" i="38" s="1"/>
  <c r="M176" i="38"/>
  <c r="P176" i="38" s="1"/>
  <c r="E176" i="38"/>
  <c r="H176" i="38" s="1"/>
  <c r="M175" i="38"/>
  <c r="P175" i="38" s="1"/>
  <c r="E175" i="38"/>
  <c r="H175" i="38" s="1"/>
  <c r="M174" i="38"/>
  <c r="P174" i="38" s="1"/>
  <c r="E174" i="38"/>
  <c r="H174" i="38" s="1"/>
  <c r="M173" i="38"/>
  <c r="P173" i="38" s="1"/>
  <c r="E173" i="38"/>
  <c r="H173" i="38" s="1"/>
  <c r="M172" i="38"/>
  <c r="P172" i="38" s="1"/>
  <c r="E172" i="38"/>
  <c r="H172" i="38" s="1"/>
  <c r="M171" i="38"/>
  <c r="P171" i="38" s="1"/>
  <c r="E171" i="38"/>
  <c r="H171" i="38" s="1"/>
  <c r="M170" i="38"/>
  <c r="P170" i="38" s="1"/>
  <c r="E170" i="38"/>
  <c r="H170" i="38" s="1"/>
  <c r="M169" i="38"/>
  <c r="P169" i="38" s="1"/>
  <c r="E169" i="38"/>
  <c r="H169" i="38" s="1"/>
  <c r="M168" i="38"/>
  <c r="P168" i="38" s="1"/>
  <c r="E168" i="38"/>
  <c r="H168" i="38" s="1"/>
  <c r="M167" i="38"/>
  <c r="P167" i="38" s="1"/>
  <c r="E167" i="38"/>
  <c r="H167" i="38" s="1"/>
  <c r="M166" i="38"/>
  <c r="P166" i="38" s="1"/>
  <c r="E166" i="38"/>
  <c r="H166" i="38" s="1"/>
  <c r="M165" i="38"/>
  <c r="P165" i="38" s="1"/>
  <c r="E165" i="38"/>
  <c r="H165" i="38" s="1"/>
  <c r="M164" i="38"/>
  <c r="P164" i="38" s="1"/>
  <c r="E164" i="38"/>
  <c r="H164" i="38" s="1"/>
  <c r="M163" i="38"/>
  <c r="P163" i="38" s="1"/>
  <c r="E163" i="38"/>
  <c r="H163" i="38" s="1"/>
  <c r="M162" i="38"/>
  <c r="P162" i="38" s="1"/>
  <c r="E162" i="38"/>
  <c r="H162" i="38" s="1"/>
  <c r="M161" i="38"/>
  <c r="P161" i="38" s="1"/>
  <c r="E161" i="38"/>
  <c r="H161" i="38" s="1"/>
  <c r="M160" i="38"/>
  <c r="P160" i="38" s="1"/>
  <c r="E160" i="38"/>
  <c r="H160" i="38" s="1"/>
  <c r="M159" i="38"/>
  <c r="P159" i="38" s="1"/>
  <c r="E159" i="38"/>
  <c r="H159" i="38" s="1"/>
  <c r="M158" i="38"/>
  <c r="P158" i="38" s="1"/>
  <c r="E158" i="38"/>
  <c r="H158" i="38" s="1"/>
  <c r="M157" i="38"/>
  <c r="P157" i="38" s="1"/>
  <c r="E157" i="38"/>
  <c r="H157" i="38" s="1"/>
  <c r="M156" i="38"/>
  <c r="P156" i="38" s="1"/>
  <c r="E156" i="38"/>
  <c r="H156" i="38" s="1"/>
  <c r="M155" i="38"/>
  <c r="P155" i="38" s="1"/>
  <c r="E155" i="38"/>
  <c r="H155" i="38" s="1"/>
  <c r="M154" i="38"/>
  <c r="P154" i="38" s="1"/>
  <c r="E154" i="38"/>
  <c r="H154" i="38" s="1"/>
  <c r="M153" i="38"/>
  <c r="P153" i="38" s="1"/>
  <c r="E153" i="38"/>
  <c r="H153" i="38" s="1"/>
  <c r="M152" i="38"/>
  <c r="P152" i="38" s="1"/>
  <c r="E152" i="38"/>
  <c r="H152" i="38" s="1"/>
  <c r="M151" i="38"/>
  <c r="P151" i="38" s="1"/>
  <c r="E151" i="38"/>
  <c r="H151" i="38" s="1"/>
  <c r="M150" i="38"/>
  <c r="P150" i="38" s="1"/>
  <c r="E150" i="38"/>
  <c r="H150" i="38" s="1"/>
  <c r="M149" i="38"/>
  <c r="P149" i="38" s="1"/>
  <c r="E149" i="38"/>
  <c r="H149" i="38" s="1"/>
  <c r="M148" i="38"/>
  <c r="P148" i="38" s="1"/>
  <c r="E148" i="38"/>
  <c r="H148" i="38" s="1"/>
  <c r="M147" i="38"/>
  <c r="P147" i="38" s="1"/>
  <c r="E147" i="38"/>
  <c r="H147" i="38" s="1"/>
  <c r="M146" i="38"/>
  <c r="P146" i="38" s="1"/>
  <c r="E146" i="38"/>
  <c r="H146" i="38" s="1"/>
  <c r="M145" i="38"/>
  <c r="P145" i="38" s="1"/>
  <c r="E145" i="38"/>
  <c r="H145" i="38" s="1"/>
  <c r="M144" i="38"/>
  <c r="P144" i="38" s="1"/>
  <c r="E144" i="38"/>
  <c r="H144" i="38" s="1"/>
  <c r="M143" i="38"/>
  <c r="P143" i="38" s="1"/>
  <c r="E143" i="38"/>
  <c r="H143" i="38" s="1"/>
  <c r="M142" i="38"/>
  <c r="P142" i="38" s="1"/>
  <c r="E142" i="38"/>
  <c r="H142" i="38" s="1"/>
  <c r="M141" i="38"/>
  <c r="P141" i="38" s="1"/>
  <c r="E141" i="38"/>
  <c r="H141" i="38" s="1"/>
  <c r="M140" i="38"/>
  <c r="P140" i="38" s="1"/>
  <c r="E140" i="38"/>
  <c r="H140" i="38" s="1"/>
  <c r="M139" i="38"/>
  <c r="P139" i="38" s="1"/>
  <c r="E139" i="38"/>
  <c r="H139" i="38" s="1"/>
  <c r="M138" i="38"/>
  <c r="P138" i="38" s="1"/>
  <c r="E138" i="38"/>
  <c r="H138" i="38" s="1"/>
  <c r="M137" i="38"/>
  <c r="P137" i="38" s="1"/>
  <c r="E137" i="38"/>
  <c r="H137" i="38" s="1"/>
  <c r="M136" i="38"/>
  <c r="P136" i="38" s="1"/>
  <c r="E136" i="38"/>
  <c r="H136" i="38" s="1"/>
  <c r="M135" i="38"/>
  <c r="P135" i="38" s="1"/>
  <c r="E135" i="38"/>
  <c r="H135" i="38" s="1"/>
  <c r="M134" i="38"/>
  <c r="P134" i="38" s="1"/>
  <c r="E134" i="38"/>
  <c r="H134" i="38" s="1"/>
  <c r="M133" i="38"/>
  <c r="P133" i="38" s="1"/>
  <c r="E133" i="38"/>
  <c r="H133" i="38" s="1"/>
  <c r="M132" i="38"/>
  <c r="P132" i="38" s="1"/>
  <c r="E132" i="38"/>
  <c r="H132" i="38" s="1"/>
  <c r="M119" i="38"/>
  <c r="E119" i="38"/>
  <c r="M118" i="38"/>
  <c r="P118" i="38" s="1"/>
  <c r="E118" i="38"/>
  <c r="H118" i="38" s="1"/>
  <c r="M117" i="38"/>
  <c r="P117" i="38" s="1"/>
  <c r="E117" i="38"/>
  <c r="H117" i="38" s="1"/>
  <c r="M116" i="38"/>
  <c r="P116" i="38" s="1"/>
  <c r="E116" i="38"/>
  <c r="H116" i="38" s="1"/>
  <c r="M115" i="38"/>
  <c r="P115" i="38" s="1"/>
  <c r="E115" i="38"/>
  <c r="H115" i="38" s="1"/>
  <c r="M114" i="38"/>
  <c r="P114" i="38" s="1"/>
  <c r="E114" i="38"/>
  <c r="H114" i="38" s="1"/>
  <c r="M113" i="38"/>
  <c r="P113" i="38" s="1"/>
  <c r="E113" i="38"/>
  <c r="H113" i="38" s="1"/>
  <c r="M112" i="38"/>
  <c r="P112" i="38" s="1"/>
  <c r="E112" i="38"/>
  <c r="H112" i="38" s="1"/>
  <c r="M111" i="38"/>
  <c r="P111" i="38" s="1"/>
  <c r="E111" i="38"/>
  <c r="H111" i="38" s="1"/>
  <c r="M110" i="38"/>
  <c r="P110" i="38" s="1"/>
  <c r="E110" i="38"/>
  <c r="H110" i="38" s="1"/>
  <c r="M109" i="38"/>
  <c r="P109" i="38" s="1"/>
  <c r="E109" i="38"/>
  <c r="H109" i="38" s="1"/>
  <c r="M108" i="38"/>
  <c r="P108" i="38" s="1"/>
  <c r="E108" i="38"/>
  <c r="H108" i="38" s="1"/>
  <c r="M107" i="38"/>
  <c r="P107" i="38" s="1"/>
  <c r="E107" i="38"/>
  <c r="H107" i="38" s="1"/>
  <c r="M106" i="38"/>
  <c r="P106" i="38" s="1"/>
  <c r="E106" i="38"/>
  <c r="H106" i="38" s="1"/>
  <c r="M105" i="38"/>
  <c r="P105" i="38" s="1"/>
  <c r="E105" i="38"/>
  <c r="H105" i="38" s="1"/>
  <c r="M104" i="38"/>
  <c r="P104" i="38" s="1"/>
  <c r="E104" i="38"/>
  <c r="H104" i="38" s="1"/>
  <c r="M103" i="38"/>
  <c r="P103" i="38" s="1"/>
  <c r="E103" i="38"/>
  <c r="H103" i="38" s="1"/>
  <c r="M102" i="38"/>
  <c r="P102" i="38" s="1"/>
  <c r="E102" i="38"/>
  <c r="H102" i="38" s="1"/>
  <c r="M101" i="38"/>
  <c r="P101" i="38" s="1"/>
  <c r="E101" i="38"/>
  <c r="H101" i="38" s="1"/>
  <c r="M100" i="38"/>
  <c r="P100" i="38" s="1"/>
  <c r="E100" i="38"/>
  <c r="H100" i="38" s="1"/>
  <c r="M99" i="38"/>
  <c r="P99" i="38" s="1"/>
  <c r="E99" i="38"/>
  <c r="H99" i="38" s="1"/>
  <c r="M98" i="38"/>
  <c r="P98" i="38" s="1"/>
  <c r="E98" i="38"/>
  <c r="H98" i="38" s="1"/>
  <c r="M97" i="38"/>
  <c r="P97" i="38" s="1"/>
  <c r="E97" i="38"/>
  <c r="H97" i="38" s="1"/>
  <c r="M96" i="38"/>
  <c r="P96" i="38" s="1"/>
  <c r="E96" i="38"/>
  <c r="H96" i="38" s="1"/>
  <c r="M95" i="38"/>
  <c r="P95" i="38" s="1"/>
  <c r="E95" i="38"/>
  <c r="H95" i="38" s="1"/>
  <c r="M94" i="38"/>
  <c r="P94" i="38" s="1"/>
  <c r="E94" i="38"/>
  <c r="H94" i="38" s="1"/>
  <c r="M93" i="38"/>
  <c r="P93" i="38" s="1"/>
  <c r="E93" i="38"/>
  <c r="H93" i="38" s="1"/>
  <c r="M92" i="38"/>
  <c r="P92" i="38" s="1"/>
  <c r="E92" i="38"/>
  <c r="H92" i="38" s="1"/>
  <c r="M91" i="38"/>
  <c r="P91" i="38" s="1"/>
  <c r="E91" i="38"/>
  <c r="H91" i="38" s="1"/>
  <c r="M90" i="38"/>
  <c r="P90" i="38" s="1"/>
  <c r="E90" i="38"/>
  <c r="H90" i="38" s="1"/>
  <c r="M89" i="38"/>
  <c r="P89" i="38" s="1"/>
  <c r="E89" i="38"/>
  <c r="H89" i="38" s="1"/>
  <c r="M88" i="38"/>
  <c r="P88" i="38" s="1"/>
  <c r="E88" i="38"/>
  <c r="H88" i="38" s="1"/>
  <c r="M87" i="38"/>
  <c r="P87" i="38" s="1"/>
  <c r="E87" i="38"/>
  <c r="H87" i="38" s="1"/>
  <c r="M86" i="38"/>
  <c r="P86" i="38" s="1"/>
  <c r="E86" i="38"/>
  <c r="H86" i="38" s="1"/>
  <c r="M85" i="38"/>
  <c r="P85" i="38" s="1"/>
  <c r="E85" i="38"/>
  <c r="H85" i="38" s="1"/>
  <c r="M84" i="38"/>
  <c r="P84" i="38" s="1"/>
  <c r="E84" i="38"/>
  <c r="H84" i="38" s="1"/>
  <c r="M83" i="38"/>
  <c r="P83" i="38" s="1"/>
  <c r="E83" i="38"/>
  <c r="H83" i="38" s="1"/>
  <c r="M82" i="38"/>
  <c r="P82" i="38" s="1"/>
  <c r="E82" i="38"/>
  <c r="H82" i="38" s="1"/>
  <c r="M81" i="38"/>
  <c r="P81" i="38" s="1"/>
  <c r="E81" i="38"/>
  <c r="H81" i="38" s="1"/>
  <c r="M80" i="38"/>
  <c r="P80" i="38" s="1"/>
  <c r="E80" i="38"/>
  <c r="H80" i="38" s="1"/>
  <c r="M79" i="38"/>
  <c r="P79" i="38" s="1"/>
  <c r="E79" i="38"/>
  <c r="H79" i="38" s="1"/>
  <c r="M78" i="38"/>
  <c r="P78" i="38" s="1"/>
  <c r="E78" i="38"/>
  <c r="H78" i="38" s="1"/>
  <c r="M77" i="38"/>
  <c r="P77" i="38" s="1"/>
  <c r="E77" i="38"/>
  <c r="H77" i="38" s="1"/>
  <c r="M76" i="38"/>
  <c r="P76" i="38" s="1"/>
  <c r="E76" i="38"/>
  <c r="H76" i="38" s="1"/>
  <c r="M75" i="38"/>
  <c r="P75" i="38" s="1"/>
  <c r="E75" i="38"/>
  <c r="H75" i="38" s="1"/>
  <c r="M74" i="38"/>
  <c r="P74" i="38" s="1"/>
  <c r="E74" i="38"/>
  <c r="H74" i="38" s="1"/>
  <c r="M73" i="38"/>
  <c r="P73" i="38" s="1"/>
  <c r="E73" i="38"/>
  <c r="H73" i="38" s="1"/>
  <c r="M72" i="38"/>
  <c r="P72" i="38" s="1"/>
  <c r="E72" i="38"/>
  <c r="H72" i="38" s="1"/>
  <c r="M59" i="38"/>
  <c r="E59" i="38"/>
  <c r="H59" i="38" s="1"/>
  <c r="M58" i="38"/>
  <c r="P58" i="38" s="1"/>
  <c r="E58" i="38"/>
  <c r="H58" i="38" s="1"/>
  <c r="M57" i="38"/>
  <c r="P57" i="38" s="1"/>
  <c r="E57" i="38"/>
  <c r="H57" i="38" s="1"/>
  <c r="M56" i="38"/>
  <c r="P56" i="38" s="1"/>
  <c r="E56" i="38"/>
  <c r="H56" i="38" s="1"/>
  <c r="M55" i="38"/>
  <c r="P55" i="38" s="1"/>
  <c r="E55" i="38"/>
  <c r="H55" i="38" s="1"/>
  <c r="M54" i="38"/>
  <c r="P54" i="38" s="1"/>
  <c r="E54" i="38"/>
  <c r="H54" i="38" s="1"/>
  <c r="M53" i="38"/>
  <c r="P53" i="38" s="1"/>
  <c r="E53" i="38"/>
  <c r="H53" i="38" s="1"/>
  <c r="M52" i="38"/>
  <c r="P52" i="38" s="1"/>
  <c r="E52" i="38"/>
  <c r="H52" i="38" s="1"/>
  <c r="M51" i="38"/>
  <c r="P51" i="38" s="1"/>
  <c r="E51" i="38"/>
  <c r="H51" i="38" s="1"/>
  <c r="M50" i="38"/>
  <c r="P50" i="38" s="1"/>
  <c r="E50" i="38"/>
  <c r="H50" i="38" s="1"/>
  <c r="M49" i="38"/>
  <c r="P49" i="38" s="1"/>
  <c r="E49" i="38"/>
  <c r="H49" i="38" s="1"/>
  <c r="M48" i="38"/>
  <c r="P48" i="38" s="1"/>
  <c r="E48" i="38"/>
  <c r="H48" i="38" s="1"/>
  <c r="M47" i="38"/>
  <c r="P47" i="38" s="1"/>
  <c r="E47" i="38"/>
  <c r="H47" i="38" s="1"/>
  <c r="M46" i="38"/>
  <c r="P46" i="38" s="1"/>
  <c r="E46" i="38"/>
  <c r="H46" i="38" s="1"/>
  <c r="M45" i="38"/>
  <c r="P45" i="38" s="1"/>
  <c r="E45" i="38"/>
  <c r="H45" i="38" s="1"/>
  <c r="M44" i="38"/>
  <c r="P44" i="38" s="1"/>
  <c r="E44" i="38"/>
  <c r="H44" i="38" s="1"/>
  <c r="M43" i="38"/>
  <c r="P43" i="38" s="1"/>
  <c r="E43" i="38"/>
  <c r="H43" i="38" s="1"/>
  <c r="M42" i="38"/>
  <c r="P42" i="38" s="1"/>
  <c r="E42" i="38"/>
  <c r="H42" i="38" s="1"/>
  <c r="M41" i="38"/>
  <c r="P41" i="38" s="1"/>
  <c r="E41" i="38"/>
  <c r="H41" i="38" s="1"/>
  <c r="M40" i="38"/>
  <c r="P40" i="38" s="1"/>
  <c r="E40" i="38"/>
  <c r="H40" i="38" s="1"/>
  <c r="M39" i="38"/>
  <c r="P39" i="38" s="1"/>
  <c r="E39" i="38"/>
  <c r="H39" i="38" s="1"/>
  <c r="M38" i="38"/>
  <c r="P38" i="38" s="1"/>
  <c r="E38" i="38"/>
  <c r="H38" i="38" s="1"/>
  <c r="M37" i="38"/>
  <c r="P37" i="38" s="1"/>
  <c r="E37" i="38"/>
  <c r="H37" i="38" s="1"/>
  <c r="M36" i="38"/>
  <c r="P36" i="38" s="1"/>
  <c r="E36" i="38"/>
  <c r="H36" i="38" s="1"/>
  <c r="M35" i="38"/>
  <c r="P35" i="38" s="1"/>
  <c r="E35" i="38"/>
  <c r="H35" i="38" s="1"/>
  <c r="M34" i="38"/>
  <c r="P34" i="38" s="1"/>
  <c r="E34" i="38"/>
  <c r="H34" i="38" s="1"/>
  <c r="M33" i="38"/>
  <c r="P33" i="38" s="1"/>
  <c r="E33" i="38"/>
  <c r="H33" i="38" s="1"/>
  <c r="M32" i="38"/>
  <c r="P32" i="38" s="1"/>
  <c r="E32" i="38"/>
  <c r="H32" i="38" s="1"/>
  <c r="M31" i="38"/>
  <c r="P31" i="38" s="1"/>
  <c r="E31" i="38"/>
  <c r="H31" i="38" s="1"/>
  <c r="M30" i="38"/>
  <c r="P30" i="38" s="1"/>
  <c r="E30" i="38"/>
  <c r="H30" i="38" s="1"/>
  <c r="M29" i="38"/>
  <c r="P29" i="38" s="1"/>
  <c r="E29" i="38"/>
  <c r="H29" i="38" s="1"/>
  <c r="M28" i="38"/>
  <c r="P28" i="38" s="1"/>
  <c r="E28" i="38"/>
  <c r="H28" i="38" s="1"/>
  <c r="M27" i="38"/>
  <c r="P27" i="38" s="1"/>
  <c r="E27" i="38"/>
  <c r="H27" i="38" s="1"/>
  <c r="M26" i="38"/>
  <c r="P26" i="38" s="1"/>
  <c r="E26" i="38"/>
  <c r="H26" i="38" s="1"/>
  <c r="M25" i="38"/>
  <c r="P25" i="38" s="1"/>
  <c r="E25" i="38"/>
  <c r="H25" i="38" s="1"/>
  <c r="M24" i="38"/>
  <c r="P24" i="38" s="1"/>
  <c r="E24" i="38"/>
  <c r="H24" i="38" s="1"/>
  <c r="M23" i="38"/>
  <c r="P23" i="38" s="1"/>
  <c r="E23" i="38"/>
  <c r="H23" i="38" s="1"/>
  <c r="M22" i="38"/>
  <c r="P22" i="38" s="1"/>
  <c r="E22" i="38"/>
  <c r="H22" i="38" s="1"/>
  <c r="M21" i="38"/>
  <c r="P21" i="38" s="1"/>
  <c r="E21" i="38"/>
  <c r="H21" i="38" s="1"/>
  <c r="M20" i="38"/>
  <c r="P20" i="38" s="1"/>
  <c r="E20" i="38"/>
  <c r="H20" i="38" s="1"/>
  <c r="M19" i="38"/>
  <c r="P19" i="38" s="1"/>
  <c r="E19" i="38"/>
  <c r="H19" i="38" s="1"/>
  <c r="M18" i="38"/>
  <c r="P18" i="38" s="1"/>
  <c r="E18" i="38"/>
  <c r="H18" i="38" s="1"/>
  <c r="M17" i="38"/>
  <c r="P17" i="38" s="1"/>
  <c r="E17" i="38"/>
  <c r="H17" i="38" s="1"/>
  <c r="M16" i="38"/>
  <c r="P16" i="38" s="1"/>
  <c r="E16" i="38"/>
  <c r="H16" i="38" s="1"/>
  <c r="M15" i="38"/>
  <c r="P15" i="38" s="1"/>
  <c r="E15" i="38"/>
  <c r="H15" i="38" s="1"/>
  <c r="M14" i="38"/>
  <c r="P14" i="38" s="1"/>
  <c r="E14" i="38"/>
  <c r="H14" i="38" s="1"/>
  <c r="M13" i="38"/>
  <c r="P13" i="38" s="1"/>
  <c r="E13" i="38"/>
  <c r="H13" i="38" s="1"/>
  <c r="M12" i="38"/>
  <c r="P12" i="38" s="1"/>
  <c r="E12" i="38"/>
  <c r="H12" i="38" s="1"/>
  <c r="L179" i="38"/>
  <c r="D179" i="38"/>
  <c r="L178" i="38"/>
  <c r="D178" i="38"/>
  <c r="L177" i="38"/>
  <c r="D177" i="38"/>
  <c r="L176" i="38"/>
  <c r="D176" i="38"/>
  <c r="L175" i="38"/>
  <c r="D175" i="38"/>
  <c r="L174" i="38"/>
  <c r="D174" i="38"/>
  <c r="L173" i="38"/>
  <c r="D173" i="38"/>
  <c r="L172" i="38"/>
  <c r="D172" i="38"/>
  <c r="L171" i="38"/>
  <c r="D171" i="38"/>
  <c r="L170" i="38"/>
  <c r="D170" i="38"/>
  <c r="L169" i="38"/>
  <c r="D169" i="38"/>
  <c r="L168" i="38"/>
  <c r="D168" i="38"/>
  <c r="L167" i="38"/>
  <c r="D167" i="38"/>
  <c r="L166" i="38"/>
  <c r="D166" i="38"/>
  <c r="L165" i="38"/>
  <c r="D165" i="38"/>
  <c r="L164" i="38"/>
  <c r="D164" i="38"/>
  <c r="L163" i="38"/>
  <c r="D163" i="38"/>
  <c r="L162" i="38"/>
  <c r="D162" i="38"/>
  <c r="L161" i="38"/>
  <c r="D161" i="38"/>
  <c r="L160" i="38"/>
  <c r="D160" i="38"/>
  <c r="L159" i="38"/>
  <c r="D159" i="38"/>
  <c r="L158" i="38"/>
  <c r="D158" i="38"/>
  <c r="L157" i="38"/>
  <c r="D157" i="38"/>
  <c r="L156" i="38"/>
  <c r="D156" i="38"/>
  <c r="L155" i="38"/>
  <c r="D155" i="38"/>
  <c r="L154" i="38"/>
  <c r="D154" i="38"/>
  <c r="L153" i="38"/>
  <c r="D153" i="38"/>
  <c r="L152" i="38"/>
  <c r="D152" i="38"/>
  <c r="L151" i="38"/>
  <c r="D151" i="38"/>
  <c r="L150" i="38"/>
  <c r="D150" i="38"/>
  <c r="L149" i="38"/>
  <c r="D149" i="38"/>
  <c r="L148" i="38"/>
  <c r="D148" i="38"/>
  <c r="L147" i="38"/>
  <c r="D147" i="38"/>
  <c r="L146" i="38"/>
  <c r="D146" i="38"/>
  <c r="L145" i="38"/>
  <c r="D145" i="38"/>
  <c r="L144" i="38"/>
  <c r="D144" i="38"/>
  <c r="L143" i="38"/>
  <c r="D143" i="38"/>
  <c r="L142" i="38"/>
  <c r="D142" i="38"/>
  <c r="L141" i="38"/>
  <c r="D141" i="38"/>
  <c r="L140" i="38"/>
  <c r="D140" i="38"/>
  <c r="L139" i="38"/>
  <c r="D139" i="38"/>
  <c r="L138" i="38"/>
  <c r="D138" i="38"/>
  <c r="L137" i="38"/>
  <c r="D137" i="38"/>
  <c r="L136" i="38"/>
  <c r="D136" i="38"/>
  <c r="L135" i="38"/>
  <c r="D135" i="38"/>
  <c r="L134" i="38"/>
  <c r="D134" i="38"/>
  <c r="L133" i="38"/>
  <c r="D133" i="38"/>
  <c r="L132" i="38"/>
  <c r="D132" i="38"/>
  <c r="L119" i="38"/>
  <c r="D119" i="38"/>
  <c r="L118" i="38"/>
  <c r="D118" i="38"/>
  <c r="L117" i="38"/>
  <c r="D117" i="38"/>
  <c r="L116" i="38"/>
  <c r="D116" i="38"/>
  <c r="L115" i="38"/>
  <c r="D115" i="38"/>
  <c r="L114" i="38"/>
  <c r="D114" i="38"/>
  <c r="L113" i="38"/>
  <c r="D113" i="38"/>
  <c r="L112" i="38"/>
  <c r="D112" i="38"/>
  <c r="L111" i="38"/>
  <c r="D111" i="38"/>
  <c r="L110" i="38"/>
  <c r="D110" i="38"/>
  <c r="L109" i="38"/>
  <c r="D109" i="38"/>
  <c r="L108" i="38"/>
  <c r="D108" i="38"/>
  <c r="L107" i="38"/>
  <c r="D107" i="38"/>
  <c r="L106" i="38"/>
  <c r="D106" i="38"/>
  <c r="L105" i="38"/>
  <c r="D105" i="38"/>
  <c r="L104" i="38"/>
  <c r="D104" i="38"/>
  <c r="L103" i="38"/>
  <c r="D103" i="38"/>
  <c r="L102" i="38"/>
  <c r="D102" i="38"/>
  <c r="L101" i="38"/>
  <c r="D101" i="38"/>
  <c r="L100" i="38"/>
  <c r="D100" i="38"/>
  <c r="L99" i="38"/>
  <c r="D99" i="38"/>
  <c r="L98" i="38"/>
  <c r="D98" i="38"/>
  <c r="L97" i="38"/>
  <c r="D97" i="38"/>
  <c r="L96" i="38"/>
  <c r="D96" i="38"/>
  <c r="L95" i="38"/>
  <c r="D95" i="38"/>
  <c r="L94" i="38"/>
  <c r="D94" i="38"/>
  <c r="L93" i="38"/>
  <c r="D93" i="38"/>
  <c r="L92" i="38"/>
  <c r="D92" i="38"/>
  <c r="L91" i="38"/>
  <c r="D91" i="38"/>
  <c r="L90" i="38"/>
  <c r="D90" i="38"/>
  <c r="L89" i="38"/>
  <c r="D89" i="38"/>
  <c r="L88" i="38"/>
  <c r="D88" i="38"/>
  <c r="L87" i="38"/>
  <c r="D87" i="38"/>
  <c r="L86" i="38"/>
  <c r="D86" i="38"/>
  <c r="L85" i="38"/>
  <c r="D85" i="38"/>
  <c r="L84" i="38"/>
  <c r="D84" i="38"/>
  <c r="L83" i="38"/>
  <c r="D83" i="38"/>
  <c r="L82" i="38"/>
  <c r="D82" i="38"/>
  <c r="L81" i="38"/>
  <c r="D81" i="38"/>
  <c r="L80" i="38"/>
  <c r="D80" i="38"/>
  <c r="L79" i="38"/>
  <c r="D79" i="38"/>
  <c r="L78" i="38"/>
  <c r="D78" i="38"/>
  <c r="L77" i="38"/>
  <c r="D77" i="38"/>
  <c r="L76" i="38"/>
  <c r="D76" i="38"/>
  <c r="L75" i="38"/>
  <c r="D75" i="38"/>
  <c r="L74" i="38"/>
  <c r="D74" i="38"/>
  <c r="L73" i="38"/>
  <c r="D73" i="38"/>
  <c r="L72" i="38"/>
  <c r="D72" i="38"/>
  <c r="L59" i="38"/>
  <c r="D59" i="38"/>
  <c r="L58" i="38"/>
  <c r="D58" i="38"/>
  <c r="L57" i="38"/>
  <c r="D57" i="38"/>
  <c r="L56" i="38"/>
  <c r="D56" i="38"/>
  <c r="L55" i="38"/>
  <c r="D55" i="38"/>
  <c r="L54" i="38"/>
  <c r="D54" i="38"/>
  <c r="L53" i="38"/>
  <c r="D53" i="38"/>
  <c r="L52" i="38"/>
  <c r="D52" i="38"/>
  <c r="L51" i="38"/>
  <c r="D51" i="38"/>
  <c r="L50" i="38"/>
  <c r="D50" i="38"/>
  <c r="L49" i="38"/>
  <c r="D49" i="38"/>
  <c r="L48" i="38"/>
  <c r="D48" i="38"/>
  <c r="L47" i="38"/>
  <c r="D47" i="38"/>
  <c r="L46" i="38"/>
  <c r="D46" i="38"/>
  <c r="L45" i="38"/>
  <c r="D45" i="38"/>
  <c r="L44" i="38"/>
  <c r="D44" i="38"/>
  <c r="L43" i="38"/>
  <c r="D43" i="38"/>
  <c r="L42" i="38"/>
  <c r="D42" i="38"/>
  <c r="L41" i="38"/>
  <c r="D41" i="38"/>
  <c r="L40" i="38"/>
  <c r="D40" i="38"/>
  <c r="L39" i="38"/>
  <c r="D39" i="38"/>
  <c r="L38" i="38"/>
  <c r="D38" i="38"/>
  <c r="L37" i="38"/>
  <c r="D37" i="38"/>
  <c r="L36" i="38"/>
  <c r="D36" i="38"/>
  <c r="L35" i="38"/>
  <c r="D35" i="38"/>
  <c r="L34" i="38"/>
  <c r="D34" i="38"/>
  <c r="L33" i="38"/>
  <c r="D33" i="38"/>
  <c r="L32" i="38"/>
  <c r="D32" i="38"/>
  <c r="L31" i="38"/>
  <c r="D31" i="38"/>
  <c r="L30" i="38"/>
  <c r="D30" i="38"/>
  <c r="L29" i="38"/>
  <c r="D29" i="38"/>
  <c r="L28" i="38"/>
  <c r="D28" i="38"/>
  <c r="L27" i="38"/>
  <c r="D27" i="38"/>
  <c r="L26" i="38"/>
  <c r="D26" i="38"/>
  <c r="L25" i="38"/>
  <c r="D25" i="38"/>
  <c r="L24" i="38"/>
  <c r="D24" i="38"/>
  <c r="L23" i="38"/>
  <c r="D23" i="38"/>
  <c r="L22" i="38"/>
  <c r="D22" i="38"/>
  <c r="L21" i="38"/>
  <c r="D21" i="38"/>
  <c r="L20" i="38"/>
  <c r="D20" i="38"/>
  <c r="L19" i="38"/>
  <c r="D19" i="38"/>
  <c r="L18" i="38"/>
  <c r="D18" i="38"/>
  <c r="L17" i="38"/>
  <c r="D17" i="38"/>
  <c r="L16" i="38"/>
  <c r="D16" i="38"/>
  <c r="L15" i="38"/>
  <c r="D15" i="38"/>
  <c r="L14" i="38"/>
  <c r="D14" i="38"/>
  <c r="L13" i="38"/>
  <c r="D13" i="38"/>
  <c r="L12" i="38"/>
  <c r="D12" i="38"/>
  <c r="M129" i="38"/>
  <c r="E129" i="38"/>
  <c r="M128" i="38"/>
  <c r="E128" i="38"/>
  <c r="J127" i="38"/>
  <c r="B127" i="38"/>
  <c r="M69" i="38"/>
  <c r="E69" i="38"/>
  <c r="M68" i="38"/>
  <c r="E68" i="38"/>
  <c r="M67" i="38"/>
  <c r="J67" i="38"/>
  <c r="B67" i="38"/>
  <c r="M10" i="38"/>
  <c r="E70" i="38" s="1"/>
  <c r="M70" i="38" s="1"/>
  <c r="E130" i="38" s="1"/>
  <c r="M130" i="38" s="1"/>
  <c r="M9" i="38"/>
  <c r="M8" i="38"/>
  <c r="J7" i="38"/>
  <c r="B7" i="38"/>
  <c r="E127" i="38" l="1"/>
  <c r="M7" i="38"/>
  <c r="M127" i="38"/>
  <c r="E7" i="37"/>
  <c r="N179" i="37"/>
  <c r="F179" i="37"/>
  <c r="N178" i="37"/>
  <c r="F178" i="37"/>
  <c r="N177" i="37"/>
  <c r="F177" i="37"/>
  <c r="N176" i="37"/>
  <c r="F176" i="37"/>
  <c r="N175" i="37"/>
  <c r="F175" i="37"/>
  <c r="N174" i="37"/>
  <c r="F174" i="37"/>
  <c r="N173" i="37"/>
  <c r="F173" i="37"/>
  <c r="N172" i="37"/>
  <c r="F172" i="37"/>
  <c r="N171" i="37"/>
  <c r="F171" i="37"/>
  <c r="N170" i="37"/>
  <c r="F170" i="37"/>
  <c r="N169" i="37"/>
  <c r="F169" i="37"/>
  <c r="N168" i="37"/>
  <c r="F168" i="37"/>
  <c r="N167" i="37"/>
  <c r="F167" i="37"/>
  <c r="N166" i="37"/>
  <c r="F166" i="37"/>
  <c r="N165" i="37"/>
  <c r="F165" i="37"/>
  <c r="N164" i="37"/>
  <c r="F164" i="37"/>
  <c r="N163" i="37"/>
  <c r="F163" i="37"/>
  <c r="N162" i="37"/>
  <c r="F162" i="37"/>
  <c r="N161" i="37"/>
  <c r="F161" i="37"/>
  <c r="N160" i="37"/>
  <c r="F160" i="37"/>
  <c r="N159" i="37"/>
  <c r="F159" i="37"/>
  <c r="N158" i="37"/>
  <c r="F158" i="37"/>
  <c r="N157" i="37"/>
  <c r="F157" i="37"/>
  <c r="N156" i="37"/>
  <c r="F156" i="37"/>
  <c r="N155" i="37"/>
  <c r="F155" i="37"/>
  <c r="N154" i="37"/>
  <c r="F154" i="37"/>
  <c r="N153" i="37"/>
  <c r="F153" i="37"/>
  <c r="N152" i="37"/>
  <c r="F152" i="37"/>
  <c r="N151" i="37"/>
  <c r="F151" i="37"/>
  <c r="N150" i="37"/>
  <c r="F150" i="37"/>
  <c r="N149" i="37"/>
  <c r="F149" i="37"/>
  <c r="N148" i="37"/>
  <c r="F148" i="37"/>
  <c r="N147" i="37"/>
  <c r="F147" i="37"/>
  <c r="N146" i="37"/>
  <c r="F146" i="37"/>
  <c r="N145" i="37"/>
  <c r="F145" i="37"/>
  <c r="N144" i="37"/>
  <c r="F144" i="37"/>
  <c r="N143" i="37"/>
  <c r="F143" i="37"/>
  <c r="N142" i="37"/>
  <c r="F142" i="37"/>
  <c r="N141" i="37"/>
  <c r="F141" i="37"/>
  <c r="N140" i="37"/>
  <c r="F140" i="37"/>
  <c r="N139" i="37"/>
  <c r="F139" i="37"/>
  <c r="N138" i="37"/>
  <c r="F138" i="37"/>
  <c r="N137" i="37"/>
  <c r="F137" i="37"/>
  <c r="N136" i="37"/>
  <c r="F136" i="37"/>
  <c r="N135" i="37"/>
  <c r="F135" i="37"/>
  <c r="N134" i="37"/>
  <c r="F134" i="37"/>
  <c r="N133" i="37"/>
  <c r="F133" i="37"/>
  <c r="N132" i="37"/>
  <c r="F132" i="37"/>
  <c r="N118" i="37"/>
  <c r="F118" i="37"/>
  <c r="N117" i="37"/>
  <c r="F117" i="37"/>
  <c r="N116" i="37"/>
  <c r="F116" i="37"/>
  <c r="N115" i="37"/>
  <c r="F115" i="37"/>
  <c r="N114" i="37"/>
  <c r="F114" i="37"/>
  <c r="N113" i="37"/>
  <c r="F113" i="37"/>
  <c r="N112" i="37"/>
  <c r="F112" i="37"/>
  <c r="N111" i="37"/>
  <c r="F111" i="37"/>
  <c r="N110" i="37"/>
  <c r="F110" i="37"/>
  <c r="N109" i="37"/>
  <c r="F109" i="37"/>
  <c r="N108" i="37"/>
  <c r="F108" i="37"/>
  <c r="N107" i="37"/>
  <c r="F107" i="37"/>
  <c r="N106" i="37"/>
  <c r="F106" i="37"/>
  <c r="N105" i="37"/>
  <c r="F105" i="37"/>
  <c r="N104" i="37"/>
  <c r="F104" i="37"/>
  <c r="N103" i="37"/>
  <c r="F103" i="37"/>
  <c r="N102" i="37"/>
  <c r="F102" i="37"/>
  <c r="N101" i="37"/>
  <c r="F101" i="37"/>
  <c r="N100" i="37"/>
  <c r="F100" i="37"/>
  <c r="N99" i="37"/>
  <c r="F99" i="37"/>
  <c r="N98" i="37"/>
  <c r="F98" i="37"/>
  <c r="N97" i="37"/>
  <c r="F97" i="37"/>
  <c r="N96" i="37"/>
  <c r="F96" i="37"/>
  <c r="N95" i="37"/>
  <c r="F95" i="37"/>
  <c r="N94" i="37"/>
  <c r="F94" i="37"/>
  <c r="N93" i="37"/>
  <c r="F93" i="37"/>
  <c r="N92" i="37"/>
  <c r="F92" i="37"/>
  <c r="N91" i="37"/>
  <c r="F91" i="37"/>
  <c r="N90" i="37"/>
  <c r="F90" i="37"/>
  <c r="N89" i="37"/>
  <c r="F89" i="37"/>
  <c r="N88" i="37"/>
  <c r="F88" i="37"/>
  <c r="N87" i="37"/>
  <c r="F87" i="37"/>
  <c r="N86" i="37"/>
  <c r="F86" i="37"/>
  <c r="N85" i="37"/>
  <c r="F85" i="37"/>
  <c r="N84" i="37"/>
  <c r="F84" i="37"/>
  <c r="N83" i="37"/>
  <c r="F83" i="37"/>
  <c r="N82" i="37"/>
  <c r="F82" i="37"/>
  <c r="N81" i="37"/>
  <c r="F81" i="37"/>
  <c r="N80" i="37"/>
  <c r="F80" i="37"/>
  <c r="N79" i="37"/>
  <c r="F79" i="37"/>
  <c r="N78" i="37"/>
  <c r="F78" i="37"/>
  <c r="N77" i="37"/>
  <c r="F77" i="37"/>
  <c r="N76" i="37"/>
  <c r="F76" i="37"/>
  <c r="N75" i="37"/>
  <c r="F75" i="37"/>
  <c r="N74" i="37"/>
  <c r="F74" i="37"/>
  <c r="N73" i="37"/>
  <c r="F73" i="37"/>
  <c r="N72" i="37"/>
  <c r="F72" i="37"/>
  <c r="N58" i="37"/>
  <c r="F58" i="37"/>
  <c r="N57" i="37"/>
  <c r="F57" i="37"/>
  <c r="N56" i="37"/>
  <c r="F56" i="37"/>
  <c r="N55" i="37"/>
  <c r="F55" i="37"/>
  <c r="N54" i="37"/>
  <c r="F54" i="37"/>
  <c r="N53" i="37"/>
  <c r="F53" i="37"/>
  <c r="N52" i="37"/>
  <c r="F52" i="37"/>
  <c r="N51" i="37"/>
  <c r="F51" i="37"/>
  <c r="N50" i="37"/>
  <c r="F50" i="37"/>
  <c r="N49" i="37"/>
  <c r="F49" i="37"/>
  <c r="N48" i="37"/>
  <c r="F48" i="37"/>
  <c r="N47" i="37"/>
  <c r="F47" i="37"/>
  <c r="N46" i="37"/>
  <c r="F46" i="37"/>
  <c r="N45" i="37"/>
  <c r="F45" i="37"/>
  <c r="N44" i="37"/>
  <c r="F44" i="37"/>
  <c r="N43" i="37"/>
  <c r="F43" i="37"/>
  <c r="N42" i="37"/>
  <c r="F42" i="37"/>
  <c r="N41" i="37"/>
  <c r="F41" i="37"/>
  <c r="N40" i="37"/>
  <c r="F40" i="37"/>
  <c r="N39" i="37"/>
  <c r="F39" i="37"/>
  <c r="N38" i="37"/>
  <c r="F38" i="37"/>
  <c r="N37" i="37"/>
  <c r="F37" i="37"/>
  <c r="N36" i="37"/>
  <c r="F36" i="37"/>
  <c r="N35" i="37"/>
  <c r="F35" i="37"/>
  <c r="N34" i="37"/>
  <c r="F34" i="37"/>
  <c r="N33" i="37"/>
  <c r="F33" i="37"/>
  <c r="N32" i="37"/>
  <c r="F32" i="37"/>
  <c r="N31" i="37"/>
  <c r="F31" i="37"/>
  <c r="N30" i="37"/>
  <c r="F30" i="37"/>
  <c r="N29" i="37"/>
  <c r="F29" i="37"/>
  <c r="N28" i="37"/>
  <c r="F28" i="37"/>
  <c r="N27" i="37"/>
  <c r="F27" i="37"/>
  <c r="N26" i="37"/>
  <c r="F26" i="37"/>
  <c r="N25" i="37"/>
  <c r="F25" i="37"/>
  <c r="N24" i="37"/>
  <c r="F24" i="37"/>
  <c r="N23" i="37"/>
  <c r="F23" i="37"/>
  <c r="N22" i="37"/>
  <c r="F22" i="37"/>
  <c r="N21" i="37"/>
  <c r="F21" i="37"/>
  <c r="N20" i="37"/>
  <c r="F20" i="37"/>
  <c r="N19" i="37"/>
  <c r="F19" i="37"/>
  <c r="N18" i="37"/>
  <c r="F18" i="37"/>
  <c r="N17" i="37"/>
  <c r="F17" i="37"/>
  <c r="N16" i="37"/>
  <c r="F16" i="37"/>
  <c r="N15" i="37"/>
  <c r="F15" i="37"/>
  <c r="N14" i="37"/>
  <c r="F14" i="37"/>
  <c r="N13" i="37"/>
  <c r="F13" i="37"/>
  <c r="N12" i="37"/>
  <c r="F12" i="37"/>
  <c r="M179" i="37"/>
  <c r="E179" i="37"/>
  <c r="M178" i="37"/>
  <c r="P178" i="37" s="1"/>
  <c r="E178" i="37"/>
  <c r="H178" i="37" s="1"/>
  <c r="M177" i="37"/>
  <c r="P177" i="37" s="1"/>
  <c r="E177" i="37"/>
  <c r="H177" i="37" s="1"/>
  <c r="M176" i="37"/>
  <c r="P176" i="37" s="1"/>
  <c r="E176" i="37"/>
  <c r="H176" i="37" s="1"/>
  <c r="M175" i="37"/>
  <c r="P175" i="37" s="1"/>
  <c r="E175" i="37"/>
  <c r="H175" i="37" s="1"/>
  <c r="M174" i="37"/>
  <c r="P174" i="37" s="1"/>
  <c r="E174" i="37"/>
  <c r="H174" i="37" s="1"/>
  <c r="M173" i="37"/>
  <c r="P173" i="37" s="1"/>
  <c r="E173" i="37"/>
  <c r="H173" i="37" s="1"/>
  <c r="M172" i="37"/>
  <c r="P172" i="37" s="1"/>
  <c r="E172" i="37"/>
  <c r="H172" i="37" s="1"/>
  <c r="M171" i="37"/>
  <c r="P171" i="37" s="1"/>
  <c r="E171" i="37"/>
  <c r="H171" i="37" s="1"/>
  <c r="M170" i="37"/>
  <c r="P170" i="37" s="1"/>
  <c r="E170" i="37"/>
  <c r="H170" i="37" s="1"/>
  <c r="M169" i="37"/>
  <c r="P169" i="37" s="1"/>
  <c r="E169" i="37"/>
  <c r="H169" i="37" s="1"/>
  <c r="M168" i="37"/>
  <c r="P168" i="37" s="1"/>
  <c r="E168" i="37"/>
  <c r="H168" i="37" s="1"/>
  <c r="M167" i="37"/>
  <c r="P167" i="37" s="1"/>
  <c r="E167" i="37"/>
  <c r="H167" i="37" s="1"/>
  <c r="M166" i="37"/>
  <c r="P166" i="37" s="1"/>
  <c r="E166" i="37"/>
  <c r="H166" i="37" s="1"/>
  <c r="M165" i="37"/>
  <c r="P165" i="37" s="1"/>
  <c r="E165" i="37"/>
  <c r="H165" i="37" s="1"/>
  <c r="M164" i="37"/>
  <c r="P164" i="37" s="1"/>
  <c r="E164" i="37"/>
  <c r="H164" i="37" s="1"/>
  <c r="M163" i="37"/>
  <c r="P163" i="37" s="1"/>
  <c r="E163" i="37"/>
  <c r="H163" i="37" s="1"/>
  <c r="M162" i="37"/>
  <c r="P162" i="37" s="1"/>
  <c r="E162" i="37"/>
  <c r="H162" i="37" s="1"/>
  <c r="M161" i="37"/>
  <c r="P161" i="37" s="1"/>
  <c r="E161" i="37"/>
  <c r="H161" i="37" s="1"/>
  <c r="M160" i="37"/>
  <c r="P160" i="37" s="1"/>
  <c r="E160" i="37"/>
  <c r="H160" i="37" s="1"/>
  <c r="M159" i="37"/>
  <c r="P159" i="37" s="1"/>
  <c r="E159" i="37"/>
  <c r="H159" i="37" s="1"/>
  <c r="M158" i="37"/>
  <c r="P158" i="37" s="1"/>
  <c r="E158" i="37"/>
  <c r="H158" i="37" s="1"/>
  <c r="M157" i="37"/>
  <c r="P157" i="37" s="1"/>
  <c r="E157" i="37"/>
  <c r="H157" i="37" s="1"/>
  <c r="M156" i="37"/>
  <c r="P156" i="37" s="1"/>
  <c r="E156" i="37"/>
  <c r="H156" i="37" s="1"/>
  <c r="M155" i="37"/>
  <c r="P155" i="37" s="1"/>
  <c r="E155" i="37"/>
  <c r="H155" i="37" s="1"/>
  <c r="M154" i="37"/>
  <c r="P154" i="37" s="1"/>
  <c r="E154" i="37"/>
  <c r="H154" i="37" s="1"/>
  <c r="M153" i="37"/>
  <c r="P153" i="37" s="1"/>
  <c r="E153" i="37"/>
  <c r="H153" i="37" s="1"/>
  <c r="M152" i="37"/>
  <c r="P152" i="37" s="1"/>
  <c r="E152" i="37"/>
  <c r="H152" i="37" s="1"/>
  <c r="M151" i="37"/>
  <c r="P151" i="37" s="1"/>
  <c r="E151" i="37"/>
  <c r="H151" i="37" s="1"/>
  <c r="M150" i="37"/>
  <c r="P150" i="37" s="1"/>
  <c r="E150" i="37"/>
  <c r="H150" i="37" s="1"/>
  <c r="M149" i="37"/>
  <c r="P149" i="37" s="1"/>
  <c r="E149" i="37"/>
  <c r="H149" i="37" s="1"/>
  <c r="M148" i="37"/>
  <c r="P148" i="37" s="1"/>
  <c r="E148" i="37"/>
  <c r="H148" i="37" s="1"/>
  <c r="M147" i="37"/>
  <c r="P147" i="37" s="1"/>
  <c r="E147" i="37"/>
  <c r="H147" i="37" s="1"/>
  <c r="M146" i="37"/>
  <c r="P146" i="37" s="1"/>
  <c r="E146" i="37"/>
  <c r="H146" i="37" s="1"/>
  <c r="M145" i="37"/>
  <c r="P145" i="37" s="1"/>
  <c r="E145" i="37"/>
  <c r="H145" i="37" s="1"/>
  <c r="M144" i="37"/>
  <c r="P144" i="37" s="1"/>
  <c r="E144" i="37"/>
  <c r="H144" i="37" s="1"/>
  <c r="M143" i="37"/>
  <c r="P143" i="37" s="1"/>
  <c r="E143" i="37"/>
  <c r="H143" i="37" s="1"/>
  <c r="M142" i="37"/>
  <c r="P142" i="37" s="1"/>
  <c r="E142" i="37"/>
  <c r="H142" i="37" s="1"/>
  <c r="M141" i="37"/>
  <c r="P141" i="37" s="1"/>
  <c r="E141" i="37"/>
  <c r="H141" i="37" s="1"/>
  <c r="M140" i="37"/>
  <c r="P140" i="37" s="1"/>
  <c r="E140" i="37"/>
  <c r="H140" i="37" s="1"/>
  <c r="M139" i="37"/>
  <c r="P139" i="37" s="1"/>
  <c r="E139" i="37"/>
  <c r="H139" i="37" s="1"/>
  <c r="M138" i="37"/>
  <c r="P138" i="37" s="1"/>
  <c r="E138" i="37"/>
  <c r="H138" i="37" s="1"/>
  <c r="M137" i="37"/>
  <c r="P137" i="37" s="1"/>
  <c r="E137" i="37"/>
  <c r="H137" i="37" s="1"/>
  <c r="M136" i="37"/>
  <c r="P136" i="37" s="1"/>
  <c r="E136" i="37"/>
  <c r="H136" i="37" s="1"/>
  <c r="M135" i="37"/>
  <c r="P135" i="37" s="1"/>
  <c r="E135" i="37"/>
  <c r="H135" i="37" s="1"/>
  <c r="M134" i="37"/>
  <c r="P134" i="37" s="1"/>
  <c r="E134" i="37"/>
  <c r="H134" i="37" s="1"/>
  <c r="M133" i="37"/>
  <c r="P133" i="37" s="1"/>
  <c r="E133" i="37"/>
  <c r="H133" i="37" s="1"/>
  <c r="M132" i="37"/>
  <c r="P132" i="37" s="1"/>
  <c r="E132" i="37"/>
  <c r="H132" i="37" s="1"/>
  <c r="M119" i="37"/>
  <c r="E119" i="37"/>
  <c r="M118" i="37"/>
  <c r="P118" i="37" s="1"/>
  <c r="E118" i="37"/>
  <c r="H118" i="37" s="1"/>
  <c r="M117" i="37"/>
  <c r="P117" i="37" s="1"/>
  <c r="E117" i="37"/>
  <c r="H117" i="37" s="1"/>
  <c r="M116" i="37"/>
  <c r="P116" i="37" s="1"/>
  <c r="E116" i="37"/>
  <c r="H116" i="37" s="1"/>
  <c r="M115" i="37"/>
  <c r="P115" i="37" s="1"/>
  <c r="E115" i="37"/>
  <c r="H115" i="37" s="1"/>
  <c r="M114" i="37"/>
  <c r="P114" i="37" s="1"/>
  <c r="E114" i="37"/>
  <c r="H114" i="37" s="1"/>
  <c r="M113" i="37"/>
  <c r="P113" i="37" s="1"/>
  <c r="E113" i="37"/>
  <c r="H113" i="37" s="1"/>
  <c r="M112" i="37"/>
  <c r="P112" i="37" s="1"/>
  <c r="E112" i="37"/>
  <c r="H112" i="37" s="1"/>
  <c r="M111" i="37"/>
  <c r="P111" i="37" s="1"/>
  <c r="E111" i="37"/>
  <c r="H111" i="37" s="1"/>
  <c r="M110" i="37"/>
  <c r="P110" i="37" s="1"/>
  <c r="E110" i="37"/>
  <c r="H110" i="37" s="1"/>
  <c r="M109" i="37"/>
  <c r="P109" i="37" s="1"/>
  <c r="E109" i="37"/>
  <c r="H109" i="37" s="1"/>
  <c r="M108" i="37"/>
  <c r="P108" i="37" s="1"/>
  <c r="E108" i="37"/>
  <c r="H108" i="37" s="1"/>
  <c r="M107" i="37"/>
  <c r="P107" i="37" s="1"/>
  <c r="E107" i="37"/>
  <c r="H107" i="37" s="1"/>
  <c r="M106" i="37"/>
  <c r="P106" i="37" s="1"/>
  <c r="E106" i="37"/>
  <c r="H106" i="37" s="1"/>
  <c r="M105" i="37"/>
  <c r="P105" i="37" s="1"/>
  <c r="E105" i="37"/>
  <c r="H105" i="37" s="1"/>
  <c r="M104" i="37"/>
  <c r="P104" i="37" s="1"/>
  <c r="E104" i="37"/>
  <c r="H104" i="37" s="1"/>
  <c r="M103" i="37"/>
  <c r="P103" i="37" s="1"/>
  <c r="E103" i="37"/>
  <c r="H103" i="37" s="1"/>
  <c r="M102" i="37"/>
  <c r="P102" i="37" s="1"/>
  <c r="E102" i="37"/>
  <c r="H102" i="37" s="1"/>
  <c r="M101" i="37"/>
  <c r="P101" i="37" s="1"/>
  <c r="E101" i="37"/>
  <c r="H101" i="37" s="1"/>
  <c r="M100" i="37"/>
  <c r="P100" i="37" s="1"/>
  <c r="E100" i="37"/>
  <c r="H100" i="37" s="1"/>
  <c r="M99" i="37"/>
  <c r="P99" i="37" s="1"/>
  <c r="E99" i="37"/>
  <c r="H99" i="37" s="1"/>
  <c r="M98" i="37"/>
  <c r="P98" i="37" s="1"/>
  <c r="E98" i="37"/>
  <c r="H98" i="37" s="1"/>
  <c r="M97" i="37"/>
  <c r="P97" i="37" s="1"/>
  <c r="E97" i="37"/>
  <c r="H97" i="37" s="1"/>
  <c r="M96" i="37"/>
  <c r="P96" i="37" s="1"/>
  <c r="E96" i="37"/>
  <c r="H96" i="37" s="1"/>
  <c r="M95" i="37"/>
  <c r="P95" i="37" s="1"/>
  <c r="E95" i="37"/>
  <c r="H95" i="37" s="1"/>
  <c r="M94" i="37"/>
  <c r="P94" i="37" s="1"/>
  <c r="E94" i="37"/>
  <c r="H94" i="37" s="1"/>
  <c r="M93" i="37"/>
  <c r="P93" i="37" s="1"/>
  <c r="E93" i="37"/>
  <c r="H93" i="37" s="1"/>
  <c r="M92" i="37"/>
  <c r="P92" i="37" s="1"/>
  <c r="E92" i="37"/>
  <c r="H92" i="37" s="1"/>
  <c r="M91" i="37"/>
  <c r="P91" i="37" s="1"/>
  <c r="E91" i="37"/>
  <c r="H91" i="37" s="1"/>
  <c r="M90" i="37"/>
  <c r="P90" i="37" s="1"/>
  <c r="E90" i="37"/>
  <c r="H90" i="37" s="1"/>
  <c r="M89" i="37"/>
  <c r="P89" i="37" s="1"/>
  <c r="E89" i="37"/>
  <c r="H89" i="37" s="1"/>
  <c r="M88" i="37"/>
  <c r="P88" i="37" s="1"/>
  <c r="E88" i="37"/>
  <c r="H88" i="37" s="1"/>
  <c r="M87" i="37"/>
  <c r="P87" i="37" s="1"/>
  <c r="E87" i="37"/>
  <c r="H87" i="37" s="1"/>
  <c r="M86" i="37"/>
  <c r="P86" i="37" s="1"/>
  <c r="E86" i="37"/>
  <c r="H86" i="37" s="1"/>
  <c r="M85" i="37"/>
  <c r="P85" i="37" s="1"/>
  <c r="E85" i="37"/>
  <c r="H85" i="37" s="1"/>
  <c r="M84" i="37"/>
  <c r="P84" i="37" s="1"/>
  <c r="E84" i="37"/>
  <c r="H84" i="37" s="1"/>
  <c r="M83" i="37"/>
  <c r="P83" i="37" s="1"/>
  <c r="E83" i="37"/>
  <c r="H83" i="37" s="1"/>
  <c r="M82" i="37"/>
  <c r="P82" i="37" s="1"/>
  <c r="E82" i="37"/>
  <c r="H82" i="37" s="1"/>
  <c r="M81" i="37"/>
  <c r="P81" i="37" s="1"/>
  <c r="E81" i="37"/>
  <c r="H81" i="37" s="1"/>
  <c r="M80" i="37"/>
  <c r="P80" i="37" s="1"/>
  <c r="E80" i="37"/>
  <c r="H80" i="37" s="1"/>
  <c r="M79" i="37"/>
  <c r="P79" i="37" s="1"/>
  <c r="E79" i="37"/>
  <c r="H79" i="37" s="1"/>
  <c r="M78" i="37"/>
  <c r="P78" i="37" s="1"/>
  <c r="E78" i="37"/>
  <c r="H78" i="37" s="1"/>
  <c r="M77" i="37"/>
  <c r="P77" i="37" s="1"/>
  <c r="E77" i="37"/>
  <c r="H77" i="37" s="1"/>
  <c r="M76" i="37"/>
  <c r="P76" i="37" s="1"/>
  <c r="E76" i="37"/>
  <c r="H76" i="37" s="1"/>
  <c r="M75" i="37"/>
  <c r="P75" i="37" s="1"/>
  <c r="E75" i="37"/>
  <c r="H75" i="37" s="1"/>
  <c r="M74" i="37"/>
  <c r="P74" i="37" s="1"/>
  <c r="E74" i="37"/>
  <c r="H74" i="37" s="1"/>
  <c r="M73" i="37"/>
  <c r="P73" i="37" s="1"/>
  <c r="E73" i="37"/>
  <c r="H73" i="37" s="1"/>
  <c r="M72" i="37"/>
  <c r="P72" i="37" s="1"/>
  <c r="E72" i="37"/>
  <c r="H72" i="37" s="1"/>
  <c r="M59" i="37"/>
  <c r="E59" i="37"/>
  <c r="H59" i="37" s="1"/>
  <c r="M58" i="37"/>
  <c r="P58" i="37" s="1"/>
  <c r="E58" i="37"/>
  <c r="H58" i="37" s="1"/>
  <c r="M57" i="37"/>
  <c r="P57" i="37" s="1"/>
  <c r="E57" i="37"/>
  <c r="H57" i="37" s="1"/>
  <c r="M56" i="37"/>
  <c r="P56" i="37" s="1"/>
  <c r="E56" i="37"/>
  <c r="H56" i="37" s="1"/>
  <c r="M55" i="37"/>
  <c r="P55" i="37" s="1"/>
  <c r="E55" i="37"/>
  <c r="H55" i="37" s="1"/>
  <c r="M54" i="37"/>
  <c r="P54" i="37" s="1"/>
  <c r="E54" i="37"/>
  <c r="H54" i="37" s="1"/>
  <c r="M53" i="37"/>
  <c r="P53" i="37" s="1"/>
  <c r="E53" i="37"/>
  <c r="H53" i="37" s="1"/>
  <c r="M52" i="37"/>
  <c r="P52" i="37" s="1"/>
  <c r="E52" i="37"/>
  <c r="H52" i="37" s="1"/>
  <c r="M51" i="37"/>
  <c r="P51" i="37" s="1"/>
  <c r="E51" i="37"/>
  <c r="H51" i="37" s="1"/>
  <c r="M50" i="37"/>
  <c r="P50" i="37" s="1"/>
  <c r="E50" i="37"/>
  <c r="H50" i="37" s="1"/>
  <c r="M49" i="37"/>
  <c r="P49" i="37" s="1"/>
  <c r="E49" i="37"/>
  <c r="H49" i="37" s="1"/>
  <c r="M48" i="37"/>
  <c r="P48" i="37" s="1"/>
  <c r="E48" i="37"/>
  <c r="H48" i="37" s="1"/>
  <c r="M47" i="37"/>
  <c r="P47" i="37" s="1"/>
  <c r="E47" i="37"/>
  <c r="H47" i="37" s="1"/>
  <c r="M46" i="37"/>
  <c r="P46" i="37" s="1"/>
  <c r="E46" i="37"/>
  <c r="H46" i="37" s="1"/>
  <c r="M45" i="37"/>
  <c r="P45" i="37" s="1"/>
  <c r="E45" i="37"/>
  <c r="H45" i="37" s="1"/>
  <c r="M44" i="37"/>
  <c r="P44" i="37" s="1"/>
  <c r="E44" i="37"/>
  <c r="H44" i="37" s="1"/>
  <c r="M43" i="37"/>
  <c r="P43" i="37" s="1"/>
  <c r="E43" i="37"/>
  <c r="H43" i="37" s="1"/>
  <c r="M42" i="37"/>
  <c r="P42" i="37" s="1"/>
  <c r="E42" i="37"/>
  <c r="H42" i="37" s="1"/>
  <c r="M41" i="37"/>
  <c r="P41" i="37" s="1"/>
  <c r="E41" i="37"/>
  <c r="H41" i="37" s="1"/>
  <c r="M40" i="37"/>
  <c r="P40" i="37" s="1"/>
  <c r="E40" i="37"/>
  <c r="H40" i="37" s="1"/>
  <c r="M39" i="37"/>
  <c r="P39" i="37" s="1"/>
  <c r="E39" i="37"/>
  <c r="H39" i="37" s="1"/>
  <c r="M38" i="37"/>
  <c r="P38" i="37" s="1"/>
  <c r="E38" i="37"/>
  <c r="H38" i="37" s="1"/>
  <c r="M37" i="37"/>
  <c r="P37" i="37" s="1"/>
  <c r="E37" i="37"/>
  <c r="H37" i="37" s="1"/>
  <c r="M36" i="37"/>
  <c r="P36" i="37" s="1"/>
  <c r="E36" i="37"/>
  <c r="H36" i="37" s="1"/>
  <c r="M35" i="37"/>
  <c r="P35" i="37" s="1"/>
  <c r="E35" i="37"/>
  <c r="H35" i="37" s="1"/>
  <c r="M34" i="37"/>
  <c r="P34" i="37" s="1"/>
  <c r="E34" i="37"/>
  <c r="H34" i="37" s="1"/>
  <c r="M33" i="37"/>
  <c r="P33" i="37" s="1"/>
  <c r="E33" i="37"/>
  <c r="H33" i="37" s="1"/>
  <c r="M32" i="37"/>
  <c r="P32" i="37" s="1"/>
  <c r="E32" i="37"/>
  <c r="H32" i="37" s="1"/>
  <c r="M31" i="37"/>
  <c r="P31" i="37" s="1"/>
  <c r="E31" i="37"/>
  <c r="H31" i="37" s="1"/>
  <c r="M30" i="37"/>
  <c r="P30" i="37" s="1"/>
  <c r="E30" i="37"/>
  <c r="H30" i="37" s="1"/>
  <c r="M29" i="37"/>
  <c r="P29" i="37" s="1"/>
  <c r="E29" i="37"/>
  <c r="H29" i="37" s="1"/>
  <c r="M28" i="37"/>
  <c r="P28" i="37" s="1"/>
  <c r="E28" i="37"/>
  <c r="H28" i="37" s="1"/>
  <c r="M27" i="37"/>
  <c r="P27" i="37" s="1"/>
  <c r="E27" i="37"/>
  <c r="H27" i="37" s="1"/>
  <c r="M26" i="37"/>
  <c r="P26" i="37" s="1"/>
  <c r="E26" i="37"/>
  <c r="H26" i="37" s="1"/>
  <c r="M25" i="37"/>
  <c r="P25" i="37" s="1"/>
  <c r="E25" i="37"/>
  <c r="H25" i="37" s="1"/>
  <c r="M24" i="37"/>
  <c r="P24" i="37" s="1"/>
  <c r="E24" i="37"/>
  <c r="H24" i="37" s="1"/>
  <c r="M23" i="37"/>
  <c r="P23" i="37" s="1"/>
  <c r="E23" i="37"/>
  <c r="H23" i="37" s="1"/>
  <c r="M22" i="37"/>
  <c r="P22" i="37" s="1"/>
  <c r="E22" i="37"/>
  <c r="H22" i="37" s="1"/>
  <c r="M21" i="37"/>
  <c r="P21" i="37" s="1"/>
  <c r="E21" i="37"/>
  <c r="H21" i="37" s="1"/>
  <c r="M20" i="37"/>
  <c r="P20" i="37" s="1"/>
  <c r="E20" i="37"/>
  <c r="H20" i="37" s="1"/>
  <c r="M19" i="37"/>
  <c r="P19" i="37" s="1"/>
  <c r="E19" i="37"/>
  <c r="H19" i="37" s="1"/>
  <c r="M18" i="37"/>
  <c r="P18" i="37" s="1"/>
  <c r="E18" i="37"/>
  <c r="H18" i="37" s="1"/>
  <c r="M17" i="37"/>
  <c r="P17" i="37" s="1"/>
  <c r="E17" i="37"/>
  <c r="H17" i="37" s="1"/>
  <c r="M16" i="37"/>
  <c r="P16" i="37" s="1"/>
  <c r="E16" i="37"/>
  <c r="H16" i="37" s="1"/>
  <c r="M15" i="37"/>
  <c r="P15" i="37" s="1"/>
  <c r="E15" i="37"/>
  <c r="H15" i="37" s="1"/>
  <c r="M14" i="37"/>
  <c r="P14" i="37" s="1"/>
  <c r="E14" i="37"/>
  <c r="H14" i="37" s="1"/>
  <c r="M13" i="37"/>
  <c r="P13" i="37" s="1"/>
  <c r="E13" i="37"/>
  <c r="H13" i="37" s="1"/>
  <c r="M12" i="37"/>
  <c r="P12" i="37" s="1"/>
  <c r="E12" i="37"/>
  <c r="H12" i="37" s="1"/>
  <c r="L179" i="37"/>
  <c r="D179" i="37"/>
  <c r="L178" i="37"/>
  <c r="D178" i="37"/>
  <c r="L177" i="37"/>
  <c r="D177" i="37"/>
  <c r="L176" i="37"/>
  <c r="D176" i="37"/>
  <c r="L175" i="37"/>
  <c r="D175" i="37"/>
  <c r="L174" i="37"/>
  <c r="D174" i="37"/>
  <c r="L173" i="37"/>
  <c r="D173" i="37"/>
  <c r="L172" i="37"/>
  <c r="D172" i="37"/>
  <c r="L171" i="37"/>
  <c r="D171" i="37"/>
  <c r="L170" i="37"/>
  <c r="D170" i="37"/>
  <c r="L169" i="37"/>
  <c r="D169" i="37"/>
  <c r="L168" i="37"/>
  <c r="D168" i="37"/>
  <c r="L167" i="37"/>
  <c r="D167" i="37"/>
  <c r="L166" i="37"/>
  <c r="D166" i="37"/>
  <c r="L165" i="37"/>
  <c r="D165" i="37"/>
  <c r="L164" i="37"/>
  <c r="D164" i="37"/>
  <c r="L163" i="37"/>
  <c r="D163" i="37"/>
  <c r="L162" i="37"/>
  <c r="D162" i="37"/>
  <c r="L161" i="37"/>
  <c r="D161" i="37"/>
  <c r="L160" i="37"/>
  <c r="D160" i="37"/>
  <c r="L159" i="37"/>
  <c r="D159" i="37"/>
  <c r="L158" i="37"/>
  <c r="D158" i="37"/>
  <c r="L157" i="37"/>
  <c r="D157" i="37"/>
  <c r="L156" i="37"/>
  <c r="D156" i="37"/>
  <c r="L155" i="37"/>
  <c r="D155" i="37"/>
  <c r="L154" i="37"/>
  <c r="D154" i="37"/>
  <c r="L153" i="37"/>
  <c r="D153" i="37"/>
  <c r="L152" i="37"/>
  <c r="D152" i="37"/>
  <c r="L151" i="37"/>
  <c r="D151" i="37"/>
  <c r="L150" i="37"/>
  <c r="D150" i="37"/>
  <c r="L149" i="37"/>
  <c r="D149" i="37"/>
  <c r="L148" i="37"/>
  <c r="D148" i="37"/>
  <c r="L147" i="37"/>
  <c r="D147" i="37"/>
  <c r="L146" i="37"/>
  <c r="D146" i="37"/>
  <c r="L145" i="37"/>
  <c r="D145" i="37"/>
  <c r="L144" i="37"/>
  <c r="D144" i="37"/>
  <c r="L143" i="37"/>
  <c r="D143" i="37"/>
  <c r="L142" i="37"/>
  <c r="D142" i="37"/>
  <c r="L141" i="37"/>
  <c r="D141" i="37"/>
  <c r="L140" i="37"/>
  <c r="D140" i="37"/>
  <c r="L139" i="37"/>
  <c r="D139" i="37"/>
  <c r="L138" i="37"/>
  <c r="D138" i="37"/>
  <c r="L137" i="37"/>
  <c r="D137" i="37"/>
  <c r="L136" i="37"/>
  <c r="D136" i="37"/>
  <c r="L135" i="37"/>
  <c r="D135" i="37"/>
  <c r="L134" i="37"/>
  <c r="D134" i="37"/>
  <c r="L133" i="37"/>
  <c r="D133" i="37"/>
  <c r="L132" i="37"/>
  <c r="D132" i="37"/>
  <c r="L119" i="37"/>
  <c r="D119" i="37"/>
  <c r="L118" i="37"/>
  <c r="D118" i="37"/>
  <c r="L117" i="37"/>
  <c r="D117" i="37"/>
  <c r="L116" i="37"/>
  <c r="D116" i="37"/>
  <c r="L115" i="37"/>
  <c r="D115" i="37"/>
  <c r="L114" i="37"/>
  <c r="D114" i="37"/>
  <c r="L113" i="37"/>
  <c r="D113" i="37"/>
  <c r="L112" i="37"/>
  <c r="D112" i="37"/>
  <c r="L111" i="37"/>
  <c r="D111" i="37"/>
  <c r="L110" i="37"/>
  <c r="D110" i="37"/>
  <c r="L109" i="37"/>
  <c r="D109" i="37"/>
  <c r="L108" i="37"/>
  <c r="D108" i="37"/>
  <c r="L107" i="37"/>
  <c r="D107" i="37"/>
  <c r="L106" i="37"/>
  <c r="D106" i="37"/>
  <c r="L105" i="37"/>
  <c r="D105" i="37"/>
  <c r="L104" i="37"/>
  <c r="D104" i="37"/>
  <c r="L103" i="37"/>
  <c r="D103" i="37"/>
  <c r="L102" i="37"/>
  <c r="D102" i="37"/>
  <c r="L101" i="37"/>
  <c r="D101" i="37"/>
  <c r="L100" i="37"/>
  <c r="D100" i="37"/>
  <c r="L99" i="37"/>
  <c r="D99" i="37"/>
  <c r="L98" i="37"/>
  <c r="D98" i="37"/>
  <c r="L97" i="37"/>
  <c r="D97" i="37"/>
  <c r="L96" i="37"/>
  <c r="D96" i="37"/>
  <c r="L95" i="37"/>
  <c r="D95" i="37"/>
  <c r="L94" i="37"/>
  <c r="D94" i="37"/>
  <c r="L93" i="37"/>
  <c r="D93" i="37"/>
  <c r="L92" i="37"/>
  <c r="D92" i="37"/>
  <c r="L91" i="37"/>
  <c r="D91" i="37"/>
  <c r="L90" i="37"/>
  <c r="D90" i="37"/>
  <c r="L89" i="37"/>
  <c r="D89" i="37"/>
  <c r="L88" i="37"/>
  <c r="D88" i="37"/>
  <c r="L87" i="37"/>
  <c r="D87" i="37"/>
  <c r="L86" i="37"/>
  <c r="D86" i="37"/>
  <c r="L85" i="37"/>
  <c r="D85" i="37"/>
  <c r="L84" i="37"/>
  <c r="D84" i="37"/>
  <c r="L83" i="37"/>
  <c r="D83" i="37"/>
  <c r="L82" i="37"/>
  <c r="D82" i="37"/>
  <c r="L81" i="37"/>
  <c r="D81" i="37"/>
  <c r="L80" i="37"/>
  <c r="D80" i="37"/>
  <c r="L79" i="37"/>
  <c r="D79" i="37"/>
  <c r="L78" i="37"/>
  <c r="D78" i="37"/>
  <c r="L77" i="37"/>
  <c r="D77" i="37"/>
  <c r="L76" i="37"/>
  <c r="D76" i="37"/>
  <c r="L75" i="37"/>
  <c r="D75" i="37"/>
  <c r="L74" i="37"/>
  <c r="D74" i="37"/>
  <c r="L73" i="37"/>
  <c r="D73" i="37"/>
  <c r="L72" i="37"/>
  <c r="D72" i="37"/>
  <c r="L59" i="37"/>
  <c r="D59" i="37"/>
  <c r="L58" i="37"/>
  <c r="D58" i="37"/>
  <c r="L57" i="37"/>
  <c r="D57" i="37"/>
  <c r="L56" i="37"/>
  <c r="D56" i="37"/>
  <c r="L55" i="37"/>
  <c r="D55" i="37"/>
  <c r="L54" i="37"/>
  <c r="D54" i="37"/>
  <c r="L53" i="37"/>
  <c r="D53" i="37"/>
  <c r="L52" i="37"/>
  <c r="D52" i="37"/>
  <c r="L51" i="37"/>
  <c r="D51" i="37"/>
  <c r="L50" i="37"/>
  <c r="D50" i="37"/>
  <c r="L49" i="37"/>
  <c r="D49" i="37"/>
  <c r="L48" i="37"/>
  <c r="D48" i="37"/>
  <c r="L47" i="37"/>
  <c r="D47" i="37"/>
  <c r="L46" i="37"/>
  <c r="D46" i="37"/>
  <c r="L45" i="37"/>
  <c r="D45" i="37"/>
  <c r="L44" i="37"/>
  <c r="D44" i="37"/>
  <c r="L43" i="37"/>
  <c r="D43" i="37"/>
  <c r="L42" i="37"/>
  <c r="D42" i="37"/>
  <c r="L41" i="37"/>
  <c r="D41" i="37"/>
  <c r="L40" i="37"/>
  <c r="D40" i="37"/>
  <c r="L39" i="37"/>
  <c r="D39" i="37"/>
  <c r="L38" i="37"/>
  <c r="D38" i="37"/>
  <c r="L37" i="37"/>
  <c r="D37" i="37"/>
  <c r="L36" i="37"/>
  <c r="D36" i="37"/>
  <c r="L35" i="37"/>
  <c r="D35" i="37"/>
  <c r="L34" i="37"/>
  <c r="D34" i="37"/>
  <c r="L33" i="37"/>
  <c r="D33" i="37"/>
  <c r="L32" i="37"/>
  <c r="D32" i="37"/>
  <c r="L31" i="37"/>
  <c r="D31" i="37"/>
  <c r="L30" i="37"/>
  <c r="D30" i="37"/>
  <c r="L29" i="37"/>
  <c r="D29" i="37"/>
  <c r="L28" i="37"/>
  <c r="D28" i="37"/>
  <c r="L27" i="37"/>
  <c r="D27" i="37"/>
  <c r="L26" i="37"/>
  <c r="D26" i="37"/>
  <c r="L25" i="37"/>
  <c r="D25" i="37"/>
  <c r="L24" i="37"/>
  <c r="D24" i="37"/>
  <c r="L23" i="37"/>
  <c r="D23" i="37"/>
  <c r="L22" i="37"/>
  <c r="D22" i="37"/>
  <c r="L21" i="37"/>
  <c r="D21" i="37"/>
  <c r="L20" i="37"/>
  <c r="D20" i="37"/>
  <c r="L19" i="37"/>
  <c r="D19" i="37"/>
  <c r="L18" i="37"/>
  <c r="D18" i="37"/>
  <c r="L17" i="37"/>
  <c r="D17" i="37"/>
  <c r="L16" i="37"/>
  <c r="D16" i="37"/>
  <c r="L15" i="37"/>
  <c r="D15" i="37"/>
  <c r="L14" i="37"/>
  <c r="D14" i="37"/>
  <c r="L13" i="37"/>
  <c r="D13" i="37"/>
  <c r="L12" i="37"/>
  <c r="D12" i="37"/>
  <c r="M129" i="37"/>
  <c r="E129" i="37"/>
  <c r="M128" i="37"/>
  <c r="E128" i="37"/>
  <c r="J127" i="37"/>
  <c r="B127" i="37"/>
  <c r="M69" i="37"/>
  <c r="E69" i="37"/>
  <c r="M68" i="37"/>
  <c r="E68" i="37"/>
  <c r="J67" i="37"/>
  <c r="B67" i="37"/>
  <c r="M10" i="37"/>
  <c r="E70" i="37" s="1"/>
  <c r="M70" i="37" s="1"/>
  <c r="E130" i="37" s="1"/>
  <c r="M130" i="37" s="1"/>
  <c r="M9" i="37"/>
  <c r="M8" i="37"/>
  <c r="J7" i="37"/>
  <c r="B7" i="37"/>
  <c r="M7" i="37" l="1"/>
  <c r="E67" i="37"/>
  <c r="M127" i="37"/>
  <c r="M67" i="37"/>
  <c r="E127" i="37"/>
  <c r="N179" i="36"/>
  <c r="F179" i="36"/>
  <c r="N178" i="36"/>
  <c r="F178" i="36"/>
  <c r="N177" i="36"/>
  <c r="F177" i="36"/>
  <c r="N176" i="36"/>
  <c r="F176" i="36"/>
  <c r="N175" i="36"/>
  <c r="F175" i="36"/>
  <c r="N174" i="36"/>
  <c r="F174" i="36"/>
  <c r="N173" i="36"/>
  <c r="F173" i="36"/>
  <c r="N172" i="36"/>
  <c r="F172" i="36"/>
  <c r="N171" i="36"/>
  <c r="F171" i="36"/>
  <c r="N170" i="36"/>
  <c r="F170" i="36"/>
  <c r="N169" i="36"/>
  <c r="F169" i="36"/>
  <c r="N168" i="36"/>
  <c r="F168" i="36"/>
  <c r="N167" i="36"/>
  <c r="F167" i="36"/>
  <c r="N166" i="36"/>
  <c r="F166" i="36"/>
  <c r="N165" i="36"/>
  <c r="F165" i="36"/>
  <c r="N164" i="36"/>
  <c r="F164" i="36"/>
  <c r="N163" i="36"/>
  <c r="F163" i="36"/>
  <c r="N162" i="36"/>
  <c r="F162" i="36"/>
  <c r="N161" i="36"/>
  <c r="F161" i="36"/>
  <c r="N160" i="36"/>
  <c r="F160" i="36"/>
  <c r="N159" i="36"/>
  <c r="F159" i="36"/>
  <c r="N158" i="36"/>
  <c r="F158" i="36"/>
  <c r="N157" i="36"/>
  <c r="F157" i="36"/>
  <c r="N156" i="36"/>
  <c r="F156" i="36"/>
  <c r="N155" i="36"/>
  <c r="F155" i="36"/>
  <c r="N154" i="36"/>
  <c r="F154" i="36"/>
  <c r="N153" i="36"/>
  <c r="F153" i="36"/>
  <c r="N152" i="36"/>
  <c r="F152" i="36"/>
  <c r="N151" i="36"/>
  <c r="F151" i="36"/>
  <c r="N150" i="36"/>
  <c r="F150" i="36"/>
  <c r="N149" i="36"/>
  <c r="F149" i="36"/>
  <c r="N148" i="36"/>
  <c r="F148" i="36"/>
  <c r="N147" i="36"/>
  <c r="F147" i="36"/>
  <c r="N146" i="36"/>
  <c r="F146" i="36"/>
  <c r="N145" i="36"/>
  <c r="F145" i="36"/>
  <c r="N144" i="36"/>
  <c r="F144" i="36"/>
  <c r="N143" i="36"/>
  <c r="F143" i="36"/>
  <c r="N142" i="36"/>
  <c r="F142" i="36"/>
  <c r="N141" i="36"/>
  <c r="F141" i="36"/>
  <c r="N140" i="36"/>
  <c r="F140" i="36"/>
  <c r="N139" i="36"/>
  <c r="F139" i="36"/>
  <c r="N138" i="36"/>
  <c r="F138" i="36"/>
  <c r="N137" i="36"/>
  <c r="F137" i="36"/>
  <c r="N136" i="36"/>
  <c r="F136" i="36"/>
  <c r="N135" i="36"/>
  <c r="F135" i="36"/>
  <c r="N134" i="36"/>
  <c r="F134" i="36"/>
  <c r="N133" i="36"/>
  <c r="F133" i="36"/>
  <c r="N132" i="36"/>
  <c r="F132" i="36"/>
  <c r="N119" i="36"/>
  <c r="F119" i="36"/>
  <c r="N118" i="36"/>
  <c r="F118" i="36"/>
  <c r="N117" i="36"/>
  <c r="F117" i="36"/>
  <c r="N116" i="36"/>
  <c r="F116" i="36"/>
  <c r="N115" i="36"/>
  <c r="F115" i="36"/>
  <c r="N114" i="36"/>
  <c r="F114" i="36"/>
  <c r="N113" i="36"/>
  <c r="F113" i="36"/>
  <c r="N112" i="36"/>
  <c r="F112" i="36"/>
  <c r="N111" i="36"/>
  <c r="F111" i="36"/>
  <c r="N110" i="36"/>
  <c r="F110" i="36"/>
  <c r="N109" i="36"/>
  <c r="F109" i="36"/>
  <c r="N108" i="36"/>
  <c r="F108" i="36"/>
  <c r="N107" i="36"/>
  <c r="F107" i="36"/>
  <c r="N106" i="36"/>
  <c r="F106" i="36"/>
  <c r="N105" i="36"/>
  <c r="F105" i="36"/>
  <c r="N104" i="36"/>
  <c r="F104" i="36"/>
  <c r="N103" i="36"/>
  <c r="F103" i="36"/>
  <c r="N102" i="36"/>
  <c r="F102" i="36"/>
  <c r="N101" i="36"/>
  <c r="F101" i="36"/>
  <c r="N100" i="36"/>
  <c r="F100" i="36"/>
  <c r="N99" i="36"/>
  <c r="F99" i="36"/>
  <c r="N98" i="36"/>
  <c r="F98" i="36"/>
  <c r="N97" i="36"/>
  <c r="F97" i="36"/>
  <c r="N96" i="36"/>
  <c r="F96" i="36"/>
  <c r="N95" i="36"/>
  <c r="F95" i="36"/>
  <c r="N94" i="36"/>
  <c r="F94" i="36"/>
  <c r="N93" i="36"/>
  <c r="F93" i="36"/>
  <c r="N92" i="36"/>
  <c r="F92" i="36"/>
  <c r="N91" i="36"/>
  <c r="F91" i="36"/>
  <c r="N90" i="36"/>
  <c r="F90" i="36"/>
  <c r="N89" i="36"/>
  <c r="F89" i="36"/>
  <c r="N88" i="36"/>
  <c r="F88" i="36"/>
  <c r="N87" i="36"/>
  <c r="F87" i="36"/>
  <c r="N86" i="36"/>
  <c r="F86" i="36"/>
  <c r="N85" i="36"/>
  <c r="F85" i="36"/>
  <c r="N84" i="36"/>
  <c r="F84" i="36"/>
  <c r="N83" i="36"/>
  <c r="F83" i="36"/>
  <c r="N82" i="36"/>
  <c r="F82" i="36"/>
  <c r="N81" i="36"/>
  <c r="F81" i="36"/>
  <c r="N80" i="36"/>
  <c r="F80" i="36"/>
  <c r="N79" i="36"/>
  <c r="F79" i="36"/>
  <c r="N78" i="36"/>
  <c r="F78" i="36"/>
  <c r="N77" i="36"/>
  <c r="F77" i="36"/>
  <c r="N76" i="36"/>
  <c r="F76" i="36"/>
  <c r="N75" i="36"/>
  <c r="F75" i="36"/>
  <c r="N74" i="36"/>
  <c r="F74" i="36"/>
  <c r="N73" i="36"/>
  <c r="F73" i="36"/>
  <c r="N72" i="36"/>
  <c r="F72" i="36"/>
  <c r="N59" i="36"/>
  <c r="F59" i="36"/>
  <c r="N58" i="36"/>
  <c r="F58" i="36"/>
  <c r="N57" i="36"/>
  <c r="F57" i="36"/>
  <c r="N56" i="36"/>
  <c r="F56" i="36"/>
  <c r="N55" i="36"/>
  <c r="F55" i="36"/>
  <c r="N54" i="36"/>
  <c r="F54" i="36"/>
  <c r="N53" i="36"/>
  <c r="F53" i="36"/>
  <c r="N52" i="36"/>
  <c r="F52" i="36"/>
  <c r="N51" i="36"/>
  <c r="F51" i="36"/>
  <c r="N50" i="36"/>
  <c r="F50" i="36"/>
  <c r="N49" i="36"/>
  <c r="F49" i="36"/>
  <c r="N48" i="36"/>
  <c r="F48" i="36"/>
  <c r="N47" i="36"/>
  <c r="F47" i="36"/>
  <c r="N46" i="36"/>
  <c r="F46" i="36"/>
  <c r="N45" i="36"/>
  <c r="F45" i="36"/>
  <c r="N44" i="36"/>
  <c r="F44" i="36"/>
  <c r="N43" i="36"/>
  <c r="F43" i="36"/>
  <c r="N42" i="36"/>
  <c r="F42" i="36"/>
  <c r="N41" i="36"/>
  <c r="F41" i="36"/>
  <c r="N40" i="36"/>
  <c r="F40" i="36"/>
  <c r="N39" i="36"/>
  <c r="F39" i="36"/>
  <c r="N38" i="36"/>
  <c r="F38" i="36"/>
  <c r="N37" i="36"/>
  <c r="F37" i="36"/>
  <c r="N36" i="36"/>
  <c r="F36" i="36"/>
  <c r="N35" i="36"/>
  <c r="F35" i="36"/>
  <c r="N34" i="36"/>
  <c r="F34" i="36"/>
  <c r="N33" i="36"/>
  <c r="F33" i="36"/>
  <c r="N32" i="36"/>
  <c r="F32" i="36"/>
  <c r="N31" i="36"/>
  <c r="F31" i="36"/>
  <c r="N30" i="36"/>
  <c r="F30" i="36"/>
  <c r="N29" i="36"/>
  <c r="F29" i="36"/>
  <c r="N28" i="36"/>
  <c r="F28" i="36"/>
  <c r="N27" i="36"/>
  <c r="F27" i="36"/>
  <c r="N26" i="36"/>
  <c r="F26" i="36"/>
  <c r="N25" i="36"/>
  <c r="F25" i="36"/>
  <c r="N24" i="36"/>
  <c r="F24" i="36"/>
  <c r="N23" i="36"/>
  <c r="F23" i="36"/>
  <c r="N22" i="36"/>
  <c r="F22" i="36"/>
  <c r="N21" i="36"/>
  <c r="F21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M179" i="36"/>
  <c r="E179" i="36"/>
  <c r="M178" i="36"/>
  <c r="P178" i="36" s="1"/>
  <c r="E178" i="36"/>
  <c r="H178" i="36" s="1"/>
  <c r="M177" i="36"/>
  <c r="P177" i="36" s="1"/>
  <c r="E177" i="36"/>
  <c r="H177" i="36" s="1"/>
  <c r="M176" i="36"/>
  <c r="P176" i="36" s="1"/>
  <c r="E176" i="36"/>
  <c r="H176" i="36" s="1"/>
  <c r="M175" i="36"/>
  <c r="P175" i="36" s="1"/>
  <c r="E175" i="36"/>
  <c r="H175" i="36" s="1"/>
  <c r="M174" i="36"/>
  <c r="P174" i="36" s="1"/>
  <c r="E174" i="36"/>
  <c r="H174" i="36" s="1"/>
  <c r="M173" i="36"/>
  <c r="P173" i="36" s="1"/>
  <c r="E173" i="36"/>
  <c r="H173" i="36" s="1"/>
  <c r="M172" i="36"/>
  <c r="P172" i="36" s="1"/>
  <c r="E172" i="36"/>
  <c r="H172" i="36" s="1"/>
  <c r="M171" i="36"/>
  <c r="P171" i="36" s="1"/>
  <c r="E171" i="36"/>
  <c r="H171" i="36" s="1"/>
  <c r="M170" i="36"/>
  <c r="P170" i="36" s="1"/>
  <c r="E170" i="36"/>
  <c r="H170" i="36" s="1"/>
  <c r="M169" i="36"/>
  <c r="P169" i="36" s="1"/>
  <c r="E169" i="36"/>
  <c r="H169" i="36" s="1"/>
  <c r="M168" i="36"/>
  <c r="P168" i="36" s="1"/>
  <c r="E168" i="36"/>
  <c r="H168" i="36" s="1"/>
  <c r="M167" i="36"/>
  <c r="P167" i="36" s="1"/>
  <c r="E167" i="36"/>
  <c r="H167" i="36" s="1"/>
  <c r="M166" i="36"/>
  <c r="P166" i="36" s="1"/>
  <c r="E166" i="36"/>
  <c r="H166" i="36" s="1"/>
  <c r="M165" i="36"/>
  <c r="P165" i="36" s="1"/>
  <c r="E165" i="36"/>
  <c r="H165" i="36" s="1"/>
  <c r="M164" i="36"/>
  <c r="P164" i="36" s="1"/>
  <c r="E164" i="36"/>
  <c r="H164" i="36" s="1"/>
  <c r="M163" i="36"/>
  <c r="P163" i="36" s="1"/>
  <c r="E163" i="36"/>
  <c r="H163" i="36" s="1"/>
  <c r="M162" i="36"/>
  <c r="P162" i="36" s="1"/>
  <c r="E162" i="36"/>
  <c r="H162" i="36" s="1"/>
  <c r="M161" i="36"/>
  <c r="P161" i="36" s="1"/>
  <c r="E161" i="36"/>
  <c r="H161" i="36" s="1"/>
  <c r="M160" i="36"/>
  <c r="P160" i="36" s="1"/>
  <c r="E160" i="36"/>
  <c r="H160" i="36" s="1"/>
  <c r="M159" i="36"/>
  <c r="P159" i="36" s="1"/>
  <c r="E159" i="36"/>
  <c r="H159" i="36" s="1"/>
  <c r="M158" i="36"/>
  <c r="P158" i="36" s="1"/>
  <c r="E158" i="36"/>
  <c r="H158" i="36" s="1"/>
  <c r="M157" i="36"/>
  <c r="P157" i="36" s="1"/>
  <c r="E157" i="36"/>
  <c r="H157" i="36" s="1"/>
  <c r="M156" i="36"/>
  <c r="P156" i="36" s="1"/>
  <c r="E156" i="36"/>
  <c r="H156" i="36" s="1"/>
  <c r="M155" i="36"/>
  <c r="P155" i="36" s="1"/>
  <c r="E155" i="36"/>
  <c r="H155" i="36" s="1"/>
  <c r="M154" i="36"/>
  <c r="P154" i="36" s="1"/>
  <c r="E154" i="36"/>
  <c r="H154" i="36" s="1"/>
  <c r="M153" i="36"/>
  <c r="P153" i="36" s="1"/>
  <c r="E153" i="36"/>
  <c r="H153" i="36" s="1"/>
  <c r="M152" i="36"/>
  <c r="P152" i="36" s="1"/>
  <c r="E152" i="36"/>
  <c r="H152" i="36" s="1"/>
  <c r="M151" i="36"/>
  <c r="P151" i="36" s="1"/>
  <c r="E151" i="36"/>
  <c r="H151" i="36" s="1"/>
  <c r="M150" i="36"/>
  <c r="P150" i="36" s="1"/>
  <c r="E150" i="36"/>
  <c r="H150" i="36" s="1"/>
  <c r="M149" i="36"/>
  <c r="P149" i="36" s="1"/>
  <c r="E149" i="36"/>
  <c r="H149" i="36" s="1"/>
  <c r="M148" i="36"/>
  <c r="P148" i="36" s="1"/>
  <c r="E148" i="36"/>
  <c r="H148" i="36" s="1"/>
  <c r="M147" i="36"/>
  <c r="P147" i="36" s="1"/>
  <c r="E147" i="36"/>
  <c r="H147" i="36" s="1"/>
  <c r="M146" i="36"/>
  <c r="P146" i="36" s="1"/>
  <c r="E146" i="36"/>
  <c r="H146" i="36" s="1"/>
  <c r="M145" i="36"/>
  <c r="P145" i="36" s="1"/>
  <c r="E145" i="36"/>
  <c r="H145" i="36" s="1"/>
  <c r="M144" i="36"/>
  <c r="P144" i="36" s="1"/>
  <c r="E144" i="36"/>
  <c r="H144" i="36" s="1"/>
  <c r="M143" i="36"/>
  <c r="P143" i="36" s="1"/>
  <c r="E143" i="36"/>
  <c r="H143" i="36" s="1"/>
  <c r="M142" i="36"/>
  <c r="P142" i="36" s="1"/>
  <c r="E142" i="36"/>
  <c r="H142" i="36" s="1"/>
  <c r="M141" i="36"/>
  <c r="P141" i="36" s="1"/>
  <c r="E141" i="36"/>
  <c r="H141" i="36" s="1"/>
  <c r="M140" i="36"/>
  <c r="P140" i="36" s="1"/>
  <c r="E140" i="36"/>
  <c r="H140" i="36" s="1"/>
  <c r="M139" i="36"/>
  <c r="P139" i="36" s="1"/>
  <c r="E139" i="36"/>
  <c r="H139" i="36" s="1"/>
  <c r="M138" i="36"/>
  <c r="P138" i="36" s="1"/>
  <c r="E138" i="36"/>
  <c r="H138" i="36" s="1"/>
  <c r="M137" i="36"/>
  <c r="P137" i="36" s="1"/>
  <c r="E137" i="36"/>
  <c r="H137" i="36" s="1"/>
  <c r="M136" i="36"/>
  <c r="P136" i="36" s="1"/>
  <c r="E136" i="36"/>
  <c r="H136" i="36" s="1"/>
  <c r="M135" i="36"/>
  <c r="P135" i="36" s="1"/>
  <c r="E135" i="36"/>
  <c r="H135" i="36" s="1"/>
  <c r="M134" i="36"/>
  <c r="P134" i="36" s="1"/>
  <c r="E134" i="36"/>
  <c r="H134" i="36" s="1"/>
  <c r="M133" i="36"/>
  <c r="P133" i="36" s="1"/>
  <c r="E133" i="36"/>
  <c r="H133" i="36" s="1"/>
  <c r="M132" i="36"/>
  <c r="P132" i="36" s="1"/>
  <c r="E132" i="36"/>
  <c r="H132" i="36" s="1"/>
  <c r="M119" i="36"/>
  <c r="E119" i="36"/>
  <c r="M118" i="36"/>
  <c r="P118" i="36" s="1"/>
  <c r="E118" i="36"/>
  <c r="H118" i="36" s="1"/>
  <c r="M117" i="36"/>
  <c r="P117" i="36" s="1"/>
  <c r="E117" i="36"/>
  <c r="H117" i="36" s="1"/>
  <c r="M116" i="36"/>
  <c r="P116" i="36" s="1"/>
  <c r="E116" i="36"/>
  <c r="H116" i="36" s="1"/>
  <c r="M115" i="36"/>
  <c r="P115" i="36" s="1"/>
  <c r="E115" i="36"/>
  <c r="H115" i="36" s="1"/>
  <c r="M114" i="36"/>
  <c r="P114" i="36" s="1"/>
  <c r="E114" i="36"/>
  <c r="H114" i="36" s="1"/>
  <c r="M113" i="36"/>
  <c r="P113" i="36" s="1"/>
  <c r="E113" i="36"/>
  <c r="H113" i="36" s="1"/>
  <c r="M112" i="36"/>
  <c r="P112" i="36" s="1"/>
  <c r="E112" i="36"/>
  <c r="H112" i="36" s="1"/>
  <c r="M111" i="36"/>
  <c r="P111" i="36" s="1"/>
  <c r="E111" i="36"/>
  <c r="H111" i="36" s="1"/>
  <c r="M110" i="36"/>
  <c r="P110" i="36" s="1"/>
  <c r="E110" i="36"/>
  <c r="H110" i="36" s="1"/>
  <c r="M109" i="36"/>
  <c r="P109" i="36" s="1"/>
  <c r="E109" i="36"/>
  <c r="H109" i="36" s="1"/>
  <c r="M108" i="36"/>
  <c r="P108" i="36" s="1"/>
  <c r="E108" i="36"/>
  <c r="H108" i="36" s="1"/>
  <c r="M107" i="36"/>
  <c r="P107" i="36" s="1"/>
  <c r="E107" i="36"/>
  <c r="H107" i="36" s="1"/>
  <c r="M106" i="36"/>
  <c r="P106" i="36" s="1"/>
  <c r="E106" i="36"/>
  <c r="H106" i="36" s="1"/>
  <c r="M105" i="36"/>
  <c r="P105" i="36" s="1"/>
  <c r="E105" i="36"/>
  <c r="H105" i="36" s="1"/>
  <c r="M104" i="36"/>
  <c r="P104" i="36" s="1"/>
  <c r="E104" i="36"/>
  <c r="H104" i="36" s="1"/>
  <c r="M103" i="36"/>
  <c r="P103" i="36" s="1"/>
  <c r="E103" i="36"/>
  <c r="H103" i="36" s="1"/>
  <c r="M102" i="36"/>
  <c r="P102" i="36" s="1"/>
  <c r="E102" i="36"/>
  <c r="H102" i="36" s="1"/>
  <c r="M101" i="36"/>
  <c r="P101" i="36" s="1"/>
  <c r="E101" i="36"/>
  <c r="H101" i="36" s="1"/>
  <c r="M100" i="36"/>
  <c r="P100" i="36" s="1"/>
  <c r="E100" i="36"/>
  <c r="H100" i="36" s="1"/>
  <c r="M99" i="36"/>
  <c r="P99" i="36" s="1"/>
  <c r="E99" i="36"/>
  <c r="H99" i="36" s="1"/>
  <c r="M98" i="36"/>
  <c r="P98" i="36" s="1"/>
  <c r="E98" i="36"/>
  <c r="H98" i="36" s="1"/>
  <c r="M97" i="36"/>
  <c r="P97" i="36" s="1"/>
  <c r="E97" i="36"/>
  <c r="H97" i="36" s="1"/>
  <c r="M96" i="36"/>
  <c r="P96" i="36" s="1"/>
  <c r="E96" i="36"/>
  <c r="H96" i="36" s="1"/>
  <c r="M95" i="36"/>
  <c r="P95" i="36" s="1"/>
  <c r="E95" i="36"/>
  <c r="H95" i="36" s="1"/>
  <c r="M94" i="36"/>
  <c r="P94" i="36" s="1"/>
  <c r="E94" i="36"/>
  <c r="H94" i="36" s="1"/>
  <c r="M93" i="36"/>
  <c r="P93" i="36" s="1"/>
  <c r="E93" i="36"/>
  <c r="H93" i="36" s="1"/>
  <c r="M92" i="36"/>
  <c r="P92" i="36" s="1"/>
  <c r="E92" i="36"/>
  <c r="H92" i="36" s="1"/>
  <c r="M91" i="36"/>
  <c r="P91" i="36" s="1"/>
  <c r="E91" i="36"/>
  <c r="H91" i="36" s="1"/>
  <c r="M90" i="36"/>
  <c r="P90" i="36" s="1"/>
  <c r="E90" i="36"/>
  <c r="H90" i="36" s="1"/>
  <c r="M89" i="36"/>
  <c r="P89" i="36" s="1"/>
  <c r="E89" i="36"/>
  <c r="H89" i="36" s="1"/>
  <c r="M88" i="36"/>
  <c r="P88" i="36" s="1"/>
  <c r="E88" i="36"/>
  <c r="H88" i="36" s="1"/>
  <c r="M87" i="36"/>
  <c r="P87" i="36" s="1"/>
  <c r="E87" i="36"/>
  <c r="H87" i="36" s="1"/>
  <c r="M86" i="36"/>
  <c r="P86" i="36" s="1"/>
  <c r="E86" i="36"/>
  <c r="H86" i="36" s="1"/>
  <c r="M85" i="36"/>
  <c r="P85" i="36" s="1"/>
  <c r="E85" i="36"/>
  <c r="H85" i="36" s="1"/>
  <c r="M84" i="36"/>
  <c r="P84" i="36" s="1"/>
  <c r="E84" i="36"/>
  <c r="H84" i="36" s="1"/>
  <c r="M83" i="36"/>
  <c r="P83" i="36" s="1"/>
  <c r="E83" i="36"/>
  <c r="H83" i="36" s="1"/>
  <c r="M82" i="36"/>
  <c r="P82" i="36" s="1"/>
  <c r="E82" i="36"/>
  <c r="H82" i="36" s="1"/>
  <c r="M81" i="36"/>
  <c r="P81" i="36" s="1"/>
  <c r="E81" i="36"/>
  <c r="H81" i="36" s="1"/>
  <c r="M80" i="36"/>
  <c r="P80" i="36" s="1"/>
  <c r="E80" i="36"/>
  <c r="H80" i="36" s="1"/>
  <c r="M79" i="36"/>
  <c r="P79" i="36" s="1"/>
  <c r="E79" i="36"/>
  <c r="H79" i="36" s="1"/>
  <c r="M78" i="36"/>
  <c r="P78" i="36" s="1"/>
  <c r="E78" i="36"/>
  <c r="H78" i="36" s="1"/>
  <c r="M77" i="36"/>
  <c r="P77" i="36" s="1"/>
  <c r="E77" i="36"/>
  <c r="H77" i="36" s="1"/>
  <c r="M76" i="36"/>
  <c r="P76" i="36" s="1"/>
  <c r="E76" i="36"/>
  <c r="H76" i="36" s="1"/>
  <c r="M75" i="36"/>
  <c r="P75" i="36" s="1"/>
  <c r="E75" i="36"/>
  <c r="H75" i="36" s="1"/>
  <c r="M74" i="36"/>
  <c r="P74" i="36" s="1"/>
  <c r="E74" i="36"/>
  <c r="H74" i="36" s="1"/>
  <c r="M73" i="36"/>
  <c r="P73" i="36" s="1"/>
  <c r="E73" i="36"/>
  <c r="H73" i="36" s="1"/>
  <c r="M72" i="36"/>
  <c r="P72" i="36" s="1"/>
  <c r="E72" i="36"/>
  <c r="H72" i="36" s="1"/>
  <c r="M59" i="36"/>
  <c r="E59" i="36"/>
  <c r="H59" i="36" s="1"/>
  <c r="M58" i="36"/>
  <c r="P58" i="36" s="1"/>
  <c r="E58" i="36"/>
  <c r="H58" i="36" s="1"/>
  <c r="M57" i="36"/>
  <c r="P57" i="36" s="1"/>
  <c r="E57" i="36"/>
  <c r="H57" i="36" s="1"/>
  <c r="M56" i="36"/>
  <c r="P56" i="36" s="1"/>
  <c r="E56" i="36"/>
  <c r="H56" i="36" s="1"/>
  <c r="M55" i="36"/>
  <c r="P55" i="36" s="1"/>
  <c r="E55" i="36"/>
  <c r="H55" i="36" s="1"/>
  <c r="M54" i="36"/>
  <c r="P54" i="36" s="1"/>
  <c r="E54" i="36"/>
  <c r="H54" i="36" s="1"/>
  <c r="M53" i="36"/>
  <c r="P53" i="36" s="1"/>
  <c r="E53" i="36"/>
  <c r="H53" i="36" s="1"/>
  <c r="M52" i="36"/>
  <c r="P52" i="36" s="1"/>
  <c r="E52" i="36"/>
  <c r="H52" i="36" s="1"/>
  <c r="M51" i="36"/>
  <c r="P51" i="36" s="1"/>
  <c r="E51" i="36"/>
  <c r="H51" i="36" s="1"/>
  <c r="M50" i="36"/>
  <c r="P50" i="36" s="1"/>
  <c r="E50" i="36"/>
  <c r="H50" i="36" s="1"/>
  <c r="M49" i="36"/>
  <c r="P49" i="36" s="1"/>
  <c r="E49" i="36"/>
  <c r="H49" i="36" s="1"/>
  <c r="M48" i="36"/>
  <c r="P48" i="36" s="1"/>
  <c r="E48" i="36"/>
  <c r="H48" i="36" s="1"/>
  <c r="M47" i="36"/>
  <c r="P47" i="36" s="1"/>
  <c r="E47" i="36"/>
  <c r="H47" i="36" s="1"/>
  <c r="M46" i="36"/>
  <c r="P46" i="36" s="1"/>
  <c r="E46" i="36"/>
  <c r="H46" i="36" s="1"/>
  <c r="M45" i="36"/>
  <c r="P45" i="36" s="1"/>
  <c r="E45" i="36"/>
  <c r="H45" i="36" s="1"/>
  <c r="M44" i="36"/>
  <c r="P44" i="36" s="1"/>
  <c r="E44" i="36"/>
  <c r="H44" i="36" s="1"/>
  <c r="M43" i="36"/>
  <c r="P43" i="36" s="1"/>
  <c r="E43" i="36"/>
  <c r="H43" i="36" s="1"/>
  <c r="M42" i="36"/>
  <c r="P42" i="36" s="1"/>
  <c r="E42" i="36"/>
  <c r="H42" i="36" s="1"/>
  <c r="M41" i="36"/>
  <c r="P41" i="36" s="1"/>
  <c r="E41" i="36"/>
  <c r="H41" i="36" s="1"/>
  <c r="M40" i="36"/>
  <c r="P40" i="36" s="1"/>
  <c r="E40" i="36"/>
  <c r="H40" i="36" s="1"/>
  <c r="M39" i="36"/>
  <c r="P39" i="36" s="1"/>
  <c r="E39" i="36"/>
  <c r="H39" i="36" s="1"/>
  <c r="M38" i="36"/>
  <c r="P38" i="36" s="1"/>
  <c r="E38" i="36"/>
  <c r="H38" i="36" s="1"/>
  <c r="M37" i="36"/>
  <c r="P37" i="36" s="1"/>
  <c r="E37" i="36"/>
  <c r="H37" i="36" s="1"/>
  <c r="M36" i="36"/>
  <c r="P36" i="36" s="1"/>
  <c r="E36" i="36"/>
  <c r="H36" i="36" s="1"/>
  <c r="M35" i="36"/>
  <c r="P35" i="36" s="1"/>
  <c r="E35" i="36"/>
  <c r="H35" i="36" s="1"/>
  <c r="M34" i="36"/>
  <c r="P34" i="36" s="1"/>
  <c r="E34" i="36"/>
  <c r="H34" i="36" s="1"/>
  <c r="M33" i="36"/>
  <c r="P33" i="36" s="1"/>
  <c r="E33" i="36"/>
  <c r="H33" i="36" s="1"/>
  <c r="M32" i="36"/>
  <c r="P32" i="36" s="1"/>
  <c r="E32" i="36"/>
  <c r="H32" i="36" s="1"/>
  <c r="M31" i="36"/>
  <c r="P31" i="36" s="1"/>
  <c r="E31" i="36"/>
  <c r="H31" i="36" s="1"/>
  <c r="M30" i="36"/>
  <c r="P30" i="36" s="1"/>
  <c r="E30" i="36"/>
  <c r="H30" i="36" s="1"/>
  <c r="M29" i="36"/>
  <c r="P29" i="36" s="1"/>
  <c r="E29" i="36"/>
  <c r="H29" i="36" s="1"/>
  <c r="M28" i="36"/>
  <c r="P28" i="36" s="1"/>
  <c r="E28" i="36"/>
  <c r="H28" i="36" s="1"/>
  <c r="M27" i="36"/>
  <c r="P27" i="36" s="1"/>
  <c r="E27" i="36"/>
  <c r="H27" i="36" s="1"/>
  <c r="M26" i="36"/>
  <c r="P26" i="36" s="1"/>
  <c r="E26" i="36"/>
  <c r="H26" i="36" s="1"/>
  <c r="M25" i="36"/>
  <c r="P25" i="36" s="1"/>
  <c r="E25" i="36"/>
  <c r="H25" i="36" s="1"/>
  <c r="M24" i="36"/>
  <c r="P24" i="36" s="1"/>
  <c r="E24" i="36"/>
  <c r="H24" i="36" s="1"/>
  <c r="M23" i="36"/>
  <c r="P23" i="36" s="1"/>
  <c r="E23" i="36"/>
  <c r="H23" i="36" s="1"/>
  <c r="M22" i="36"/>
  <c r="P22" i="36" s="1"/>
  <c r="E22" i="36"/>
  <c r="H22" i="36" s="1"/>
  <c r="M21" i="36"/>
  <c r="P21" i="36" s="1"/>
  <c r="E21" i="36"/>
  <c r="H21" i="36" s="1"/>
  <c r="M20" i="36"/>
  <c r="P20" i="36" s="1"/>
  <c r="E20" i="36"/>
  <c r="H20" i="36" s="1"/>
  <c r="M19" i="36"/>
  <c r="P19" i="36" s="1"/>
  <c r="E19" i="36"/>
  <c r="H19" i="36" s="1"/>
  <c r="M18" i="36"/>
  <c r="P18" i="36" s="1"/>
  <c r="E18" i="36"/>
  <c r="H18" i="36" s="1"/>
  <c r="M17" i="36"/>
  <c r="P17" i="36" s="1"/>
  <c r="E17" i="36"/>
  <c r="H17" i="36" s="1"/>
  <c r="M16" i="36"/>
  <c r="P16" i="36" s="1"/>
  <c r="E16" i="36"/>
  <c r="H16" i="36" s="1"/>
  <c r="M15" i="36"/>
  <c r="P15" i="36" s="1"/>
  <c r="E15" i="36"/>
  <c r="H15" i="36" s="1"/>
  <c r="M14" i="36"/>
  <c r="P14" i="36" s="1"/>
  <c r="E14" i="36"/>
  <c r="H14" i="36" s="1"/>
  <c r="M13" i="36"/>
  <c r="P13" i="36" s="1"/>
  <c r="E13" i="36"/>
  <c r="H13" i="36" s="1"/>
  <c r="M12" i="36"/>
  <c r="P12" i="36" s="1"/>
  <c r="E12" i="36"/>
  <c r="H12" i="36" s="1"/>
  <c r="E7" i="36"/>
  <c r="L179" i="36"/>
  <c r="D179" i="36"/>
  <c r="L178" i="36"/>
  <c r="D178" i="36"/>
  <c r="L177" i="36"/>
  <c r="D177" i="36"/>
  <c r="L176" i="36"/>
  <c r="D176" i="36"/>
  <c r="L175" i="36"/>
  <c r="D175" i="36"/>
  <c r="L174" i="36"/>
  <c r="D174" i="36"/>
  <c r="L173" i="36"/>
  <c r="D173" i="36"/>
  <c r="L172" i="36"/>
  <c r="D172" i="36"/>
  <c r="L171" i="36"/>
  <c r="D171" i="36"/>
  <c r="L170" i="36"/>
  <c r="D170" i="36"/>
  <c r="L169" i="36"/>
  <c r="D169" i="36"/>
  <c r="L168" i="36"/>
  <c r="D168" i="36"/>
  <c r="L167" i="36"/>
  <c r="D167" i="36"/>
  <c r="L166" i="36"/>
  <c r="D166" i="36"/>
  <c r="L165" i="36"/>
  <c r="D165" i="36"/>
  <c r="L164" i="36"/>
  <c r="D164" i="36"/>
  <c r="L163" i="36"/>
  <c r="D163" i="36"/>
  <c r="L162" i="36"/>
  <c r="D162" i="36"/>
  <c r="L161" i="36"/>
  <c r="D161" i="36"/>
  <c r="L160" i="36"/>
  <c r="D160" i="36"/>
  <c r="L159" i="36"/>
  <c r="D159" i="36"/>
  <c r="L158" i="36"/>
  <c r="D158" i="36"/>
  <c r="L157" i="36"/>
  <c r="D157" i="36"/>
  <c r="L156" i="36"/>
  <c r="D156" i="36"/>
  <c r="L155" i="36"/>
  <c r="D155" i="36"/>
  <c r="L154" i="36"/>
  <c r="D154" i="36"/>
  <c r="L153" i="36"/>
  <c r="D153" i="36"/>
  <c r="L152" i="36"/>
  <c r="D152" i="36"/>
  <c r="L151" i="36"/>
  <c r="D151" i="36"/>
  <c r="L150" i="36"/>
  <c r="D150" i="36"/>
  <c r="L149" i="36"/>
  <c r="D149" i="36"/>
  <c r="L148" i="36"/>
  <c r="D148" i="36"/>
  <c r="L147" i="36"/>
  <c r="D147" i="36"/>
  <c r="L146" i="36"/>
  <c r="D146" i="36"/>
  <c r="L145" i="36"/>
  <c r="D145" i="36"/>
  <c r="L144" i="36"/>
  <c r="D144" i="36"/>
  <c r="L143" i="36"/>
  <c r="D143" i="36"/>
  <c r="L142" i="36"/>
  <c r="D142" i="36"/>
  <c r="L141" i="36"/>
  <c r="D141" i="36"/>
  <c r="L140" i="36"/>
  <c r="D140" i="36"/>
  <c r="L139" i="36"/>
  <c r="D139" i="36"/>
  <c r="L138" i="36"/>
  <c r="D138" i="36"/>
  <c r="L137" i="36"/>
  <c r="D137" i="36"/>
  <c r="L136" i="36"/>
  <c r="D136" i="36"/>
  <c r="L135" i="36"/>
  <c r="D135" i="36"/>
  <c r="L134" i="36"/>
  <c r="D134" i="36"/>
  <c r="L133" i="36"/>
  <c r="D133" i="36"/>
  <c r="L132" i="36"/>
  <c r="D132" i="36"/>
  <c r="L119" i="36"/>
  <c r="D119" i="36"/>
  <c r="L118" i="36"/>
  <c r="D118" i="36"/>
  <c r="L117" i="36"/>
  <c r="D117" i="36"/>
  <c r="L116" i="36"/>
  <c r="D116" i="36"/>
  <c r="L115" i="36"/>
  <c r="D115" i="36"/>
  <c r="L114" i="36"/>
  <c r="D114" i="36"/>
  <c r="L113" i="36"/>
  <c r="D113" i="36"/>
  <c r="L112" i="36"/>
  <c r="D112" i="36"/>
  <c r="L111" i="36"/>
  <c r="D111" i="36"/>
  <c r="L110" i="36"/>
  <c r="D110" i="36"/>
  <c r="L109" i="36"/>
  <c r="D109" i="36"/>
  <c r="L108" i="36"/>
  <c r="D108" i="36"/>
  <c r="L107" i="36"/>
  <c r="D107" i="36"/>
  <c r="L106" i="36"/>
  <c r="D106" i="36"/>
  <c r="L105" i="36"/>
  <c r="D105" i="36"/>
  <c r="L104" i="36"/>
  <c r="D104" i="36"/>
  <c r="L103" i="36"/>
  <c r="D103" i="36"/>
  <c r="L102" i="36"/>
  <c r="D102" i="36"/>
  <c r="L101" i="36"/>
  <c r="D101" i="36"/>
  <c r="L100" i="36"/>
  <c r="D100" i="36"/>
  <c r="L99" i="36"/>
  <c r="D99" i="36"/>
  <c r="L98" i="36"/>
  <c r="D98" i="36"/>
  <c r="L97" i="36"/>
  <c r="D97" i="36"/>
  <c r="L96" i="36"/>
  <c r="D96" i="36"/>
  <c r="L95" i="36"/>
  <c r="D95" i="36"/>
  <c r="L94" i="36"/>
  <c r="D94" i="36"/>
  <c r="L93" i="36"/>
  <c r="D93" i="36"/>
  <c r="L92" i="36"/>
  <c r="D92" i="36"/>
  <c r="L91" i="36"/>
  <c r="D91" i="36"/>
  <c r="L90" i="36"/>
  <c r="D90" i="36"/>
  <c r="L89" i="36"/>
  <c r="D89" i="36"/>
  <c r="L88" i="36"/>
  <c r="D88" i="36"/>
  <c r="L87" i="36"/>
  <c r="D87" i="36"/>
  <c r="L86" i="36"/>
  <c r="D86" i="36"/>
  <c r="L85" i="36"/>
  <c r="D85" i="36"/>
  <c r="L84" i="36"/>
  <c r="D84" i="36"/>
  <c r="L83" i="36"/>
  <c r="D83" i="36"/>
  <c r="L82" i="36"/>
  <c r="D82" i="36"/>
  <c r="L81" i="36"/>
  <c r="D81" i="36"/>
  <c r="L80" i="36"/>
  <c r="D80" i="36"/>
  <c r="L79" i="36"/>
  <c r="D79" i="36"/>
  <c r="L78" i="36"/>
  <c r="D78" i="36"/>
  <c r="L77" i="36"/>
  <c r="D77" i="36"/>
  <c r="L76" i="36"/>
  <c r="D76" i="36"/>
  <c r="L75" i="36"/>
  <c r="D75" i="36"/>
  <c r="L74" i="36"/>
  <c r="D74" i="36"/>
  <c r="L73" i="36"/>
  <c r="D73" i="36"/>
  <c r="L72" i="36"/>
  <c r="D72" i="36"/>
  <c r="L59" i="36"/>
  <c r="D59" i="36"/>
  <c r="L58" i="36"/>
  <c r="D58" i="36"/>
  <c r="L57" i="36"/>
  <c r="D57" i="36"/>
  <c r="L56" i="36"/>
  <c r="D56" i="36"/>
  <c r="L55" i="36"/>
  <c r="D55" i="36"/>
  <c r="L54" i="36"/>
  <c r="D54" i="36"/>
  <c r="L53" i="36"/>
  <c r="D53" i="36"/>
  <c r="L52" i="36"/>
  <c r="D52" i="36"/>
  <c r="L51" i="36"/>
  <c r="D51" i="36"/>
  <c r="L50" i="36"/>
  <c r="D50" i="36"/>
  <c r="L49" i="36"/>
  <c r="D49" i="36"/>
  <c r="L48" i="36"/>
  <c r="D48" i="36"/>
  <c r="L47" i="36"/>
  <c r="D47" i="36"/>
  <c r="L46" i="36"/>
  <c r="D46" i="36"/>
  <c r="L45" i="36"/>
  <c r="D45" i="36"/>
  <c r="L44" i="36"/>
  <c r="D44" i="36"/>
  <c r="L43" i="36"/>
  <c r="D43" i="36"/>
  <c r="L42" i="36"/>
  <c r="D42" i="36"/>
  <c r="L41" i="36"/>
  <c r="D41" i="36"/>
  <c r="L40" i="36"/>
  <c r="D40" i="36"/>
  <c r="L39" i="36"/>
  <c r="D39" i="36"/>
  <c r="L38" i="36"/>
  <c r="D38" i="36"/>
  <c r="L37" i="36"/>
  <c r="D37" i="36"/>
  <c r="L36" i="36"/>
  <c r="D36" i="36"/>
  <c r="L35" i="36"/>
  <c r="D35" i="36"/>
  <c r="L34" i="36"/>
  <c r="D34" i="36"/>
  <c r="L33" i="36"/>
  <c r="D33" i="36"/>
  <c r="L32" i="36"/>
  <c r="D32" i="36"/>
  <c r="L31" i="36"/>
  <c r="D31" i="36"/>
  <c r="L30" i="36"/>
  <c r="D30" i="36"/>
  <c r="L29" i="36"/>
  <c r="D29" i="36"/>
  <c r="L28" i="36"/>
  <c r="D28" i="36"/>
  <c r="L27" i="36"/>
  <c r="D27" i="36"/>
  <c r="L26" i="36"/>
  <c r="D26" i="36"/>
  <c r="L25" i="36"/>
  <c r="D25" i="36"/>
  <c r="L24" i="36"/>
  <c r="D24" i="36"/>
  <c r="L23" i="36"/>
  <c r="D23" i="36"/>
  <c r="L22" i="36"/>
  <c r="D22" i="36"/>
  <c r="L21" i="36"/>
  <c r="D21" i="36"/>
  <c r="L20" i="36"/>
  <c r="D20" i="36"/>
  <c r="L19" i="36"/>
  <c r="D19" i="36"/>
  <c r="L18" i="36"/>
  <c r="D18" i="36"/>
  <c r="L17" i="36"/>
  <c r="D17" i="36"/>
  <c r="L16" i="36"/>
  <c r="D16" i="36"/>
  <c r="L15" i="36"/>
  <c r="D15" i="36"/>
  <c r="L14" i="36"/>
  <c r="D14" i="36"/>
  <c r="L13" i="36"/>
  <c r="D13" i="36"/>
  <c r="L12" i="36"/>
  <c r="D12" i="36"/>
  <c r="M129" i="36"/>
  <c r="E129" i="36"/>
  <c r="M128" i="36"/>
  <c r="E128" i="36"/>
  <c r="J127" i="36"/>
  <c r="B127" i="36"/>
  <c r="M69" i="36"/>
  <c r="E69" i="36"/>
  <c r="M68" i="36"/>
  <c r="E68" i="36"/>
  <c r="J67" i="36"/>
  <c r="B67" i="36"/>
  <c r="M10" i="36"/>
  <c r="E70" i="36" s="1"/>
  <c r="M70" i="36" s="1"/>
  <c r="E130" i="36" s="1"/>
  <c r="M130" i="36" s="1"/>
  <c r="M9" i="36"/>
  <c r="M8" i="36"/>
  <c r="J7" i="36"/>
  <c r="B7" i="36"/>
  <c r="M7" i="36" l="1"/>
  <c r="E67" i="36"/>
  <c r="M127" i="36"/>
  <c r="M67" i="36"/>
  <c r="E127" i="36"/>
  <c r="N179" i="35"/>
  <c r="F179" i="35"/>
  <c r="N178" i="35"/>
  <c r="F178" i="35"/>
  <c r="N177" i="35"/>
  <c r="F177" i="35"/>
  <c r="N176" i="35"/>
  <c r="F176" i="35"/>
  <c r="N175" i="35"/>
  <c r="F175" i="35"/>
  <c r="N174" i="35"/>
  <c r="F174" i="35"/>
  <c r="N173" i="35"/>
  <c r="F173" i="35"/>
  <c r="N172" i="35"/>
  <c r="F172" i="35"/>
  <c r="N171" i="35"/>
  <c r="F171" i="35"/>
  <c r="N170" i="35"/>
  <c r="F170" i="35"/>
  <c r="N169" i="35"/>
  <c r="F169" i="35"/>
  <c r="N168" i="35"/>
  <c r="F168" i="35"/>
  <c r="N167" i="35"/>
  <c r="F167" i="35"/>
  <c r="N166" i="35"/>
  <c r="F166" i="35"/>
  <c r="N165" i="35"/>
  <c r="F165" i="35"/>
  <c r="N164" i="35"/>
  <c r="F164" i="35"/>
  <c r="N163" i="35"/>
  <c r="F163" i="35"/>
  <c r="N162" i="35"/>
  <c r="F162" i="35"/>
  <c r="N161" i="35"/>
  <c r="F161" i="35"/>
  <c r="N160" i="35"/>
  <c r="F160" i="35"/>
  <c r="N159" i="35"/>
  <c r="F159" i="35"/>
  <c r="N158" i="35"/>
  <c r="F158" i="35"/>
  <c r="N157" i="35"/>
  <c r="F157" i="35"/>
  <c r="N156" i="35"/>
  <c r="F156" i="35"/>
  <c r="N155" i="35"/>
  <c r="F155" i="35"/>
  <c r="N154" i="35"/>
  <c r="F154" i="35"/>
  <c r="N153" i="35"/>
  <c r="F153" i="35"/>
  <c r="N152" i="35"/>
  <c r="F152" i="35"/>
  <c r="N151" i="35"/>
  <c r="F151" i="35"/>
  <c r="N150" i="35"/>
  <c r="F150" i="35"/>
  <c r="N149" i="35"/>
  <c r="F149" i="35"/>
  <c r="N148" i="35"/>
  <c r="F148" i="35"/>
  <c r="N147" i="35"/>
  <c r="F147" i="35"/>
  <c r="N146" i="35"/>
  <c r="F146" i="35"/>
  <c r="N145" i="35"/>
  <c r="F145" i="35"/>
  <c r="N144" i="35"/>
  <c r="F144" i="35"/>
  <c r="N143" i="35"/>
  <c r="F143" i="35"/>
  <c r="N142" i="35"/>
  <c r="F142" i="35"/>
  <c r="N141" i="35"/>
  <c r="F141" i="35"/>
  <c r="N140" i="35"/>
  <c r="F140" i="35"/>
  <c r="N139" i="35"/>
  <c r="F139" i="35"/>
  <c r="N138" i="35"/>
  <c r="F138" i="35"/>
  <c r="N137" i="35"/>
  <c r="F137" i="35"/>
  <c r="N136" i="35"/>
  <c r="F136" i="35"/>
  <c r="N135" i="35"/>
  <c r="F135" i="35"/>
  <c r="N134" i="35"/>
  <c r="F134" i="35"/>
  <c r="N133" i="35"/>
  <c r="F133" i="35"/>
  <c r="N132" i="35"/>
  <c r="F132" i="35"/>
  <c r="N106" i="35"/>
  <c r="F106" i="35"/>
  <c r="N105" i="35"/>
  <c r="F105" i="35"/>
  <c r="N104" i="35"/>
  <c r="F104" i="35"/>
  <c r="N100" i="35"/>
  <c r="N99" i="35"/>
  <c r="N98" i="35"/>
  <c r="F97" i="35"/>
  <c r="F96" i="35"/>
  <c r="F90" i="35"/>
  <c r="N89" i="35"/>
  <c r="F89" i="35"/>
  <c r="N88" i="35"/>
  <c r="F88" i="35"/>
  <c r="F83" i="35"/>
  <c r="F82" i="35"/>
  <c r="N81" i="35"/>
  <c r="F75" i="35"/>
  <c r="N74" i="35"/>
  <c r="F74" i="35"/>
  <c r="N73" i="35"/>
  <c r="F73" i="35"/>
  <c r="N72" i="35"/>
  <c r="F72" i="35"/>
  <c r="N46" i="35"/>
  <c r="F46" i="35"/>
  <c r="N45" i="35"/>
  <c r="F45" i="35"/>
  <c r="N44" i="35"/>
  <c r="F44" i="35"/>
  <c r="N40" i="35"/>
  <c r="N38" i="35"/>
  <c r="F37" i="35"/>
  <c r="F36" i="35"/>
  <c r="N30" i="35"/>
  <c r="N29" i="35"/>
  <c r="N28" i="35"/>
  <c r="F28" i="35"/>
  <c r="N23" i="35"/>
  <c r="N22" i="35"/>
  <c r="N15" i="35"/>
  <c r="N14" i="35"/>
  <c r="N13" i="35"/>
  <c r="N12" i="35"/>
  <c r="M179" i="35"/>
  <c r="E179" i="35"/>
  <c r="M178" i="35"/>
  <c r="P178" i="35" s="1"/>
  <c r="E178" i="35"/>
  <c r="H178" i="35" s="1"/>
  <c r="M177" i="35"/>
  <c r="P177" i="35" s="1"/>
  <c r="E177" i="35"/>
  <c r="H177" i="35" s="1"/>
  <c r="M176" i="35"/>
  <c r="P176" i="35" s="1"/>
  <c r="E176" i="35"/>
  <c r="H176" i="35" s="1"/>
  <c r="M175" i="35"/>
  <c r="P175" i="35" s="1"/>
  <c r="E175" i="35"/>
  <c r="H175" i="35" s="1"/>
  <c r="M174" i="35"/>
  <c r="P174" i="35" s="1"/>
  <c r="E174" i="35"/>
  <c r="H174" i="35" s="1"/>
  <c r="M173" i="35"/>
  <c r="P173" i="35" s="1"/>
  <c r="E173" i="35"/>
  <c r="H173" i="35" s="1"/>
  <c r="M172" i="35"/>
  <c r="P172" i="35" s="1"/>
  <c r="E172" i="35"/>
  <c r="H172" i="35" s="1"/>
  <c r="M171" i="35"/>
  <c r="P171" i="35" s="1"/>
  <c r="E171" i="35"/>
  <c r="H171" i="35" s="1"/>
  <c r="M170" i="35"/>
  <c r="P170" i="35" s="1"/>
  <c r="E170" i="35"/>
  <c r="H170" i="35" s="1"/>
  <c r="M169" i="35"/>
  <c r="P169" i="35" s="1"/>
  <c r="E169" i="35"/>
  <c r="H169" i="35" s="1"/>
  <c r="M168" i="35"/>
  <c r="P168" i="35" s="1"/>
  <c r="E168" i="35"/>
  <c r="H168" i="35" s="1"/>
  <c r="M167" i="35"/>
  <c r="P167" i="35" s="1"/>
  <c r="E167" i="35"/>
  <c r="H167" i="35" s="1"/>
  <c r="M166" i="35"/>
  <c r="P166" i="35" s="1"/>
  <c r="E166" i="35"/>
  <c r="H166" i="35" s="1"/>
  <c r="M165" i="35"/>
  <c r="P165" i="35" s="1"/>
  <c r="E165" i="35"/>
  <c r="H165" i="35" s="1"/>
  <c r="M164" i="35"/>
  <c r="P164" i="35" s="1"/>
  <c r="E164" i="35"/>
  <c r="H164" i="35" s="1"/>
  <c r="M163" i="35"/>
  <c r="P163" i="35" s="1"/>
  <c r="E163" i="35"/>
  <c r="H163" i="35" s="1"/>
  <c r="M162" i="35"/>
  <c r="P162" i="35" s="1"/>
  <c r="E162" i="35"/>
  <c r="H162" i="35" s="1"/>
  <c r="M161" i="35"/>
  <c r="P161" i="35" s="1"/>
  <c r="E161" i="35"/>
  <c r="H161" i="35" s="1"/>
  <c r="M160" i="35"/>
  <c r="P160" i="35" s="1"/>
  <c r="E160" i="35"/>
  <c r="H160" i="35" s="1"/>
  <c r="M159" i="35"/>
  <c r="P159" i="35" s="1"/>
  <c r="E159" i="35"/>
  <c r="H159" i="35" s="1"/>
  <c r="M158" i="35"/>
  <c r="P158" i="35" s="1"/>
  <c r="E158" i="35"/>
  <c r="H158" i="35" s="1"/>
  <c r="M157" i="35"/>
  <c r="P157" i="35" s="1"/>
  <c r="E157" i="35"/>
  <c r="H157" i="35" s="1"/>
  <c r="M156" i="35"/>
  <c r="P156" i="35" s="1"/>
  <c r="E156" i="35"/>
  <c r="H156" i="35" s="1"/>
  <c r="M155" i="35"/>
  <c r="P155" i="35" s="1"/>
  <c r="E155" i="35"/>
  <c r="H155" i="35" s="1"/>
  <c r="M154" i="35"/>
  <c r="P154" i="35" s="1"/>
  <c r="E154" i="35"/>
  <c r="H154" i="35" s="1"/>
  <c r="M153" i="35"/>
  <c r="P153" i="35" s="1"/>
  <c r="E153" i="35"/>
  <c r="H153" i="35" s="1"/>
  <c r="M152" i="35"/>
  <c r="P152" i="35" s="1"/>
  <c r="E152" i="35"/>
  <c r="H152" i="35" s="1"/>
  <c r="M151" i="35"/>
  <c r="P151" i="35" s="1"/>
  <c r="E151" i="35"/>
  <c r="H151" i="35" s="1"/>
  <c r="M150" i="35"/>
  <c r="P150" i="35" s="1"/>
  <c r="E150" i="35"/>
  <c r="H150" i="35" s="1"/>
  <c r="M149" i="35"/>
  <c r="P149" i="35" s="1"/>
  <c r="E149" i="35"/>
  <c r="H149" i="35" s="1"/>
  <c r="M148" i="35"/>
  <c r="P148" i="35" s="1"/>
  <c r="E148" i="35"/>
  <c r="H148" i="35" s="1"/>
  <c r="M147" i="35"/>
  <c r="P147" i="35" s="1"/>
  <c r="E147" i="35"/>
  <c r="H147" i="35" s="1"/>
  <c r="M146" i="35"/>
  <c r="P146" i="35" s="1"/>
  <c r="E146" i="35"/>
  <c r="H146" i="35" s="1"/>
  <c r="M145" i="35"/>
  <c r="P145" i="35" s="1"/>
  <c r="E145" i="35"/>
  <c r="H145" i="35" s="1"/>
  <c r="M144" i="35"/>
  <c r="P144" i="35" s="1"/>
  <c r="E144" i="35"/>
  <c r="H144" i="35" s="1"/>
  <c r="M143" i="35"/>
  <c r="P143" i="35" s="1"/>
  <c r="E143" i="35"/>
  <c r="H143" i="35" s="1"/>
  <c r="M142" i="35"/>
  <c r="P142" i="35" s="1"/>
  <c r="E142" i="35"/>
  <c r="H142" i="35" s="1"/>
  <c r="M141" i="35"/>
  <c r="P141" i="35" s="1"/>
  <c r="E141" i="35"/>
  <c r="H141" i="35" s="1"/>
  <c r="M140" i="35"/>
  <c r="P140" i="35" s="1"/>
  <c r="E140" i="35"/>
  <c r="H140" i="35" s="1"/>
  <c r="M139" i="35"/>
  <c r="P139" i="35" s="1"/>
  <c r="E139" i="35"/>
  <c r="H139" i="35" s="1"/>
  <c r="M138" i="35"/>
  <c r="P138" i="35" s="1"/>
  <c r="E138" i="35"/>
  <c r="H138" i="35" s="1"/>
  <c r="M137" i="35"/>
  <c r="P137" i="35" s="1"/>
  <c r="E137" i="35"/>
  <c r="H137" i="35" s="1"/>
  <c r="M136" i="35"/>
  <c r="P136" i="35" s="1"/>
  <c r="E136" i="35"/>
  <c r="H136" i="35" s="1"/>
  <c r="M135" i="35"/>
  <c r="P135" i="35" s="1"/>
  <c r="E135" i="35"/>
  <c r="H135" i="35" s="1"/>
  <c r="M134" i="35"/>
  <c r="P134" i="35" s="1"/>
  <c r="E134" i="35"/>
  <c r="H134" i="35" s="1"/>
  <c r="M133" i="35"/>
  <c r="P133" i="35" s="1"/>
  <c r="E133" i="35"/>
  <c r="H133" i="35" s="1"/>
  <c r="M132" i="35"/>
  <c r="P132" i="35" s="1"/>
  <c r="E132" i="35"/>
  <c r="H132" i="35" s="1"/>
  <c r="M119" i="35"/>
  <c r="E119" i="35"/>
  <c r="M118" i="35"/>
  <c r="P118" i="35" s="1"/>
  <c r="E118" i="35"/>
  <c r="H118" i="35" s="1"/>
  <c r="M117" i="35"/>
  <c r="P117" i="35" s="1"/>
  <c r="E117" i="35"/>
  <c r="H117" i="35" s="1"/>
  <c r="M116" i="35"/>
  <c r="P116" i="35" s="1"/>
  <c r="E116" i="35"/>
  <c r="H116" i="35" s="1"/>
  <c r="M115" i="35"/>
  <c r="P115" i="35" s="1"/>
  <c r="E115" i="35"/>
  <c r="H115" i="35" s="1"/>
  <c r="M114" i="35"/>
  <c r="P114" i="35" s="1"/>
  <c r="E114" i="35"/>
  <c r="H114" i="35" s="1"/>
  <c r="M113" i="35"/>
  <c r="P113" i="35" s="1"/>
  <c r="E113" i="35"/>
  <c r="H113" i="35" s="1"/>
  <c r="M112" i="35"/>
  <c r="P112" i="35" s="1"/>
  <c r="E112" i="35"/>
  <c r="H112" i="35" s="1"/>
  <c r="M111" i="35"/>
  <c r="P111" i="35" s="1"/>
  <c r="E111" i="35"/>
  <c r="H111" i="35" s="1"/>
  <c r="M110" i="35"/>
  <c r="P110" i="35" s="1"/>
  <c r="E110" i="35"/>
  <c r="H110" i="35" s="1"/>
  <c r="M109" i="35"/>
  <c r="P109" i="35" s="1"/>
  <c r="E109" i="35"/>
  <c r="H109" i="35" s="1"/>
  <c r="M108" i="35"/>
  <c r="P108" i="35" s="1"/>
  <c r="E108" i="35"/>
  <c r="H108" i="35" s="1"/>
  <c r="M107" i="35"/>
  <c r="P107" i="35" s="1"/>
  <c r="E107" i="35"/>
  <c r="H107" i="35" s="1"/>
  <c r="M106" i="35"/>
  <c r="P106" i="35" s="1"/>
  <c r="E106" i="35"/>
  <c r="H106" i="35" s="1"/>
  <c r="M105" i="35"/>
  <c r="P105" i="35" s="1"/>
  <c r="E105" i="35"/>
  <c r="H105" i="35" s="1"/>
  <c r="M104" i="35"/>
  <c r="P104" i="35" s="1"/>
  <c r="E104" i="35"/>
  <c r="H104" i="35" s="1"/>
  <c r="M103" i="35"/>
  <c r="P103" i="35" s="1"/>
  <c r="E103" i="35"/>
  <c r="H103" i="35" s="1"/>
  <c r="M102" i="35"/>
  <c r="P102" i="35" s="1"/>
  <c r="E102" i="35"/>
  <c r="H102" i="35" s="1"/>
  <c r="M101" i="35"/>
  <c r="P101" i="35" s="1"/>
  <c r="E101" i="35"/>
  <c r="H101" i="35" s="1"/>
  <c r="M100" i="35"/>
  <c r="P100" i="35" s="1"/>
  <c r="E100" i="35"/>
  <c r="H100" i="35" s="1"/>
  <c r="M99" i="35"/>
  <c r="P99" i="35" s="1"/>
  <c r="E99" i="35"/>
  <c r="H99" i="35" s="1"/>
  <c r="M98" i="35"/>
  <c r="P98" i="35" s="1"/>
  <c r="E98" i="35"/>
  <c r="H98" i="35" s="1"/>
  <c r="M97" i="35"/>
  <c r="P97" i="35" s="1"/>
  <c r="E97" i="35"/>
  <c r="H97" i="35" s="1"/>
  <c r="M96" i="35"/>
  <c r="P96" i="35" s="1"/>
  <c r="E96" i="35"/>
  <c r="H96" i="35" s="1"/>
  <c r="M95" i="35"/>
  <c r="P95" i="35" s="1"/>
  <c r="E95" i="35"/>
  <c r="H95" i="35" s="1"/>
  <c r="M94" i="35"/>
  <c r="P94" i="35" s="1"/>
  <c r="E94" i="35"/>
  <c r="H94" i="35" s="1"/>
  <c r="M93" i="35"/>
  <c r="P93" i="35" s="1"/>
  <c r="E93" i="35"/>
  <c r="H93" i="35" s="1"/>
  <c r="M92" i="35"/>
  <c r="P92" i="35" s="1"/>
  <c r="E92" i="35"/>
  <c r="H92" i="35" s="1"/>
  <c r="M91" i="35"/>
  <c r="P91" i="35" s="1"/>
  <c r="E91" i="35"/>
  <c r="H91" i="35" s="1"/>
  <c r="M90" i="35"/>
  <c r="P90" i="35" s="1"/>
  <c r="E90" i="35"/>
  <c r="H90" i="35" s="1"/>
  <c r="M89" i="35"/>
  <c r="P89" i="35" s="1"/>
  <c r="E89" i="35"/>
  <c r="H89" i="35" s="1"/>
  <c r="M88" i="35"/>
  <c r="P88" i="35" s="1"/>
  <c r="E88" i="35"/>
  <c r="H88" i="35" s="1"/>
  <c r="M87" i="35"/>
  <c r="P87" i="35" s="1"/>
  <c r="E87" i="35"/>
  <c r="H87" i="35" s="1"/>
  <c r="M86" i="35"/>
  <c r="P86" i="35" s="1"/>
  <c r="E86" i="35"/>
  <c r="H86" i="35" s="1"/>
  <c r="M85" i="35"/>
  <c r="P85" i="35" s="1"/>
  <c r="E85" i="35"/>
  <c r="H85" i="35" s="1"/>
  <c r="M84" i="35"/>
  <c r="P84" i="35" s="1"/>
  <c r="E84" i="35"/>
  <c r="H84" i="35" s="1"/>
  <c r="M83" i="35"/>
  <c r="P83" i="35" s="1"/>
  <c r="E83" i="35"/>
  <c r="H83" i="35" s="1"/>
  <c r="M82" i="35"/>
  <c r="P82" i="35" s="1"/>
  <c r="E82" i="35"/>
  <c r="H82" i="35" s="1"/>
  <c r="M81" i="35"/>
  <c r="P81" i="35" s="1"/>
  <c r="E81" i="35"/>
  <c r="H81" i="35" s="1"/>
  <c r="M80" i="35"/>
  <c r="P80" i="35" s="1"/>
  <c r="E80" i="35"/>
  <c r="H80" i="35" s="1"/>
  <c r="M79" i="35"/>
  <c r="P79" i="35" s="1"/>
  <c r="E79" i="35"/>
  <c r="H79" i="35" s="1"/>
  <c r="M78" i="35"/>
  <c r="P78" i="35" s="1"/>
  <c r="E78" i="35"/>
  <c r="H78" i="35" s="1"/>
  <c r="M77" i="35"/>
  <c r="P77" i="35" s="1"/>
  <c r="E77" i="35"/>
  <c r="H77" i="35" s="1"/>
  <c r="M76" i="35"/>
  <c r="P76" i="35" s="1"/>
  <c r="E76" i="35"/>
  <c r="H76" i="35" s="1"/>
  <c r="M75" i="35"/>
  <c r="P75" i="35" s="1"/>
  <c r="E75" i="35"/>
  <c r="H75" i="35" s="1"/>
  <c r="M74" i="35"/>
  <c r="P74" i="35" s="1"/>
  <c r="E74" i="35"/>
  <c r="H74" i="35" s="1"/>
  <c r="M73" i="35"/>
  <c r="P73" i="35" s="1"/>
  <c r="E73" i="35"/>
  <c r="H73" i="35" s="1"/>
  <c r="M72" i="35"/>
  <c r="P72" i="35" s="1"/>
  <c r="E72" i="35"/>
  <c r="H72" i="35" s="1"/>
  <c r="M59" i="35"/>
  <c r="E59" i="35"/>
  <c r="H59" i="35" s="1"/>
  <c r="M58" i="35"/>
  <c r="P58" i="35" s="1"/>
  <c r="E58" i="35"/>
  <c r="H58" i="35" s="1"/>
  <c r="M57" i="35"/>
  <c r="P57" i="35" s="1"/>
  <c r="E57" i="35"/>
  <c r="H57" i="35" s="1"/>
  <c r="M56" i="35"/>
  <c r="P56" i="35" s="1"/>
  <c r="E56" i="35"/>
  <c r="H56" i="35" s="1"/>
  <c r="M55" i="35"/>
  <c r="P55" i="35" s="1"/>
  <c r="E55" i="35"/>
  <c r="H55" i="35" s="1"/>
  <c r="M54" i="35"/>
  <c r="P54" i="35" s="1"/>
  <c r="E54" i="35"/>
  <c r="H54" i="35" s="1"/>
  <c r="M53" i="35"/>
  <c r="P53" i="35" s="1"/>
  <c r="E53" i="35"/>
  <c r="H53" i="35" s="1"/>
  <c r="M52" i="35"/>
  <c r="P52" i="35" s="1"/>
  <c r="E52" i="35"/>
  <c r="H52" i="35" s="1"/>
  <c r="M51" i="35"/>
  <c r="P51" i="35" s="1"/>
  <c r="E51" i="35"/>
  <c r="H51" i="35" s="1"/>
  <c r="M50" i="35"/>
  <c r="P50" i="35" s="1"/>
  <c r="E50" i="35"/>
  <c r="H50" i="35" s="1"/>
  <c r="M49" i="35"/>
  <c r="P49" i="35" s="1"/>
  <c r="E49" i="35"/>
  <c r="H49" i="35" s="1"/>
  <c r="M48" i="35"/>
  <c r="P48" i="35" s="1"/>
  <c r="E48" i="35"/>
  <c r="H48" i="35" s="1"/>
  <c r="M47" i="35"/>
  <c r="P47" i="35" s="1"/>
  <c r="E47" i="35"/>
  <c r="H47" i="35" s="1"/>
  <c r="M46" i="35"/>
  <c r="P46" i="35" s="1"/>
  <c r="E46" i="35"/>
  <c r="H46" i="35" s="1"/>
  <c r="M45" i="35"/>
  <c r="P45" i="35" s="1"/>
  <c r="E45" i="35"/>
  <c r="H45" i="35" s="1"/>
  <c r="M44" i="35"/>
  <c r="P44" i="35" s="1"/>
  <c r="E44" i="35"/>
  <c r="H44" i="35" s="1"/>
  <c r="M43" i="35"/>
  <c r="P43" i="35" s="1"/>
  <c r="E43" i="35"/>
  <c r="H43" i="35" s="1"/>
  <c r="M42" i="35"/>
  <c r="P42" i="35" s="1"/>
  <c r="E42" i="35"/>
  <c r="H42" i="35" s="1"/>
  <c r="M41" i="35"/>
  <c r="P41" i="35" s="1"/>
  <c r="E41" i="35"/>
  <c r="H41" i="35" s="1"/>
  <c r="M40" i="35"/>
  <c r="P40" i="35" s="1"/>
  <c r="E40" i="35"/>
  <c r="H40" i="35" s="1"/>
  <c r="M39" i="35"/>
  <c r="P39" i="35" s="1"/>
  <c r="E39" i="35"/>
  <c r="H39" i="35" s="1"/>
  <c r="M38" i="35"/>
  <c r="P38" i="35" s="1"/>
  <c r="E38" i="35"/>
  <c r="H38" i="35" s="1"/>
  <c r="M37" i="35"/>
  <c r="P37" i="35" s="1"/>
  <c r="E37" i="35"/>
  <c r="H37" i="35" s="1"/>
  <c r="M36" i="35"/>
  <c r="P36" i="35" s="1"/>
  <c r="E36" i="35"/>
  <c r="H36" i="35" s="1"/>
  <c r="M35" i="35"/>
  <c r="P35" i="35" s="1"/>
  <c r="E35" i="35"/>
  <c r="H35" i="35" s="1"/>
  <c r="M34" i="35"/>
  <c r="P34" i="35" s="1"/>
  <c r="E34" i="35"/>
  <c r="H34" i="35" s="1"/>
  <c r="M33" i="35"/>
  <c r="P33" i="35" s="1"/>
  <c r="E33" i="35"/>
  <c r="H33" i="35" s="1"/>
  <c r="M32" i="35"/>
  <c r="P32" i="35" s="1"/>
  <c r="E32" i="35"/>
  <c r="H32" i="35" s="1"/>
  <c r="M31" i="35"/>
  <c r="P31" i="35" s="1"/>
  <c r="E31" i="35"/>
  <c r="H31" i="35" s="1"/>
  <c r="M30" i="35"/>
  <c r="P30" i="35" s="1"/>
  <c r="E30" i="35"/>
  <c r="H30" i="35" s="1"/>
  <c r="M29" i="35"/>
  <c r="P29" i="35" s="1"/>
  <c r="E29" i="35"/>
  <c r="H29" i="35" s="1"/>
  <c r="M28" i="35"/>
  <c r="P28" i="35" s="1"/>
  <c r="E28" i="35"/>
  <c r="H28" i="35" s="1"/>
  <c r="M27" i="35"/>
  <c r="P27" i="35" s="1"/>
  <c r="E27" i="35"/>
  <c r="H27" i="35" s="1"/>
  <c r="M26" i="35"/>
  <c r="P26" i="35" s="1"/>
  <c r="E26" i="35"/>
  <c r="H26" i="35" s="1"/>
  <c r="M25" i="35"/>
  <c r="P25" i="35" s="1"/>
  <c r="E25" i="35"/>
  <c r="H25" i="35" s="1"/>
  <c r="M24" i="35"/>
  <c r="P24" i="35" s="1"/>
  <c r="E24" i="35"/>
  <c r="H24" i="35" s="1"/>
  <c r="M23" i="35"/>
  <c r="P23" i="35" s="1"/>
  <c r="E23" i="35"/>
  <c r="H23" i="35" s="1"/>
  <c r="M22" i="35"/>
  <c r="P22" i="35" s="1"/>
  <c r="E22" i="35"/>
  <c r="H22" i="35" s="1"/>
  <c r="M21" i="35"/>
  <c r="P21" i="35" s="1"/>
  <c r="E21" i="35"/>
  <c r="H21" i="35" s="1"/>
  <c r="M20" i="35"/>
  <c r="P20" i="35" s="1"/>
  <c r="E20" i="35"/>
  <c r="H20" i="35" s="1"/>
  <c r="M19" i="35"/>
  <c r="P19" i="35" s="1"/>
  <c r="E19" i="35"/>
  <c r="H19" i="35" s="1"/>
  <c r="M18" i="35"/>
  <c r="P18" i="35" s="1"/>
  <c r="E18" i="35"/>
  <c r="H18" i="35" s="1"/>
  <c r="M17" i="35"/>
  <c r="P17" i="35" s="1"/>
  <c r="E17" i="35"/>
  <c r="H17" i="35" s="1"/>
  <c r="M16" i="35"/>
  <c r="P16" i="35" s="1"/>
  <c r="E16" i="35"/>
  <c r="H16" i="35" s="1"/>
  <c r="M15" i="35"/>
  <c r="P15" i="35" s="1"/>
  <c r="E15" i="35"/>
  <c r="H15" i="35" s="1"/>
  <c r="M14" i="35"/>
  <c r="P14" i="35" s="1"/>
  <c r="E14" i="35"/>
  <c r="H14" i="35" s="1"/>
  <c r="M13" i="35"/>
  <c r="P13" i="35" s="1"/>
  <c r="E13" i="35"/>
  <c r="H13" i="35" s="1"/>
  <c r="M12" i="35"/>
  <c r="P12" i="35" s="1"/>
  <c r="E12" i="35"/>
  <c r="H12" i="35" s="1"/>
  <c r="E7" i="35"/>
  <c r="L179" i="35"/>
  <c r="D179" i="35"/>
  <c r="L178" i="35"/>
  <c r="D178" i="35"/>
  <c r="L177" i="35"/>
  <c r="D177" i="35"/>
  <c r="L176" i="35"/>
  <c r="D176" i="35"/>
  <c r="L175" i="35"/>
  <c r="D175" i="35"/>
  <c r="L174" i="35"/>
  <c r="D174" i="35"/>
  <c r="L173" i="35"/>
  <c r="D173" i="35"/>
  <c r="L172" i="35"/>
  <c r="D172" i="35"/>
  <c r="L171" i="35"/>
  <c r="D171" i="35"/>
  <c r="L170" i="35"/>
  <c r="D170" i="35"/>
  <c r="L169" i="35"/>
  <c r="D169" i="35"/>
  <c r="L168" i="35"/>
  <c r="D168" i="35"/>
  <c r="L167" i="35"/>
  <c r="D167" i="35"/>
  <c r="L166" i="35"/>
  <c r="D166" i="35"/>
  <c r="L165" i="35"/>
  <c r="D165" i="35"/>
  <c r="L164" i="35"/>
  <c r="D164" i="35"/>
  <c r="L163" i="35"/>
  <c r="D163" i="35"/>
  <c r="L162" i="35"/>
  <c r="D162" i="35"/>
  <c r="L161" i="35"/>
  <c r="D161" i="35"/>
  <c r="L160" i="35"/>
  <c r="D160" i="35"/>
  <c r="L159" i="35"/>
  <c r="D159" i="35"/>
  <c r="L158" i="35"/>
  <c r="D158" i="35"/>
  <c r="L157" i="35"/>
  <c r="D157" i="35"/>
  <c r="L156" i="35"/>
  <c r="D156" i="35"/>
  <c r="L155" i="35"/>
  <c r="D155" i="35"/>
  <c r="L154" i="35"/>
  <c r="D154" i="35"/>
  <c r="L153" i="35"/>
  <c r="D153" i="35"/>
  <c r="L152" i="35"/>
  <c r="D152" i="35"/>
  <c r="L151" i="35"/>
  <c r="D151" i="35"/>
  <c r="L150" i="35"/>
  <c r="D150" i="35"/>
  <c r="L149" i="35"/>
  <c r="D149" i="35"/>
  <c r="L148" i="35"/>
  <c r="D148" i="35"/>
  <c r="L147" i="35"/>
  <c r="D147" i="35"/>
  <c r="L146" i="35"/>
  <c r="D146" i="35"/>
  <c r="L145" i="35"/>
  <c r="D145" i="35"/>
  <c r="L144" i="35"/>
  <c r="D144" i="35"/>
  <c r="L143" i="35"/>
  <c r="D143" i="35"/>
  <c r="L142" i="35"/>
  <c r="D142" i="35"/>
  <c r="L141" i="35"/>
  <c r="D141" i="35"/>
  <c r="L140" i="35"/>
  <c r="D140" i="35"/>
  <c r="L139" i="35"/>
  <c r="D139" i="35"/>
  <c r="L138" i="35"/>
  <c r="D138" i="35"/>
  <c r="L137" i="35"/>
  <c r="D137" i="35"/>
  <c r="L136" i="35"/>
  <c r="D136" i="35"/>
  <c r="L135" i="35"/>
  <c r="D135" i="35"/>
  <c r="L134" i="35"/>
  <c r="D134" i="35"/>
  <c r="L133" i="35"/>
  <c r="D133" i="35"/>
  <c r="L132" i="35"/>
  <c r="D132" i="35"/>
  <c r="L119" i="35"/>
  <c r="D119" i="35"/>
  <c r="L118" i="35"/>
  <c r="D118" i="35"/>
  <c r="L117" i="35"/>
  <c r="D117" i="35"/>
  <c r="L116" i="35"/>
  <c r="D116" i="35"/>
  <c r="L115" i="35"/>
  <c r="D115" i="35"/>
  <c r="L114" i="35"/>
  <c r="D114" i="35"/>
  <c r="L113" i="35"/>
  <c r="D113" i="35"/>
  <c r="L112" i="35"/>
  <c r="D112" i="35"/>
  <c r="L111" i="35"/>
  <c r="D111" i="35"/>
  <c r="L110" i="35"/>
  <c r="D110" i="35"/>
  <c r="L109" i="35"/>
  <c r="D109" i="35"/>
  <c r="L108" i="35"/>
  <c r="D108" i="35"/>
  <c r="L107" i="35"/>
  <c r="D107" i="35"/>
  <c r="L106" i="35"/>
  <c r="D106" i="35"/>
  <c r="L105" i="35"/>
  <c r="D105" i="35"/>
  <c r="L104" i="35"/>
  <c r="D104" i="35"/>
  <c r="L103" i="35"/>
  <c r="D103" i="35"/>
  <c r="L102" i="35"/>
  <c r="D102" i="35"/>
  <c r="L101" i="35"/>
  <c r="D101" i="35"/>
  <c r="L100" i="35"/>
  <c r="D100" i="35"/>
  <c r="L99" i="35"/>
  <c r="D99" i="35"/>
  <c r="L98" i="35"/>
  <c r="D98" i="35"/>
  <c r="L97" i="35"/>
  <c r="D97" i="35"/>
  <c r="L96" i="35"/>
  <c r="D96" i="35"/>
  <c r="L95" i="35"/>
  <c r="D95" i="35"/>
  <c r="L94" i="35"/>
  <c r="D94" i="35"/>
  <c r="L93" i="35"/>
  <c r="D93" i="35"/>
  <c r="L92" i="35"/>
  <c r="D92" i="35"/>
  <c r="L91" i="35"/>
  <c r="D91" i="35"/>
  <c r="L90" i="35"/>
  <c r="D90" i="35"/>
  <c r="L89" i="35"/>
  <c r="D89" i="35"/>
  <c r="L88" i="35"/>
  <c r="D88" i="35"/>
  <c r="L87" i="35"/>
  <c r="D87" i="35"/>
  <c r="L86" i="35"/>
  <c r="D86" i="35"/>
  <c r="L85" i="35"/>
  <c r="D85" i="35"/>
  <c r="L84" i="35"/>
  <c r="D84" i="35"/>
  <c r="L83" i="35"/>
  <c r="D83" i="35"/>
  <c r="L82" i="35"/>
  <c r="D82" i="35"/>
  <c r="L81" i="35"/>
  <c r="D81" i="35"/>
  <c r="L80" i="35"/>
  <c r="D80" i="35"/>
  <c r="L79" i="35"/>
  <c r="D79" i="35"/>
  <c r="L78" i="35"/>
  <c r="D78" i="35"/>
  <c r="L77" i="35"/>
  <c r="D77" i="35"/>
  <c r="L76" i="35"/>
  <c r="D76" i="35"/>
  <c r="L75" i="35"/>
  <c r="D75" i="35"/>
  <c r="L74" i="35"/>
  <c r="D74" i="35"/>
  <c r="L73" i="35"/>
  <c r="D73" i="35"/>
  <c r="L72" i="35"/>
  <c r="D72" i="35"/>
  <c r="L59" i="35"/>
  <c r="D59" i="35"/>
  <c r="L58" i="35"/>
  <c r="D58" i="35"/>
  <c r="L57" i="35"/>
  <c r="D57" i="35"/>
  <c r="L56" i="35"/>
  <c r="D56" i="35"/>
  <c r="L55" i="35"/>
  <c r="D55" i="35"/>
  <c r="L54" i="35"/>
  <c r="D54" i="35"/>
  <c r="L53" i="35"/>
  <c r="D53" i="35"/>
  <c r="L52" i="35"/>
  <c r="D52" i="35"/>
  <c r="L51" i="35"/>
  <c r="D51" i="35"/>
  <c r="L50" i="35"/>
  <c r="D50" i="35"/>
  <c r="L49" i="35"/>
  <c r="D49" i="35"/>
  <c r="L48" i="35"/>
  <c r="D48" i="35"/>
  <c r="L47" i="35"/>
  <c r="D47" i="35"/>
  <c r="L46" i="35"/>
  <c r="D46" i="35"/>
  <c r="L45" i="35"/>
  <c r="D45" i="35"/>
  <c r="L44" i="35"/>
  <c r="D44" i="35"/>
  <c r="L43" i="35"/>
  <c r="D43" i="35"/>
  <c r="L42" i="35"/>
  <c r="D42" i="35"/>
  <c r="L41" i="35"/>
  <c r="D41" i="35"/>
  <c r="L40" i="35"/>
  <c r="D40" i="35"/>
  <c r="L39" i="35"/>
  <c r="D39" i="35"/>
  <c r="L38" i="35"/>
  <c r="D38" i="35"/>
  <c r="L37" i="35"/>
  <c r="D37" i="35"/>
  <c r="L36" i="35"/>
  <c r="D36" i="35"/>
  <c r="L35" i="35"/>
  <c r="D35" i="35"/>
  <c r="L34" i="35"/>
  <c r="D34" i="35"/>
  <c r="L33" i="35"/>
  <c r="D33" i="35"/>
  <c r="L32" i="35"/>
  <c r="D32" i="35"/>
  <c r="L31" i="35"/>
  <c r="D31" i="35"/>
  <c r="L30" i="35"/>
  <c r="D30" i="35"/>
  <c r="L29" i="35"/>
  <c r="D29" i="35"/>
  <c r="L28" i="35"/>
  <c r="D28" i="35"/>
  <c r="L27" i="35"/>
  <c r="D27" i="35"/>
  <c r="L26" i="35"/>
  <c r="D26" i="35"/>
  <c r="L25" i="35"/>
  <c r="D25" i="35"/>
  <c r="L24" i="35"/>
  <c r="D24" i="35"/>
  <c r="L23" i="35"/>
  <c r="D23" i="35"/>
  <c r="L22" i="35"/>
  <c r="D22" i="35"/>
  <c r="L21" i="35"/>
  <c r="D21" i="35"/>
  <c r="L20" i="35"/>
  <c r="D20" i="35"/>
  <c r="L19" i="35"/>
  <c r="D19" i="35"/>
  <c r="L18" i="35"/>
  <c r="D18" i="35"/>
  <c r="L17" i="35"/>
  <c r="D17" i="35"/>
  <c r="L16" i="35"/>
  <c r="D16" i="35"/>
  <c r="L15" i="35"/>
  <c r="D15" i="35"/>
  <c r="L14" i="35"/>
  <c r="D14" i="35"/>
  <c r="L13" i="35"/>
  <c r="D13" i="35"/>
  <c r="L12" i="35"/>
  <c r="D12" i="35"/>
  <c r="M129" i="35"/>
  <c r="E129" i="35"/>
  <c r="M128" i="35"/>
  <c r="E128" i="35"/>
  <c r="J127" i="35"/>
  <c r="B127" i="35"/>
  <c r="M69" i="35"/>
  <c r="E69" i="35"/>
  <c r="M68" i="35"/>
  <c r="E68" i="35"/>
  <c r="J67" i="35"/>
  <c r="B67" i="35"/>
  <c r="M10" i="35"/>
  <c r="E70" i="35" s="1"/>
  <c r="M70" i="35" s="1"/>
  <c r="E130" i="35" s="1"/>
  <c r="M130" i="35" s="1"/>
  <c r="M9" i="35"/>
  <c r="M8" i="35"/>
  <c r="J7" i="35"/>
  <c r="B7" i="35"/>
  <c r="E67" i="35" l="1"/>
  <c r="M7" i="35"/>
  <c r="M127" i="35"/>
  <c r="M67" i="35"/>
  <c r="E127" i="35"/>
  <c r="N179" i="34"/>
  <c r="F179" i="34"/>
  <c r="N178" i="34"/>
  <c r="F178" i="34"/>
  <c r="N177" i="34"/>
  <c r="F177" i="34"/>
  <c r="N176" i="34"/>
  <c r="F176" i="34"/>
  <c r="N175" i="34"/>
  <c r="F175" i="34"/>
  <c r="N174" i="34"/>
  <c r="F174" i="34"/>
  <c r="N173" i="34"/>
  <c r="F173" i="34"/>
  <c r="N172" i="34"/>
  <c r="F172" i="34"/>
  <c r="N171" i="34"/>
  <c r="F171" i="34"/>
  <c r="N170" i="34"/>
  <c r="F170" i="34"/>
  <c r="N169" i="34"/>
  <c r="F169" i="34"/>
  <c r="N168" i="34"/>
  <c r="F168" i="34"/>
  <c r="N167" i="34"/>
  <c r="F167" i="34"/>
  <c r="N166" i="34"/>
  <c r="F166" i="34"/>
  <c r="N165" i="34"/>
  <c r="F165" i="34"/>
  <c r="N164" i="34"/>
  <c r="F164" i="34"/>
  <c r="N163" i="34"/>
  <c r="F163" i="34"/>
  <c r="N162" i="34"/>
  <c r="F162" i="34"/>
  <c r="N161" i="34"/>
  <c r="F161" i="34"/>
  <c r="N160" i="34"/>
  <c r="F160" i="34"/>
  <c r="N159" i="34"/>
  <c r="F159" i="34"/>
  <c r="N158" i="34"/>
  <c r="F158" i="34"/>
  <c r="N157" i="34"/>
  <c r="F157" i="34"/>
  <c r="N156" i="34"/>
  <c r="F156" i="34"/>
  <c r="N155" i="34"/>
  <c r="F155" i="34"/>
  <c r="N154" i="34"/>
  <c r="F154" i="34"/>
  <c r="N153" i="34"/>
  <c r="F153" i="34"/>
  <c r="N152" i="34"/>
  <c r="F152" i="34"/>
  <c r="N151" i="34"/>
  <c r="F151" i="34"/>
  <c r="N150" i="34"/>
  <c r="F150" i="34"/>
  <c r="N149" i="34"/>
  <c r="F149" i="34"/>
  <c r="N148" i="34"/>
  <c r="F148" i="34"/>
  <c r="N147" i="34"/>
  <c r="F147" i="34"/>
  <c r="N146" i="34"/>
  <c r="F146" i="34"/>
  <c r="N145" i="34"/>
  <c r="F145" i="34"/>
  <c r="N144" i="34"/>
  <c r="F144" i="34"/>
  <c r="N143" i="34"/>
  <c r="F143" i="34"/>
  <c r="N142" i="34"/>
  <c r="F142" i="34"/>
  <c r="N141" i="34"/>
  <c r="F141" i="34"/>
  <c r="N140" i="34"/>
  <c r="F140" i="34"/>
  <c r="N139" i="34"/>
  <c r="F139" i="34"/>
  <c r="N138" i="34"/>
  <c r="F138" i="34"/>
  <c r="N137" i="34"/>
  <c r="F137" i="34"/>
  <c r="N136" i="34"/>
  <c r="F136" i="34"/>
  <c r="N135" i="34"/>
  <c r="F135" i="34"/>
  <c r="N134" i="34"/>
  <c r="F134" i="34"/>
  <c r="N133" i="34"/>
  <c r="F133" i="34"/>
  <c r="N132" i="34"/>
  <c r="F132" i="34"/>
  <c r="N119" i="34"/>
  <c r="F119" i="34"/>
  <c r="N118" i="34"/>
  <c r="F118" i="34"/>
  <c r="N117" i="34"/>
  <c r="F117" i="34"/>
  <c r="N116" i="34"/>
  <c r="F116" i="34"/>
  <c r="N115" i="34"/>
  <c r="F115" i="34"/>
  <c r="N114" i="34"/>
  <c r="F114" i="34"/>
  <c r="N113" i="34"/>
  <c r="F113" i="34"/>
  <c r="N112" i="34"/>
  <c r="F112" i="34"/>
  <c r="N111" i="34"/>
  <c r="F111" i="34"/>
  <c r="N110" i="34"/>
  <c r="F110" i="34"/>
  <c r="N109" i="34"/>
  <c r="F109" i="34"/>
  <c r="N108" i="34"/>
  <c r="F108" i="34"/>
  <c r="N107" i="34"/>
  <c r="F107" i="34"/>
  <c r="N106" i="34"/>
  <c r="F106" i="34"/>
  <c r="N105" i="34"/>
  <c r="F105" i="34"/>
  <c r="N104" i="34"/>
  <c r="F104" i="34"/>
  <c r="N103" i="34"/>
  <c r="F103" i="34"/>
  <c r="N102" i="34"/>
  <c r="F102" i="34"/>
  <c r="N101" i="34"/>
  <c r="F101" i="34"/>
  <c r="N100" i="34"/>
  <c r="F100" i="34"/>
  <c r="N99" i="34"/>
  <c r="F99" i="34"/>
  <c r="N98" i="34"/>
  <c r="F98" i="34"/>
  <c r="N97" i="34"/>
  <c r="F97" i="34"/>
  <c r="N96" i="34"/>
  <c r="F96" i="34"/>
  <c r="N95" i="34"/>
  <c r="F95" i="34"/>
  <c r="N94" i="34"/>
  <c r="F94" i="34"/>
  <c r="N93" i="34"/>
  <c r="F93" i="34"/>
  <c r="N92" i="34"/>
  <c r="F92" i="34"/>
  <c r="N91" i="34"/>
  <c r="F91" i="34"/>
  <c r="N90" i="34"/>
  <c r="F90" i="34"/>
  <c r="N89" i="34"/>
  <c r="F89" i="34"/>
  <c r="N88" i="34"/>
  <c r="F88" i="34"/>
  <c r="N87" i="34"/>
  <c r="F87" i="34"/>
  <c r="N86" i="34"/>
  <c r="F86" i="34"/>
  <c r="N85" i="34"/>
  <c r="F85" i="34"/>
  <c r="N84" i="34"/>
  <c r="F84" i="34"/>
  <c r="N83" i="34"/>
  <c r="F83" i="34"/>
  <c r="N82" i="34"/>
  <c r="F82" i="34"/>
  <c r="N81" i="34"/>
  <c r="F81" i="34"/>
  <c r="N80" i="34"/>
  <c r="F80" i="34"/>
  <c r="N79" i="34"/>
  <c r="F79" i="34"/>
  <c r="N78" i="34"/>
  <c r="F78" i="34"/>
  <c r="N77" i="34"/>
  <c r="F77" i="34"/>
  <c r="N76" i="34"/>
  <c r="F76" i="34"/>
  <c r="N75" i="34"/>
  <c r="F75" i="34"/>
  <c r="N74" i="34"/>
  <c r="F74" i="34"/>
  <c r="N73" i="34"/>
  <c r="F73" i="34"/>
  <c r="N72" i="34"/>
  <c r="F72" i="34"/>
  <c r="N59" i="34"/>
  <c r="F59" i="34"/>
  <c r="N58" i="34"/>
  <c r="F58" i="34"/>
  <c r="N57" i="34"/>
  <c r="F57" i="34"/>
  <c r="N56" i="34"/>
  <c r="F56" i="34"/>
  <c r="N55" i="34"/>
  <c r="F55" i="34"/>
  <c r="N54" i="34"/>
  <c r="F54" i="34"/>
  <c r="N53" i="34"/>
  <c r="F53" i="34"/>
  <c r="N52" i="34"/>
  <c r="F52" i="34"/>
  <c r="N51" i="34"/>
  <c r="F51" i="34"/>
  <c r="N50" i="34"/>
  <c r="F50" i="34"/>
  <c r="N49" i="34"/>
  <c r="F49" i="34"/>
  <c r="N48" i="34"/>
  <c r="F48" i="34"/>
  <c r="N47" i="34"/>
  <c r="F47" i="34"/>
  <c r="N46" i="34"/>
  <c r="F46" i="34"/>
  <c r="N45" i="34"/>
  <c r="F45" i="34"/>
  <c r="N44" i="34"/>
  <c r="F44" i="34"/>
  <c r="N43" i="34"/>
  <c r="F43" i="34"/>
  <c r="N42" i="34"/>
  <c r="F42" i="34"/>
  <c r="N41" i="34"/>
  <c r="F41" i="34"/>
  <c r="N40" i="34"/>
  <c r="F40" i="34"/>
  <c r="N39" i="34"/>
  <c r="F39" i="34"/>
  <c r="N38" i="34"/>
  <c r="F38" i="34"/>
  <c r="N37" i="34"/>
  <c r="F37" i="34"/>
  <c r="N36" i="34"/>
  <c r="F36" i="34"/>
  <c r="N35" i="34"/>
  <c r="F35" i="34"/>
  <c r="N34" i="34"/>
  <c r="F34" i="34"/>
  <c r="N33" i="34"/>
  <c r="F33" i="34"/>
  <c r="N32" i="34"/>
  <c r="F32" i="34"/>
  <c r="N31" i="34"/>
  <c r="F31" i="34"/>
  <c r="N30" i="34"/>
  <c r="F30" i="34"/>
  <c r="N29" i="34"/>
  <c r="F29" i="34"/>
  <c r="N28" i="34"/>
  <c r="F28" i="34"/>
  <c r="N27" i="34"/>
  <c r="F27" i="34"/>
  <c r="N26" i="34"/>
  <c r="F26" i="34"/>
  <c r="N25" i="34"/>
  <c r="F25" i="34"/>
  <c r="N24" i="34"/>
  <c r="F24" i="34"/>
  <c r="N23" i="34"/>
  <c r="F23" i="34"/>
  <c r="N22" i="34"/>
  <c r="F22" i="34"/>
  <c r="N21" i="34"/>
  <c r="F21" i="34"/>
  <c r="N20" i="34"/>
  <c r="F20" i="34"/>
  <c r="N19" i="34"/>
  <c r="F19" i="34"/>
  <c r="N18" i="34"/>
  <c r="F18" i="34"/>
  <c r="N17" i="34"/>
  <c r="F17" i="34"/>
  <c r="N16" i="34"/>
  <c r="F16" i="34"/>
  <c r="N15" i="34"/>
  <c r="F15" i="34"/>
  <c r="N14" i="34"/>
  <c r="F14" i="34"/>
  <c r="N13" i="34"/>
  <c r="F13" i="34"/>
  <c r="N12" i="34"/>
  <c r="F12" i="34"/>
  <c r="M179" i="34"/>
  <c r="E179" i="34"/>
  <c r="M178" i="34"/>
  <c r="P178" i="34" s="1"/>
  <c r="E178" i="34"/>
  <c r="H178" i="34" s="1"/>
  <c r="M177" i="34"/>
  <c r="P177" i="34" s="1"/>
  <c r="E177" i="34"/>
  <c r="H177" i="34" s="1"/>
  <c r="M176" i="34"/>
  <c r="P176" i="34" s="1"/>
  <c r="E176" i="34"/>
  <c r="H176" i="34" s="1"/>
  <c r="M175" i="34"/>
  <c r="P175" i="34" s="1"/>
  <c r="E175" i="34"/>
  <c r="H175" i="34" s="1"/>
  <c r="M174" i="34"/>
  <c r="P174" i="34" s="1"/>
  <c r="E174" i="34"/>
  <c r="H174" i="34" s="1"/>
  <c r="M173" i="34"/>
  <c r="P173" i="34" s="1"/>
  <c r="E173" i="34"/>
  <c r="H173" i="34" s="1"/>
  <c r="M172" i="34"/>
  <c r="P172" i="34" s="1"/>
  <c r="E172" i="34"/>
  <c r="H172" i="34" s="1"/>
  <c r="M171" i="34"/>
  <c r="P171" i="34" s="1"/>
  <c r="E171" i="34"/>
  <c r="H171" i="34" s="1"/>
  <c r="M170" i="34"/>
  <c r="P170" i="34" s="1"/>
  <c r="E170" i="34"/>
  <c r="H170" i="34" s="1"/>
  <c r="M169" i="34"/>
  <c r="P169" i="34" s="1"/>
  <c r="E169" i="34"/>
  <c r="H169" i="34" s="1"/>
  <c r="M168" i="34"/>
  <c r="P168" i="34" s="1"/>
  <c r="E168" i="34"/>
  <c r="H168" i="34" s="1"/>
  <c r="M167" i="34"/>
  <c r="P167" i="34" s="1"/>
  <c r="E167" i="34"/>
  <c r="H167" i="34" s="1"/>
  <c r="M166" i="34"/>
  <c r="P166" i="34" s="1"/>
  <c r="E166" i="34"/>
  <c r="H166" i="34" s="1"/>
  <c r="M165" i="34"/>
  <c r="P165" i="34" s="1"/>
  <c r="E165" i="34"/>
  <c r="H165" i="34" s="1"/>
  <c r="M164" i="34"/>
  <c r="P164" i="34" s="1"/>
  <c r="E164" i="34"/>
  <c r="H164" i="34" s="1"/>
  <c r="M163" i="34"/>
  <c r="P163" i="34" s="1"/>
  <c r="E163" i="34"/>
  <c r="H163" i="34" s="1"/>
  <c r="M162" i="34"/>
  <c r="P162" i="34" s="1"/>
  <c r="E162" i="34"/>
  <c r="H162" i="34" s="1"/>
  <c r="M161" i="34"/>
  <c r="P161" i="34" s="1"/>
  <c r="E161" i="34"/>
  <c r="H161" i="34" s="1"/>
  <c r="M160" i="34"/>
  <c r="P160" i="34" s="1"/>
  <c r="E160" i="34"/>
  <c r="H160" i="34" s="1"/>
  <c r="M159" i="34"/>
  <c r="P159" i="34" s="1"/>
  <c r="E159" i="34"/>
  <c r="H159" i="34" s="1"/>
  <c r="M158" i="34"/>
  <c r="P158" i="34" s="1"/>
  <c r="E158" i="34"/>
  <c r="H158" i="34" s="1"/>
  <c r="M157" i="34"/>
  <c r="P157" i="34" s="1"/>
  <c r="E157" i="34"/>
  <c r="H157" i="34" s="1"/>
  <c r="M156" i="34"/>
  <c r="P156" i="34" s="1"/>
  <c r="E156" i="34"/>
  <c r="H156" i="34" s="1"/>
  <c r="M155" i="34"/>
  <c r="P155" i="34" s="1"/>
  <c r="E155" i="34"/>
  <c r="H155" i="34" s="1"/>
  <c r="M154" i="34"/>
  <c r="P154" i="34" s="1"/>
  <c r="M153" i="34"/>
  <c r="P153" i="34" s="1"/>
  <c r="M152" i="34"/>
  <c r="P152" i="34" s="1"/>
  <c r="M151" i="34"/>
  <c r="P151" i="34" s="1"/>
  <c r="M150" i="34"/>
  <c r="P150" i="34" s="1"/>
  <c r="M149" i="34"/>
  <c r="P149" i="34" s="1"/>
  <c r="M148" i="34"/>
  <c r="P148" i="34" s="1"/>
  <c r="M147" i="34"/>
  <c r="P147" i="34" s="1"/>
  <c r="E147" i="34"/>
  <c r="H147" i="34" s="1"/>
  <c r="M146" i="34"/>
  <c r="P146" i="34" s="1"/>
  <c r="E146" i="34"/>
  <c r="H146" i="34" s="1"/>
  <c r="M145" i="34"/>
  <c r="P145" i="34" s="1"/>
  <c r="E145" i="34"/>
  <c r="H145" i="34" s="1"/>
  <c r="M144" i="34"/>
  <c r="P144" i="34" s="1"/>
  <c r="E144" i="34"/>
  <c r="H144" i="34" s="1"/>
  <c r="M143" i="34"/>
  <c r="P143" i="34" s="1"/>
  <c r="E143" i="34"/>
  <c r="H143" i="34" s="1"/>
  <c r="M142" i="34"/>
  <c r="P142" i="34" s="1"/>
  <c r="E142" i="34"/>
  <c r="H142" i="34" s="1"/>
  <c r="M141" i="34"/>
  <c r="P141" i="34" s="1"/>
  <c r="E141" i="34"/>
  <c r="H141" i="34" s="1"/>
  <c r="M140" i="34"/>
  <c r="P140" i="34" s="1"/>
  <c r="E140" i="34"/>
  <c r="H140" i="34" s="1"/>
  <c r="M139" i="34"/>
  <c r="P139" i="34" s="1"/>
  <c r="E139" i="34"/>
  <c r="H139" i="34" s="1"/>
  <c r="M138" i="34"/>
  <c r="P138" i="34" s="1"/>
  <c r="E138" i="34"/>
  <c r="H138" i="34" s="1"/>
  <c r="M137" i="34"/>
  <c r="P137" i="34" s="1"/>
  <c r="E137" i="34"/>
  <c r="H137" i="34" s="1"/>
  <c r="M136" i="34"/>
  <c r="P136" i="34" s="1"/>
  <c r="E136" i="34"/>
  <c r="H136" i="34" s="1"/>
  <c r="M135" i="34"/>
  <c r="P135" i="34" s="1"/>
  <c r="E135" i="34"/>
  <c r="H135" i="34" s="1"/>
  <c r="M134" i="34"/>
  <c r="P134" i="34" s="1"/>
  <c r="E134" i="34"/>
  <c r="H134" i="34" s="1"/>
  <c r="M133" i="34"/>
  <c r="P133" i="34" s="1"/>
  <c r="E133" i="34"/>
  <c r="H133" i="34" s="1"/>
  <c r="M132" i="34"/>
  <c r="P132" i="34" s="1"/>
  <c r="E132" i="34"/>
  <c r="H132" i="34" s="1"/>
  <c r="M119" i="34"/>
  <c r="E119" i="34"/>
  <c r="M118" i="34"/>
  <c r="P118" i="34" s="1"/>
  <c r="E118" i="34"/>
  <c r="H118" i="34" s="1"/>
  <c r="M117" i="34"/>
  <c r="P117" i="34" s="1"/>
  <c r="E117" i="34"/>
  <c r="H117" i="34" s="1"/>
  <c r="M116" i="34"/>
  <c r="P116" i="34" s="1"/>
  <c r="E116" i="34"/>
  <c r="H116" i="34" s="1"/>
  <c r="M115" i="34"/>
  <c r="P115" i="34" s="1"/>
  <c r="E115" i="34"/>
  <c r="H115" i="34" s="1"/>
  <c r="M114" i="34"/>
  <c r="P114" i="34" s="1"/>
  <c r="E114" i="34"/>
  <c r="H114" i="34" s="1"/>
  <c r="M113" i="34"/>
  <c r="P113" i="34" s="1"/>
  <c r="E113" i="34"/>
  <c r="H113" i="34" s="1"/>
  <c r="M112" i="34"/>
  <c r="P112" i="34" s="1"/>
  <c r="E112" i="34"/>
  <c r="H112" i="34" s="1"/>
  <c r="M111" i="34"/>
  <c r="P111" i="34" s="1"/>
  <c r="E111" i="34"/>
  <c r="H111" i="34" s="1"/>
  <c r="M110" i="34"/>
  <c r="P110" i="34" s="1"/>
  <c r="E110" i="34"/>
  <c r="H110" i="34" s="1"/>
  <c r="M109" i="34"/>
  <c r="P109" i="34" s="1"/>
  <c r="E109" i="34"/>
  <c r="H109" i="34" s="1"/>
  <c r="M108" i="34"/>
  <c r="P108" i="34" s="1"/>
  <c r="E108" i="34"/>
  <c r="H108" i="34" s="1"/>
  <c r="M107" i="34"/>
  <c r="P107" i="34" s="1"/>
  <c r="E107" i="34"/>
  <c r="H107" i="34" s="1"/>
  <c r="M106" i="34"/>
  <c r="P106" i="34" s="1"/>
  <c r="E106" i="34"/>
  <c r="H106" i="34" s="1"/>
  <c r="M105" i="34"/>
  <c r="P105" i="34" s="1"/>
  <c r="E105" i="34"/>
  <c r="H105" i="34" s="1"/>
  <c r="M104" i="34"/>
  <c r="P104" i="34" s="1"/>
  <c r="E104" i="34"/>
  <c r="H104" i="34" s="1"/>
  <c r="M103" i="34"/>
  <c r="P103" i="34" s="1"/>
  <c r="E103" i="34"/>
  <c r="H103" i="34" s="1"/>
  <c r="M102" i="34"/>
  <c r="P102" i="34" s="1"/>
  <c r="E102" i="34"/>
  <c r="H102" i="34" s="1"/>
  <c r="M101" i="34"/>
  <c r="P101" i="34" s="1"/>
  <c r="E101" i="34"/>
  <c r="H101" i="34" s="1"/>
  <c r="M100" i="34"/>
  <c r="P100" i="34" s="1"/>
  <c r="E100" i="34"/>
  <c r="H100" i="34" s="1"/>
  <c r="M99" i="34"/>
  <c r="P99" i="34" s="1"/>
  <c r="E99" i="34"/>
  <c r="H99" i="34" s="1"/>
  <c r="M98" i="34"/>
  <c r="P98" i="34" s="1"/>
  <c r="E98" i="34"/>
  <c r="H98" i="34" s="1"/>
  <c r="M97" i="34"/>
  <c r="P97" i="34" s="1"/>
  <c r="E97" i="34"/>
  <c r="H97" i="34" s="1"/>
  <c r="M96" i="34"/>
  <c r="P96" i="34" s="1"/>
  <c r="E96" i="34"/>
  <c r="H96" i="34" s="1"/>
  <c r="M95" i="34"/>
  <c r="P95" i="34" s="1"/>
  <c r="E95" i="34"/>
  <c r="H95" i="34" s="1"/>
  <c r="M94" i="34"/>
  <c r="P94" i="34" s="1"/>
  <c r="E94" i="34"/>
  <c r="H94" i="34" s="1"/>
  <c r="M93" i="34"/>
  <c r="P93" i="34" s="1"/>
  <c r="E93" i="34"/>
  <c r="H93" i="34" s="1"/>
  <c r="M92" i="34"/>
  <c r="P92" i="34" s="1"/>
  <c r="E92" i="34"/>
  <c r="H92" i="34" s="1"/>
  <c r="M91" i="34"/>
  <c r="P91" i="34" s="1"/>
  <c r="E91" i="34"/>
  <c r="H91" i="34" s="1"/>
  <c r="M90" i="34"/>
  <c r="P90" i="34" s="1"/>
  <c r="E90" i="34"/>
  <c r="H90" i="34" s="1"/>
  <c r="M89" i="34"/>
  <c r="P89" i="34" s="1"/>
  <c r="E89" i="34"/>
  <c r="H89" i="34" s="1"/>
  <c r="M88" i="34"/>
  <c r="P88" i="34" s="1"/>
  <c r="E88" i="34"/>
  <c r="H88" i="34" s="1"/>
  <c r="M87" i="34"/>
  <c r="P87" i="34" s="1"/>
  <c r="E87" i="34"/>
  <c r="H87" i="34" s="1"/>
  <c r="M86" i="34"/>
  <c r="P86" i="34" s="1"/>
  <c r="E86" i="34"/>
  <c r="H86" i="34" s="1"/>
  <c r="M85" i="34"/>
  <c r="P85" i="34" s="1"/>
  <c r="E85" i="34"/>
  <c r="H85" i="34" s="1"/>
  <c r="M84" i="34"/>
  <c r="P84" i="34" s="1"/>
  <c r="E84" i="34"/>
  <c r="H84" i="34" s="1"/>
  <c r="M83" i="34"/>
  <c r="P83" i="34" s="1"/>
  <c r="E83" i="34"/>
  <c r="H83" i="34" s="1"/>
  <c r="M82" i="34"/>
  <c r="P82" i="34" s="1"/>
  <c r="E82" i="34"/>
  <c r="H82" i="34" s="1"/>
  <c r="M81" i="34"/>
  <c r="P81" i="34" s="1"/>
  <c r="E81" i="34"/>
  <c r="H81" i="34" s="1"/>
  <c r="M80" i="34"/>
  <c r="P80" i="34" s="1"/>
  <c r="E80" i="34"/>
  <c r="H80" i="34" s="1"/>
  <c r="M79" i="34"/>
  <c r="P79" i="34" s="1"/>
  <c r="E79" i="34"/>
  <c r="H79" i="34" s="1"/>
  <c r="M78" i="34"/>
  <c r="P78" i="34" s="1"/>
  <c r="E78" i="34"/>
  <c r="H78" i="34" s="1"/>
  <c r="M77" i="34"/>
  <c r="P77" i="34" s="1"/>
  <c r="E77" i="34"/>
  <c r="H77" i="34" s="1"/>
  <c r="M76" i="34"/>
  <c r="P76" i="34" s="1"/>
  <c r="E76" i="34"/>
  <c r="H76" i="34" s="1"/>
  <c r="M75" i="34"/>
  <c r="P75" i="34" s="1"/>
  <c r="E75" i="34"/>
  <c r="H75" i="34" s="1"/>
  <c r="M74" i="34"/>
  <c r="P74" i="34" s="1"/>
  <c r="E74" i="34"/>
  <c r="H74" i="34" s="1"/>
  <c r="M73" i="34"/>
  <c r="P73" i="34" s="1"/>
  <c r="E73" i="34"/>
  <c r="H73" i="34" s="1"/>
  <c r="M72" i="34"/>
  <c r="P72" i="34" s="1"/>
  <c r="E72" i="34"/>
  <c r="H72" i="34" s="1"/>
  <c r="M59" i="34"/>
  <c r="E59" i="34"/>
  <c r="M58" i="34"/>
  <c r="P58" i="34" s="1"/>
  <c r="E58" i="34"/>
  <c r="H58" i="34" s="1"/>
  <c r="M57" i="34"/>
  <c r="P57" i="34" s="1"/>
  <c r="E57" i="34"/>
  <c r="H57" i="34" s="1"/>
  <c r="M56" i="34"/>
  <c r="P56" i="34" s="1"/>
  <c r="E56" i="34"/>
  <c r="H56" i="34" s="1"/>
  <c r="M55" i="34"/>
  <c r="P55" i="34" s="1"/>
  <c r="E55" i="34"/>
  <c r="H55" i="34" s="1"/>
  <c r="M54" i="34"/>
  <c r="P54" i="34" s="1"/>
  <c r="E54" i="34"/>
  <c r="H54" i="34" s="1"/>
  <c r="M53" i="34"/>
  <c r="P53" i="34" s="1"/>
  <c r="E53" i="34"/>
  <c r="H53" i="34" s="1"/>
  <c r="M52" i="34"/>
  <c r="P52" i="34" s="1"/>
  <c r="E52" i="34"/>
  <c r="H52" i="34" s="1"/>
  <c r="M51" i="34"/>
  <c r="P51" i="34" s="1"/>
  <c r="E51" i="34"/>
  <c r="H51" i="34" s="1"/>
  <c r="M50" i="34"/>
  <c r="P50" i="34" s="1"/>
  <c r="E50" i="34"/>
  <c r="H50" i="34" s="1"/>
  <c r="M49" i="34"/>
  <c r="P49" i="34" s="1"/>
  <c r="E49" i="34"/>
  <c r="H49" i="34" s="1"/>
  <c r="M48" i="34"/>
  <c r="P48" i="34" s="1"/>
  <c r="E48" i="34"/>
  <c r="H48" i="34" s="1"/>
  <c r="M47" i="34"/>
  <c r="P47" i="34" s="1"/>
  <c r="E47" i="34"/>
  <c r="H47" i="34" s="1"/>
  <c r="M46" i="34"/>
  <c r="P46" i="34" s="1"/>
  <c r="E46" i="34"/>
  <c r="H46" i="34" s="1"/>
  <c r="M45" i="34"/>
  <c r="P45" i="34" s="1"/>
  <c r="E45" i="34"/>
  <c r="H45" i="34" s="1"/>
  <c r="M44" i="34"/>
  <c r="P44" i="34" s="1"/>
  <c r="E44" i="34"/>
  <c r="H44" i="34" s="1"/>
  <c r="M43" i="34"/>
  <c r="P43" i="34" s="1"/>
  <c r="E43" i="34"/>
  <c r="H43" i="34" s="1"/>
  <c r="M42" i="34"/>
  <c r="P42" i="34" s="1"/>
  <c r="E42" i="34"/>
  <c r="H42" i="34" s="1"/>
  <c r="M41" i="34"/>
  <c r="P41" i="34" s="1"/>
  <c r="E41" i="34"/>
  <c r="H41" i="34" s="1"/>
  <c r="M40" i="34"/>
  <c r="P40" i="34" s="1"/>
  <c r="E40" i="34"/>
  <c r="H40" i="34" s="1"/>
  <c r="M39" i="34"/>
  <c r="P39" i="34" s="1"/>
  <c r="E39" i="34"/>
  <c r="H39" i="34" s="1"/>
  <c r="M38" i="34"/>
  <c r="P38" i="34" s="1"/>
  <c r="E38" i="34"/>
  <c r="H38" i="34" s="1"/>
  <c r="M37" i="34"/>
  <c r="P37" i="34" s="1"/>
  <c r="E37" i="34"/>
  <c r="H37" i="34" s="1"/>
  <c r="M36" i="34"/>
  <c r="P36" i="34" s="1"/>
  <c r="E36" i="34"/>
  <c r="H36" i="34" s="1"/>
  <c r="M35" i="34"/>
  <c r="P35" i="34" s="1"/>
  <c r="E35" i="34"/>
  <c r="H35" i="34" s="1"/>
  <c r="M34" i="34"/>
  <c r="P34" i="34" s="1"/>
  <c r="E34" i="34"/>
  <c r="H34" i="34" s="1"/>
  <c r="M33" i="34"/>
  <c r="P33" i="34" s="1"/>
  <c r="E33" i="34"/>
  <c r="H33" i="34" s="1"/>
  <c r="M32" i="34"/>
  <c r="P32" i="34" s="1"/>
  <c r="E32" i="34"/>
  <c r="H32" i="34" s="1"/>
  <c r="M31" i="34"/>
  <c r="P31" i="34" s="1"/>
  <c r="E31" i="34"/>
  <c r="H31" i="34" s="1"/>
  <c r="M30" i="34"/>
  <c r="P30" i="34" s="1"/>
  <c r="E30" i="34"/>
  <c r="H30" i="34" s="1"/>
  <c r="M29" i="34"/>
  <c r="P29" i="34" s="1"/>
  <c r="E29" i="34"/>
  <c r="H29" i="34" s="1"/>
  <c r="M28" i="34"/>
  <c r="P28" i="34" s="1"/>
  <c r="E28" i="34"/>
  <c r="H28" i="34" s="1"/>
  <c r="M27" i="34"/>
  <c r="P27" i="34" s="1"/>
  <c r="E27" i="34"/>
  <c r="H27" i="34" s="1"/>
  <c r="M26" i="34"/>
  <c r="P26" i="34" s="1"/>
  <c r="E26" i="34"/>
  <c r="H26" i="34" s="1"/>
  <c r="M25" i="34"/>
  <c r="P25" i="34" s="1"/>
  <c r="E25" i="34"/>
  <c r="H25" i="34" s="1"/>
  <c r="M24" i="34"/>
  <c r="P24" i="34" s="1"/>
  <c r="E24" i="34"/>
  <c r="H24" i="34" s="1"/>
  <c r="M23" i="34"/>
  <c r="P23" i="34" s="1"/>
  <c r="E23" i="34"/>
  <c r="H23" i="34" s="1"/>
  <c r="M22" i="34"/>
  <c r="P22" i="34" s="1"/>
  <c r="E22" i="34"/>
  <c r="H22" i="34" s="1"/>
  <c r="M21" i="34"/>
  <c r="P21" i="34" s="1"/>
  <c r="E21" i="34"/>
  <c r="H21" i="34" s="1"/>
  <c r="M20" i="34"/>
  <c r="P20" i="34" s="1"/>
  <c r="E20" i="34"/>
  <c r="H20" i="34" s="1"/>
  <c r="M19" i="34"/>
  <c r="P19" i="34" s="1"/>
  <c r="E19" i="34"/>
  <c r="H19" i="34" s="1"/>
  <c r="M18" i="34"/>
  <c r="P18" i="34" s="1"/>
  <c r="E18" i="34"/>
  <c r="H18" i="34" s="1"/>
  <c r="M17" i="34"/>
  <c r="P17" i="34" s="1"/>
  <c r="E17" i="34"/>
  <c r="H17" i="34" s="1"/>
  <c r="M16" i="34"/>
  <c r="P16" i="34" s="1"/>
  <c r="E16" i="34"/>
  <c r="H16" i="34" s="1"/>
  <c r="M15" i="34"/>
  <c r="P15" i="34" s="1"/>
  <c r="E15" i="34"/>
  <c r="H15" i="34" s="1"/>
  <c r="M14" i="34"/>
  <c r="P14" i="34" s="1"/>
  <c r="E14" i="34"/>
  <c r="H14" i="34" s="1"/>
  <c r="M13" i="34"/>
  <c r="P13" i="34" s="1"/>
  <c r="E13" i="34"/>
  <c r="H13" i="34" s="1"/>
  <c r="M12" i="34"/>
  <c r="P12" i="34" s="1"/>
  <c r="E12" i="34"/>
  <c r="H12" i="34" s="1"/>
  <c r="L179" i="34"/>
  <c r="D179" i="34"/>
  <c r="L178" i="34"/>
  <c r="D178" i="34"/>
  <c r="L177" i="34"/>
  <c r="D177" i="34"/>
  <c r="L176" i="34"/>
  <c r="D176" i="34"/>
  <c r="L175" i="34"/>
  <c r="D175" i="34"/>
  <c r="L174" i="34"/>
  <c r="D174" i="34"/>
  <c r="L173" i="34"/>
  <c r="D173" i="34"/>
  <c r="L172" i="34"/>
  <c r="D172" i="34"/>
  <c r="L171" i="34"/>
  <c r="D171" i="34"/>
  <c r="L170" i="34"/>
  <c r="D170" i="34"/>
  <c r="L169" i="34"/>
  <c r="D169" i="34"/>
  <c r="L168" i="34"/>
  <c r="D168" i="34"/>
  <c r="L167" i="34"/>
  <c r="D167" i="34"/>
  <c r="L166" i="34"/>
  <c r="D166" i="34"/>
  <c r="L165" i="34"/>
  <c r="D165" i="34"/>
  <c r="L164" i="34"/>
  <c r="D164" i="34"/>
  <c r="L163" i="34"/>
  <c r="D163" i="34"/>
  <c r="L162" i="34"/>
  <c r="D162" i="34"/>
  <c r="L161" i="34"/>
  <c r="D161" i="34"/>
  <c r="L160" i="34"/>
  <c r="D160" i="34"/>
  <c r="L159" i="34"/>
  <c r="D159" i="34"/>
  <c r="L158" i="34"/>
  <c r="D158" i="34"/>
  <c r="L157" i="34"/>
  <c r="D157" i="34"/>
  <c r="L156" i="34"/>
  <c r="D156" i="34"/>
  <c r="L155" i="34"/>
  <c r="D155" i="34"/>
  <c r="L154" i="34"/>
  <c r="D154" i="34"/>
  <c r="L153" i="34"/>
  <c r="D153" i="34"/>
  <c r="L152" i="34"/>
  <c r="D152" i="34"/>
  <c r="L151" i="34"/>
  <c r="D151" i="34"/>
  <c r="L150" i="34"/>
  <c r="D150" i="34"/>
  <c r="L149" i="34"/>
  <c r="D149" i="34"/>
  <c r="L148" i="34"/>
  <c r="D148" i="34"/>
  <c r="L147" i="34"/>
  <c r="D147" i="34"/>
  <c r="L146" i="34"/>
  <c r="D146" i="34"/>
  <c r="L145" i="34"/>
  <c r="D145" i="34"/>
  <c r="L144" i="34"/>
  <c r="D144" i="34"/>
  <c r="L143" i="34"/>
  <c r="D143" i="34"/>
  <c r="L142" i="34"/>
  <c r="D142" i="34"/>
  <c r="L141" i="34"/>
  <c r="D141" i="34"/>
  <c r="L140" i="34"/>
  <c r="D140" i="34"/>
  <c r="L139" i="34"/>
  <c r="D139" i="34"/>
  <c r="L138" i="34"/>
  <c r="D138" i="34"/>
  <c r="L137" i="34"/>
  <c r="D137" i="34"/>
  <c r="L136" i="34"/>
  <c r="D136" i="34"/>
  <c r="L135" i="34"/>
  <c r="D135" i="34"/>
  <c r="L134" i="34"/>
  <c r="D134" i="34"/>
  <c r="L133" i="34"/>
  <c r="D133" i="34"/>
  <c r="L132" i="34"/>
  <c r="D132" i="34"/>
  <c r="L119" i="34"/>
  <c r="D119" i="34"/>
  <c r="L118" i="34"/>
  <c r="D118" i="34"/>
  <c r="L117" i="34"/>
  <c r="D117" i="34"/>
  <c r="L116" i="34"/>
  <c r="D116" i="34"/>
  <c r="L115" i="34"/>
  <c r="D115" i="34"/>
  <c r="L114" i="34"/>
  <c r="D114" i="34"/>
  <c r="L113" i="34"/>
  <c r="D113" i="34"/>
  <c r="L112" i="34"/>
  <c r="D112" i="34"/>
  <c r="L111" i="34"/>
  <c r="D111" i="34"/>
  <c r="L110" i="34"/>
  <c r="D110" i="34"/>
  <c r="L109" i="34"/>
  <c r="D109" i="34"/>
  <c r="L108" i="34"/>
  <c r="D108" i="34"/>
  <c r="L107" i="34"/>
  <c r="D107" i="34"/>
  <c r="L106" i="34"/>
  <c r="D106" i="34"/>
  <c r="L105" i="34"/>
  <c r="D105" i="34"/>
  <c r="L104" i="34"/>
  <c r="D104" i="34"/>
  <c r="L103" i="34"/>
  <c r="D103" i="34"/>
  <c r="L102" i="34"/>
  <c r="D102" i="34"/>
  <c r="L101" i="34"/>
  <c r="D101" i="34"/>
  <c r="L100" i="34"/>
  <c r="D100" i="34"/>
  <c r="L99" i="34"/>
  <c r="D99" i="34"/>
  <c r="L98" i="34"/>
  <c r="D98" i="34"/>
  <c r="L97" i="34"/>
  <c r="D97" i="34"/>
  <c r="L96" i="34"/>
  <c r="D96" i="34"/>
  <c r="L95" i="34"/>
  <c r="D95" i="34"/>
  <c r="L94" i="34"/>
  <c r="D94" i="34"/>
  <c r="L93" i="34"/>
  <c r="D93" i="34"/>
  <c r="L92" i="34"/>
  <c r="D92" i="34"/>
  <c r="L91" i="34"/>
  <c r="D91" i="34"/>
  <c r="L90" i="34"/>
  <c r="D90" i="34"/>
  <c r="L89" i="34"/>
  <c r="D89" i="34"/>
  <c r="L88" i="34"/>
  <c r="D88" i="34"/>
  <c r="L87" i="34"/>
  <c r="D87" i="34"/>
  <c r="L86" i="34"/>
  <c r="D86" i="34"/>
  <c r="L85" i="34"/>
  <c r="D85" i="34"/>
  <c r="L84" i="34"/>
  <c r="D84" i="34"/>
  <c r="L83" i="34"/>
  <c r="D83" i="34"/>
  <c r="L82" i="34"/>
  <c r="D82" i="34"/>
  <c r="L81" i="34"/>
  <c r="D81" i="34"/>
  <c r="L80" i="34"/>
  <c r="D80" i="34"/>
  <c r="L79" i="34"/>
  <c r="D79" i="34"/>
  <c r="L78" i="34"/>
  <c r="D78" i="34"/>
  <c r="L77" i="34"/>
  <c r="D77" i="34"/>
  <c r="L76" i="34"/>
  <c r="D76" i="34"/>
  <c r="L75" i="34"/>
  <c r="D75" i="34"/>
  <c r="L74" i="34"/>
  <c r="D74" i="34"/>
  <c r="L73" i="34"/>
  <c r="D73" i="34"/>
  <c r="L72" i="34"/>
  <c r="D72" i="34"/>
  <c r="L59" i="34"/>
  <c r="D59" i="34"/>
  <c r="L58" i="34"/>
  <c r="D58" i="34"/>
  <c r="L57" i="34"/>
  <c r="D57" i="34"/>
  <c r="L56" i="34"/>
  <c r="D56" i="34"/>
  <c r="L55" i="34"/>
  <c r="D55" i="34"/>
  <c r="L54" i="34"/>
  <c r="D54" i="34"/>
  <c r="L53" i="34"/>
  <c r="D53" i="34"/>
  <c r="L52" i="34"/>
  <c r="D52" i="34"/>
  <c r="L51" i="34"/>
  <c r="D51" i="34"/>
  <c r="L50" i="34"/>
  <c r="D50" i="34"/>
  <c r="L49" i="34"/>
  <c r="D49" i="34"/>
  <c r="L48" i="34"/>
  <c r="D48" i="34"/>
  <c r="L47" i="34"/>
  <c r="D47" i="34"/>
  <c r="L46" i="34"/>
  <c r="D46" i="34"/>
  <c r="L45" i="34"/>
  <c r="D45" i="34"/>
  <c r="L44" i="34"/>
  <c r="D44" i="34"/>
  <c r="L43" i="34"/>
  <c r="D43" i="34"/>
  <c r="L42" i="34"/>
  <c r="D42" i="34"/>
  <c r="L41" i="34"/>
  <c r="D41" i="34"/>
  <c r="L40" i="34"/>
  <c r="D40" i="34"/>
  <c r="L39" i="34"/>
  <c r="D39" i="34"/>
  <c r="L38" i="34"/>
  <c r="D38" i="34"/>
  <c r="L37" i="34"/>
  <c r="D37" i="34"/>
  <c r="L36" i="34"/>
  <c r="D36" i="34"/>
  <c r="L35" i="34"/>
  <c r="D35" i="34"/>
  <c r="L34" i="34"/>
  <c r="D34" i="34"/>
  <c r="L33" i="34"/>
  <c r="D33" i="34"/>
  <c r="L32" i="34"/>
  <c r="D32" i="34"/>
  <c r="L31" i="34"/>
  <c r="D31" i="34"/>
  <c r="L30" i="34"/>
  <c r="D30" i="34"/>
  <c r="L29" i="34"/>
  <c r="D29" i="34"/>
  <c r="L28" i="34"/>
  <c r="D28" i="34"/>
  <c r="L27" i="34"/>
  <c r="D27" i="34"/>
  <c r="L26" i="34"/>
  <c r="D26" i="34"/>
  <c r="L25" i="34"/>
  <c r="D25" i="34"/>
  <c r="L24" i="34"/>
  <c r="D24" i="34"/>
  <c r="L23" i="34"/>
  <c r="D23" i="34"/>
  <c r="L22" i="34"/>
  <c r="D22" i="34"/>
  <c r="L21" i="34"/>
  <c r="D21" i="34"/>
  <c r="L20" i="34"/>
  <c r="D20" i="34"/>
  <c r="L19" i="34"/>
  <c r="D19" i="34"/>
  <c r="L18" i="34"/>
  <c r="D18" i="34"/>
  <c r="L17" i="34"/>
  <c r="D17" i="34"/>
  <c r="L16" i="34"/>
  <c r="D16" i="34"/>
  <c r="L15" i="34"/>
  <c r="D15" i="34"/>
  <c r="L14" i="34"/>
  <c r="D14" i="34"/>
  <c r="L13" i="34"/>
  <c r="D13" i="34"/>
  <c r="L12" i="34"/>
  <c r="D12" i="34"/>
  <c r="E7" i="34"/>
  <c r="M129" i="34"/>
  <c r="E129" i="34"/>
  <c r="M128" i="34"/>
  <c r="E128" i="34"/>
  <c r="J127" i="34"/>
  <c r="B127" i="34"/>
  <c r="M69" i="34"/>
  <c r="E69" i="34"/>
  <c r="M68" i="34"/>
  <c r="E68" i="34"/>
  <c r="J67" i="34"/>
  <c r="B67" i="34"/>
  <c r="M10" i="34"/>
  <c r="E70" i="34" s="1"/>
  <c r="M70" i="34" s="1"/>
  <c r="E130" i="34" s="1"/>
  <c r="M130" i="34" s="1"/>
  <c r="M9" i="34"/>
  <c r="M8" i="34"/>
  <c r="J7" i="34"/>
  <c r="B7" i="34"/>
  <c r="D133" i="33"/>
  <c r="E133" i="33"/>
  <c r="H133" i="33" s="1"/>
  <c r="D134" i="33"/>
  <c r="E134" i="33"/>
  <c r="H134" i="33" s="1"/>
  <c r="D135" i="33"/>
  <c r="E135" i="33"/>
  <c r="H135" i="33" s="1"/>
  <c r="D136" i="33"/>
  <c r="E136" i="33"/>
  <c r="H136" i="33" s="1"/>
  <c r="D137" i="33"/>
  <c r="E137" i="33"/>
  <c r="H137" i="33" s="1"/>
  <c r="D138" i="33"/>
  <c r="E138" i="33"/>
  <c r="H138" i="33" s="1"/>
  <c r="D139" i="33"/>
  <c r="E139" i="33"/>
  <c r="H139" i="33" s="1"/>
  <c r="D140" i="33"/>
  <c r="E140" i="33"/>
  <c r="H140" i="33" s="1"/>
  <c r="D141" i="33"/>
  <c r="E141" i="33"/>
  <c r="H141" i="33" s="1"/>
  <c r="D142" i="33"/>
  <c r="E142" i="33"/>
  <c r="H142" i="33" s="1"/>
  <c r="D143" i="33"/>
  <c r="E143" i="33"/>
  <c r="H143" i="33" s="1"/>
  <c r="D144" i="33"/>
  <c r="E144" i="33"/>
  <c r="H144" i="33" s="1"/>
  <c r="D145" i="33"/>
  <c r="E145" i="33"/>
  <c r="H145" i="33" s="1"/>
  <c r="D146" i="33"/>
  <c r="E146" i="33"/>
  <c r="H146" i="33" s="1"/>
  <c r="D147" i="33"/>
  <c r="E147" i="33"/>
  <c r="H147" i="33" s="1"/>
  <c r="D148" i="33"/>
  <c r="E148" i="33"/>
  <c r="H148" i="33" s="1"/>
  <c r="D149" i="33"/>
  <c r="E149" i="33"/>
  <c r="H149" i="33" s="1"/>
  <c r="D150" i="33"/>
  <c r="E150" i="33"/>
  <c r="H150" i="33" s="1"/>
  <c r="D151" i="33"/>
  <c r="E151" i="33"/>
  <c r="H151" i="33" s="1"/>
  <c r="D152" i="33"/>
  <c r="E152" i="33"/>
  <c r="H152" i="33" s="1"/>
  <c r="D153" i="33"/>
  <c r="E153" i="33"/>
  <c r="H153" i="33" s="1"/>
  <c r="D154" i="33"/>
  <c r="E154" i="33"/>
  <c r="H154" i="33" s="1"/>
  <c r="D155" i="33"/>
  <c r="E155" i="33"/>
  <c r="H155" i="33" s="1"/>
  <c r="D156" i="33"/>
  <c r="E156" i="33"/>
  <c r="H156" i="33" s="1"/>
  <c r="D157" i="33"/>
  <c r="E157" i="33"/>
  <c r="H157" i="33" s="1"/>
  <c r="D158" i="33"/>
  <c r="E158" i="33"/>
  <c r="H158" i="33" s="1"/>
  <c r="D159" i="33"/>
  <c r="E159" i="33"/>
  <c r="H159" i="33" s="1"/>
  <c r="D160" i="33"/>
  <c r="E160" i="33"/>
  <c r="H160" i="33" s="1"/>
  <c r="D161" i="33"/>
  <c r="E161" i="33"/>
  <c r="H161" i="33" s="1"/>
  <c r="D162" i="33"/>
  <c r="E162" i="33"/>
  <c r="H162" i="33" s="1"/>
  <c r="D163" i="33"/>
  <c r="E163" i="33"/>
  <c r="H163" i="33" s="1"/>
  <c r="D164" i="33"/>
  <c r="E164" i="33"/>
  <c r="H164" i="33" s="1"/>
  <c r="D165" i="33"/>
  <c r="E165" i="33"/>
  <c r="H165" i="33" s="1"/>
  <c r="D166" i="33"/>
  <c r="E166" i="33"/>
  <c r="H166" i="33" s="1"/>
  <c r="D167" i="33"/>
  <c r="E167" i="33"/>
  <c r="H167" i="33" s="1"/>
  <c r="D168" i="33"/>
  <c r="E168" i="33"/>
  <c r="H168" i="33" s="1"/>
  <c r="D169" i="33"/>
  <c r="E169" i="33"/>
  <c r="H169" i="33" s="1"/>
  <c r="D170" i="33"/>
  <c r="E170" i="33"/>
  <c r="H170" i="33" s="1"/>
  <c r="D171" i="33"/>
  <c r="E171" i="33"/>
  <c r="H171" i="33" s="1"/>
  <c r="D172" i="33"/>
  <c r="E172" i="33"/>
  <c r="H172" i="33" s="1"/>
  <c r="D173" i="33"/>
  <c r="E173" i="33"/>
  <c r="H173" i="33" s="1"/>
  <c r="D174" i="33"/>
  <c r="E174" i="33"/>
  <c r="H174" i="33" s="1"/>
  <c r="D175" i="33"/>
  <c r="E175" i="33"/>
  <c r="H175" i="33" s="1"/>
  <c r="D176" i="33"/>
  <c r="E176" i="33"/>
  <c r="H176" i="33" s="1"/>
  <c r="D177" i="33"/>
  <c r="E177" i="33"/>
  <c r="H177" i="33" s="1"/>
  <c r="D178" i="33"/>
  <c r="E178" i="33"/>
  <c r="H178" i="33" s="1"/>
  <c r="D179" i="33"/>
  <c r="E179" i="33"/>
  <c r="L133" i="33"/>
  <c r="M133" i="33"/>
  <c r="P133" i="33" s="1"/>
  <c r="L134" i="33"/>
  <c r="M134" i="33"/>
  <c r="P134" i="33" s="1"/>
  <c r="L135" i="33"/>
  <c r="M135" i="33"/>
  <c r="P135" i="33" s="1"/>
  <c r="L136" i="33"/>
  <c r="M136" i="33"/>
  <c r="P136" i="33" s="1"/>
  <c r="L137" i="33"/>
  <c r="M137" i="33"/>
  <c r="P137" i="33" s="1"/>
  <c r="L138" i="33"/>
  <c r="M138" i="33"/>
  <c r="P138" i="33" s="1"/>
  <c r="L139" i="33"/>
  <c r="M139" i="33"/>
  <c r="P139" i="33" s="1"/>
  <c r="L140" i="33"/>
  <c r="M140" i="33"/>
  <c r="P140" i="33" s="1"/>
  <c r="L141" i="33"/>
  <c r="M141" i="33"/>
  <c r="P141" i="33" s="1"/>
  <c r="L142" i="33"/>
  <c r="M142" i="33"/>
  <c r="P142" i="33" s="1"/>
  <c r="L143" i="33"/>
  <c r="M143" i="33"/>
  <c r="P143" i="33" s="1"/>
  <c r="L144" i="33"/>
  <c r="M144" i="33"/>
  <c r="P144" i="33" s="1"/>
  <c r="L145" i="33"/>
  <c r="M145" i="33"/>
  <c r="P145" i="33" s="1"/>
  <c r="L146" i="33"/>
  <c r="M146" i="33"/>
  <c r="P146" i="33" s="1"/>
  <c r="L147" i="33"/>
  <c r="M147" i="33"/>
  <c r="P147" i="33" s="1"/>
  <c r="L148" i="33"/>
  <c r="M148" i="33"/>
  <c r="P148" i="33" s="1"/>
  <c r="L149" i="33"/>
  <c r="M149" i="33"/>
  <c r="P149" i="33" s="1"/>
  <c r="L150" i="33"/>
  <c r="M150" i="33"/>
  <c r="P150" i="33" s="1"/>
  <c r="L151" i="33"/>
  <c r="M151" i="33"/>
  <c r="P151" i="33" s="1"/>
  <c r="L152" i="33"/>
  <c r="M152" i="33"/>
  <c r="P152" i="33" s="1"/>
  <c r="L153" i="33"/>
  <c r="M153" i="33"/>
  <c r="P153" i="33" s="1"/>
  <c r="L154" i="33"/>
  <c r="M154" i="33"/>
  <c r="P154" i="33" s="1"/>
  <c r="L155" i="33"/>
  <c r="M155" i="33"/>
  <c r="P155" i="33" s="1"/>
  <c r="L156" i="33"/>
  <c r="M156" i="33"/>
  <c r="P156" i="33" s="1"/>
  <c r="L157" i="33"/>
  <c r="M157" i="33"/>
  <c r="P157" i="33" s="1"/>
  <c r="L158" i="33"/>
  <c r="M158" i="33"/>
  <c r="P158" i="33" s="1"/>
  <c r="L159" i="33"/>
  <c r="M159" i="33"/>
  <c r="P159" i="33" s="1"/>
  <c r="L160" i="33"/>
  <c r="M160" i="33"/>
  <c r="P160" i="33" s="1"/>
  <c r="L161" i="33"/>
  <c r="M161" i="33"/>
  <c r="P161" i="33" s="1"/>
  <c r="L162" i="33"/>
  <c r="M162" i="33"/>
  <c r="P162" i="33" s="1"/>
  <c r="L163" i="33"/>
  <c r="M163" i="33"/>
  <c r="P163" i="33" s="1"/>
  <c r="L164" i="33"/>
  <c r="M164" i="33"/>
  <c r="P164" i="33" s="1"/>
  <c r="L165" i="33"/>
  <c r="M165" i="33"/>
  <c r="P165" i="33" s="1"/>
  <c r="L166" i="33"/>
  <c r="M166" i="33"/>
  <c r="P166" i="33" s="1"/>
  <c r="L167" i="33"/>
  <c r="M167" i="33"/>
  <c r="P167" i="33" s="1"/>
  <c r="L168" i="33"/>
  <c r="M168" i="33"/>
  <c r="P168" i="33" s="1"/>
  <c r="L169" i="33"/>
  <c r="M169" i="33"/>
  <c r="P169" i="33" s="1"/>
  <c r="L170" i="33"/>
  <c r="M170" i="33"/>
  <c r="P170" i="33" s="1"/>
  <c r="L171" i="33"/>
  <c r="M171" i="33"/>
  <c r="P171" i="33" s="1"/>
  <c r="L172" i="33"/>
  <c r="M172" i="33"/>
  <c r="P172" i="33" s="1"/>
  <c r="L173" i="33"/>
  <c r="M173" i="33"/>
  <c r="P173" i="33" s="1"/>
  <c r="L174" i="33"/>
  <c r="M174" i="33"/>
  <c r="P174" i="33" s="1"/>
  <c r="L175" i="33"/>
  <c r="M175" i="33"/>
  <c r="P175" i="33" s="1"/>
  <c r="L176" i="33"/>
  <c r="M176" i="33"/>
  <c r="P176" i="33" s="1"/>
  <c r="L177" i="33"/>
  <c r="M177" i="33"/>
  <c r="P177" i="33" s="1"/>
  <c r="L178" i="33"/>
  <c r="M178" i="33"/>
  <c r="P178" i="33" s="1"/>
  <c r="L73" i="33"/>
  <c r="M73" i="33"/>
  <c r="P73" i="33" s="1"/>
  <c r="L74" i="33"/>
  <c r="M74" i="33"/>
  <c r="P74" i="33" s="1"/>
  <c r="L75" i="33"/>
  <c r="M75" i="33"/>
  <c r="P75" i="33" s="1"/>
  <c r="L76" i="33"/>
  <c r="M76" i="33"/>
  <c r="P76" i="33" s="1"/>
  <c r="L77" i="33"/>
  <c r="M77" i="33"/>
  <c r="P77" i="33" s="1"/>
  <c r="L78" i="33"/>
  <c r="M78" i="33"/>
  <c r="P78" i="33" s="1"/>
  <c r="L79" i="33"/>
  <c r="M79" i="33"/>
  <c r="P79" i="33" s="1"/>
  <c r="L80" i="33"/>
  <c r="M80" i="33"/>
  <c r="P80" i="33" s="1"/>
  <c r="L81" i="33"/>
  <c r="M81" i="33"/>
  <c r="P81" i="33" s="1"/>
  <c r="L82" i="33"/>
  <c r="M82" i="33"/>
  <c r="P82" i="33" s="1"/>
  <c r="L83" i="33"/>
  <c r="M83" i="33"/>
  <c r="P83" i="33" s="1"/>
  <c r="L84" i="33"/>
  <c r="M84" i="33"/>
  <c r="P84" i="33" s="1"/>
  <c r="L85" i="33"/>
  <c r="M85" i="33"/>
  <c r="P85" i="33" s="1"/>
  <c r="L86" i="33"/>
  <c r="M86" i="33"/>
  <c r="P86" i="33" s="1"/>
  <c r="L87" i="33"/>
  <c r="M87" i="33"/>
  <c r="P87" i="33" s="1"/>
  <c r="L88" i="33"/>
  <c r="M88" i="33"/>
  <c r="P88" i="33" s="1"/>
  <c r="L89" i="33"/>
  <c r="M89" i="33"/>
  <c r="P89" i="33" s="1"/>
  <c r="L90" i="33"/>
  <c r="M90" i="33"/>
  <c r="P90" i="33" s="1"/>
  <c r="L91" i="33"/>
  <c r="M91" i="33"/>
  <c r="P91" i="33" s="1"/>
  <c r="L92" i="33"/>
  <c r="M92" i="33"/>
  <c r="P92" i="33" s="1"/>
  <c r="L93" i="33"/>
  <c r="M93" i="33"/>
  <c r="P93" i="33" s="1"/>
  <c r="L94" i="33"/>
  <c r="M94" i="33"/>
  <c r="P94" i="33" s="1"/>
  <c r="L95" i="33"/>
  <c r="M95" i="33"/>
  <c r="P95" i="33" s="1"/>
  <c r="L96" i="33"/>
  <c r="M96" i="33"/>
  <c r="P96" i="33" s="1"/>
  <c r="L97" i="33"/>
  <c r="M97" i="33"/>
  <c r="P97" i="33" s="1"/>
  <c r="L98" i="33"/>
  <c r="M98" i="33"/>
  <c r="P98" i="33" s="1"/>
  <c r="L99" i="33"/>
  <c r="M99" i="33"/>
  <c r="P99" i="33" s="1"/>
  <c r="L100" i="33"/>
  <c r="M100" i="33"/>
  <c r="P100" i="33" s="1"/>
  <c r="L101" i="33"/>
  <c r="M101" i="33"/>
  <c r="P101" i="33" s="1"/>
  <c r="L102" i="33"/>
  <c r="M102" i="33"/>
  <c r="P102" i="33" s="1"/>
  <c r="L103" i="33"/>
  <c r="M103" i="33"/>
  <c r="P103" i="33" s="1"/>
  <c r="L104" i="33"/>
  <c r="M104" i="33"/>
  <c r="P104" i="33" s="1"/>
  <c r="L105" i="33"/>
  <c r="M105" i="33"/>
  <c r="P105" i="33" s="1"/>
  <c r="L106" i="33"/>
  <c r="M106" i="33"/>
  <c r="P106" i="33" s="1"/>
  <c r="L107" i="33"/>
  <c r="M107" i="33"/>
  <c r="P107" i="33" s="1"/>
  <c r="L108" i="33"/>
  <c r="M108" i="33"/>
  <c r="P108" i="33" s="1"/>
  <c r="L109" i="33"/>
  <c r="M109" i="33"/>
  <c r="P109" i="33" s="1"/>
  <c r="L110" i="33"/>
  <c r="M110" i="33"/>
  <c r="P110" i="33" s="1"/>
  <c r="L111" i="33"/>
  <c r="M111" i="33"/>
  <c r="P111" i="33" s="1"/>
  <c r="L112" i="33"/>
  <c r="M112" i="33"/>
  <c r="P112" i="33" s="1"/>
  <c r="L113" i="33"/>
  <c r="M113" i="33"/>
  <c r="P113" i="33" s="1"/>
  <c r="L114" i="33"/>
  <c r="M114" i="33"/>
  <c r="P114" i="33" s="1"/>
  <c r="L115" i="33"/>
  <c r="M115" i="33"/>
  <c r="P115" i="33" s="1"/>
  <c r="L116" i="33"/>
  <c r="M116" i="33"/>
  <c r="P116" i="33" s="1"/>
  <c r="L117" i="33"/>
  <c r="M117" i="33"/>
  <c r="P117" i="33" s="1"/>
  <c r="L118" i="33"/>
  <c r="M118" i="33"/>
  <c r="P118" i="33" s="1"/>
  <c r="D73" i="33"/>
  <c r="E73" i="33"/>
  <c r="H73" i="33" s="1"/>
  <c r="D74" i="33"/>
  <c r="E74" i="33"/>
  <c r="H74" i="33" s="1"/>
  <c r="D75" i="33"/>
  <c r="E75" i="33"/>
  <c r="H75" i="33" s="1"/>
  <c r="D76" i="33"/>
  <c r="E76" i="33"/>
  <c r="H76" i="33" s="1"/>
  <c r="D77" i="33"/>
  <c r="E77" i="33"/>
  <c r="H77" i="33" s="1"/>
  <c r="D78" i="33"/>
  <c r="E78" i="33"/>
  <c r="H78" i="33" s="1"/>
  <c r="D79" i="33"/>
  <c r="E79" i="33"/>
  <c r="H79" i="33" s="1"/>
  <c r="D80" i="33"/>
  <c r="E80" i="33"/>
  <c r="H80" i="33" s="1"/>
  <c r="D81" i="33"/>
  <c r="E81" i="33"/>
  <c r="H81" i="33" s="1"/>
  <c r="D82" i="33"/>
  <c r="E82" i="33"/>
  <c r="H82" i="33" s="1"/>
  <c r="D83" i="33"/>
  <c r="E83" i="33"/>
  <c r="H83" i="33" s="1"/>
  <c r="D84" i="33"/>
  <c r="E84" i="33"/>
  <c r="H84" i="33" s="1"/>
  <c r="D85" i="33"/>
  <c r="E85" i="33"/>
  <c r="H85" i="33" s="1"/>
  <c r="D86" i="33"/>
  <c r="E86" i="33"/>
  <c r="H86" i="33" s="1"/>
  <c r="D87" i="33"/>
  <c r="E87" i="33"/>
  <c r="H87" i="33" s="1"/>
  <c r="D88" i="33"/>
  <c r="E88" i="33"/>
  <c r="H88" i="33" s="1"/>
  <c r="D89" i="33"/>
  <c r="E89" i="33"/>
  <c r="H89" i="33" s="1"/>
  <c r="D90" i="33"/>
  <c r="E90" i="33"/>
  <c r="H90" i="33" s="1"/>
  <c r="D91" i="33"/>
  <c r="E91" i="33"/>
  <c r="H91" i="33" s="1"/>
  <c r="D92" i="33"/>
  <c r="E92" i="33"/>
  <c r="H92" i="33" s="1"/>
  <c r="D93" i="33"/>
  <c r="E93" i="33"/>
  <c r="H93" i="33" s="1"/>
  <c r="D94" i="33"/>
  <c r="E94" i="33"/>
  <c r="H94" i="33" s="1"/>
  <c r="D95" i="33"/>
  <c r="E95" i="33"/>
  <c r="H95" i="33" s="1"/>
  <c r="D96" i="33"/>
  <c r="E96" i="33"/>
  <c r="H96" i="33" s="1"/>
  <c r="D97" i="33"/>
  <c r="E97" i="33"/>
  <c r="H97" i="33" s="1"/>
  <c r="D98" i="33"/>
  <c r="E98" i="33"/>
  <c r="H98" i="33" s="1"/>
  <c r="D99" i="33"/>
  <c r="E99" i="33"/>
  <c r="H99" i="33" s="1"/>
  <c r="D100" i="33"/>
  <c r="E100" i="33"/>
  <c r="H100" i="33" s="1"/>
  <c r="D101" i="33"/>
  <c r="E101" i="33"/>
  <c r="H101" i="33" s="1"/>
  <c r="D102" i="33"/>
  <c r="E102" i="33"/>
  <c r="H102" i="33" s="1"/>
  <c r="D103" i="33"/>
  <c r="E103" i="33"/>
  <c r="H103" i="33" s="1"/>
  <c r="D104" i="33"/>
  <c r="E104" i="33"/>
  <c r="H104" i="33" s="1"/>
  <c r="D105" i="33"/>
  <c r="E105" i="33"/>
  <c r="H105" i="33" s="1"/>
  <c r="D106" i="33"/>
  <c r="E106" i="33"/>
  <c r="H106" i="33" s="1"/>
  <c r="D107" i="33"/>
  <c r="E107" i="33"/>
  <c r="H107" i="33" s="1"/>
  <c r="D108" i="33"/>
  <c r="E108" i="33"/>
  <c r="H108" i="33" s="1"/>
  <c r="D109" i="33"/>
  <c r="E109" i="33"/>
  <c r="H109" i="33" s="1"/>
  <c r="D110" i="33"/>
  <c r="E110" i="33"/>
  <c r="H110" i="33" s="1"/>
  <c r="D111" i="33"/>
  <c r="E111" i="33"/>
  <c r="H111" i="33" s="1"/>
  <c r="D112" i="33"/>
  <c r="E112" i="33"/>
  <c r="H112" i="33" s="1"/>
  <c r="D113" i="33"/>
  <c r="E113" i="33"/>
  <c r="H113" i="33" s="1"/>
  <c r="D114" i="33"/>
  <c r="E114" i="33"/>
  <c r="H114" i="33" s="1"/>
  <c r="D115" i="33"/>
  <c r="E115" i="33"/>
  <c r="H115" i="33" s="1"/>
  <c r="D116" i="33"/>
  <c r="E116" i="33"/>
  <c r="H116" i="33" s="1"/>
  <c r="D117" i="33"/>
  <c r="E117" i="33"/>
  <c r="H117" i="33" s="1"/>
  <c r="D118" i="33"/>
  <c r="E118" i="33"/>
  <c r="H118" i="33" s="1"/>
  <c r="E7" i="33"/>
  <c r="L13" i="33"/>
  <c r="M13" i="33"/>
  <c r="P13" i="33" s="1"/>
  <c r="L14" i="33"/>
  <c r="M14" i="33"/>
  <c r="P14" i="33" s="1"/>
  <c r="L15" i="33"/>
  <c r="M15" i="33"/>
  <c r="P15" i="33" s="1"/>
  <c r="L16" i="33"/>
  <c r="M16" i="33"/>
  <c r="P16" i="33" s="1"/>
  <c r="L17" i="33"/>
  <c r="M17" i="33"/>
  <c r="P17" i="33" s="1"/>
  <c r="L18" i="33"/>
  <c r="M18" i="33"/>
  <c r="P18" i="33" s="1"/>
  <c r="L19" i="33"/>
  <c r="M19" i="33"/>
  <c r="P19" i="33" s="1"/>
  <c r="L20" i="33"/>
  <c r="M20" i="33"/>
  <c r="P20" i="33" s="1"/>
  <c r="L21" i="33"/>
  <c r="M21" i="33"/>
  <c r="P21" i="33" s="1"/>
  <c r="L22" i="33"/>
  <c r="M22" i="33"/>
  <c r="P22" i="33" s="1"/>
  <c r="L23" i="33"/>
  <c r="M23" i="33"/>
  <c r="P23" i="33" s="1"/>
  <c r="L24" i="33"/>
  <c r="M24" i="33"/>
  <c r="P24" i="33" s="1"/>
  <c r="L25" i="33"/>
  <c r="M25" i="33"/>
  <c r="P25" i="33" s="1"/>
  <c r="L26" i="33"/>
  <c r="M26" i="33"/>
  <c r="P26" i="33" s="1"/>
  <c r="L27" i="33"/>
  <c r="M27" i="33"/>
  <c r="P27" i="33" s="1"/>
  <c r="L28" i="33"/>
  <c r="M28" i="33"/>
  <c r="P28" i="33" s="1"/>
  <c r="L29" i="33"/>
  <c r="M29" i="33"/>
  <c r="P29" i="33" s="1"/>
  <c r="L30" i="33"/>
  <c r="M30" i="33"/>
  <c r="P30" i="33" s="1"/>
  <c r="L31" i="33"/>
  <c r="M31" i="33"/>
  <c r="P31" i="33" s="1"/>
  <c r="L32" i="33"/>
  <c r="M32" i="33"/>
  <c r="P32" i="33" s="1"/>
  <c r="L33" i="33"/>
  <c r="M33" i="33"/>
  <c r="P33" i="33" s="1"/>
  <c r="L34" i="33"/>
  <c r="M34" i="33"/>
  <c r="P34" i="33" s="1"/>
  <c r="L35" i="33"/>
  <c r="M35" i="33"/>
  <c r="P35" i="33" s="1"/>
  <c r="L36" i="33"/>
  <c r="M36" i="33"/>
  <c r="P36" i="33" s="1"/>
  <c r="L37" i="33"/>
  <c r="M37" i="33"/>
  <c r="P37" i="33" s="1"/>
  <c r="L38" i="33"/>
  <c r="M38" i="33"/>
  <c r="P38" i="33" s="1"/>
  <c r="L39" i="33"/>
  <c r="M39" i="33"/>
  <c r="P39" i="33" s="1"/>
  <c r="L40" i="33"/>
  <c r="M40" i="33"/>
  <c r="P40" i="33" s="1"/>
  <c r="L41" i="33"/>
  <c r="M41" i="33"/>
  <c r="P41" i="33" s="1"/>
  <c r="L42" i="33"/>
  <c r="M42" i="33"/>
  <c r="P42" i="33" s="1"/>
  <c r="L43" i="33"/>
  <c r="M43" i="33"/>
  <c r="P43" i="33" s="1"/>
  <c r="L44" i="33"/>
  <c r="M44" i="33"/>
  <c r="P44" i="33" s="1"/>
  <c r="L45" i="33"/>
  <c r="M45" i="33"/>
  <c r="P45" i="33" s="1"/>
  <c r="L46" i="33"/>
  <c r="M46" i="33"/>
  <c r="P46" i="33" s="1"/>
  <c r="L47" i="33"/>
  <c r="M47" i="33"/>
  <c r="P47" i="33" s="1"/>
  <c r="L48" i="33"/>
  <c r="M48" i="33"/>
  <c r="P48" i="33" s="1"/>
  <c r="L49" i="33"/>
  <c r="M49" i="33"/>
  <c r="P49" i="33" s="1"/>
  <c r="L50" i="33"/>
  <c r="M50" i="33"/>
  <c r="P50" i="33" s="1"/>
  <c r="L51" i="33"/>
  <c r="M51" i="33"/>
  <c r="P51" i="33" s="1"/>
  <c r="L52" i="33"/>
  <c r="M52" i="33"/>
  <c r="P52" i="33" s="1"/>
  <c r="L53" i="33"/>
  <c r="M53" i="33"/>
  <c r="P53" i="33" s="1"/>
  <c r="L54" i="33"/>
  <c r="M54" i="33"/>
  <c r="P54" i="33" s="1"/>
  <c r="L55" i="33"/>
  <c r="M55" i="33"/>
  <c r="P55" i="33" s="1"/>
  <c r="L56" i="33"/>
  <c r="M56" i="33"/>
  <c r="P56" i="33" s="1"/>
  <c r="L57" i="33"/>
  <c r="M57" i="33"/>
  <c r="P57" i="33" s="1"/>
  <c r="L58" i="33"/>
  <c r="M58" i="33"/>
  <c r="P58" i="33" s="1"/>
  <c r="D13" i="33"/>
  <c r="E13" i="33"/>
  <c r="H13" i="33" s="1"/>
  <c r="D14" i="33"/>
  <c r="E14" i="33"/>
  <c r="H14" i="33" s="1"/>
  <c r="D15" i="33"/>
  <c r="E15" i="33"/>
  <c r="H15" i="33" s="1"/>
  <c r="D16" i="33"/>
  <c r="E16" i="33"/>
  <c r="H16" i="33" s="1"/>
  <c r="D17" i="33"/>
  <c r="E17" i="33"/>
  <c r="H17" i="33" s="1"/>
  <c r="D18" i="33"/>
  <c r="E18" i="33"/>
  <c r="H18" i="33" s="1"/>
  <c r="D19" i="33"/>
  <c r="E19" i="33"/>
  <c r="H19" i="33" s="1"/>
  <c r="D20" i="33"/>
  <c r="E20" i="33"/>
  <c r="H20" i="33" s="1"/>
  <c r="D21" i="33"/>
  <c r="E21" i="33"/>
  <c r="H21" i="33" s="1"/>
  <c r="D22" i="33"/>
  <c r="E22" i="33"/>
  <c r="H22" i="33" s="1"/>
  <c r="D23" i="33"/>
  <c r="E23" i="33"/>
  <c r="H23" i="33" s="1"/>
  <c r="D24" i="33"/>
  <c r="E24" i="33"/>
  <c r="H24" i="33" s="1"/>
  <c r="D25" i="33"/>
  <c r="E25" i="33"/>
  <c r="H25" i="33" s="1"/>
  <c r="D26" i="33"/>
  <c r="E26" i="33"/>
  <c r="H26" i="33" s="1"/>
  <c r="D27" i="33"/>
  <c r="E27" i="33"/>
  <c r="H27" i="33" s="1"/>
  <c r="D28" i="33"/>
  <c r="E28" i="33"/>
  <c r="H28" i="33" s="1"/>
  <c r="D29" i="33"/>
  <c r="E29" i="33"/>
  <c r="H29" i="33" s="1"/>
  <c r="D30" i="33"/>
  <c r="E30" i="33"/>
  <c r="H30" i="33" s="1"/>
  <c r="D31" i="33"/>
  <c r="E31" i="33"/>
  <c r="H31" i="33" s="1"/>
  <c r="D32" i="33"/>
  <c r="E32" i="33"/>
  <c r="H32" i="33" s="1"/>
  <c r="D33" i="33"/>
  <c r="E33" i="33"/>
  <c r="H33" i="33" s="1"/>
  <c r="D34" i="33"/>
  <c r="E34" i="33"/>
  <c r="H34" i="33" s="1"/>
  <c r="D35" i="33"/>
  <c r="E35" i="33"/>
  <c r="H35" i="33" s="1"/>
  <c r="D36" i="33"/>
  <c r="E36" i="33"/>
  <c r="H36" i="33" s="1"/>
  <c r="D37" i="33"/>
  <c r="E37" i="33"/>
  <c r="H37" i="33" s="1"/>
  <c r="D38" i="33"/>
  <c r="E38" i="33"/>
  <c r="H38" i="33" s="1"/>
  <c r="D39" i="33"/>
  <c r="E39" i="33"/>
  <c r="H39" i="33" s="1"/>
  <c r="D40" i="33"/>
  <c r="E40" i="33"/>
  <c r="H40" i="33" s="1"/>
  <c r="D41" i="33"/>
  <c r="E41" i="33"/>
  <c r="H41" i="33" s="1"/>
  <c r="D42" i="33"/>
  <c r="E42" i="33"/>
  <c r="H42" i="33" s="1"/>
  <c r="D43" i="33"/>
  <c r="E43" i="33"/>
  <c r="H43" i="33" s="1"/>
  <c r="D44" i="33"/>
  <c r="E44" i="33"/>
  <c r="H44" i="33" s="1"/>
  <c r="D45" i="33"/>
  <c r="E45" i="33"/>
  <c r="H45" i="33" s="1"/>
  <c r="D46" i="33"/>
  <c r="E46" i="33"/>
  <c r="H46" i="33" s="1"/>
  <c r="D47" i="33"/>
  <c r="E47" i="33"/>
  <c r="H47" i="33" s="1"/>
  <c r="D48" i="33"/>
  <c r="E48" i="33"/>
  <c r="H48" i="33" s="1"/>
  <c r="D49" i="33"/>
  <c r="E49" i="33"/>
  <c r="H49" i="33" s="1"/>
  <c r="D50" i="33"/>
  <c r="E50" i="33"/>
  <c r="H50" i="33" s="1"/>
  <c r="D51" i="33"/>
  <c r="E51" i="33"/>
  <c r="H51" i="33" s="1"/>
  <c r="D52" i="33"/>
  <c r="E52" i="33"/>
  <c r="H52" i="33" s="1"/>
  <c r="D53" i="33"/>
  <c r="E53" i="33"/>
  <c r="H53" i="33" s="1"/>
  <c r="D54" i="33"/>
  <c r="E54" i="33"/>
  <c r="H54" i="33" s="1"/>
  <c r="D55" i="33"/>
  <c r="E55" i="33"/>
  <c r="H55" i="33" s="1"/>
  <c r="D56" i="33"/>
  <c r="E56" i="33"/>
  <c r="H56" i="33" s="1"/>
  <c r="D57" i="33"/>
  <c r="E57" i="33"/>
  <c r="H57" i="33" s="1"/>
  <c r="D58" i="33"/>
  <c r="E58" i="33"/>
  <c r="H58" i="33" s="1"/>
  <c r="M132" i="33"/>
  <c r="P132" i="33" s="1"/>
  <c r="L132" i="33"/>
  <c r="E132" i="33"/>
  <c r="H132" i="33" s="1"/>
  <c r="D132" i="33"/>
  <c r="M72" i="33"/>
  <c r="P72" i="33" s="1"/>
  <c r="L72" i="33"/>
  <c r="E72" i="33"/>
  <c r="H72" i="33" s="1"/>
  <c r="D72" i="33"/>
  <c r="M12" i="33"/>
  <c r="P12" i="33" s="1"/>
  <c r="L12" i="33"/>
  <c r="E12" i="33"/>
  <c r="H12" i="33" s="1"/>
  <c r="D12" i="33"/>
  <c r="N179" i="33"/>
  <c r="M179" i="33"/>
  <c r="L179" i="33"/>
  <c r="M129" i="33"/>
  <c r="E129" i="33"/>
  <c r="M128" i="33"/>
  <c r="E128" i="33"/>
  <c r="J127" i="33"/>
  <c r="B127" i="33"/>
  <c r="N119" i="33"/>
  <c r="M119" i="33"/>
  <c r="L119" i="33"/>
  <c r="F119" i="33"/>
  <c r="E119" i="33"/>
  <c r="D119" i="33"/>
  <c r="M69" i="33"/>
  <c r="E69" i="33"/>
  <c r="M68" i="33"/>
  <c r="E68" i="33"/>
  <c r="J67" i="33"/>
  <c r="B67" i="33"/>
  <c r="N59" i="33"/>
  <c r="M59" i="33"/>
  <c r="L59" i="33"/>
  <c r="F59" i="33"/>
  <c r="E59" i="33"/>
  <c r="H59" i="33" s="1"/>
  <c r="D59" i="33"/>
  <c r="M10" i="33"/>
  <c r="E70" i="33" s="1"/>
  <c r="M70" i="33" s="1"/>
  <c r="E130" i="33" s="1"/>
  <c r="M130" i="33" s="1"/>
  <c r="M9" i="33"/>
  <c r="M8" i="33"/>
  <c r="J7" i="33"/>
  <c r="B7" i="33"/>
  <c r="D133" i="32"/>
  <c r="E133" i="32"/>
  <c r="H133" i="32" s="1"/>
  <c r="F133" i="32"/>
  <c r="D134" i="32"/>
  <c r="E134" i="32"/>
  <c r="H134" i="32" s="1"/>
  <c r="F134" i="32"/>
  <c r="D135" i="32"/>
  <c r="E135" i="32"/>
  <c r="H135" i="32" s="1"/>
  <c r="F135" i="32"/>
  <c r="D136" i="32"/>
  <c r="E136" i="32"/>
  <c r="H136" i="32" s="1"/>
  <c r="F136" i="32"/>
  <c r="D137" i="32"/>
  <c r="E137" i="32"/>
  <c r="H137" i="32" s="1"/>
  <c r="F137" i="32"/>
  <c r="D138" i="32"/>
  <c r="E138" i="32"/>
  <c r="H138" i="32" s="1"/>
  <c r="F138" i="32"/>
  <c r="D139" i="32"/>
  <c r="E139" i="32"/>
  <c r="H139" i="32" s="1"/>
  <c r="F139" i="32"/>
  <c r="D140" i="32"/>
  <c r="E140" i="32"/>
  <c r="H140" i="32" s="1"/>
  <c r="F140" i="32"/>
  <c r="D141" i="32"/>
  <c r="E141" i="32"/>
  <c r="H141" i="32" s="1"/>
  <c r="F141" i="32"/>
  <c r="D142" i="32"/>
  <c r="E142" i="32"/>
  <c r="H142" i="32" s="1"/>
  <c r="F142" i="32"/>
  <c r="D143" i="32"/>
  <c r="E143" i="32"/>
  <c r="H143" i="32" s="1"/>
  <c r="F143" i="32"/>
  <c r="D144" i="32"/>
  <c r="E144" i="32"/>
  <c r="H144" i="32" s="1"/>
  <c r="F144" i="32"/>
  <c r="D145" i="32"/>
  <c r="E145" i="32"/>
  <c r="H145" i="32" s="1"/>
  <c r="F145" i="32"/>
  <c r="D146" i="32"/>
  <c r="E146" i="32"/>
  <c r="H146" i="32" s="1"/>
  <c r="D147" i="32"/>
  <c r="E147" i="32"/>
  <c r="H147" i="32" s="1"/>
  <c r="D148" i="32"/>
  <c r="E148" i="32"/>
  <c r="H148" i="32" s="1"/>
  <c r="D149" i="32"/>
  <c r="E149" i="32"/>
  <c r="H149" i="32" s="1"/>
  <c r="D150" i="32"/>
  <c r="E150" i="32"/>
  <c r="H150" i="32" s="1"/>
  <c r="D151" i="32"/>
  <c r="E151" i="32"/>
  <c r="H151" i="32" s="1"/>
  <c r="D152" i="32"/>
  <c r="E152" i="32"/>
  <c r="H152" i="32" s="1"/>
  <c r="D153" i="32"/>
  <c r="E153" i="32"/>
  <c r="H153" i="32" s="1"/>
  <c r="D154" i="32"/>
  <c r="E154" i="32"/>
  <c r="H154" i="32" s="1"/>
  <c r="D155" i="32"/>
  <c r="E155" i="32"/>
  <c r="H155" i="32" s="1"/>
  <c r="D156" i="32"/>
  <c r="E156" i="32"/>
  <c r="H156" i="32" s="1"/>
  <c r="D157" i="32"/>
  <c r="E157" i="32"/>
  <c r="H157" i="32" s="1"/>
  <c r="D158" i="32"/>
  <c r="E158" i="32"/>
  <c r="H158" i="32" s="1"/>
  <c r="D159" i="32"/>
  <c r="E159" i="32"/>
  <c r="H159" i="32" s="1"/>
  <c r="D160" i="32"/>
  <c r="E160" i="32"/>
  <c r="H160" i="32" s="1"/>
  <c r="D161" i="32"/>
  <c r="E161" i="32"/>
  <c r="H161" i="32" s="1"/>
  <c r="D162" i="32"/>
  <c r="E162" i="32"/>
  <c r="H162" i="32" s="1"/>
  <c r="D163" i="32"/>
  <c r="E163" i="32"/>
  <c r="H163" i="32" s="1"/>
  <c r="D164" i="32"/>
  <c r="E164" i="32"/>
  <c r="H164" i="32" s="1"/>
  <c r="D165" i="32"/>
  <c r="E165" i="32"/>
  <c r="H165" i="32" s="1"/>
  <c r="D166" i="32"/>
  <c r="E166" i="32"/>
  <c r="H166" i="32" s="1"/>
  <c r="D167" i="32"/>
  <c r="E167" i="32"/>
  <c r="H167" i="32" s="1"/>
  <c r="D168" i="32"/>
  <c r="E168" i="32"/>
  <c r="H168" i="32" s="1"/>
  <c r="D169" i="32"/>
  <c r="E169" i="32"/>
  <c r="H169" i="32" s="1"/>
  <c r="D170" i="32"/>
  <c r="E170" i="32"/>
  <c r="H170" i="32" s="1"/>
  <c r="D171" i="32"/>
  <c r="E171" i="32"/>
  <c r="H171" i="32" s="1"/>
  <c r="D172" i="32"/>
  <c r="E172" i="32"/>
  <c r="H172" i="32" s="1"/>
  <c r="D173" i="32"/>
  <c r="E173" i="32"/>
  <c r="H173" i="32" s="1"/>
  <c r="D174" i="32"/>
  <c r="E174" i="32"/>
  <c r="H174" i="32" s="1"/>
  <c r="D175" i="32"/>
  <c r="E175" i="32"/>
  <c r="H175" i="32" s="1"/>
  <c r="D176" i="32"/>
  <c r="E176" i="32"/>
  <c r="H176" i="32" s="1"/>
  <c r="D177" i="32"/>
  <c r="E177" i="32"/>
  <c r="H177" i="32" s="1"/>
  <c r="D178" i="32"/>
  <c r="E178" i="32"/>
  <c r="H178" i="32" s="1"/>
  <c r="D179" i="32"/>
  <c r="E179" i="32"/>
  <c r="L133" i="32"/>
  <c r="M133" i="32"/>
  <c r="P133" i="32" s="1"/>
  <c r="L134" i="32"/>
  <c r="M134" i="32"/>
  <c r="P134" i="32" s="1"/>
  <c r="L135" i="32"/>
  <c r="M135" i="32"/>
  <c r="P135" i="32" s="1"/>
  <c r="L136" i="32"/>
  <c r="M136" i="32"/>
  <c r="P136" i="32" s="1"/>
  <c r="L137" i="32"/>
  <c r="M137" i="32"/>
  <c r="P137" i="32" s="1"/>
  <c r="L138" i="32"/>
  <c r="M138" i="32"/>
  <c r="P138" i="32" s="1"/>
  <c r="L139" i="32"/>
  <c r="M139" i="32"/>
  <c r="P139" i="32" s="1"/>
  <c r="L140" i="32"/>
  <c r="M140" i="32"/>
  <c r="P140" i="32" s="1"/>
  <c r="L141" i="32"/>
  <c r="M141" i="32"/>
  <c r="P141" i="32" s="1"/>
  <c r="L142" i="32"/>
  <c r="M142" i="32"/>
  <c r="P142" i="32" s="1"/>
  <c r="L143" i="32"/>
  <c r="M143" i="32"/>
  <c r="P143" i="32" s="1"/>
  <c r="L144" i="32"/>
  <c r="M144" i="32"/>
  <c r="P144" i="32" s="1"/>
  <c r="L145" i="32"/>
  <c r="M145" i="32"/>
  <c r="P145" i="32" s="1"/>
  <c r="L146" i="32"/>
  <c r="M146" i="32"/>
  <c r="P146" i="32" s="1"/>
  <c r="L147" i="32"/>
  <c r="M147" i="32"/>
  <c r="P147" i="32" s="1"/>
  <c r="L148" i="32"/>
  <c r="M148" i="32"/>
  <c r="P148" i="32" s="1"/>
  <c r="L149" i="32"/>
  <c r="M149" i="32"/>
  <c r="P149" i="32" s="1"/>
  <c r="L150" i="32"/>
  <c r="M150" i="32"/>
  <c r="P150" i="32" s="1"/>
  <c r="L151" i="32"/>
  <c r="M151" i="32"/>
  <c r="P151" i="32" s="1"/>
  <c r="L152" i="32"/>
  <c r="M152" i="32"/>
  <c r="P152" i="32" s="1"/>
  <c r="L153" i="32"/>
  <c r="M153" i="32"/>
  <c r="P153" i="32" s="1"/>
  <c r="L154" i="32"/>
  <c r="M154" i="32"/>
  <c r="P154" i="32" s="1"/>
  <c r="L155" i="32"/>
  <c r="M155" i="32"/>
  <c r="P155" i="32" s="1"/>
  <c r="L156" i="32"/>
  <c r="M156" i="32"/>
  <c r="P156" i="32" s="1"/>
  <c r="L157" i="32"/>
  <c r="M157" i="32"/>
  <c r="P157" i="32" s="1"/>
  <c r="L158" i="32"/>
  <c r="M158" i="32"/>
  <c r="P158" i="32" s="1"/>
  <c r="L159" i="32"/>
  <c r="M159" i="32"/>
  <c r="P159" i="32" s="1"/>
  <c r="L160" i="32"/>
  <c r="M160" i="32"/>
  <c r="P160" i="32" s="1"/>
  <c r="L161" i="32"/>
  <c r="M161" i="32"/>
  <c r="P161" i="32" s="1"/>
  <c r="L162" i="32"/>
  <c r="M162" i="32"/>
  <c r="P162" i="32" s="1"/>
  <c r="L163" i="32"/>
  <c r="M163" i="32"/>
  <c r="P163" i="32" s="1"/>
  <c r="L164" i="32"/>
  <c r="M164" i="32"/>
  <c r="P164" i="32" s="1"/>
  <c r="L165" i="32"/>
  <c r="M165" i="32"/>
  <c r="P165" i="32" s="1"/>
  <c r="L166" i="32"/>
  <c r="M166" i="32"/>
  <c r="P166" i="32" s="1"/>
  <c r="L167" i="32"/>
  <c r="M167" i="32"/>
  <c r="P167" i="32" s="1"/>
  <c r="L168" i="32"/>
  <c r="M168" i="32"/>
  <c r="P168" i="32" s="1"/>
  <c r="L169" i="32"/>
  <c r="M169" i="32"/>
  <c r="P169" i="32" s="1"/>
  <c r="L170" i="32"/>
  <c r="M170" i="32"/>
  <c r="P170" i="32" s="1"/>
  <c r="L171" i="32"/>
  <c r="M171" i="32"/>
  <c r="P171" i="32" s="1"/>
  <c r="L172" i="32"/>
  <c r="M172" i="32"/>
  <c r="P172" i="32" s="1"/>
  <c r="L173" i="32"/>
  <c r="M173" i="32"/>
  <c r="P173" i="32" s="1"/>
  <c r="L174" i="32"/>
  <c r="M174" i="32"/>
  <c r="P174" i="32" s="1"/>
  <c r="L175" i="32"/>
  <c r="M175" i="32"/>
  <c r="P175" i="32" s="1"/>
  <c r="L176" i="32"/>
  <c r="M176" i="32"/>
  <c r="P176" i="32" s="1"/>
  <c r="L177" i="32"/>
  <c r="M177" i="32"/>
  <c r="P177" i="32" s="1"/>
  <c r="L178" i="32"/>
  <c r="M178" i="32"/>
  <c r="P178" i="32" s="1"/>
  <c r="L73" i="32"/>
  <c r="M73" i="32"/>
  <c r="P73" i="32" s="1"/>
  <c r="L74" i="32"/>
  <c r="M74" i="32"/>
  <c r="P74" i="32" s="1"/>
  <c r="L75" i="32"/>
  <c r="M75" i="32"/>
  <c r="P75" i="32" s="1"/>
  <c r="L76" i="32"/>
  <c r="M76" i="32"/>
  <c r="P76" i="32" s="1"/>
  <c r="L77" i="32"/>
  <c r="M77" i="32"/>
  <c r="P77" i="32" s="1"/>
  <c r="L78" i="32"/>
  <c r="M78" i="32"/>
  <c r="P78" i="32" s="1"/>
  <c r="L79" i="32"/>
  <c r="M79" i="32"/>
  <c r="P79" i="32" s="1"/>
  <c r="L80" i="32"/>
  <c r="M80" i="32"/>
  <c r="P80" i="32" s="1"/>
  <c r="L81" i="32"/>
  <c r="M81" i="32"/>
  <c r="P81" i="32" s="1"/>
  <c r="L82" i="32"/>
  <c r="M82" i="32"/>
  <c r="P82" i="32" s="1"/>
  <c r="L83" i="32"/>
  <c r="M83" i="32"/>
  <c r="P83" i="32" s="1"/>
  <c r="L84" i="32"/>
  <c r="M84" i="32"/>
  <c r="P84" i="32" s="1"/>
  <c r="L85" i="32"/>
  <c r="M85" i="32"/>
  <c r="P85" i="32" s="1"/>
  <c r="L86" i="32"/>
  <c r="M86" i="32"/>
  <c r="P86" i="32" s="1"/>
  <c r="L87" i="32"/>
  <c r="M87" i="32"/>
  <c r="P87" i="32" s="1"/>
  <c r="L88" i="32"/>
  <c r="M88" i="32"/>
  <c r="P88" i="32" s="1"/>
  <c r="L89" i="32"/>
  <c r="M89" i="32"/>
  <c r="P89" i="32" s="1"/>
  <c r="L90" i="32"/>
  <c r="M90" i="32"/>
  <c r="P90" i="32" s="1"/>
  <c r="L91" i="32"/>
  <c r="M91" i="32"/>
  <c r="P91" i="32" s="1"/>
  <c r="L92" i="32"/>
  <c r="M92" i="32"/>
  <c r="P92" i="32" s="1"/>
  <c r="L93" i="32"/>
  <c r="M93" i="32"/>
  <c r="P93" i="32" s="1"/>
  <c r="L94" i="32"/>
  <c r="M94" i="32"/>
  <c r="P94" i="32" s="1"/>
  <c r="L95" i="32"/>
  <c r="M95" i="32"/>
  <c r="P95" i="32" s="1"/>
  <c r="L96" i="32"/>
  <c r="M96" i="32"/>
  <c r="P96" i="32" s="1"/>
  <c r="L97" i="32"/>
  <c r="M97" i="32"/>
  <c r="P97" i="32" s="1"/>
  <c r="L98" i="32"/>
  <c r="M98" i="32"/>
  <c r="P98" i="32" s="1"/>
  <c r="L99" i="32"/>
  <c r="M99" i="32"/>
  <c r="P99" i="32" s="1"/>
  <c r="L100" i="32"/>
  <c r="M100" i="32"/>
  <c r="P100" i="32" s="1"/>
  <c r="L101" i="32"/>
  <c r="M101" i="32"/>
  <c r="P101" i="32" s="1"/>
  <c r="L102" i="32"/>
  <c r="M102" i="32"/>
  <c r="P102" i="32" s="1"/>
  <c r="L103" i="32"/>
  <c r="M103" i="32"/>
  <c r="P103" i="32" s="1"/>
  <c r="L104" i="32"/>
  <c r="M104" i="32"/>
  <c r="P104" i="32" s="1"/>
  <c r="L105" i="32"/>
  <c r="M105" i="32"/>
  <c r="P105" i="32" s="1"/>
  <c r="L106" i="32"/>
  <c r="M106" i="32"/>
  <c r="P106" i="32" s="1"/>
  <c r="L107" i="32"/>
  <c r="M107" i="32"/>
  <c r="P107" i="32" s="1"/>
  <c r="L108" i="32"/>
  <c r="M108" i="32"/>
  <c r="P108" i="32" s="1"/>
  <c r="L109" i="32"/>
  <c r="M109" i="32"/>
  <c r="P109" i="32" s="1"/>
  <c r="L110" i="32"/>
  <c r="M110" i="32"/>
  <c r="P110" i="32" s="1"/>
  <c r="L111" i="32"/>
  <c r="M111" i="32"/>
  <c r="P111" i="32" s="1"/>
  <c r="L112" i="32"/>
  <c r="M112" i="32"/>
  <c r="P112" i="32" s="1"/>
  <c r="L113" i="32"/>
  <c r="M113" i="32"/>
  <c r="P113" i="32" s="1"/>
  <c r="L114" i="32"/>
  <c r="M114" i="32"/>
  <c r="P114" i="32" s="1"/>
  <c r="L115" i="32"/>
  <c r="M115" i="32"/>
  <c r="P115" i="32" s="1"/>
  <c r="L116" i="32"/>
  <c r="M116" i="32"/>
  <c r="P116" i="32" s="1"/>
  <c r="L117" i="32"/>
  <c r="M117" i="32"/>
  <c r="P117" i="32" s="1"/>
  <c r="L118" i="32"/>
  <c r="M118" i="32"/>
  <c r="P118" i="32" s="1"/>
  <c r="L119" i="32"/>
  <c r="M119" i="32"/>
  <c r="D73" i="32"/>
  <c r="E73" i="32"/>
  <c r="H73" i="32" s="1"/>
  <c r="D74" i="32"/>
  <c r="E74" i="32"/>
  <c r="H74" i="32" s="1"/>
  <c r="D75" i="32"/>
  <c r="E75" i="32"/>
  <c r="H75" i="32" s="1"/>
  <c r="D76" i="32"/>
  <c r="E76" i="32"/>
  <c r="H76" i="32" s="1"/>
  <c r="D77" i="32"/>
  <c r="E77" i="32"/>
  <c r="H77" i="32" s="1"/>
  <c r="D78" i="32"/>
  <c r="E78" i="32"/>
  <c r="H78" i="32" s="1"/>
  <c r="D79" i="32"/>
  <c r="E79" i="32"/>
  <c r="H79" i="32" s="1"/>
  <c r="D80" i="32"/>
  <c r="E80" i="32"/>
  <c r="H80" i="32" s="1"/>
  <c r="D81" i="32"/>
  <c r="E81" i="32"/>
  <c r="H81" i="32" s="1"/>
  <c r="D82" i="32"/>
  <c r="E82" i="32"/>
  <c r="H82" i="32" s="1"/>
  <c r="D83" i="32"/>
  <c r="E83" i="32"/>
  <c r="H83" i="32" s="1"/>
  <c r="D84" i="32"/>
  <c r="E84" i="32"/>
  <c r="H84" i="32" s="1"/>
  <c r="D85" i="32"/>
  <c r="E85" i="32"/>
  <c r="H85" i="32" s="1"/>
  <c r="D86" i="32"/>
  <c r="E86" i="32"/>
  <c r="H86" i="32" s="1"/>
  <c r="D87" i="32"/>
  <c r="E87" i="32"/>
  <c r="H87" i="32" s="1"/>
  <c r="D88" i="32"/>
  <c r="E88" i="32"/>
  <c r="H88" i="32" s="1"/>
  <c r="D89" i="32"/>
  <c r="E89" i="32"/>
  <c r="H89" i="32" s="1"/>
  <c r="D90" i="32"/>
  <c r="E90" i="32"/>
  <c r="H90" i="32" s="1"/>
  <c r="D91" i="32"/>
  <c r="E91" i="32"/>
  <c r="H91" i="32" s="1"/>
  <c r="D92" i="32"/>
  <c r="E92" i="32"/>
  <c r="H92" i="32" s="1"/>
  <c r="D93" i="32"/>
  <c r="E93" i="32"/>
  <c r="H93" i="32" s="1"/>
  <c r="D94" i="32"/>
  <c r="E94" i="32"/>
  <c r="H94" i="32" s="1"/>
  <c r="D95" i="32"/>
  <c r="E95" i="32"/>
  <c r="H95" i="32" s="1"/>
  <c r="D96" i="32"/>
  <c r="E96" i="32"/>
  <c r="H96" i="32" s="1"/>
  <c r="D97" i="32"/>
  <c r="E97" i="32"/>
  <c r="H97" i="32" s="1"/>
  <c r="D98" i="32"/>
  <c r="E98" i="32"/>
  <c r="H98" i="32" s="1"/>
  <c r="D99" i="32"/>
  <c r="E99" i="32"/>
  <c r="H99" i="32" s="1"/>
  <c r="D100" i="32"/>
  <c r="E100" i="32"/>
  <c r="H100" i="32" s="1"/>
  <c r="D101" i="32"/>
  <c r="E101" i="32"/>
  <c r="H101" i="32" s="1"/>
  <c r="D102" i="32"/>
  <c r="E102" i="32"/>
  <c r="H102" i="32" s="1"/>
  <c r="D103" i="32"/>
  <c r="E103" i="32"/>
  <c r="H103" i="32" s="1"/>
  <c r="D104" i="32"/>
  <c r="E104" i="32"/>
  <c r="H104" i="32" s="1"/>
  <c r="D105" i="32"/>
  <c r="E105" i="32"/>
  <c r="H105" i="32" s="1"/>
  <c r="D106" i="32"/>
  <c r="E106" i="32"/>
  <c r="H106" i="32" s="1"/>
  <c r="D107" i="32"/>
  <c r="E107" i="32"/>
  <c r="H107" i="32" s="1"/>
  <c r="D108" i="32"/>
  <c r="E108" i="32"/>
  <c r="H108" i="32" s="1"/>
  <c r="D109" i="32"/>
  <c r="E109" i="32"/>
  <c r="H109" i="32" s="1"/>
  <c r="D110" i="32"/>
  <c r="E110" i="32"/>
  <c r="H110" i="32" s="1"/>
  <c r="D111" i="32"/>
  <c r="E111" i="32"/>
  <c r="H111" i="32" s="1"/>
  <c r="D112" i="32"/>
  <c r="E112" i="32"/>
  <c r="H112" i="32" s="1"/>
  <c r="D113" i="32"/>
  <c r="E113" i="32"/>
  <c r="H113" i="32" s="1"/>
  <c r="D114" i="32"/>
  <c r="E114" i="32"/>
  <c r="H114" i="32" s="1"/>
  <c r="D115" i="32"/>
  <c r="E115" i="32"/>
  <c r="H115" i="32" s="1"/>
  <c r="D116" i="32"/>
  <c r="E116" i="32"/>
  <c r="H116" i="32" s="1"/>
  <c r="D117" i="32"/>
  <c r="E117" i="32"/>
  <c r="H117" i="32" s="1"/>
  <c r="D118" i="32"/>
  <c r="E118" i="32"/>
  <c r="H118" i="32" s="1"/>
  <c r="D13" i="32"/>
  <c r="E13" i="32"/>
  <c r="H13" i="32" s="1"/>
  <c r="F13" i="32"/>
  <c r="D14" i="32"/>
  <c r="E14" i="32"/>
  <c r="H14" i="32" s="1"/>
  <c r="F14" i="32"/>
  <c r="D15" i="32"/>
  <c r="E15" i="32"/>
  <c r="H15" i="32" s="1"/>
  <c r="F15" i="32"/>
  <c r="D16" i="32"/>
  <c r="E16" i="32"/>
  <c r="H16" i="32" s="1"/>
  <c r="F16" i="32"/>
  <c r="D17" i="32"/>
  <c r="E17" i="32"/>
  <c r="H17" i="32" s="1"/>
  <c r="F17" i="32"/>
  <c r="D18" i="32"/>
  <c r="E18" i="32"/>
  <c r="H18" i="32" s="1"/>
  <c r="F18" i="32"/>
  <c r="D19" i="32"/>
  <c r="E19" i="32"/>
  <c r="H19" i="32" s="1"/>
  <c r="F19" i="32"/>
  <c r="D20" i="32"/>
  <c r="E20" i="32"/>
  <c r="H20" i="32" s="1"/>
  <c r="F20" i="32"/>
  <c r="D21" i="32"/>
  <c r="E21" i="32"/>
  <c r="H21" i="32" s="1"/>
  <c r="F21" i="32"/>
  <c r="D22" i="32"/>
  <c r="E22" i="32"/>
  <c r="H22" i="32" s="1"/>
  <c r="F22" i="32"/>
  <c r="D23" i="32"/>
  <c r="E23" i="32"/>
  <c r="H23" i="32" s="1"/>
  <c r="F23" i="32"/>
  <c r="D24" i="32"/>
  <c r="E24" i="32"/>
  <c r="H24" i="32" s="1"/>
  <c r="F24" i="32"/>
  <c r="D25" i="32"/>
  <c r="E25" i="32"/>
  <c r="H25" i="32" s="1"/>
  <c r="F25" i="32"/>
  <c r="D26" i="32"/>
  <c r="E26" i="32"/>
  <c r="H26" i="32" s="1"/>
  <c r="D27" i="32"/>
  <c r="E27" i="32"/>
  <c r="H27" i="32" s="1"/>
  <c r="D28" i="32"/>
  <c r="E28" i="32"/>
  <c r="H28" i="32" s="1"/>
  <c r="D29" i="32"/>
  <c r="E29" i="32"/>
  <c r="H29" i="32" s="1"/>
  <c r="D30" i="32"/>
  <c r="E30" i="32"/>
  <c r="H30" i="32" s="1"/>
  <c r="D31" i="32"/>
  <c r="E31" i="32"/>
  <c r="H31" i="32" s="1"/>
  <c r="D32" i="32"/>
  <c r="E32" i="32"/>
  <c r="H32" i="32" s="1"/>
  <c r="D33" i="32"/>
  <c r="E33" i="32"/>
  <c r="H33" i="32" s="1"/>
  <c r="D34" i="32"/>
  <c r="E34" i="32"/>
  <c r="H34" i="32" s="1"/>
  <c r="D35" i="32"/>
  <c r="E35" i="32"/>
  <c r="H35" i="32" s="1"/>
  <c r="D36" i="32"/>
  <c r="E36" i="32"/>
  <c r="H36" i="32" s="1"/>
  <c r="D37" i="32"/>
  <c r="E37" i="32"/>
  <c r="H37" i="32" s="1"/>
  <c r="D38" i="32"/>
  <c r="E38" i="32"/>
  <c r="H38" i="32" s="1"/>
  <c r="D39" i="32"/>
  <c r="E39" i="32"/>
  <c r="H39" i="32" s="1"/>
  <c r="D40" i="32"/>
  <c r="E40" i="32"/>
  <c r="H40" i="32" s="1"/>
  <c r="D41" i="32"/>
  <c r="E41" i="32"/>
  <c r="H41" i="32" s="1"/>
  <c r="D42" i="32"/>
  <c r="E42" i="32"/>
  <c r="H42" i="32" s="1"/>
  <c r="D43" i="32"/>
  <c r="E43" i="32"/>
  <c r="H43" i="32" s="1"/>
  <c r="D44" i="32"/>
  <c r="E44" i="32"/>
  <c r="H44" i="32" s="1"/>
  <c r="D45" i="32"/>
  <c r="E45" i="32"/>
  <c r="H45" i="32" s="1"/>
  <c r="D46" i="32"/>
  <c r="E46" i="32"/>
  <c r="H46" i="32" s="1"/>
  <c r="D47" i="32"/>
  <c r="E47" i="32"/>
  <c r="H47" i="32" s="1"/>
  <c r="D48" i="32"/>
  <c r="E48" i="32"/>
  <c r="H48" i="32" s="1"/>
  <c r="D49" i="32"/>
  <c r="E49" i="32"/>
  <c r="H49" i="32" s="1"/>
  <c r="D50" i="32"/>
  <c r="E50" i="32"/>
  <c r="H50" i="32" s="1"/>
  <c r="D51" i="32"/>
  <c r="E51" i="32"/>
  <c r="H51" i="32" s="1"/>
  <c r="D52" i="32"/>
  <c r="E52" i="32"/>
  <c r="H52" i="32" s="1"/>
  <c r="D53" i="32"/>
  <c r="E53" i="32"/>
  <c r="H53" i="32" s="1"/>
  <c r="D54" i="32"/>
  <c r="E54" i="32"/>
  <c r="H54" i="32" s="1"/>
  <c r="D55" i="32"/>
  <c r="E55" i="32"/>
  <c r="H55" i="32" s="1"/>
  <c r="D56" i="32"/>
  <c r="E56" i="32"/>
  <c r="H56" i="32" s="1"/>
  <c r="D57" i="32"/>
  <c r="E57" i="32"/>
  <c r="H57" i="32" s="1"/>
  <c r="D58" i="32"/>
  <c r="E58" i="32"/>
  <c r="H58" i="32" s="1"/>
  <c r="L13" i="32"/>
  <c r="M13" i="32"/>
  <c r="P13" i="32" s="1"/>
  <c r="L14" i="32"/>
  <c r="M14" i="32"/>
  <c r="P14" i="32" s="1"/>
  <c r="L15" i="32"/>
  <c r="M15" i="32"/>
  <c r="P15" i="32" s="1"/>
  <c r="L16" i="32"/>
  <c r="M16" i="32"/>
  <c r="P16" i="32" s="1"/>
  <c r="L17" i="32"/>
  <c r="M17" i="32"/>
  <c r="P17" i="32" s="1"/>
  <c r="L18" i="32"/>
  <c r="M18" i="32"/>
  <c r="P18" i="32" s="1"/>
  <c r="L19" i="32"/>
  <c r="M19" i="32"/>
  <c r="P19" i="32" s="1"/>
  <c r="L20" i="32"/>
  <c r="M20" i="32"/>
  <c r="P20" i="32" s="1"/>
  <c r="L21" i="32"/>
  <c r="M21" i="32"/>
  <c r="P21" i="32" s="1"/>
  <c r="L22" i="32"/>
  <c r="M22" i="32"/>
  <c r="P22" i="32" s="1"/>
  <c r="L23" i="32"/>
  <c r="M23" i="32"/>
  <c r="P23" i="32" s="1"/>
  <c r="L24" i="32"/>
  <c r="M24" i="32"/>
  <c r="P24" i="32" s="1"/>
  <c r="L25" i="32"/>
  <c r="M25" i="32"/>
  <c r="P25" i="32" s="1"/>
  <c r="L26" i="32"/>
  <c r="M26" i="32"/>
  <c r="P26" i="32" s="1"/>
  <c r="L27" i="32"/>
  <c r="M27" i="32"/>
  <c r="P27" i="32" s="1"/>
  <c r="L28" i="32"/>
  <c r="M28" i="32"/>
  <c r="P28" i="32" s="1"/>
  <c r="L29" i="32"/>
  <c r="M29" i="32"/>
  <c r="P29" i="32" s="1"/>
  <c r="L30" i="32"/>
  <c r="M30" i="32"/>
  <c r="P30" i="32" s="1"/>
  <c r="L31" i="32"/>
  <c r="M31" i="32"/>
  <c r="P31" i="32" s="1"/>
  <c r="L32" i="32"/>
  <c r="M32" i="32"/>
  <c r="P32" i="32" s="1"/>
  <c r="L33" i="32"/>
  <c r="M33" i="32"/>
  <c r="P33" i="32" s="1"/>
  <c r="L34" i="32"/>
  <c r="M34" i="32"/>
  <c r="P34" i="32" s="1"/>
  <c r="L35" i="32"/>
  <c r="M35" i="32"/>
  <c r="P35" i="32" s="1"/>
  <c r="L36" i="32"/>
  <c r="M36" i="32"/>
  <c r="P36" i="32" s="1"/>
  <c r="L37" i="32"/>
  <c r="M37" i="32"/>
  <c r="P37" i="32" s="1"/>
  <c r="L38" i="32"/>
  <c r="M38" i="32"/>
  <c r="P38" i="32" s="1"/>
  <c r="L39" i="32"/>
  <c r="M39" i="32"/>
  <c r="P39" i="32" s="1"/>
  <c r="L40" i="32"/>
  <c r="M40" i="32"/>
  <c r="P40" i="32" s="1"/>
  <c r="L41" i="32"/>
  <c r="M41" i="32"/>
  <c r="P41" i="32" s="1"/>
  <c r="L42" i="32"/>
  <c r="M42" i="32"/>
  <c r="P42" i="32" s="1"/>
  <c r="L43" i="32"/>
  <c r="M43" i="32"/>
  <c r="P43" i="32" s="1"/>
  <c r="L44" i="32"/>
  <c r="M44" i="32"/>
  <c r="P44" i="32" s="1"/>
  <c r="L45" i="32"/>
  <c r="M45" i="32"/>
  <c r="P45" i="32" s="1"/>
  <c r="L46" i="32"/>
  <c r="M46" i="32"/>
  <c r="P46" i="32" s="1"/>
  <c r="L47" i="32"/>
  <c r="M47" i="32"/>
  <c r="P47" i="32" s="1"/>
  <c r="L48" i="32"/>
  <c r="M48" i="32"/>
  <c r="P48" i="32" s="1"/>
  <c r="L49" i="32"/>
  <c r="M49" i="32"/>
  <c r="P49" i="32" s="1"/>
  <c r="L50" i="32"/>
  <c r="M50" i="32"/>
  <c r="P50" i="32" s="1"/>
  <c r="L51" i="32"/>
  <c r="M51" i="32"/>
  <c r="P51" i="32" s="1"/>
  <c r="L52" i="32"/>
  <c r="M52" i="32"/>
  <c r="P52" i="32" s="1"/>
  <c r="L53" i="32"/>
  <c r="M53" i="32"/>
  <c r="P53" i="32" s="1"/>
  <c r="L54" i="32"/>
  <c r="M54" i="32"/>
  <c r="P54" i="32" s="1"/>
  <c r="L55" i="32"/>
  <c r="M55" i="32"/>
  <c r="P55" i="32" s="1"/>
  <c r="L56" i="32"/>
  <c r="M56" i="32"/>
  <c r="P56" i="32" s="1"/>
  <c r="L57" i="32"/>
  <c r="M57" i="32"/>
  <c r="P57" i="32" s="1"/>
  <c r="L58" i="32"/>
  <c r="M58" i="32"/>
  <c r="P58" i="32" s="1"/>
  <c r="M132" i="32"/>
  <c r="P132" i="32" s="1"/>
  <c r="L132" i="32"/>
  <c r="F132" i="32"/>
  <c r="E132" i="32"/>
  <c r="H132" i="32" s="1"/>
  <c r="D132" i="32"/>
  <c r="M72" i="32"/>
  <c r="P72" i="32" s="1"/>
  <c r="L72" i="32"/>
  <c r="E72" i="32"/>
  <c r="H72" i="32" s="1"/>
  <c r="D72" i="32"/>
  <c r="D12" i="32"/>
  <c r="M12" i="32"/>
  <c r="P12" i="32" s="1"/>
  <c r="L12" i="32"/>
  <c r="F12" i="32"/>
  <c r="E12" i="32"/>
  <c r="H12" i="32" s="1"/>
  <c r="E7" i="32"/>
  <c r="N179" i="32"/>
  <c r="M179" i="32"/>
  <c r="L179" i="32"/>
  <c r="M129" i="32"/>
  <c r="E129" i="32"/>
  <c r="M128" i="32"/>
  <c r="E128" i="32"/>
  <c r="J127" i="32"/>
  <c r="B127" i="32"/>
  <c r="F119" i="32"/>
  <c r="E119" i="32"/>
  <c r="D119" i="32"/>
  <c r="M69" i="32"/>
  <c r="E69" i="32"/>
  <c r="M68" i="32"/>
  <c r="E68" i="32"/>
  <c r="J67" i="32"/>
  <c r="B67" i="32"/>
  <c r="N59" i="32"/>
  <c r="M59" i="32"/>
  <c r="L59" i="32"/>
  <c r="F59" i="32"/>
  <c r="E59" i="32"/>
  <c r="H59" i="32" s="1"/>
  <c r="D59" i="32"/>
  <c r="M10" i="32"/>
  <c r="E70" i="32" s="1"/>
  <c r="M70" i="32" s="1"/>
  <c r="E130" i="32" s="1"/>
  <c r="M130" i="32" s="1"/>
  <c r="M9" i="32"/>
  <c r="J7" i="32"/>
  <c r="B7" i="32"/>
  <c r="M7" i="32" l="1"/>
  <c r="E67" i="32"/>
  <c r="M127" i="32"/>
  <c r="M7" i="34"/>
  <c r="E127" i="34"/>
  <c r="M67" i="34"/>
  <c r="E67" i="34"/>
  <c r="M127" i="34"/>
  <c r="E67" i="33"/>
  <c r="M127" i="33"/>
  <c r="M7" i="33"/>
  <c r="M67" i="33"/>
  <c r="E127" i="33"/>
  <c r="M67" i="32"/>
  <c r="E127" i="32"/>
  <c r="E7" i="31"/>
  <c r="L133" i="31"/>
  <c r="M133" i="31"/>
  <c r="P133" i="31" s="1"/>
  <c r="N133" i="31"/>
  <c r="L134" i="31"/>
  <c r="M134" i="31"/>
  <c r="P134" i="31" s="1"/>
  <c r="N134" i="31"/>
  <c r="L135" i="31"/>
  <c r="M135" i="31"/>
  <c r="P135" i="31" s="1"/>
  <c r="N135" i="31"/>
  <c r="L136" i="31"/>
  <c r="M136" i="31"/>
  <c r="P136" i="31" s="1"/>
  <c r="N136" i="31"/>
  <c r="L137" i="31"/>
  <c r="M137" i="31"/>
  <c r="P137" i="31" s="1"/>
  <c r="N137" i="31"/>
  <c r="L138" i="31"/>
  <c r="M138" i="31"/>
  <c r="P138" i="31" s="1"/>
  <c r="N138" i="31"/>
  <c r="L139" i="31"/>
  <c r="M139" i="31"/>
  <c r="P139" i="31" s="1"/>
  <c r="N139" i="31"/>
  <c r="L140" i="31"/>
  <c r="M140" i="31"/>
  <c r="P140" i="31" s="1"/>
  <c r="N140" i="31"/>
  <c r="L141" i="31"/>
  <c r="M141" i="31"/>
  <c r="P141" i="31" s="1"/>
  <c r="N141" i="31"/>
  <c r="L142" i="31"/>
  <c r="M142" i="31"/>
  <c r="P142" i="31" s="1"/>
  <c r="N142" i="31"/>
  <c r="L143" i="31"/>
  <c r="M143" i="31"/>
  <c r="P143" i="31" s="1"/>
  <c r="N143" i="31"/>
  <c r="L144" i="31"/>
  <c r="M144" i="31"/>
  <c r="P144" i="31" s="1"/>
  <c r="N144" i="31"/>
  <c r="L145" i="31"/>
  <c r="M145" i="31"/>
  <c r="P145" i="31" s="1"/>
  <c r="N145" i="31"/>
  <c r="L146" i="31"/>
  <c r="M146" i="31"/>
  <c r="P146" i="31" s="1"/>
  <c r="N146" i="31"/>
  <c r="L147" i="31"/>
  <c r="M147" i="31"/>
  <c r="P147" i="31" s="1"/>
  <c r="N147" i="31"/>
  <c r="L148" i="31"/>
  <c r="M148" i="31"/>
  <c r="P148" i="31" s="1"/>
  <c r="N148" i="31"/>
  <c r="L149" i="31"/>
  <c r="M149" i="31"/>
  <c r="P149" i="31" s="1"/>
  <c r="N149" i="31"/>
  <c r="L150" i="31"/>
  <c r="M150" i="31"/>
  <c r="P150" i="31" s="1"/>
  <c r="N150" i="31"/>
  <c r="L151" i="31"/>
  <c r="M151" i="31"/>
  <c r="P151" i="31" s="1"/>
  <c r="N151" i="31"/>
  <c r="L152" i="31"/>
  <c r="M152" i="31"/>
  <c r="P152" i="31" s="1"/>
  <c r="N152" i="31"/>
  <c r="L153" i="31"/>
  <c r="M153" i="31"/>
  <c r="P153" i="31" s="1"/>
  <c r="N153" i="31"/>
  <c r="L154" i="31"/>
  <c r="M154" i="31"/>
  <c r="P154" i="31" s="1"/>
  <c r="N154" i="31"/>
  <c r="L155" i="31"/>
  <c r="M155" i="31"/>
  <c r="P155" i="31" s="1"/>
  <c r="N155" i="31"/>
  <c r="L156" i="31"/>
  <c r="M156" i="31"/>
  <c r="P156" i="31" s="1"/>
  <c r="N156" i="31"/>
  <c r="L157" i="31"/>
  <c r="M157" i="31"/>
  <c r="P157" i="31" s="1"/>
  <c r="N157" i="31"/>
  <c r="L158" i="31"/>
  <c r="M158" i="31"/>
  <c r="P158" i="31" s="1"/>
  <c r="N158" i="31"/>
  <c r="L159" i="31"/>
  <c r="M159" i="31"/>
  <c r="P159" i="31" s="1"/>
  <c r="N159" i="31"/>
  <c r="L160" i="31"/>
  <c r="M160" i="31"/>
  <c r="P160" i="31" s="1"/>
  <c r="N160" i="31"/>
  <c r="L161" i="31"/>
  <c r="M161" i="31"/>
  <c r="P161" i="31" s="1"/>
  <c r="N161" i="31"/>
  <c r="L162" i="31"/>
  <c r="M162" i="31"/>
  <c r="P162" i="31" s="1"/>
  <c r="N162" i="31"/>
  <c r="L163" i="31"/>
  <c r="M163" i="31"/>
  <c r="P163" i="31" s="1"/>
  <c r="N163" i="31"/>
  <c r="L164" i="31"/>
  <c r="M164" i="31"/>
  <c r="P164" i="31" s="1"/>
  <c r="N164" i="31"/>
  <c r="L165" i="31"/>
  <c r="M165" i="31"/>
  <c r="P165" i="31" s="1"/>
  <c r="N165" i="31"/>
  <c r="L166" i="31"/>
  <c r="M166" i="31"/>
  <c r="P166" i="31" s="1"/>
  <c r="N166" i="31"/>
  <c r="L167" i="31"/>
  <c r="M167" i="31"/>
  <c r="P167" i="31" s="1"/>
  <c r="N167" i="31"/>
  <c r="L168" i="31"/>
  <c r="M168" i="31"/>
  <c r="P168" i="31" s="1"/>
  <c r="N168" i="31"/>
  <c r="L169" i="31"/>
  <c r="M169" i="31"/>
  <c r="P169" i="31" s="1"/>
  <c r="N169" i="31"/>
  <c r="L170" i="31"/>
  <c r="M170" i="31"/>
  <c r="P170" i="31" s="1"/>
  <c r="N170" i="31"/>
  <c r="L171" i="31"/>
  <c r="M171" i="31"/>
  <c r="P171" i="31" s="1"/>
  <c r="N171" i="31"/>
  <c r="L172" i="31"/>
  <c r="M172" i="31"/>
  <c r="P172" i="31" s="1"/>
  <c r="N172" i="31"/>
  <c r="L173" i="31"/>
  <c r="M173" i="31"/>
  <c r="P173" i="31" s="1"/>
  <c r="N173" i="31"/>
  <c r="L174" i="31"/>
  <c r="M174" i="31"/>
  <c r="P174" i="31" s="1"/>
  <c r="N174" i="31"/>
  <c r="L175" i="31"/>
  <c r="M175" i="31"/>
  <c r="P175" i="31" s="1"/>
  <c r="N175" i="31"/>
  <c r="L176" i="31"/>
  <c r="M176" i="31"/>
  <c r="P176" i="31" s="1"/>
  <c r="N176" i="31"/>
  <c r="L177" i="31"/>
  <c r="M177" i="31"/>
  <c r="P177" i="31" s="1"/>
  <c r="N177" i="31"/>
  <c r="L178" i="31"/>
  <c r="M178" i="31"/>
  <c r="P178" i="31" s="1"/>
  <c r="N178" i="31"/>
  <c r="L179" i="31"/>
  <c r="M179" i="31"/>
  <c r="N179" i="31"/>
  <c r="D133" i="31"/>
  <c r="E133" i="31"/>
  <c r="H133" i="31" s="1"/>
  <c r="F133" i="31"/>
  <c r="D134" i="31"/>
  <c r="E134" i="31"/>
  <c r="H134" i="31" s="1"/>
  <c r="F134" i="31"/>
  <c r="D135" i="31"/>
  <c r="E135" i="31"/>
  <c r="H135" i="31" s="1"/>
  <c r="F135" i="31"/>
  <c r="D136" i="31"/>
  <c r="E136" i="31"/>
  <c r="H136" i="31" s="1"/>
  <c r="F136" i="31"/>
  <c r="D137" i="31"/>
  <c r="E137" i="31"/>
  <c r="H137" i="31" s="1"/>
  <c r="F137" i="31"/>
  <c r="D138" i="31"/>
  <c r="E138" i="31"/>
  <c r="H138" i="31" s="1"/>
  <c r="F138" i="31"/>
  <c r="D139" i="31"/>
  <c r="E139" i="31"/>
  <c r="H139" i="31" s="1"/>
  <c r="F139" i="31"/>
  <c r="D140" i="31"/>
  <c r="E140" i="31"/>
  <c r="H140" i="31" s="1"/>
  <c r="F140" i="31"/>
  <c r="D141" i="31"/>
  <c r="E141" i="31"/>
  <c r="H141" i="31" s="1"/>
  <c r="F141" i="31"/>
  <c r="D142" i="31"/>
  <c r="E142" i="31"/>
  <c r="H142" i="31" s="1"/>
  <c r="F142" i="31"/>
  <c r="D143" i="31"/>
  <c r="E143" i="31"/>
  <c r="H143" i="31" s="1"/>
  <c r="F143" i="31"/>
  <c r="D144" i="31"/>
  <c r="E144" i="31"/>
  <c r="H144" i="31" s="1"/>
  <c r="F144" i="31"/>
  <c r="D145" i="31"/>
  <c r="E145" i="31"/>
  <c r="H145" i="31" s="1"/>
  <c r="F145" i="31"/>
  <c r="D146" i="31"/>
  <c r="E146" i="31"/>
  <c r="H146" i="31" s="1"/>
  <c r="F146" i="31"/>
  <c r="D147" i="31"/>
  <c r="E147" i="31"/>
  <c r="H147" i="31" s="1"/>
  <c r="F147" i="31"/>
  <c r="D148" i="31"/>
  <c r="E148" i="31"/>
  <c r="H148" i="31" s="1"/>
  <c r="F148" i="31"/>
  <c r="D149" i="31"/>
  <c r="E149" i="31"/>
  <c r="H149" i="31" s="1"/>
  <c r="F149" i="31"/>
  <c r="D150" i="31"/>
  <c r="E150" i="31"/>
  <c r="H150" i="31" s="1"/>
  <c r="F150" i="31"/>
  <c r="D151" i="31"/>
  <c r="E151" i="31"/>
  <c r="H151" i="31" s="1"/>
  <c r="F151" i="31"/>
  <c r="D152" i="31"/>
  <c r="E152" i="31"/>
  <c r="H152" i="31" s="1"/>
  <c r="F152" i="31"/>
  <c r="D153" i="31"/>
  <c r="E153" i="31"/>
  <c r="H153" i="31" s="1"/>
  <c r="F153" i="31"/>
  <c r="D154" i="31"/>
  <c r="E154" i="31"/>
  <c r="H154" i="31" s="1"/>
  <c r="F154" i="31"/>
  <c r="D155" i="31"/>
  <c r="E155" i="31"/>
  <c r="H155" i="31" s="1"/>
  <c r="F155" i="31"/>
  <c r="D156" i="31"/>
  <c r="E156" i="31"/>
  <c r="H156" i="31" s="1"/>
  <c r="F156" i="31"/>
  <c r="D157" i="31"/>
  <c r="E157" i="31"/>
  <c r="H157" i="31" s="1"/>
  <c r="F157" i="31"/>
  <c r="D158" i="31"/>
  <c r="E158" i="31"/>
  <c r="H158" i="31" s="1"/>
  <c r="F158" i="31"/>
  <c r="D159" i="31"/>
  <c r="E159" i="31"/>
  <c r="H159" i="31" s="1"/>
  <c r="F159" i="31"/>
  <c r="D160" i="31"/>
  <c r="E160" i="31"/>
  <c r="H160" i="31" s="1"/>
  <c r="F160" i="31"/>
  <c r="D161" i="31"/>
  <c r="E161" i="31"/>
  <c r="H161" i="31" s="1"/>
  <c r="F161" i="31"/>
  <c r="D162" i="31"/>
  <c r="E162" i="31"/>
  <c r="H162" i="31" s="1"/>
  <c r="F162" i="31"/>
  <c r="D163" i="31"/>
  <c r="E163" i="31"/>
  <c r="H163" i="31" s="1"/>
  <c r="F163" i="31"/>
  <c r="D164" i="31"/>
  <c r="E164" i="31"/>
  <c r="H164" i="31" s="1"/>
  <c r="F164" i="31"/>
  <c r="D165" i="31"/>
  <c r="E165" i="31"/>
  <c r="H165" i="31" s="1"/>
  <c r="F165" i="31"/>
  <c r="D166" i="31"/>
  <c r="E166" i="31"/>
  <c r="H166" i="31" s="1"/>
  <c r="F166" i="31"/>
  <c r="D167" i="31"/>
  <c r="E167" i="31"/>
  <c r="H167" i="31" s="1"/>
  <c r="F167" i="31"/>
  <c r="D168" i="31"/>
  <c r="E168" i="31"/>
  <c r="H168" i="31" s="1"/>
  <c r="F168" i="31"/>
  <c r="D169" i="31"/>
  <c r="E169" i="31"/>
  <c r="H169" i="31" s="1"/>
  <c r="F169" i="31"/>
  <c r="D170" i="31"/>
  <c r="E170" i="31"/>
  <c r="H170" i="31" s="1"/>
  <c r="F170" i="31"/>
  <c r="D171" i="31"/>
  <c r="E171" i="31"/>
  <c r="H171" i="31" s="1"/>
  <c r="F171" i="31"/>
  <c r="D172" i="31"/>
  <c r="E172" i="31"/>
  <c r="H172" i="31" s="1"/>
  <c r="F172" i="31"/>
  <c r="D173" i="31"/>
  <c r="E173" i="31"/>
  <c r="H173" i="31" s="1"/>
  <c r="F173" i="31"/>
  <c r="D174" i="31"/>
  <c r="E174" i="31"/>
  <c r="H174" i="31" s="1"/>
  <c r="F174" i="31"/>
  <c r="D175" i="31"/>
  <c r="E175" i="31"/>
  <c r="H175" i="31" s="1"/>
  <c r="F175" i="31"/>
  <c r="D176" i="31"/>
  <c r="E176" i="31"/>
  <c r="H176" i="31" s="1"/>
  <c r="F176" i="31"/>
  <c r="D177" i="31"/>
  <c r="E177" i="31"/>
  <c r="H177" i="31" s="1"/>
  <c r="F177" i="31"/>
  <c r="D178" i="31"/>
  <c r="E178" i="31"/>
  <c r="H178" i="31" s="1"/>
  <c r="F178" i="31"/>
  <c r="D73" i="31"/>
  <c r="E73" i="31"/>
  <c r="H73" i="31" s="1"/>
  <c r="F73" i="31"/>
  <c r="D74" i="31"/>
  <c r="E74" i="31"/>
  <c r="H74" i="31" s="1"/>
  <c r="F74" i="31"/>
  <c r="D75" i="31"/>
  <c r="E75" i="31"/>
  <c r="H75" i="31" s="1"/>
  <c r="F75" i="31"/>
  <c r="D76" i="31"/>
  <c r="E76" i="31"/>
  <c r="H76" i="31" s="1"/>
  <c r="F76" i="31"/>
  <c r="D77" i="31"/>
  <c r="E77" i="31"/>
  <c r="H77" i="31" s="1"/>
  <c r="F77" i="31"/>
  <c r="D78" i="31"/>
  <c r="E78" i="31"/>
  <c r="H78" i="31" s="1"/>
  <c r="F78" i="31"/>
  <c r="D79" i="31"/>
  <c r="E79" i="31"/>
  <c r="H79" i="31" s="1"/>
  <c r="F79" i="31"/>
  <c r="D80" i="31"/>
  <c r="E80" i="31"/>
  <c r="H80" i="31" s="1"/>
  <c r="F80" i="31"/>
  <c r="D81" i="31"/>
  <c r="E81" i="31"/>
  <c r="H81" i="31" s="1"/>
  <c r="F81" i="31"/>
  <c r="D82" i="31"/>
  <c r="E82" i="31"/>
  <c r="H82" i="31" s="1"/>
  <c r="F82" i="31"/>
  <c r="D83" i="31"/>
  <c r="E83" i="31"/>
  <c r="H83" i="31" s="1"/>
  <c r="F83" i="31"/>
  <c r="D84" i="31"/>
  <c r="E84" i="31"/>
  <c r="H84" i="31" s="1"/>
  <c r="F84" i="31"/>
  <c r="D85" i="31"/>
  <c r="E85" i="31"/>
  <c r="H85" i="31" s="1"/>
  <c r="F85" i="31"/>
  <c r="D86" i="31"/>
  <c r="E86" i="31"/>
  <c r="H86" i="31" s="1"/>
  <c r="F86" i="31"/>
  <c r="D87" i="31"/>
  <c r="E87" i="31"/>
  <c r="H87" i="31" s="1"/>
  <c r="F87" i="31"/>
  <c r="D88" i="31"/>
  <c r="E88" i="31"/>
  <c r="H88" i="31" s="1"/>
  <c r="F88" i="31"/>
  <c r="D89" i="31"/>
  <c r="E89" i="31"/>
  <c r="H89" i="31" s="1"/>
  <c r="F89" i="31"/>
  <c r="D90" i="31"/>
  <c r="E90" i="31"/>
  <c r="H90" i="31" s="1"/>
  <c r="F90" i="31"/>
  <c r="D91" i="31"/>
  <c r="E91" i="31"/>
  <c r="H91" i="31" s="1"/>
  <c r="F91" i="31"/>
  <c r="D92" i="31"/>
  <c r="E92" i="31"/>
  <c r="H92" i="31" s="1"/>
  <c r="F92" i="31"/>
  <c r="D93" i="31"/>
  <c r="E93" i="31"/>
  <c r="H93" i="31" s="1"/>
  <c r="F93" i="31"/>
  <c r="D94" i="31"/>
  <c r="E94" i="31"/>
  <c r="H94" i="31" s="1"/>
  <c r="F94" i="31"/>
  <c r="D95" i="31"/>
  <c r="E95" i="31"/>
  <c r="H95" i="31" s="1"/>
  <c r="F95" i="31"/>
  <c r="D96" i="31"/>
  <c r="E96" i="31"/>
  <c r="H96" i="31" s="1"/>
  <c r="F96" i="31"/>
  <c r="D97" i="31"/>
  <c r="E97" i="31"/>
  <c r="H97" i="31" s="1"/>
  <c r="F97" i="31"/>
  <c r="D98" i="31"/>
  <c r="E98" i="31"/>
  <c r="H98" i="31" s="1"/>
  <c r="F98" i="31"/>
  <c r="D99" i="31"/>
  <c r="E99" i="31"/>
  <c r="H99" i="31" s="1"/>
  <c r="F99" i="31"/>
  <c r="D100" i="31"/>
  <c r="E100" i="31"/>
  <c r="H100" i="31" s="1"/>
  <c r="F100" i="31"/>
  <c r="D101" i="31"/>
  <c r="E101" i="31"/>
  <c r="H101" i="31" s="1"/>
  <c r="F101" i="31"/>
  <c r="D102" i="31"/>
  <c r="E102" i="31"/>
  <c r="H102" i="31" s="1"/>
  <c r="F102" i="31"/>
  <c r="D103" i="31"/>
  <c r="E103" i="31"/>
  <c r="H103" i="31" s="1"/>
  <c r="F103" i="31"/>
  <c r="D104" i="31"/>
  <c r="E104" i="31"/>
  <c r="H104" i="31" s="1"/>
  <c r="F104" i="31"/>
  <c r="D105" i="31"/>
  <c r="E105" i="31"/>
  <c r="H105" i="31" s="1"/>
  <c r="F105" i="31"/>
  <c r="D106" i="31"/>
  <c r="E106" i="31"/>
  <c r="H106" i="31" s="1"/>
  <c r="F106" i="31"/>
  <c r="D107" i="31"/>
  <c r="E107" i="31"/>
  <c r="H107" i="31" s="1"/>
  <c r="F107" i="31"/>
  <c r="D108" i="31"/>
  <c r="E108" i="31"/>
  <c r="H108" i="31" s="1"/>
  <c r="F108" i="31"/>
  <c r="D109" i="31"/>
  <c r="E109" i="31"/>
  <c r="H109" i="31" s="1"/>
  <c r="F109" i="31"/>
  <c r="D110" i="31"/>
  <c r="E110" i="31"/>
  <c r="H110" i="31" s="1"/>
  <c r="F110" i="31"/>
  <c r="D111" i="31"/>
  <c r="E111" i="31"/>
  <c r="H111" i="31" s="1"/>
  <c r="F111" i="31"/>
  <c r="D112" i="31"/>
  <c r="E112" i="31"/>
  <c r="H112" i="31" s="1"/>
  <c r="F112" i="31"/>
  <c r="D113" i="31"/>
  <c r="E113" i="31"/>
  <c r="H113" i="31" s="1"/>
  <c r="F113" i="31"/>
  <c r="D114" i="31"/>
  <c r="E114" i="31"/>
  <c r="H114" i="31" s="1"/>
  <c r="F114" i="31"/>
  <c r="D115" i="31"/>
  <c r="E115" i="31"/>
  <c r="H115" i="31" s="1"/>
  <c r="F115" i="31"/>
  <c r="D116" i="31"/>
  <c r="E116" i="31"/>
  <c r="H116" i="31" s="1"/>
  <c r="F116" i="31"/>
  <c r="D117" i="31"/>
  <c r="E117" i="31"/>
  <c r="H117" i="31" s="1"/>
  <c r="F117" i="31"/>
  <c r="D118" i="31"/>
  <c r="E118" i="31"/>
  <c r="H118" i="31" s="1"/>
  <c r="F118" i="31"/>
  <c r="L73" i="31"/>
  <c r="M73" i="31"/>
  <c r="P73" i="31" s="1"/>
  <c r="N73" i="31"/>
  <c r="L74" i="31"/>
  <c r="M74" i="31"/>
  <c r="P74" i="31" s="1"/>
  <c r="N74" i="31"/>
  <c r="L75" i="31"/>
  <c r="M75" i="31"/>
  <c r="P75" i="31" s="1"/>
  <c r="N75" i="31"/>
  <c r="L76" i="31"/>
  <c r="M76" i="31"/>
  <c r="P76" i="31" s="1"/>
  <c r="N76" i="31"/>
  <c r="L77" i="31"/>
  <c r="M77" i="31"/>
  <c r="P77" i="31" s="1"/>
  <c r="N77" i="31"/>
  <c r="L78" i="31"/>
  <c r="M78" i="31"/>
  <c r="P78" i="31" s="1"/>
  <c r="N78" i="31"/>
  <c r="L79" i="31"/>
  <c r="M79" i="31"/>
  <c r="P79" i="31" s="1"/>
  <c r="N79" i="31"/>
  <c r="L80" i="31"/>
  <c r="M80" i="31"/>
  <c r="P80" i="31" s="1"/>
  <c r="N80" i="31"/>
  <c r="L81" i="31"/>
  <c r="M81" i="31"/>
  <c r="P81" i="31" s="1"/>
  <c r="N81" i="31"/>
  <c r="L82" i="31"/>
  <c r="M82" i="31"/>
  <c r="P82" i="31" s="1"/>
  <c r="N82" i="31"/>
  <c r="L83" i="31"/>
  <c r="M83" i="31"/>
  <c r="P83" i="31" s="1"/>
  <c r="N83" i="31"/>
  <c r="L84" i="31"/>
  <c r="M84" i="31"/>
  <c r="P84" i="31" s="1"/>
  <c r="N84" i="31"/>
  <c r="L85" i="31"/>
  <c r="M85" i="31"/>
  <c r="P85" i="31" s="1"/>
  <c r="N85" i="31"/>
  <c r="L86" i="31"/>
  <c r="M86" i="31"/>
  <c r="P86" i="31" s="1"/>
  <c r="N86" i="31"/>
  <c r="L87" i="31"/>
  <c r="M87" i="31"/>
  <c r="P87" i="31" s="1"/>
  <c r="N87" i="31"/>
  <c r="L88" i="31"/>
  <c r="M88" i="31"/>
  <c r="P88" i="31" s="1"/>
  <c r="N88" i="31"/>
  <c r="L89" i="31"/>
  <c r="M89" i="31"/>
  <c r="P89" i="31" s="1"/>
  <c r="N89" i="31"/>
  <c r="L90" i="31"/>
  <c r="M90" i="31"/>
  <c r="P90" i="31" s="1"/>
  <c r="N90" i="31"/>
  <c r="L91" i="31"/>
  <c r="M91" i="31"/>
  <c r="P91" i="31" s="1"/>
  <c r="N91" i="31"/>
  <c r="L92" i="31"/>
  <c r="M92" i="31"/>
  <c r="P92" i="31" s="1"/>
  <c r="N92" i="31"/>
  <c r="L93" i="31"/>
  <c r="M93" i="31"/>
  <c r="P93" i="31" s="1"/>
  <c r="N93" i="31"/>
  <c r="L94" i="31"/>
  <c r="M94" i="31"/>
  <c r="P94" i="31" s="1"/>
  <c r="N94" i="31"/>
  <c r="L95" i="31"/>
  <c r="M95" i="31"/>
  <c r="P95" i="31" s="1"/>
  <c r="N95" i="31"/>
  <c r="L96" i="31"/>
  <c r="M96" i="31"/>
  <c r="P96" i="31" s="1"/>
  <c r="N96" i="31"/>
  <c r="L97" i="31"/>
  <c r="M97" i="31"/>
  <c r="P97" i="31" s="1"/>
  <c r="N97" i="31"/>
  <c r="L98" i="31"/>
  <c r="M98" i="31"/>
  <c r="P98" i="31" s="1"/>
  <c r="N98" i="31"/>
  <c r="L99" i="31"/>
  <c r="M99" i="31"/>
  <c r="P99" i="31" s="1"/>
  <c r="N99" i="31"/>
  <c r="L100" i="31"/>
  <c r="M100" i="31"/>
  <c r="P100" i="31" s="1"/>
  <c r="N100" i="31"/>
  <c r="L101" i="31"/>
  <c r="M101" i="31"/>
  <c r="P101" i="31" s="1"/>
  <c r="N101" i="31"/>
  <c r="L102" i="31"/>
  <c r="M102" i="31"/>
  <c r="P102" i="31" s="1"/>
  <c r="N102" i="31"/>
  <c r="L103" i="31"/>
  <c r="M103" i="31"/>
  <c r="P103" i="31" s="1"/>
  <c r="N103" i="31"/>
  <c r="L104" i="31"/>
  <c r="M104" i="31"/>
  <c r="P104" i="31" s="1"/>
  <c r="N104" i="31"/>
  <c r="L105" i="31"/>
  <c r="M105" i="31"/>
  <c r="P105" i="31" s="1"/>
  <c r="N105" i="31"/>
  <c r="L106" i="31"/>
  <c r="M106" i="31"/>
  <c r="P106" i="31" s="1"/>
  <c r="N106" i="31"/>
  <c r="L107" i="31"/>
  <c r="M107" i="31"/>
  <c r="P107" i="31" s="1"/>
  <c r="N107" i="31"/>
  <c r="L108" i="31"/>
  <c r="M108" i="31"/>
  <c r="P108" i="31" s="1"/>
  <c r="N108" i="31"/>
  <c r="L109" i="31"/>
  <c r="M109" i="31"/>
  <c r="P109" i="31" s="1"/>
  <c r="N109" i="31"/>
  <c r="L110" i="31"/>
  <c r="M110" i="31"/>
  <c r="P110" i="31" s="1"/>
  <c r="N110" i="31"/>
  <c r="L111" i="31"/>
  <c r="M111" i="31"/>
  <c r="P111" i="31" s="1"/>
  <c r="N111" i="31"/>
  <c r="L112" i="31"/>
  <c r="M112" i="31"/>
  <c r="P112" i="31" s="1"/>
  <c r="N112" i="31"/>
  <c r="L113" i="31"/>
  <c r="M113" i="31"/>
  <c r="P113" i="31" s="1"/>
  <c r="N113" i="31"/>
  <c r="L114" i="31"/>
  <c r="M114" i="31"/>
  <c r="P114" i="31" s="1"/>
  <c r="N114" i="31"/>
  <c r="L115" i="31"/>
  <c r="M115" i="31"/>
  <c r="P115" i="31" s="1"/>
  <c r="N115" i="31"/>
  <c r="L116" i="31"/>
  <c r="M116" i="31"/>
  <c r="P116" i="31" s="1"/>
  <c r="N116" i="31"/>
  <c r="L117" i="31"/>
  <c r="M117" i="31"/>
  <c r="P117" i="31" s="1"/>
  <c r="N117" i="31"/>
  <c r="L118" i="31"/>
  <c r="M118" i="31"/>
  <c r="P118" i="31" s="1"/>
  <c r="N118" i="31"/>
  <c r="L13" i="31"/>
  <c r="M13" i="31"/>
  <c r="P13" i="31" s="1"/>
  <c r="N13" i="31"/>
  <c r="L14" i="31"/>
  <c r="M14" i="31"/>
  <c r="P14" i="31" s="1"/>
  <c r="N14" i="31"/>
  <c r="L15" i="31"/>
  <c r="M15" i="31"/>
  <c r="P15" i="31" s="1"/>
  <c r="N15" i="31"/>
  <c r="L16" i="31"/>
  <c r="M16" i="31"/>
  <c r="P16" i="31" s="1"/>
  <c r="N16" i="31"/>
  <c r="L17" i="31"/>
  <c r="M17" i="31"/>
  <c r="P17" i="31" s="1"/>
  <c r="N17" i="31"/>
  <c r="L18" i="31"/>
  <c r="M18" i="31"/>
  <c r="P18" i="31" s="1"/>
  <c r="N18" i="31"/>
  <c r="L19" i="31"/>
  <c r="M19" i="31"/>
  <c r="P19" i="31" s="1"/>
  <c r="N19" i="31"/>
  <c r="L20" i="31"/>
  <c r="M20" i="31"/>
  <c r="P20" i="31" s="1"/>
  <c r="N20" i="31"/>
  <c r="L21" i="31"/>
  <c r="M21" i="31"/>
  <c r="P21" i="31" s="1"/>
  <c r="N21" i="31"/>
  <c r="L22" i="31"/>
  <c r="M22" i="31"/>
  <c r="P22" i="31" s="1"/>
  <c r="N22" i="31"/>
  <c r="L23" i="31"/>
  <c r="M23" i="31"/>
  <c r="P23" i="31" s="1"/>
  <c r="N23" i="31"/>
  <c r="L24" i="31"/>
  <c r="M24" i="31"/>
  <c r="P24" i="31" s="1"/>
  <c r="N24" i="31"/>
  <c r="L25" i="31"/>
  <c r="M25" i="31"/>
  <c r="P25" i="31" s="1"/>
  <c r="N25" i="31"/>
  <c r="L26" i="31"/>
  <c r="M26" i="31"/>
  <c r="P26" i="31" s="1"/>
  <c r="N26" i="31"/>
  <c r="L27" i="31"/>
  <c r="M27" i="31"/>
  <c r="P27" i="31" s="1"/>
  <c r="N27" i="31"/>
  <c r="L28" i="31"/>
  <c r="M28" i="31"/>
  <c r="P28" i="31" s="1"/>
  <c r="N28" i="31"/>
  <c r="L29" i="31"/>
  <c r="M29" i="31"/>
  <c r="P29" i="31" s="1"/>
  <c r="N29" i="31"/>
  <c r="L30" i="31"/>
  <c r="M30" i="31"/>
  <c r="P30" i="31" s="1"/>
  <c r="N30" i="31"/>
  <c r="L31" i="31"/>
  <c r="M31" i="31"/>
  <c r="P31" i="31" s="1"/>
  <c r="N31" i="31"/>
  <c r="L32" i="31"/>
  <c r="M32" i="31"/>
  <c r="P32" i="31" s="1"/>
  <c r="N32" i="31"/>
  <c r="L33" i="31"/>
  <c r="M33" i="31"/>
  <c r="P33" i="31" s="1"/>
  <c r="N33" i="31"/>
  <c r="L34" i="31"/>
  <c r="M34" i="31"/>
  <c r="P34" i="31" s="1"/>
  <c r="N34" i="31"/>
  <c r="L35" i="31"/>
  <c r="M35" i="31"/>
  <c r="P35" i="31" s="1"/>
  <c r="N35" i="31"/>
  <c r="L36" i="31"/>
  <c r="M36" i="31"/>
  <c r="P36" i="31" s="1"/>
  <c r="N36" i="31"/>
  <c r="L37" i="31"/>
  <c r="M37" i="31"/>
  <c r="P37" i="31" s="1"/>
  <c r="N37" i="31"/>
  <c r="L38" i="31"/>
  <c r="M38" i="31"/>
  <c r="P38" i="31" s="1"/>
  <c r="N38" i="31"/>
  <c r="L39" i="31"/>
  <c r="M39" i="31"/>
  <c r="P39" i="31" s="1"/>
  <c r="N39" i="31"/>
  <c r="L40" i="31"/>
  <c r="M40" i="31"/>
  <c r="P40" i="31" s="1"/>
  <c r="N40" i="31"/>
  <c r="L41" i="31"/>
  <c r="M41" i="31"/>
  <c r="P41" i="31" s="1"/>
  <c r="N41" i="31"/>
  <c r="L42" i="31"/>
  <c r="M42" i="31"/>
  <c r="P42" i="31" s="1"/>
  <c r="N42" i="31"/>
  <c r="L43" i="31"/>
  <c r="M43" i="31"/>
  <c r="P43" i="31" s="1"/>
  <c r="N43" i="31"/>
  <c r="L44" i="31"/>
  <c r="M44" i="31"/>
  <c r="P44" i="31" s="1"/>
  <c r="N44" i="31"/>
  <c r="L45" i="31"/>
  <c r="M45" i="31"/>
  <c r="P45" i="31" s="1"/>
  <c r="N45" i="31"/>
  <c r="L46" i="31"/>
  <c r="M46" i="31"/>
  <c r="P46" i="31" s="1"/>
  <c r="N46" i="31"/>
  <c r="L47" i="31"/>
  <c r="M47" i="31"/>
  <c r="P47" i="31" s="1"/>
  <c r="N47" i="31"/>
  <c r="L48" i="31"/>
  <c r="M48" i="31"/>
  <c r="P48" i="31" s="1"/>
  <c r="N48" i="31"/>
  <c r="L49" i="31"/>
  <c r="M49" i="31"/>
  <c r="P49" i="31" s="1"/>
  <c r="N49" i="31"/>
  <c r="L50" i="31"/>
  <c r="M50" i="31"/>
  <c r="P50" i="31" s="1"/>
  <c r="N50" i="31"/>
  <c r="L51" i="31"/>
  <c r="M51" i="31"/>
  <c r="P51" i="31" s="1"/>
  <c r="N51" i="31"/>
  <c r="L52" i="31"/>
  <c r="M52" i="31"/>
  <c r="P52" i="31" s="1"/>
  <c r="N52" i="31"/>
  <c r="L53" i="31"/>
  <c r="M53" i="31"/>
  <c r="P53" i="31" s="1"/>
  <c r="N53" i="31"/>
  <c r="L54" i="31"/>
  <c r="M54" i="31"/>
  <c r="P54" i="31" s="1"/>
  <c r="N54" i="31"/>
  <c r="L55" i="31"/>
  <c r="M55" i="31"/>
  <c r="P55" i="31" s="1"/>
  <c r="N55" i="31"/>
  <c r="L56" i="31"/>
  <c r="M56" i="31"/>
  <c r="P56" i="31" s="1"/>
  <c r="N56" i="31"/>
  <c r="L57" i="31"/>
  <c r="M57" i="31"/>
  <c r="P57" i="31" s="1"/>
  <c r="N57" i="31"/>
  <c r="L58" i="31"/>
  <c r="M58" i="31"/>
  <c r="P58" i="31" s="1"/>
  <c r="N58" i="31"/>
  <c r="D13" i="31"/>
  <c r="E13" i="31"/>
  <c r="H13" i="31" s="1"/>
  <c r="F13" i="31"/>
  <c r="D14" i="31"/>
  <c r="E14" i="31"/>
  <c r="H14" i="31" s="1"/>
  <c r="F14" i="31"/>
  <c r="D15" i="31"/>
  <c r="E15" i="31"/>
  <c r="H15" i="31" s="1"/>
  <c r="F15" i="31"/>
  <c r="D16" i="31"/>
  <c r="E16" i="31"/>
  <c r="H16" i="31" s="1"/>
  <c r="F16" i="31"/>
  <c r="D17" i="31"/>
  <c r="E17" i="31"/>
  <c r="H17" i="31" s="1"/>
  <c r="F17" i="31"/>
  <c r="D18" i="31"/>
  <c r="E18" i="31"/>
  <c r="H18" i="31" s="1"/>
  <c r="F18" i="31"/>
  <c r="D19" i="31"/>
  <c r="E19" i="31"/>
  <c r="H19" i="31" s="1"/>
  <c r="F19" i="31"/>
  <c r="D20" i="31"/>
  <c r="E20" i="31"/>
  <c r="H20" i="31" s="1"/>
  <c r="F20" i="31"/>
  <c r="D21" i="31"/>
  <c r="E21" i="31"/>
  <c r="H21" i="31" s="1"/>
  <c r="F21" i="31"/>
  <c r="D22" i="31"/>
  <c r="E22" i="31"/>
  <c r="H22" i="31" s="1"/>
  <c r="F22" i="31"/>
  <c r="D23" i="31"/>
  <c r="E23" i="31"/>
  <c r="H23" i="31" s="1"/>
  <c r="F23" i="31"/>
  <c r="D24" i="31"/>
  <c r="E24" i="31"/>
  <c r="H24" i="31" s="1"/>
  <c r="F24" i="31"/>
  <c r="D25" i="31"/>
  <c r="E25" i="31"/>
  <c r="H25" i="31" s="1"/>
  <c r="F25" i="31"/>
  <c r="D26" i="31"/>
  <c r="E26" i="31"/>
  <c r="H26" i="31" s="1"/>
  <c r="F26" i="31"/>
  <c r="D27" i="31"/>
  <c r="E27" i="31"/>
  <c r="H27" i="31" s="1"/>
  <c r="F27" i="31"/>
  <c r="D28" i="31"/>
  <c r="E28" i="31"/>
  <c r="H28" i="31" s="1"/>
  <c r="F28" i="31"/>
  <c r="D29" i="31"/>
  <c r="E29" i="31"/>
  <c r="H29" i="31" s="1"/>
  <c r="F29" i="31"/>
  <c r="D30" i="31"/>
  <c r="E30" i="31"/>
  <c r="H30" i="31" s="1"/>
  <c r="F30" i="31"/>
  <c r="D31" i="31"/>
  <c r="E31" i="31"/>
  <c r="H31" i="31" s="1"/>
  <c r="F31" i="31"/>
  <c r="D32" i="31"/>
  <c r="E32" i="31"/>
  <c r="H32" i="31" s="1"/>
  <c r="F32" i="31"/>
  <c r="D33" i="31"/>
  <c r="E33" i="31"/>
  <c r="H33" i="31" s="1"/>
  <c r="D34" i="31"/>
  <c r="E34" i="31"/>
  <c r="H34" i="31" s="1"/>
  <c r="D35" i="31"/>
  <c r="E35" i="31"/>
  <c r="H35" i="31" s="1"/>
  <c r="F35" i="31"/>
  <c r="D36" i="31"/>
  <c r="E36" i="31"/>
  <c r="H36" i="31" s="1"/>
  <c r="F36" i="31"/>
  <c r="D37" i="31"/>
  <c r="E37" i="31"/>
  <c r="H37" i="31" s="1"/>
  <c r="F37" i="31"/>
  <c r="D38" i="31"/>
  <c r="E38" i="31"/>
  <c r="H38" i="31" s="1"/>
  <c r="F38" i="31"/>
  <c r="D39" i="31"/>
  <c r="E39" i="31"/>
  <c r="H39" i="31" s="1"/>
  <c r="F39" i="31"/>
  <c r="D40" i="31"/>
  <c r="E40" i="31"/>
  <c r="H40" i="31" s="1"/>
  <c r="F40" i="31"/>
  <c r="D41" i="31"/>
  <c r="E41" i="31"/>
  <c r="H41" i="31" s="1"/>
  <c r="F41" i="31"/>
  <c r="D42" i="31"/>
  <c r="E42" i="31"/>
  <c r="H42" i="31" s="1"/>
  <c r="F42" i="31"/>
  <c r="D43" i="31"/>
  <c r="E43" i="31"/>
  <c r="H43" i="31" s="1"/>
  <c r="F43" i="31"/>
  <c r="D44" i="31"/>
  <c r="E44" i="31"/>
  <c r="H44" i="31" s="1"/>
  <c r="F44" i="31"/>
  <c r="D45" i="31"/>
  <c r="E45" i="31"/>
  <c r="H45" i="31" s="1"/>
  <c r="F45" i="31"/>
  <c r="D46" i="31"/>
  <c r="E46" i="31"/>
  <c r="H46" i="31" s="1"/>
  <c r="F46" i="31"/>
  <c r="D47" i="31"/>
  <c r="E47" i="31"/>
  <c r="H47" i="31" s="1"/>
  <c r="F47" i="31"/>
  <c r="D48" i="31"/>
  <c r="E48" i="31"/>
  <c r="H48" i="31" s="1"/>
  <c r="F48" i="31"/>
  <c r="D49" i="31"/>
  <c r="E49" i="31"/>
  <c r="H49" i="31" s="1"/>
  <c r="F49" i="31"/>
  <c r="D50" i="31"/>
  <c r="E50" i="31"/>
  <c r="H50" i="31" s="1"/>
  <c r="F50" i="31"/>
  <c r="D51" i="31"/>
  <c r="E51" i="31"/>
  <c r="H51" i="31" s="1"/>
  <c r="F51" i="31"/>
  <c r="D52" i="31"/>
  <c r="E52" i="31"/>
  <c r="H52" i="31" s="1"/>
  <c r="F52" i="31"/>
  <c r="D53" i="31"/>
  <c r="E53" i="31"/>
  <c r="H53" i="31" s="1"/>
  <c r="F53" i="31"/>
  <c r="D54" i="31"/>
  <c r="E54" i="31"/>
  <c r="H54" i="31" s="1"/>
  <c r="F54" i="31"/>
  <c r="D55" i="31"/>
  <c r="E55" i="31"/>
  <c r="H55" i="31" s="1"/>
  <c r="F55" i="31"/>
  <c r="D56" i="31"/>
  <c r="E56" i="31"/>
  <c r="H56" i="31" s="1"/>
  <c r="F56" i="31"/>
  <c r="D57" i="31"/>
  <c r="E57" i="31"/>
  <c r="H57" i="31" s="1"/>
  <c r="F57" i="31"/>
  <c r="D58" i="31"/>
  <c r="E58" i="31"/>
  <c r="H58" i="31" s="1"/>
  <c r="F58" i="31"/>
  <c r="N132" i="31"/>
  <c r="M132" i="31"/>
  <c r="P132" i="31" s="1"/>
  <c r="L132" i="31"/>
  <c r="F132" i="31"/>
  <c r="E132" i="31"/>
  <c r="H132" i="31" s="1"/>
  <c r="D132" i="31"/>
  <c r="N72" i="31"/>
  <c r="M72" i="31"/>
  <c r="P72" i="31" s="1"/>
  <c r="L72" i="31"/>
  <c r="F72" i="31"/>
  <c r="E72" i="31"/>
  <c r="H72" i="31" s="1"/>
  <c r="D72" i="31"/>
  <c r="N12" i="31"/>
  <c r="M12" i="31"/>
  <c r="P12" i="31" s="1"/>
  <c r="L12" i="31"/>
  <c r="F12" i="31"/>
  <c r="E12" i="31"/>
  <c r="H12" i="31" s="1"/>
  <c r="D12" i="31"/>
  <c r="F179" i="31"/>
  <c r="E179" i="31"/>
  <c r="D179" i="31"/>
  <c r="M129" i="31"/>
  <c r="E129" i="31"/>
  <c r="M128" i="31"/>
  <c r="E128" i="31"/>
  <c r="J127" i="31"/>
  <c r="B127" i="31"/>
  <c r="N119" i="31"/>
  <c r="M119" i="31"/>
  <c r="L119" i="31"/>
  <c r="F119" i="31"/>
  <c r="E119" i="31"/>
  <c r="D119" i="31"/>
  <c r="M69" i="31"/>
  <c r="E69" i="31"/>
  <c r="M68" i="31"/>
  <c r="E68" i="31"/>
  <c r="J67" i="31"/>
  <c r="B67" i="31"/>
  <c r="N59" i="31"/>
  <c r="M59" i="31"/>
  <c r="L59" i="31"/>
  <c r="F59" i="31"/>
  <c r="E59" i="31"/>
  <c r="H59" i="31" s="1"/>
  <c r="D59" i="31"/>
  <c r="M10" i="31"/>
  <c r="E70" i="31" s="1"/>
  <c r="M70" i="31" s="1"/>
  <c r="E130" i="31" s="1"/>
  <c r="M130" i="31" s="1"/>
  <c r="M9" i="31"/>
  <c r="M8" i="31"/>
  <c r="J7" i="31"/>
  <c r="B7" i="31"/>
  <c r="L433" i="15"/>
  <c r="M433" i="15"/>
  <c r="P433" i="15" s="1"/>
  <c r="N433" i="15"/>
  <c r="L434" i="15"/>
  <c r="M434" i="15"/>
  <c r="P434" i="15" s="1"/>
  <c r="N434" i="15"/>
  <c r="L435" i="15"/>
  <c r="M435" i="15"/>
  <c r="P435" i="15" s="1"/>
  <c r="N435" i="15"/>
  <c r="L436" i="15"/>
  <c r="M436" i="15"/>
  <c r="P436" i="15" s="1"/>
  <c r="N436" i="15"/>
  <c r="L437" i="15"/>
  <c r="M437" i="15"/>
  <c r="P437" i="15" s="1"/>
  <c r="N437" i="15"/>
  <c r="L438" i="15"/>
  <c r="M438" i="15"/>
  <c r="P438" i="15" s="1"/>
  <c r="N438" i="15"/>
  <c r="L439" i="15"/>
  <c r="M439" i="15"/>
  <c r="P439" i="15" s="1"/>
  <c r="N439" i="15"/>
  <c r="L440" i="15"/>
  <c r="M440" i="15"/>
  <c r="P440" i="15" s="1"/>
  <c r="N440" i="15"/>
  <c r="L441" i="15"/>
  <c r="M441" i="15"/>
  <c r="P441" i="15" s="1"/>
  <c r="N441" i="15"/>
  <c r="L442" i="15"/>
  <c r="M442" i="15"/>
  <c r="P442" i="15" s="1"/>
  <c r="N442" i="15"/>
  <c r="L443" i="15"/>
  <c r="M443" i="15"/>
  <c r="P443" i="15" s="1"/>
  <c r="N443" i="15"/>
  <c r="L444" i="15"/>
  <c r="M444" i="15"/>
  <c r="P444" i="15" s="1"/>
  <c r="N444" i="15"/>
  <c r="L445" i="15"/>
  <c r="M445" i="15"/>
  <c r="P445" i="15" s="1"/>
  <c r="N445" i="15"/>
  <c r="L446" i="15"/>
  <c r="M446" i="15"/>
  <c r="P446" i="15" s="1"/>
  <c r="N446" i="15"/>
  <c r="L447" i="15"/>
  <c r="M447" i="15"/>
  <c r="P447" i="15" s="1"/>
  <c r="N447" i="15"/>
  <c r="L448" i="15"/>
  <c r="M448" i="15"/>
  <c r="P448" i="15" s="1"/>
  <c r="N448" i="15"/>
  <c r="L449" i="15"/>
  <c r="M449" i="15"/>
  <c r="P449" i="15" s="1"/>
  <c r="N449" i="15"/>
  <c r="L450" i="15"/>
  <c r="M450" i="15"/>
  <c r="P450" i="15" s="1"/>
  <c r="N450" i="15"/>
  <c r="L451" i="15"/>
  <c r="M451" i="15"/>
  <c r="P451" i="15" s="1"/>
  <c r="N451" i="15"/>
  <c r="L452" i="15"/>
  <c r="M452" i="15"/>
  <c r="P452" i="15" s="1"/>
  <c r="N452" i="15"/>
  <c r="L453" i="15"/>
  <c r="M453" i="15"/>
  <c r="P453" i="15" s="1"/>
  <c r="N453" i="15"/>
  <c r="L454" i="15"/>
  <c r="M454" i="15"/>
  <c r="P454" i="15" s="1"/>
  <c r="N454" i="15"/>
  <c r="L455" i="15"/>
  <c r="M455" i="15"/>
  <c r="P455" i="15" s="1"/>
  <c r="N455" i="15"/>
  <c r="L456" i="15"/>
  <c r="M456" i="15"/>
  <c r="P456" i="15" s="1"/>
  <c r="N456" i="15"/>
  <c r="L457" i="15"/>
  <c r="M457" i="15"/>
  <c r="P457" i="15" s="1"/>
  <c r="N457" i="15"/>
  <c r="L458" i="15"/>
  <c r="M458" i="15"/>
  <c r="P458" i="15" s="1"/>
  <c r="N458" i="15"/>
  <c r="L459" i="15"/>
  <c r="M459" i="15"/>
  <c r="P459" i="15" s="1"/>
  <c r="N459" i="15"/>
  <c r="L460" i="15"/>
  <c r="M460" i="15"/>
  <c r="P460" i="15" s="1"/>
  <c r="N460" i="15"/>
  <c r="L461" i="15"/>
  <c r="M461" i="15"/>
  <c r="P461" i="15" s="1"/>
  <c r="N461" i="15"/>
  <c r="L462" i="15"/>
  <c r="M462" i="15"/>
  <c r="P462" i="15" s="1"/>
  <c r="N462" i="15"/>
  <c r="L463" i="15"/>
  <c r="M463" i="15"/>
  <c r="P463" i="15" s="1"/>
  <c r="N463" i="15"/>
  <c r="L464" i="15"/>
  <c r="M464" i="15"/>
  <c r="P464" i="15" s="1"/>
  <c r="N464" i="15"/>
  <c r="L465" i="15"/>
  <c r="M465" i="15"/>
  <c r="P465" i="15" s="1"/>
  <c r="N465" i="15"/>
  <c r="L466" i="15"/>
  <c r="M466" i="15"/>
  <c r="P466" i="15" s="1"/>
  <c r="N466" i="15"/>
  <c r="L467" i="15"/>
  <c r="M467" i="15"/>
  <c r="P467" i="15" s="1"/>
  <c r="N467" i="15"/>
  <c r="L468" i="15"/>
  <c r="M468" i="15"/>
  <c r="P468" i="15" s="1"/>
  <c r="N468" i="15"/>
  <c r="L469" i="15"/>
  <c r="M469" i="15"/>
  <c r="P469" i="15" s="1"/>
  <c r="N469" i="15"/>
  <c r="L470" i="15"/>
  <c r="M470" i="15"/>
  <c r="P470" i="15" s="1"/>
  <c r="N470" i="15"/>
  <c r="L471" i="15"/>
  <c r="M471" i="15"/>
  <c r="P471" i="15" s="1"/>
  <c r="N471" i="15"/>
  <c r="L472" i="15"/>
  <c r="M472" i="15"/>
  <c r="P472" i="15" s="1"/>
  <c r="N472" i="15"/>
  <c r="L473" i="15"/>
  <c r="M473" i="15"/>
  <c r="P473" i="15" s="1"/>
  <c r="N473" i="15"/>
  <c r="L474" i="15"/>
  <c r="M474" i="15"/>
  <c r="P474" i="15" s="1"/>
  <c r="N474" i="15"/>
  <c r="L475" i="15"/>
  <c r="M475" i="15"/>
  <c r="P475" i="15" s="1"/>
  <c r="N475" i="15"/>
  <c r="L476" i="15"/>
  <c r="M476" i="15"/>
  <c r="P476" i="15" s="1"/>
  <c r="N476" i="15"/>
  <c r="L477" i="15"/>
  <c r="M477" i="15"/>
  <c r="P477" i="15" s="1"/>
  <c r="N477" i="15"/>
  <c r="L478" i="15"/>
  <c r="M478" i="15"/>
  <c r="P478" i="15" s="1"/>
  <c r="N478" i="15"/>
  <c r="D433" i="15"/>
  <c r="E433" i="15"/>
  <c r="H433" i="15" s="1"/>
  <c r="F433" i="15"/>
  <c r="D434" i="15"/>
  <c r="E434" i="15"/>
  <c r="H434" i="15" s="1"/>
  <c r="F434" i="15"/>
  <c r="D435" i="15"/>
  <c r="E435" i="15"/>
  <c r="H435" i="15" s="1"/>
  <c r="F435" i="15"/>
  <c r="D436" i="15"/>
  <c r="E436" i="15"/>
  <c r="H436" i="15" s="1"/>
  <c r="F436" i="15"/>
  <c r="D437" i="15"/>
  <c r="E437" i="15"/>
  <c r="H437" i="15" s="1"/>
  <c r="F437" i="15"/>
  <c r="D438" i="15"/>
  <c r="E438" i="15"/>
  <c r="H438" i="15" s="1"/>
  <c r="F438" i="15"/>
  <c r="D439" i="15"/>
  <c r="E439" i="15"/>
  <c r="H439" i="15" s="1"/>
  <c r="F439" i="15"/>
  <c r="D440" i="15"/>
  <c r="E440" i="15"/>
  <c r="H440" i="15" s="1"/>
  <c r="F440" i="15"/>
  <c r="D441" i="15"/>
  <c r="E441" i="15"/>
  <c r="H441" i="15" s="1"/>
  <c r="F441" i="15"/>
  <c r="D442" i="15"/>
  <c r="E442" i="15"/>
  <c r="H442" i="15" s="1"/>
  <c r="F442" i="15"/>
  <c r="D443" i="15"/>
  <c r="E443" i="15"/>
  <c r="H443" i="15" s="1"/>
  <c r="F443" i="15"/>
  <c r="D444" i="15"/>
  <c r="E444" i="15"/>
  <c r="H444" i="15" s="1"/>
  <c r="F444" i="15"/>
  <c r="D445" i="15"/>
  <c r="E445" i="15"/>
  <c r="H445" i="15" s="1"/>
  <c r="F445" i="15"/>
  <c r="D446" i="15"/>
  <c r="E446" i="15"/>
  <c r="H446" i="15" s="1"/>
  <c r="F446" i="15"/>
  <c r="D447" i="15"/>
  <c r="E447" i="15"/>
  <c r="H447" i="15" s="1"/>
  <c r="F447" i="15"/>
  <c r="D448" i="15"/>
  <c r="E448" i="15"/>
  <c r="H448" i="15" s="1"/>
  <c r="F448" i="15"/>
  <c r="D449" i="15"/>
  <c r="E449" i="15"/>
  <c r="H449" i="15" s="1"/>
  <c r="F449" i="15"/>
  <c r="D450" i="15"/>
  <c r="E450" i="15"/>
  <c r="H450" i="15" s="1"/>
  <c r="F450" i="15"/>
  <c r="D451" i="15"/>
  <c r="E451" i="15"/>
  <c r="H451" i="15" s="1"/>
  <c r="F451" i="15"/>
  <c r="D452" i="15"/>
  <c r="E452" i="15"/>
  <c r="H452" i="15" s="1"/>
  <c r="F452" i="15"/>
  <c r="D453" i="15"/>
  <c r="E453" i="15"/>
  <c r="H453" i="15" s="1"/>
  <c r="F453" i="15"/>
  <c r="D454" i="15"/>
  <c r="E454" i="15"/>
  <c r="H454" i="15" s="1"/>
  <c r="F454" i="15"/>
  <c r="D455" i="15"/>
  <c r="E455" i="15"/>
  <c r="H455" i="15" s="1"/>
  <c r="F455" i="15"/>
  <c r="D456" i="15"/>
  <c r="E456" i="15"/>
  <c r="H456" i="15" s="1"/>
  <c r="F456" i="15"/>
  <c r="D457" i="15"/>
  <c r="E457" i="15"/>
  <c r="H457" i="15" s="1"/>
  <c r="F457" i="15"/>
  <c r="D458" i="15"/>
  <c r="E458" i="15"/>
  <c r="H458" i="15" s="1"/>
  <c r="F458" i="15"/>
  <c r="D459" i="15"/>
  <c r="E459" i="15"/>
  <c r="H459" i="15" s="1"/>
  <c r="F459" i="15"/>
  <c r="D460" i="15"/>
  <c r="E460" i="15"/>
  <c r="H460" i="15" s="1"/>
  <c r="F460" i="15"/>
  <c r="D461" i="15"/>
  <c r="E461" i="15"/>
  <c r="H461" i="15" s="1"/>
  <c r="F461" i="15"/>
  <c r="D462" i="15"/>
  <c r="E462" i="15"/>
  <c r="H462" i="15" s="1"/>
  <c r="F462" i="15"/>
  <c r="D463" i="15"/>
  <c r="E463" i="15"/>
  <c r="H463" i="15" s="1"/>
  <c r="F463" i="15"/>
  <c r="D464" i="15"/>
  <c r="E464" i="15"/>
  <c r="H464" i="15" s="1"/>
  <c r="F464" i="15"/>
  <c r="D465" i="15"/>
  <c r="E465" i="15"/>
  <c r="H465" i="15" s="1"/>
  <c r="F465" i="15"/>
  <c r="D466" i="15"/>
  <c r="E466" i="15"/>
  <c r="H466" i="15" s="1"/>
  <c r="F466" i="15"/>
  <c r="D467" i="15"/>
  <c r="E467" i="15"/>
  <c r="H467" i="15" s="1"/>
  <c r="F467" i="15"/>
  <c r="D468" i="15"/>
  <c r="E468" i="15"/>
  <c r="H468" i="15" s="1"/>
  <c r="F468" i="15"/>
  <c r="D469" i="15"/>
  <c r="E469" i="15"/>
  <c r="H469" i="15" s="1"/>
  <c r="F469" i="15"/>
  <c r="D470" i="15"/>
  <c r="E470" i="15"/>
  <c r="H470" i="15" s="1"/>
  <c r="F470" i="15"/>
  <c r="D471" i="15"/>
  <c r="E471" i="15"/>
  <c r="H471" i="15" s="1"/>
  <c r="F471" i="15"/>
  <c r="D472" i="15"/>
  <c r="E472" i="15"/>
  <c r="H472" i="15" s="1"/>
  <c r="F472" i="15"/>
  <c r="D473" i="15"/>
  <c r="E473" i="15"/>
  <c r="H473" i="15" s="1"/>
  <c r="F473" i="15"/>
  <c r="D474" i="15"/>
  <c r="E474" i="15"/>
  <c r="H474" i="15" s="1"/>
  <c r="F474" i="15"/>
  <c r="D475" i="15"/>
  <c r="E475" i="15"/>
  <c r="H475" i="15" s="1"/>
  <c r="F475" i="15"/>
  <c r="D476" i="15"/>
  <c r="E476" i="15"/>
  <c r="H476" i="15" s="1"/>
  <c r="F476" i="15"/>
  <c r="D477" i="15"/>
  <c r="E477" i="15"/>
  <c r="H477" i="15" s="1"/>
  <c r="F477" i="15"/>
  <c r="D478" i="15"/>
  <c r="E478" i="15"/>
  <c r="H478" i="15" s="1"/>
  <c r="F478" i="15"/>
  <c r="N432" i="15"/>
  <c r="M432" i="15"/>
  <c r="P432" i="15" s="1"/>
  <c r="L432" i="15"/>
  <c r="F432" i="15"/>
  <c r="E432" i="15"/>
  <c r="H432" i="15" s="1"/>
  <c r="D432" i="15"/>
  <c r="L373" i="15"/>
  <c r="M373" i="15"/>
  <c r="P373" i="15" s="1"/>
  <c r="N373" i="15"/>
  <c r="L374" i="15"/>
  <c r="M374" i="15"/>
  <c r="P374" i="15" s="1"/>
  <c r="N374" i="15"/>
  <c r="L375" i="15"/>
  <c r="M375" i="15"/>
  <c r="P375" i="15" s="1"/>
  <c r="N375" i="15"/>
  <c r="L376" i="15"/>
  <c r="M376" i="15"/>
  <c r="P376" i="15" s="1"/>
  <c r="N376" i="15"/>
  <c r="L377" i="15"/>
  <c r="M377" i="15"/>
  <c r="P377" i="15" s="1"/>
  <c r="N377" i="15"/>
  <c r="L378" i="15"/>
  <c r="M378" i="15"/>
  <c r="P378" i="15" s="1"/>
  <c r="N378" i="15"/>
  <c r="L379" i="15"/>
  <c r="M379" i="15"/>
  <c r="P379" i="15" s="1"/>
  <c r="N379" i="15"/>
  <c r="L380" i="15"/>
  <c r="M380" i="15"/>
  <c r="P380" i="15" s="1"/>
  <c r="N380" i="15"/>
  <c r="L381" i="15"/>
  <c r="M381" i="15"/>
  <c r="P381" i="15" s="1"/>
  <c r="N381" i="15"/>
  <c r="L382" i="15"/>
  <c r="M382" i="15"/>
  <c r="P382" i="15" s="1"/>
  <c r="N382" i="15"/>
  <c r="L383" i="15"/>
  <c r="M383" i="15"/>
  <c r="P383" i="15" s="1"/>
  <c r="N383" i="15"/>
  <c r="L384" i="15"/>
  <c r="M384" i="15"/>
  <c r="P384" i="15" s="1"/>
  <c r="N384" i="15"/>
  <c r="L385" i="15"/>
  <c r="M385" i="15"/>
  <c r="P385" i="15" s="1"/>
  <c r="N385" i="15"/>
  <c r="L386" i="15"/>
  <c r="M386" i="15"/>
  <c r="P386" i="15" s="1"/>
  <c r="N386" i="15"/>
  <c r="L387" i="15"/>
  <c r="M387" i="15"/>
  <c r="P387" i="15" s="1"/>
  <c r="N387" i="15"/>
  <c r="L388" i="15"/>
  <c r="M388" i="15"/>
  <c r="P388" i="15" s="1"/>
  <c r="N388" i="15"/>
  <c r="L389" i="15"/>
  <c r="M389" i="15"/>
  <c r="P389" i="15" s="1"/>
  <c r="N389" i="15"/>
  <c r="L390" i="15"/>
  <c r="M390" i="15"/>
  <c r="P390" i="15" s="1"/>
  <c r="N390" i="15"/>
  <c r="L391" i="15"/>
  <c r="M391" i="15"/>
  <c r="P391" i="15" s="1"/>
  <c r="N391" i="15"/>
  <c r="L392" i="15"/>
  <c r="M392" i="15"/>
  <c r="P392" i="15" s="1"/>
  <c r="N392" i="15"/>
  <c r="L393" i="15"/>
  <c r="M393" i="15"/>
  <c r="P393" i="15" s="1"/>
  <c r="N393" i="15"/>
  <c r="L394" i="15"/>
  <c r="M394" i="15"/>
  <c r="P394" i="15" s="1"/>
  <c r="N394" i="15"/>
  <c r="L395" i="15"/>
  <c r="M395" i="15"/>
  <c r="P395" i="15" s="1"/>
  <c r="N395" i="15"/>
  <c r="L396" i="15"/>
  <c r="M396" i="15"/>
  <c r="P396" i="15" s="1"/>
  <c r="N396" i="15"/>
  <c r="L397" i="15"/>
  <c r="M397" i="15"/>
  <c r="P397" i="15" s="1"/>
  <c r="N397" i="15"/>
  <c r="L398" i="15"/>
  <c r="M398" i="15"/>
  <c r="P398" i="15" s="1"/>
  <c r="N398" i="15"/>
  <c r="L399" i="15"/>
  <c r="M399" i="15"/>
  <c r="P399" i="15" s="1"/>
  <c r="N399" i="15"/>
  <c r="L400" i="15"/>
  <c r="M400" i="15"/>
  <c r="P400" i="15" s="1"/>
  <c r="N400" i="15"/>
  <c r="L401" i="15"/>
  <c r="M401" i="15"/>
  <c r="P401" i="15" s="1"/>
  <c r="N401" i="15"/>
  <c r="L402" i="15"/>
  <c r="M402" i="15"/>
  <c r="P402" i="15" s="1"/>
  <c r="N402" i="15"/>
  <c r="L403" i="15"/>
  <c r="M403" i="15"/>
  <c r="P403" i="15" s="1"/>
  <c r="N403" i="15"/>
  <c r="L404" i="15"/>
  <c r="M404" i="15"/>
  <c r="P404" i="15" s="1"/>
  <c r="N404" i="15"/>
  <c r="L405" i="15"/>
  <c r="M405" i="15"/>
  <c r="P405" i="15" s="1"/>
  <c r="N405" i="15"/>
  <c r="L406" i="15"/>
  <c r="M406" i="15"/>
  <c r="P406" i="15" s="1"/>
  <c r="N406" i="15"/>
  <c r="L407" i="15"/>
  <c r="M407" i="15"/>
  <c r="P407" i="15" s="1"/>
  <c r="N407" i="15"/>
  <c r="L408" i="15"/>
  <c r="M408" i="15"/>
  <c r="P408" i="15" s="1"/>
  <c r="N408" i="15"/>
  <c r="L409" i="15"/>
  <c r="M409" i="15"/>
  <c r="P409" i="15" s="1"/>
  <c r="N409" i="15"/>
  <c r="L410" i="15"/>
  <c r="M410" i="15"/>
  <c r="P410" i="15" s="1"/>
  <c r="N410" i="15"/>
  <c r="L411" i="15"/>
  <c r="M411" i="15"/>
  <c r="P411" i="15" s="1"/>
  <c r="N411" i="15"/>
  <c r="L412" i="15"/>
  <c r="M412" i="15"/>
  <c r="P412" i="15" s="1"/>
  <c r="N412" i="15"/>
  <c r="L413" i="15"/>
  <c r="M413" i="15"/>
  <c r="P413" i="15" s="1"/>
  <c r="N413" i="15"/>
  <c r="L414" i="15"/>
  <c r="M414" i="15"/>
  <c r="P414" i="15" s="1"/>
  <c r="N414" i="15"/>
  <c r="L415" i="15"/>
  <c r="M415" i="15"/>
  <c r="P415" i="15" s="1"/>
  <c r="N415" i="15"/>
  <c r="L416" i="15"/>
  <c r="M416" i="15"/>
  <c r="P416" i="15" s="1"/>
  <c r="N416" i="15"/>
  <c r="L417" i="15"/>
  <c r="M417" i="15"/>
  <c r="P417" i="15" s="1"/>
  <c r="N417" i="15"/>
  <c r="L418" i="15"/>
  <c r="M418" i="15"/>
  <c r="P418" i="15" s="1"/>
  <c r="N418" i="15"/>
  <c r="D373" i="15"/>
  <c r="E373" i="15"/>
  <c r="H373" i="15" s="1"/>
  <c r="F373" i="15"/>
  <c r="D374" i="15"/>
  <c r="E374" i="15"/>
  <c r="H374" i="15" s="1"/>
  <c r="F374" i="15"/>
  <c r="D375" i="15"/>
  <c r="E375" i="15"/>
  <c r="H375" i="15" s="1"/>
  <c r="F375" i="15"/>
  <c r="D376" i="15"/>
  <c r="E376" i="15"/>
  <c r="H376" i="15" s="1"/>
  <c r="F376" i="15"/>
  <c r="D377" i="15"/>
  <c r="E377" i="15"/>
  <c r="H377" i="15" s="1"/>
  <c r="F377" i="15"/>
  <c r="D378" i="15"/>
  <c r="E378" i="15"/>
  <c r="H378" i="15" s="1"/>
  <c r="F378" i="15"/>
  <c r="D379" i="15"/>
  <c r="E379" i="15"/>
  <c r="H379" i="15" s="1"/>
  <c r="F379" i="15"/>
  <c r="D380" i="15"/>
  <c r="E380" i="15"/>
  <c r="H380" i="15" s="1"/>
  <c r="F380" i="15"/>
  <c r="D381" i="15"/>
  <c r="E381" i="15"/>
  <c r="H381" i="15" s="1"/>
  <c r="F381" i="15"/>
  <c r="D382" i="15"/>
  <c r="E382" i="15"/>
  <c r="H382" i="15" s="1"/>
  <c r="F382" i="15"/>
  <c r="D383" i="15"/>
  <c r="E383" i="15"/>
  <c r="H383" i="15" s="1"/>
  <c r="F383" i="15"/>
  <c r="D384" i="15"/>
  <c r="E384" i="15"/>
  <c r="H384" i="15" s="1"/>
  <c r="F384" i="15"/>
  <c r="D385" i="15"/>
  <c r="E385" i="15"/>
  <c r="H385" i="15" s="1"/>
  <c r="F385" i="15"/>
  <c r="D386" i="15"/>
  <c r="E386" i="15"/>
  <c r="H386" i="15" s="1"/>
  <c r="F386" i="15"/>
  <c r="D387" i="15"/>
  <c r="E387" i="15"/>
  <c r="H387" i="15" s="1"/>
  <c r="F387" i="15"/>
  <c r="D388" i="15"/>
  <c r="E388" i="15"/>
  <c r="H388" i="15" s="1"/>
  <c r="F388" i="15"/>
  <c r="D389" i="15"/>
  <c r="E389" i="15"/>
  <c r="H389" i="15" s="1"/>
  <c r="F389" i="15"/>
  <c r="D390" i="15"/>
  <c r="E390" i="15"/>
  <c r="H390" i="15" s="1"/>
  <c r="F390" i="15"/>
  <c r="D391" i="15"/>
  <c r="E391" i="15"/>
  <c r="H391" i="15" s="1"/>
  <c r="F391" i="15"/>
  <c r="D392" i="15"/>
  <c r="E392" i="15"/>
  <c r="H392" i="15" s="1"/>
  <c r="F392" i="15"/>
  <c r="D393" i="15"/>
  <c r="E393" i="15"/>
  <c r="H393" i="15" s="1"/>
  <c r="F393" i="15"/>
  <c r="D394" i="15"/>
  <c r="E394" i="15"/>
  <c r="H394" i="15" s="1"/>
  <c r="F394" i="15"/>
  <c r="D395" i="15"/>
  <c r="E395" i="15"/>
  <c r="H395" i="15" s="1"/>
  <c r="F395" i="15"/>
  <c r="D396" i="15"/>
  <c r="E396" i="15"/>
  <c r="H396" i="15" s="1"/>
  <c r="F396" i="15"/>
  <c r="D397" i="15"/>
  <c r="E397" i="15"/>
  <c r="H397" i="15" s="1"/>
  <c r="F397" i="15"/>
  <c r="D398" i="15"/>
  <c r="E398" i="15"/>
  <c r="H398" i="15" s="1"/>
  <c r="F398" i="15"/>
  <c r="D399" i="15"/>
  <c r="E399" i="15"/>
  <c r="H399" i="15" s="1"/>
  <c r="F399" i="15"/>
  <c r="D400" i="15"/>
  <c r="E400" i="15"/>
  <c r="H400" i="15" s="1"/>
  <c r="F400" i="15"/>
  <c r="D401" i="15"/>
  <c r="E401" i="15"/>
  <c r="H401" i="15" s="1"/>
  <c r="F401" i="15"/>
  <c r="D402" i="15"/>
  <c r="E402" i="15"/>
  <c r="H402" i="15" s="1"/>
  <c r="F402" i="15"/>
  <c r="D403" i="15"/>
  <c r="E403" i="15"/>
  <c r="H403" i="15" s="1"/>
  <c r="F403" i="15"/>
  <c r="D404" i="15"/>
  <c r="E404" i="15"/>
  <c r="H404" i="15" s="1"/>
  <c r="F404" i="15"/>
  <c r="D405" i="15"/>
  <c r="E405" i="15"/>
  <c r="H405" i="15" s="1"/>
  <c r="F405" i="15"/>
  <c r="D406" i="15"/>
  <c r="E406" i="15"/>
  <c r="H406" i="15" s="1"/>
  <c r="F406" i="15"/>
  <c r="D407" i="15"/>
  <c r="E407" i="15"/>
  <c r="H407" i="15" s="1"/>
  <c r="F407" i="15"/>
  <c r="D408" i="15"/>
  <c r="E408" i="15"/>
  <c r="H408" i="15" s="1"/>
  <c r="F408" i="15"/>
  <c r="D409" i="15"/>
  <c r="E409" i="15"/>
  <c r="H409" i="15" s="1"/>
  <c r="F409" i="15"/>
  <c r="D410" i="15"/>
  <c r="E410" i="15"/>
  <c r="H410" i="15" s="1"/>
  <c r="F410" i="15"/>
  <c r="D411" i="15"/>
  <c r="E411" i="15"/>
  <c r="H411" i="15" s="1"/>
  <c r="F411" i="15"/>
  <c r="D412" i="15"/>
  <c r="E412" i="15"/>
  <c r="H412" i="15" s="1"/>
  <c r="F412" i="15"/>
  <c r="D413" i="15"/>
  <c r="E413" i="15"/>
  <c r="H413" i="15" s="1"/>
  <c r="F413" i="15"/>
  <c r="D414" i="15"/>
  <c r="E414" i="15"/>
  <c r="H414" i="15" s="1"/>
  <c r="F414" i="15"/>
  <c r="D415" i="15"/>
  <c r="E415" i="15"/>
  <c r="H415" i="15" s="1"/>
  <c r="F415" i="15"/>
  <c r="D416" i="15"/>
  <c r="E416" i="15"/>
  <c r="H416" i="15" s="1"/>
  <c r="F416" i="15"/>
  <c r="D417" i="15"/>
  <c r="E417" i="15"/>
  <c r="H417" i="15" s="1"/>
  <c r="F417" i="15"/>
  <c r="D418" i="15"/>
  <c r="E418" i="15"/>
  <c r="H418" i="15" s="1"/>
  <c r="F418" i="15"/>
  <c r="N372" i="15"/>
  <c r="M372" i="15"/>
  <c r="P372" i="15" s="1"/>
  <c r="L372" i="15"/>
  <c r="F372" i="15"/>
  <c r="E372" i="15"/>
  <c r="H372" i="15" s="1"/>
  <c r="D372" i="15"/>
  <c r="L313" i="15"/>
  <c r="M313" i="15"/>
  <c r="P313" i="15" s="1"/>
  <c r="N313" i="15"/>
  <c r="L314" i="15"/>
  <c r="M314" i="15"/>
  <c r="P314" i="15" s="1"/>
  <c r="N314" i="15"/>
  <c r="L315" i="15"/>
  <c r="M315" i="15"/>
  <c r="P315" i="15" s="1"/>
  <c r="N315" i="15"/>
  <c r="L316" i="15"/>
  <c r="M316" i="15"/>
  <c r="P316" i="15" s="1"/>
  <c r="N316" i="15"/>
  <c r="L317" i="15"/>
  <c r="M317" i="15"/>
  <c r="P317" i="15" s="1"/>
  <c r="N317" i="15"/>
  <c r="L318" i="15"/>
  <c r="M318" i="15"/>
  <c r="P318" i="15" s="1"/>
  <c r="N318" i="15"/>
  <c r="L319" i="15"/>
  <c r="M319" i="15"/>
  <c r="P319" i="15" s="1"/>
  <c r="N319" i="15"/>
  <c r="L320" i="15"/>
  <c r="M320" i="15"/>
  <c r="P320" i="15" s="1"/>
  <c r="N320" i="15"/>
  <c r="L321" i="15"/>
  <c r="M321" i="15"/>
  <c r="P321" i="15" s="1"/>
  <c r="N321" i="15"/>
  <c r="L322" i="15"/>
  <c r="M322" i="15"/>
  <c r="P322" i="15" s="1"/>
  <c r="N322" i="15"/>
  <c r="L323" i="15"/>
  <c r="M323" i="15"/>
  <c r="P323" i="15" s="1"/>
  <c r="N323" i="15"/>
  <c r="L324" i="15"/>
  <c r="M324" i="15"/>
  <c r="P324" i="15" s="1"/>
  <c r="N324" i="15"/>
  <c r="L325" i="15"/>
  <c r="M325" i="15"/>
  <c r="P325" i="15" s="1"/>
  <c r="N325" i="15"/>
  <c r="L326" i="15"/>
  <c r="M326" i="15"/>
  <c r="P326" i="15" s="1"/>
  <c r="N326" i="15"/>
  <c r="L327" i="15"/>
  <c r="M327" i="15"/>
  <c r="P327" i="15" s="1"/>
  <c r="N327" i="15"/>
  <c r="L328" i="15"/>
  <c r="M328" i="15"/>
  <c r="P328" i="15" s="1"/>
  <c r="N328" i="15"/>
  <c r="L329" i="15"/>
  <c r="M329" i="15"/>
  <c r="P329" i="15" s="1"/>
  <c r="N329" i="15"/>
  <c r="L330" i="15"/>
  <c r="M330" i="15"/>
  <c r="P330" i="15" s="1"/>
  <c r="N330" i="15"/>
  <c r="L331" i="15"/>
  <c r="M331" i="15"/>
  <c r="P331" i="15" s="1"/>
  <c r="N331" i="15"/>
  <c r="L332" i="15"/>
  <c r="M332" i="15"/>
  <c r="P332" i="15" s="1"/>
  <c r="N332" i="15"/>
  <c r="L333" i="15"/>
  <c r="M333" i="15"/>
  <c r="P333" i="15" s="1"/>
  <c r="N333" i="15"/>
  <c r="L334" i="15"/>
  <c r="M334" i="15"/>
  <c r="P334" i="15" s="1"/>
  <c r="N334" i="15"/>
  <c r="L335" i="15"/>
  <c r="M335" i="15"/>
  <c r="P335" i="15" s="1"/>
  <c r="N335" i="15"/>
  <c r="L336" i="15"/>
  <c r="M336" i="15"/>
  <c r="P336" i="15" s="1"/>
  <c r="N336" i="15"/>
  <c r="L337" i="15"/>
  <c r="M337" i="15"/>
  <c r="P337" i="15" s="1"/>
  <c r="N337" i="15"/>
  <c r="L338" i="15"/>
  <c r="M338" i="15"/>
  <c r="P338" i="15" s="1"/>
  <c r="N338" i="15"/>
  <c r="L339" i="15"/>
  <c r="M339" i="15"/>
  <c r="P339" i="15" s="1"/>
  <c r="N339" i="15"/>
  <c r="L340" i="15"/>
  <c r="M340" i="15"/>
  <c r="P340" i="15" s="1"/>
  <c r="N340" i="15"/>
  <c r="L341" i="15"/>
  <c r="M341" i="15"/>
  <c r="P341" i="15" s="1"/>
  <c r="N341" i="15"/>
  <c r="L342" i="15"/>
  <c r="M342" i="15"/>
  <c r="P342" i="15" s="1"/>
  <c r="N342" i="15"/>
  <c r="L343" i="15"/>
  <c r="M343" i="15"/>
  <c r="P343" i="15" s="1"/>
  <c r="N343" i="15"/>
  <c r="L344" i="15"/>
  <c r="M344" i="15"/>
  <c r="P344" i="15" s="1"/>
  <c r="N344" i="15"/>
  <c r="L345" i="15"/>
  <c r="M345" i="15"/>
  <c r="P345" i="15" s="1"/>
  <c r="N345" i="15"/>
  <c r="L346" i="15"/>
  <c r="M346" i="15"/>
  <c r="P346" i="15" s="1"/>
  <c r="N346" i="15"/>
  <c r="L347" i="15"/>
  <c r="M347" i="15"/>
  <c r="P347" i="15" s="1"/>
  <c r="N347" i="15"/>
  <c r="L348" i="15"/>
  <c r="M348" i="15"/>
  <c r="P348" i="15" s="1"/>
  <c r="N348" i="15"/>
  <c r="L349" i="15"/>
  <c r="M349" i="15"/>
  <c r="P349" i="15" s="1"/>
  <c r="N349" i="15"/>
  <c r="L350" i="15"/>
  <c r="M350" i="15"/>
  <c r="P350" i="15" s="1"/>
  <c r="N350" i="15"/>
  <c r="L351" i="15"/>
  <c r="M351" i="15"/>
  <c r="P351" i="15" s="1"/>
  <c r="N351" i="15"/>
  <c r="L352" i="15"/>
  <c r="M352" i="15"/>
  <c r="P352" i="15" s="1"/>
  <c r="N352" i="15"/>
  <c r="L353" i="15"/>
  <c r="M353" i="15"/>
  <c r="P353" i="15" s="1"/>
  <c r="N353" i="15"/>
  <c r="L354" i="15"/>
  <c r="M354" i="15"/>
  <c r="P354" i="15" s="1"/>
  <c r="N354" i="15"/>
  <c r="L355" i="15"/>
  <c r="M355" i="15"/>
  <c r="P355" i="15" s="1"/>
  <c r="N355" i="15"/>
  <c r="L356" i="15"/>
  <c r="M356" i="15"/>
  <c r="P356" i="15" s="1"/>
  <c r="N356" i="15"/>
  <c r="L357" i="15"/>
  <c r="M357" i="15"/>
  <c r="P357" i="15" s="1"/>
  <c r="N357" i="15"/>
  <c r="L358" i="15"/>
  <c r="M358" i="15"/>
  <c r="P358" i="15" s="1"/>
  <c r="N358" i="15"/>
  <c r="N312" i="15"/>
  <c r="M312" i="15"/>
  <c r="P312" i="15" s="1"/>
  <c r="L312" i="15"/>
  <c r="M7" i="31" l="1"/>
  <c r="M67" i="31"/>
  <c r="M127" i="31"/>
  <c r="E67" i="31"/>
  <c r="E127" i="31"/>
  <c r="L479" i="15"/>
  <c r="M479" i="15"/>
  <c r="D479" i="15"/>
  <c r="E479" i="15"/>
  <c r="B7" i="15"/>
  <c r="M428" i="15"/>
  <c r="E428" i="15"/>
  <c r="M368" i="15"/>
  <c r="E368" i="15"/>
  <c r="M308" i="15"/>
  <c r="E308" i="15"/>
  <c r="M248" i="15"/>
  <c r="E248" i="15"/>
  <c r="M188" i="15"/>
  <c r="E188" i="15"/>
  <c r="M128" i="15"/>
  <c r="E128" i="15"/>
  <c r="M68" i="15"/>
  <c r="E68" i="15"/>
  <c r="M8" i="15"/>
  <c r="M429" i="15"/>
  <c r="E429" i="15"/>
  <c r="M369" i="15"/>
  <c r="E369" i="15"/>
  <c r="M309" i="15"/>
  <c r="E309" i="15"/>
  <c r="M249" i="15"/>
  <c r="E249" i="15"/>
  <c r="M189" i="15"/>
  <c r="E189" i="15"/>
  <c r="M129" i="15"/>
  <c r="E129" i="15"/>
  <c r="M69" i="15"/>
  <c r="E69" i="15"/>
  <c r="M9" i="15"/>
  <c r="M10" i="15"/>
  <c r="E70" i="15" s="1"/>
  <c r="M70" i="15" s="1"/>
  <c r="E130" i="15" s="1"/>
  <c r="M130" i="15" s="1"/>
  <c r="E190" i="15" s="1"/>
  <c r="M190" i="15" s="1"/>
  <c r="E250" i="15" s="1"/>
  <c r="M250" i="15" s="1"/>
  <c r="E310" i="15" s="1"/>
  <c r="M310" i="15" s="1"/>
  <c r="E370" i="15" s="1"/>
  <c r="M370" i="15" s="1"/>
  <c r="E430" i="15" s="1"/>
  <c r="M430" i="15" s="1"/>
  <c r="L419" i="15"/>
  <c r="M419" i="15"/>
  <c r="D419" i="15"/>
  <c r="E419" i="15"/>
  <c r="L359" i="15"/>
  <c r="M359" i="15"/>
  <c r="D313" i="15"/>
  <c r="E313" i="15"/>
  <c r="H313" i="15" s="1"/>
  <c r="D314" i="15"/>
  <c r="E314" i="15"/>
  <c r="H314" i="15" s="1"/>
  <c r="D315" i="15"/>
  <c r="E315" i="15"/>
  <c r="H315" i="15" s="1"/>
  <c r="D316" i="15"/>
  <c r="E316" i="15"/>
  <c r="H316" i="15" s="1"/>
  <c r="D317" i="15"/>
  <c r="E317" i="15"/>
  <c r="H317" i="15" s="1"/>
  <c r="D318" i="15"/>
  <c r="E318" i="15"/>
  <c r="H318" i="15" s="1"/>
  <c r="D319" i="15"/>
  <c r="E319" i="15"/>
  <c r="H319" i="15" s="1"/>
  <c r="D320" i="15"/>
  <c r="E320" i="15"/>
  <c r="H320" i="15" s="1"/>
  <c r="D321" i="15"/>
  <c r="E321" i="15"/>
  <c r="H321" i="15" s="1"/>
  <c r="D322" i="15"/>
  <c r="E322" i="15"/>
  <c r="H322" i="15" s="1"/>
  <c r="D323" i="15"/>
  <c r="E323" i="15"/>
  <c r="H323" i="15" s="1"/>
  <c r="D324" i="15"/>
  <c r="E324" i="15"/>
  <c r="H324" i="15" s="1"/>
  <c r="D325" i="15"/>
  <c r="E325" i="15"/>
  <c r="H325" i="15" s="1"/>
  <c r="D326" i="15"/>
  <c r="E326" i="15"/>
  <c r="H326" i="15" s="1"/>
  <c r="D327" i="15"/>
  <c r="E327" i="15"/>
  <c r="H327" i="15" s="1"/>
  <c r="D328" i="15"/>
  <c r="E328" i="15"/>
  <c r="H328" i="15" s="1"/>
  <c r="D329" i="15"/>
  <c r="E329" i="15"/>
  <c r="H329" i="15" s="1"/>
  <c r="D330" i="15"/>
  <c r="E330" i="15"/>
  <c r="H330" i="15" s="1"/>
  <c r="D331" i="15"/>
  <c r="E331" i="15"/>
  <c r="H331" i="15" s="1"/>
  <c r="D332" i="15"/>
  <c r="E332" i="15"/>
  <c r="H332" i="15" s="1"/>
  <c r="D333" i="15"/>
  <c r="E333" i="15"/>
  <c r="H333" i="15" s="1"/>
  <c r="D334" i="15"/>
  <c r="E334" i="15"/>
  <c r="H334" i="15" s="1"/>
  <c r="D335" i="15"/>
  <c r="E335" i="15"/>
  <c r="H335" i="15" s="1"/>
  <c r="D336" i="15"/>
  <c r="E336" i="15"/>
  <c r="H336" i="15" s="1"/>
  <c r="D337" i="15"/>
  <c r="E337" i="15"/>
  <c r="H337" i="15" s="1"/>
  <c r="D338" i="15"/>
  <c r="E338" i="15"/>
  <c r="H338" i="15" s="1"/>
  <c r="D339" i="15"/>
  <c r="E339" i="15"/>
  <c r="H339" i="15" s="1"/>
  <c r="D340" i="15"/>
  <c r="E340" i="15"/>
  <c r="H340" i="15" s="1"/>
  <c r="D341" i="15"/>
  <c r="E341" i="15"/>
  <c r="H341" i="15" s="1"/>
  <c r="D342" i="15"/>
  <c r="E342" i="15"/>
  <c r="H342" i="15" s="1"/>
  <c r="D343" i="15"/>
  <c r="E343" i="15"/>
  <c r="H343" i="15" s="1"/>
  <c r="D344" i="15"/>
  <c r="E344" i="15"/>
  <c r="H344" i="15" s="1"/>
  <c r="D345" i="15"/>
  <c r="E345" i="15"/>
  <c r="H345" i="15" s="1"/>
  <c r="D346" i="15"/>
  <c r="E346" i="15"/>
  <c r="H346" i="15" s="1"/>
  <c r="D347" i="15"/>
  <c r="E347" i="15"/>
  <c r="H347" i="15" s="1"/>
  <c r="D348" i="15"/>
  <c r="E348" i="15"/>
  <c r="H348" i="15" s="1"/>
  <c r="D349" i="15"/>
  <c r="E349" i="15"/>
  <c r="H349" i="15" s="1"/>
  <c r="D350" i="15"/>
  <c r="E350" i="15"/>
  <c r="H350" i="15" s="1"/>
  <c r="D351" i="15"/>
  <c r="E351" i="15"/>
  <c r="H351" i="15" s="1"/>
  <c r="D352" i="15"/>
  <c r="E352" i="15"/>
  <c r="H352" i="15" s="1"/>
  <c r="D353" i="15"/>
  <c r="E353" i="15"/>
  <c r="H353" i="15" s="1"/>
  <c r="D354" i="15"/>
  <c r="E354" i="15"/>
  <c r="H354" i="15" s="1"/>
  <c r="D355" i="15"/>
  <c r="E355" i="15"/>
  <c r="H355" i="15" s="1"/>
  <c r="D356" i="15"/>
  <c r="E356" i="15"/>
  <c r="H356" i="15" s="1"/>
  <c r="D357" i="15"/>
  <c r="E357" i="15"/>
  <c r="H357" i="15" s="1"/>
  <c r="D358" i="15"/>
  <c r="E358" i="15"/>
  <c r="H358" i="15" s="1"/>
  <c r="D359" i="15"/>
  <c r="E359" i="15"/>
  <c r="E312" i="15"/>
  <c r="H312" i="15" s="1"/>
  <c r="D312" i="15"/>
  <c r="L253" i="15"/>
  <c r="M253" i="15"/>
  <c r="P253" i="15" s="1"/>
  <c r="L254" i="15"/>
  <c r="M254" i="15"/>
  <c r="P254" i="15" s="1"/>
  <c r="L255" i="15"/>
  <c r="M255" i="15"/>
  <c r="P255" i="15" s="1"/>
  <c r="L256" i="15"/>
  <c r="M256" i="15"/>
  <c r="P256" i="15" s="1"/>
  <c r="L257" i="15"/>
  <c r="M257" i="15"/>
  <c r="P257" i="15" s="1"/>
  <c r="L258" i="15"/>
  <c r="M258" i="15"/>
  <c r="P258" i="15" s="1"/>
  <c r="L259" i="15"/>
  <c r="M259" i="15"/>
  <c r="P259" i="15" s="1"/>
  <c r="L260" i="15"/>
  <c r="M260" i="15"/>
  <c r="P260" i="15" s="1"/>
  <c r="L261" i="15"/>
  <c r="M261" i="15"/>
  <c r="P261" i="15" s="1"/>
  <c r="L262" i="15"/>
  <c r="M262" i="15"/>
  <c r="P262" i="15" s="1"/>
  <c r="L263" i="15"/>
  <c r="M263" i="15"/>
  <c r="P263" i="15" s="1"/>
  <c r="L264" i="15"/>
  <c r="M264" i="15"/>
  <c r="P264" i="15" s="1"/>
  <c r="L265" i="15"/>
  <c r="M265" i="15"/>
  <c r="P265" i="15" s="1"/>
  <c r="L266" i="15"/>
  <c r="M266" i="15"/>
  <c r="P266" i="15" s="1"/>
  <c r="L267" i="15"/>
  <c r="M267" i="15"/>
  <c r="P267" i="15" s="1"/>
  <c r="L268" i="15"/>
  <c r="M268" i="15"/>
  <c r="P268" i="15" s="1"/>
  <c r="L269" i="15"/>
  <c r="M269" i="15"/>
  <c r="P269" i="15" s="1"/>
  <c r="L270" i="15"/>
  <c r="M270" i="15"/>
  <c r="P270" i="15" s="1"/>
  <c r="L271" i="15"/>
  <c r="M271" i="15"/>
  <c r="P271" i="15" s="1"/>
  <c r="L272" i="15"/>
  <c r="M272" i="15"/>
  <c r="P272" i="15" s="1"/>
  <c r="L273" i="15"/>
  <c r="M273" i="15"/>
  <c r="P273" i="15" s="1"/>
  <c r="L274" i="15"/>
  <c r="M274" i="15"/>
  <c r="P274" i="15" s="1"/>
  <c r="L275" i="15"/>
  <c r="M275" i="15"/>
  <c r="P275" i="15" s="1"/>
  <c r="L276" i="15"/>
  <c r="M276" i="15"/>
  <c r="P276" i="15" s="1"/>
  <c r="L277" i="15"/>
  <c r="M277" i="15"/>
  <c r="P277" i="15" s="1"/>
  <c r="L278" i="15"/>
  <c r="M278" i="15"/>
  <c r="P278" i="15" s="1"/>
  <c r="L279" i="15"/>
  <c r="M279" i="15"/>
  <c r="P279" i="15" s="1"/>
  <c r="L280" i="15"/>
  <c r="M280" i="15"/>
  <c r="P280" i="15" s="1"/>
  <c r="L281" i="15"/>
  <c r="M281" i="15"/>
  <c r="P281" i="15" s="1"/>
  <c r="L282" i="15"/>
  <c r="M282" i="15"/>
  <c r="P282" i="15" s="1"/>
  <c r="L283" i="15"/>
  <c r="M283" i="15"/>
  <c r="P283" i="15" s="1"/>
  <c r="L284" i="15"/>
  <c r="M284" i="15"/>
  <c r="P284" i="15" s="1"/>
  <c r="L285" i="15"/>
  <c r="M285" i="15"/>
  <c r="P285" i="15" s="1"/>
  <c r="L286" i="15"/>
  <c r="M286" i="15"/>
  <c r="P286" i="15" s="1"/>
  <c r="L287" i="15"/>
  <c r="M287" i="15"/>
  <c r="P287" i="15" s="1"/>
  <c r="L288" i="15"/>
  <c r="M288" i="15"/>
  <c r="P288" i="15" s="1"/>
  <c r="L289" i="15"/>
  <c r="M289" i="15"/>
  <c r="P289" i="15" s="1"/>
  <c r="L290" i="15"/>
  <c r="M290" i="15"/>
  <c r="P290" i="15" s="1"/>
  <c r="L291" i="15"/>
  <c r="M291" i="15"/>
  <c r="P291" i="15" s="1"/>
  <c r="L292" i="15"/>
  <c r="M292" i="15"/>
  <c r="P292" i="15" s="1"/>
  <c r="L293" i="15"/>
  <c r="M293" i="15"/>
  <c r="P293" i="15" s="1"/>
  <c r="L294" i="15"/>
  <c r="M294" i="15"/>
  <c r="P294" i="15" s="1"/>
  <c r="L295" i="15"/>
  <c r="M295" i="15"/>
  <c r="P295" i="15" s="1"/>
  <c r="L296" i="15"/>
  <c r="M296" i="15"/>
  <c r="P296" i="15" s="1"/>
  <c r="L297" i="15"/>
  <c r="M297" i="15"/>
  <c r="P297" i="15" s="1"/>
  <c r="L298" i="15"/>
  <c r="M298" i="15"/>
  <c r="P298" i="15" s="1"/>
  <c r="L299" i="15"/>
  <c r="M299" i="15"/>
  <c r="M252" i="15"/>
  <c r="P252" i="15" s="1"/>
  <c r="L252" i="15"/>
  <c r="D253" i="15" l="1"/>
  <c r="E253" i="15"/>
  <c r="H253" i="15" s="1"/>
  <c r="D254" i="15"/>
  <c r="E254" i="15"/>
  <c r="H254" i="15" s="1"/>
  <c r="D255" i="15"/>
  <c r="E255" i="15"/>
  <c r="H255" i="15" s="1"/>
  <c r="D256" i="15"/>
  <c r="E256" i="15"/>
  <c r="H256" i="15" s="1"/>
  <c r="D257" i="15"/>
  <c r="E257" i="15"/>
  <c r="H257" i="15" s="1"/>
  <c r="D258" i="15"/>
  <c r="E258" i="15"/>
  <c r="H258" i="15" s="1"/>
  <c r="D259" i="15"/>
  <c r="E259" i="15"/>
  <c r="H259" i="15" s="1"/>
  <c r="D260" i="15"/>
  <c r="E260" i="15"/>
  <c r="H260" i="15" s="1"/>
  <c r="D261" i="15"/>
  <c r="E261" i="15"/>
  <c r="H261" i="15" s="1"/>
  <c r="D262" i="15"/>
  <c r="E262" i="15"/>
  <c r="H262" i="15" s="1"/>
  <c r="D263" i="15"/>
  <c r="E263" i="15"/>
  <c r="H263" i="15" s="1"/>
  <c r="D264" i="15"/>
  <c r="E264" i="15"/>
  <c r="H264" i="15" s="1"/>
  <c r="D265" i="15"/>
  <c r="E265" i="15"/>
  <c r="H265" i="15" s="1"/>
  <c r="D266" i="15"/>
  <c r="E266" i="15"/>
  <c r="H266" i="15" s="1"/>
  <c r="D267" i="15"/>
  <c r="E267" i="15"/>
  <c r="H267" i="15" s="1"/>
  <c r="D268" i="15"/>
  <c r="E268" i="15"/>
  <c r="H268" i="15" s="1"/>
  <c r="D269" i="15"/>
  <c r="E269" i="15"/>
  <c r="H269" i="15" s="1"/>
  <c r="D270" i="15"/>
  <c r="E270" i="15"/>
  <c r="H270" i="15" s="1"/>
  <c r="D271" i="15"/>
  <c r="E271" i="15"/>
  <c r="H271" i="15" s="1"/>
  <c r="D272" i="15"/>
  <c r="E272" i="15"/>
  <c r="H272" i="15" s="1"/>
  <c r="D273" i="15"/>
  <c r="E273" i="15"/>
  <c r="H273" i="15" s="1"/>
  <c r="D274" i="15"/>
  <c r="E274" i="15"/>
  <c r="H274" i="15" s="1"/>
  <c r="D275" i="15"/>
  <c r="E275" i="15"/>
  <c r="H275" i="15" s="1"/>
  <c r="D276" i="15"/>
  <c r="E276" i="15"/>
  <c r="H276" i="15" s="1"/>
  <c r="D277" i="15"/>
  <c r="E277" i="15"/>
  <c r="H277" i="15" s="1"/>
  <c r="D278" i="15"/>
  <c r="E278" i="15"/>
  <c r="H278" i="15" s="1"/>
  <c r="D279" i="15"/>
  <c r="E279" i="15"/>
  <c r="H279" i="15" s="1"/>
  <c r="D280" i="15"/>
  <c r="E280" i="15"/>
  <c r="H280" i="15" s="1"/>
  <c r="D281" i="15"/>
  <c r="E281" i="15"/>
  <c r="H281" i="15" s="1"/>
  <c r="D282" i="15"/>
  <c r="E282" i="15"/>
  <c r="H282" i="15" s="1"/>
  <c r="D283" i="15"/>
  <c r="E283" i="15"/>
  <c r="H283" i="15" s="1"/>
  <c r="D284" i="15"/>
  <c r="E284" i="15"/>
  <c r="H284" i="15" s="1"/>
  <c r="D285" i="15"/>
  <c r="E285" i="15"/>
  <c r="H285" i="15" s="1"/>
  <c r="D286" i="15"/>
  <c r="E286" i="15"/>
  <c r="H286" i="15" s="1"/>
  <c r="D287" i="15"/>
  <c r="E287" i="15"/>
  <c r="H287" i="15" s="1"/>
  <c r="D288" i="15"/>
  <c r="E288" i="15"/>
  <c r="H288" i="15" s="1"/>
  <c r="D289" i="15"/>
  <c r="E289" i="15"/>
  <c r="H289" i="15" s="1"/>
  <c r="D290" i="15"/>
  <c r="E290" i="15"/>
  <c r="H290" i="15" s="1"/>
  <c r="D291" i="15"/>
  <c r="E291" i="15"/>
  <c r="H291" i="15" s="1"/>
  <c r="D292" i="15"/>
  <c r="E292" i="15"/>
  <c r="H292" i="15" s="1"/>
  <c r="D293" i="15"/>
  <c r="E293" i="15"/>
  <c r="H293" i="15" s="1"/>
  <c r="D294" i="15"/>
  <c r="E294" i="15"/>
  <c r="H294" i="15" s="1"/>
  <c r="D295" i="15"/>
  <c r="E295" i="15"/>
  <c r="H295" i="15" s="1"/>
  <c r="D296" i="15"/>
  <c r="E296" i="15"/>
  <c r="H296" i="15" s="1"/>
  <c r="D297" i="15"/>
  <c r="E297" i="15"/>
  <c r="H297" i="15" s="1"/>
  <c r="D298" i="15"/>
  <c r="E298" i="15"/>
  <c r="H298" i="15" s="1"/>
  <c r="D299" i="15"/>
  <c r="E299" i="15"/>
  <c r="L193" i="15"/>
  <c r="M193" i="15"/>
  <c r="P193" i="15" s="1"/>
  <c r="L194" i="15"/>
  <c r="M194" i="15"/>
  <c r="P194" i="15" s="1"/>
  <c r="L195" i="15"/>
  <c r="M195" i="15"/>
  <c r="P195" i="15" s="1"/>
  <c r="L196" i="15"/>
  <c r="M196" i="15"/>
  <c r="P196" i="15" s="1"/>
  <c r="L197" i="15"/>
  <c r="M197" i="15"/>
  <c r="P197" i="15" s="1"/>
  <c r="L198" i="15"/>
  <c r="M198" i="15"/>
  <c r="P198" i="15" s="1"/>
  <c r="L199" i="15"/>
  <c r="M199" i="15"/>
  <c r="P199" i="15" s="1"/>
  <c r="L200" i="15"/>
  <c r="M200" i="15"/>
  <c r="P200" i="15" s="1"/>
  <c r="L201" i="15"/>
  <c r="M201" i="15"/>
  <c r="P201" i="15" s="1"/>
  <c r="L202" i="15"/>
  <c r="M202" i="15"/>
  <c r="P202" i="15" s="1"/>
  <c r="L203" i="15"/>
  <c r="M203" i="15"/>
  <c r="P203" i="15" s="1"/>
  <c r="L204" i="15"/>
  <c r="M204" i="15"/>
  <c r="P204" i="15" s="1"/>
  <c r="L205" i="15"/>
  <c r="M205" i="15"/>
  <c r="P205" i="15" s="1"/>
  <c r="L206" i="15"/>
  <c r="M206" i="15"/>
  <c r="P206" i="15" s="1"/>
  <c r="L207" i="15"/>
  <c r="M207" i="15"/>
  <c r="P207" i="15" s="1"/>
  <c r="L208" i="15"/>
  <c r="M208" i="15"/>
  <c r="P208" i="15" s="1"/>
  <c r="L209" i="15"/>
  <c r="M209" i="15"/>
  <c r="P209" i="15" s="1"/>
  <c r="L210" i="15"/>
  <c r="M210" i="15"/>
  <c r="P210" i="15" s="1"/>
  <c r="L211" i="15"/>
  <c r="M211" i="15"/>
  <c r="P211" i="15" s="1"/>
  <c r="L212" i="15"/>
  <c r="M212" i="15"/>
  <c r="P212" i="15" s="1"/>
  <c r="L213" i="15"/>
  <c r="M213" i="15"/>
  <c r="P213" i="15" s="1"/>
  <c r="L214" i="15"/>
  <c r="M214" i="15"/>
  <c r="P214" i="15" s="1"/>
  <c r="L215" i="15"/>
  <c r="M215" i="15"/>
  <c r="P215" i="15" s="1"/>
  <c r="L216" i="15"/>
  <c r="M216" i="15"/>
  <c r="P216" i="15" s="1"/>
  <c r="L217" i="15"/>
  <c r="M217" i="15"/>
  <c r="P217" i="15" s="1"/>
  <c r="L218" i="15"/>
  <c r="M218" i="15"/>
  <c r="P218" i="15" s="1"/>
  <c r="L219" i="15"/>
  <c r="M219" i="15"/>
  <c r="P219" i="15" s="1"/>
  <c r="L220" i="15"/>
  <c r="M220" i="15"/>
  <c r="P220" i="15" s="1"/>
  <c r="L221" i="15"/>
  <c r="M221" i="15"/>
  <c r="P221" i="15" s="1"/>
  <c r="L222" i="15"/>
  <c r="M222" i="15"/>
  <c r="P222" i="15" s="1"/>
  <c r="L223" i="15"/>
  <c r="M223" i="15"/>
  <c r="P223" i="15" s="1"/>
  <c r="L224" i="15"/>
  <c r="M224" i="15"/>
  <c r="P224" i="15" s="1"/>
  <c r="L225" i="15"/>
  <c r="M225" i="15"/>
  <c r="P225" i="15" s="1"/>
  <c r="L226" i="15"/>
  <c r="M226" i="15"/>
  <c r="P226" i="15" s="1"/>
  <c r="L227" i="15"/>
  <c r="M227" i="15"/>
  <c r="P227" i="15" s="1"/>
  <c r="L228" i="15"/>
  <c r="M228" i="15"/>
  <c r="P228" i="15" s="1"/>
  <c r="L229" i="15"/>
  <c r="M229" i="15"/>
  <c r="P229" i="15" s="1"/>
  <c r="L230" i="15"/>
  <c r="M230" i="15"/>
  <c r="P230" i="15" s="1"/>
  <c r="L231" i="15"/>
  <c r="M231" i="15"/>
  <c r="P231" i="15" s="1"/>
  <c r="L232" i="15"/>
  <c r="M232" i="15"/>
  <c r="P232" i="15" s="1"/>
  <c r="L233" i="15"/>
  <c r="M233" i="15"/>
  <c r="P233" i="15" s="1"/>
  <c r="L234" i="15"/>
  <c r="M234" i="15"/>
  <c r="P234" i="15" s="1"/>
  <c r="L235" i="15"/>
  <c r="M235" i="15"/>
  <c r="P235" i="15" s="1"/>
  <c r="L236" i="15"/>
  <c r="M236" i="15"/>
  <c r="P236" i="15" s="1"/>
  <c r="L237" i="15"/>
  <c r="M237" i="15"/>
  <c r="P237" i="15" s="1"/>
  <c r="L238" i="15"/>
  <c r="M238" i="15"/>
  <c r="P238" i="15" s="1"/>
  <c r="L239" i="15"/>
  <c r="M239" i="15"/>
  <c r="D193" i="15"/>
  <c r="E193" i="15"/>
  <c r="H193" i="15" s="1"/>
  <c r="D194" i="15"/>
  <c r="E194" i="15"/>
  <c r="H194" i="15" s="1"/>
  <c r="D195" i="15"/>
  <c r="E195" i="15"/>
  <c r="H195" i="15" s="1"/>
  <c r="D196" i="15"/>
  <c r="E196" i="15"/>
  <c r="H196" i="15" s="1"/>
  <c r="D197" i="15"/>
  <c r="E197" i="15"/>
  <c r="H197" i="15" s="1"/>
  <c r="D198" i="15"/>
  <c r="E198" i="15"/>
  <c r="H198" i="15" s="1"/>
  <c r="D199" i="15"/>
  <c r="E199" i="15"/>
  <c r="H199" i="15" s="1"/>
  <c r="D200" i="15"/>
  <c r="E200" i="15"/>
  <c r="H200" i="15" s="1"/>
  <c r="D201" i="15"/>
  <c r="E201" i="15"/>
  <c r="H201" i="15" s="1"/>
  <c r="D202" i="15"/>
  <c r="E202" i="15"/>
  <c r="H202" i="15" s="1"/>
  <c r="D203" i="15"/>
  <c r="E203" i="15"/>
  <c r="H203" i="15" s="1"/>
  <c r="D204" i="15"/>
  <c r="E204" i="15"/>
  <c r="H204" i="15" s="1"/>
  <c r="D205" i="15"/>
  <c r="E205" i="15"/>
  <c r="H205" i="15" s="1"/>
  <c r="D206" i="15"/>
  <c r="E206" i="15"/>
  <c r="H206" i="15" s="1"/>
  <c r="D207" i="15"/>
  <c r="E207" i="15"/>
  <c r="H207" i="15" s="1"/>
  <c r="D208" i="15"/>
  <c r="E208" i="15"/>
  <c r="H208" i="15" s="1"/>
  <c r="D209" i="15"/>
  <c r="E209" i="15"/>
  <c r="H209" i="15" s="1"/>
  <c r="D210" i="15"/>
  <c r="E210" i="15"/>
  <c r="H210" i="15" s="1"/>
  <c r="D211" i="15"/>
  <c r="E211" i="15"/>
  <c r="H211" i="15" s="1"/>
  <c r="D212" i="15"/>
  <c r="E212" i="15"/>
  <c r="H212" i="15" s="1"/>
  <c r="D213" i="15"/>
  <c r="E213" i="15"/>
  <c r="H213" i="15" s="1"/>
  <c r="D214" i="15"/>
  <c r="E214" i="15"/>
  <c r="H214" i="15" s="1"/>
  <c r="D215" i="15"/>
  <c r="E215" i="15"/>
  <c r="H215" i="15" s="1"/>
  <c r="D216" i="15"/>
  <c r="E216" i="15"/>
  <c r="H216" i="15" s="1"/>
  <c r="D217" i="15"/>
  <c r="E217" i="15"/>
  <c r="H217" i="15" s="1"/>
  <c r="D218" i="15"/>
  <c r="E218" i="15"/>
  <c r="H218" i="15" s="1"/>
  <c r="D219" i="15"/>
  <c r="E219" i="15"/>
  <c r="H219" i="15" s="1"/>
  <c r="D220" i="15"/>
  <c r="E220" i="15"/>
  <c r="H220" i="15" s="1"/>
  <c r="D221" i="15"/>
  <c r="E221" i="15"/>
  <c r="H221" i="15" s="1"/>
  <c r="D222" i="15"/>
  <c r="E222" i="15"/>
  <c r="H222" i="15" s="1"/>
  <c r="D223" i="15"/>
  <c r="E223" i="15"/>
  <c r="H223" i="15" s="1"/>
  <c r="D224" i="15"/>
  <c r="E224" i="15"/>
  <c r="H224" i="15" s="1"/>
  <c r="D225" i="15"/>
  <c r="E225" i="15"/>
  <c r="H225" i="15" s="1"/>
  <c r="D226" i="15"/>
  <c r="E226" i="15"/>
  <c r="H226" i="15" s="1"/>
  <c r="D227" i="15"/>
  <c r="E227" i="15"/>
  <c r="H227" i="15" s="1"/>
  <c r="D228" i="15"/>
  <c r="E228" i="15"/>
  <c r="H228" i="15" s="1"/>
  <c r="D229" i="15"/>
  <c r="E229" i="15"/>
  <c r="H229" i="15" s="1"/>
  <c r="D230" i="15"/>
  <c r="E230" i="15"/>
  <c r="H230" i="15" s="1"/>
  <c r="D231" i="15"/>
  <c r="E231" i="15"/>
  <c r="H231" i="15" s="1"/>
  <c r="D232" i="15"/>
  <c r="E232" i="15"/>
  <c r="H232" i="15" s="1"/>
  <c r="D233" i="15"/>
  <c r="E233" i="15"/>
  <c r="H233" i="15" s="1"/>
  <c r="D234" i="15"/>
  <c r="E234" i="15"/>
  <c r="H234" i="15" s="1"/>
  <c r="D235" i="15"/>
  <c r="E235" i="15"/>
  <c r="H235" i="15" s="1"/>
  <c r="D236" i="15"/>
  <c r="E236" i="15"/>
  <c r="H236" i="15" s="1"/>
  <c r="D237" i="15"/>
  <c r="E237" i="15"/>
  <c r="H237" i="15" s="1"/>
  <c r="D238" i="15"/>
  <c r="E238" i="15"/>
  <c r="H238" i="15" s="1"/>
  <c r="D239" i="15"/>
  <c r="E239" i="15"/>
  <c r="L133" i="15"/>
  <c r="M133" i="15"/>
  <c r="P133" i="15" s="1"/>
  <c r="L134" i="15"/>
  <c r="M134" i="15"/>
  <c r="P134" i="15" s="1"/>
  <c r="L135" i="15"/>
  <c r="M135" i="15"/>
  <c r="P135" i="15" s="1"/>
  <c r="L136" i="15"/>
  <c r="M136" i="15"/>
  <c r="P136" i="15" s="1"/>
  <c r="L137" i="15"/>
  <c r="M137" i="15"/>
  <c r="P137" i="15" s="1"/>
  <c r="L138" i="15"/>
  <c r="M138" i="15"/>
  <c r="P138" i="15" s="1"/>
  <c r="L139" i="15"/>
  <c r="M139" i="15"/>
  <c r="P139" i="15" s="1"/>
  <c r="L140" i="15"/>
  <c r="M140" i="15"/>
  <c r="P140" i="15" s="1"/>
  <c r="L141" i="15"/>
  <c r="M141" i="15"/>
  <c r="P141" i="15" s="1"/>
  <c r="L142" i="15"/>
  <c r="M142" i="15"/>
  <c r="P142" i="15" s="1"/>
  <c r="L143" i="15"/>
  <c r="M143" i="15"/>
  <c r="P143" i="15" s="1"/>
  <c r="L144" i="15"/>
  <c r="M144" i="15"/>
  <c r="P144" i="15" s="1"/>
  <c r="L145" i="15"/>
  <c r="M145" i="15"/>
  <c r="P145" i="15" s="1"/>
  <c r="L146" i="15"/>
  <c r="M146" i="15"/>
  <c r="P146" i="15" s="1"/>
  <c r="L147" i="15"/>
  <c r="M147" i="15"/>
  <c r="P147" i="15" s="1"/>
  <c r="L148" i="15"/>
  <c r="M148" i="15"/>
  <c r="P148" i="15" s="1"/>
  <c r="L149" i="15"/>
  <c r="M149" i="15"/>
  <c r="P149" i="15" s="1"/>
  <c r="L150" i="15"/>
  <c r="M150" i="15"/>
  <c r="P150" i="15" s="1"/>
  <c r="L151" i="15"/>
  <c r="M151" i="15"/>
  <c r="P151" i="15" s="1"/>
  <c r="L152" i="15"/>
  <c r="M152" i="15"/>
  <c r="P152" i="15" s="1"/>
  <c r="L153" i="15"/>
  <c r="M153" i="15"/>
  <c r="P153" i="15" s="1"/>
  <c r="L154" i="15"/>
  <c r="M154" i="15"/>
  <c r="P154" i="15" s="1"/>
  <c r="L155" i="15"/>
  <c r="M155" i="15"/>
  <c r="P155" i="15" s="1"/>
  <c r="L156" i="15"/>
  <c r="M156" i="15"/>
  <c r="P156" i="15" s="1"/>
  <c r="L157" i="15"/>
  <c r="M157" i="15"/>
  <c r="P157" i="15" s="1"/>
  <c r="L158" i="15"/>
  <c r="M158" i="15"/>
  <c r="P158" i="15" s="1"/>
  <c r="L159" i="15"/>
  <c r="M159" i="15"/>
  <c r="P159" i="15" s="1"/>
  <c r="L160" i="15"/>
  <c r="M160" i="15"/>
  <c r="P160" i="15" s="1"/>
  <c r="L161" i="15"/>
  <c r="M161" i="15"/>
  <c r="P161" i="15" s="1"/>
  <c r="L162" i="15"/>
  <c r="M162" i="15"/>
  <c r="P162" i="15" s="1"/>
  <c r="L163" i="15"/>
  <c r="M163" i="15"/>
  <c r="P163" i="15" s="1"/>
  <c r="L164" i="15"/>
  <c r="M164" i="15"/>
  <c r="P164" i="15" s="1"/>
  <c r="L165" i="15"/>
  <c r="M165" i="15"/>
  <c r="P165" i="15" s="1"/>
  <c r="L166" i="15"/>
  <c r="M166" i="15"/>
  <c r="P166" i="15" s="1"/>
  <c r="L167" i="15"/>
  <c r="M167" i="15"/>
  <c r="P167" i="15" s="1"/>
  <c r="L168" i="15"/>
  <c r="M168" i="15"/>
  <c r="P168" i="15" s="1"/>
  <c r="L169" i="15"/>
  <c r="M169" i="15"/>
  <c r="P169" i="15" s="1"/>
  <c r="L170" i="15"/>
  <c r="M170" i="15"/>
  <c r="P170" i="15" s="1"/>
  <c r="L171" i="15"/>
  <c r="M171" i="15"/>
  <c r="P171" i="15" s="1"/>
  <c r="L172" i="15"/>
  <c r="M172" i="15"/>
  <c r="P172" i="15" s="1"/>
  <c r="L173" i="15"/>
  <c r="M173" i="15"/>
  <c r="P173" i="15" s="1"/>
  <c r="L174" i="15"/>
  <c r="M174" i="15"/>
  <c r="P174" i="15" s="1"/>
  <c r="L175" i="15"/>
  <c r="M175" i="15"/>
  <c r="P175" i="15" s="1"/>
  <c r="L176" i="15"/>
  <c r="M176" i="15"/>
  <c r="P176" i="15" s="1"/>
  <c r="L177" i="15"/>
  <c r="M177" i="15"/>
  <c r="P177" i="15" s="1"/>
  <c r="L178" i="15"/>
  <c r="M178" i="15"/>
  <c r="P178" i="15" s="1"/>
  <c r="L179" i="15"/>
  <c r="M179" i="15"/>
  <c r="D133" i="15"/>
  <c r="E133" i="15"/>
  <c r="H133" i="15" s="1"/>
  <c r="D134" i="15"/>
  <c r="E134" i="15"/>
  <c r="H134" i="15" s="1"/>
  <c r="D135" i="15"/>
  <c r="E135" i="15"/>
  <c r="H135" i="15" s="1"/>
  <c r="D136" i="15"/>
  <c r="E136" i="15"/>
  <c r="H136" i="15" s="1"/>
  <c r="D137" i="15"/>
  <c r="E137" i="15"/>
  <c r="H137" i="15" s="1"/>
  <c r="D138" i="15"/>
  <c r="E138" i="15"/>
  <c r="H138" i="15" s="1"/>
  <c r="D139" i="15"/>
  <c r="E139" i="15"/>
  <c r="H139" i="15" s="1"/>
  <c r="D140" i="15"/>
  <c r="E140" i="15"/>
  <c r="H140" i="15" s="1"/>
  <c r="D141" i="15"/>
  <c r="E141" i="15"/>
  <c r="H141" i="15" s="1"/>
  <c r="D142" i="15"/>
  <c r="E142" i="15"/>
  <c r="H142" i="15" s="1"/>
  <c r="D143" i="15"/>
  <c r="E143" i="15"/>
  <c r="H143" i="15" s="1"/>
  <c r="D144" i="15"/>
  <c r="E144" i="15"/>
  <c r="H144" i="15" s="1"/>
  <c r="D145" i="15"/>
  <c r="E145" i="15"/>
  <c r="H145" i="15" s="1"/>
  <c r="D146" i="15"/>
  <c r="E146" i="15"/>
  <c r="H146" i="15" s="1"/>
  <c r="D147" i="15"/>
  <c r="E147" i="15"/>
  <c r="H147" i="15" s="1"/>
  <c r="D148" i="15"/>
  <c r="D149" i="15"/>
  <c r="D150" i="15"/>
  <c r="D151" i="15"/>
  <c r="D152" i="15"/>
  <c r="D153" i="15"/>
  <c r="D154" i="15"/>
  <c r="D155" i="15"/>
  <c r="E155" i="15"/>
  <c r="H155" i="15" s="1"/>
  <c r="D156" i="15"/>
  <c r="E156" i="15"/>
  <c r="H156" i="15" s="1"/>
  <c r="D157" i="15"/>
  <c r="E157" i="15"/>
  <c r="H157" i="15" s="1"/>
  <c r="D158" i="15"/>
  <c r="E158" i="15"/>
  <c r="H158" i="15" s="1"/>
  <c r="D159" i="15"/>
  <c r="E159" i="15"/>
  <c r="H159" i="15" s="1"/>
  <c r="D160" i="15"/>
  <c r="E160" i="15"/>
  <c r="H160" i="15" s="1"/>
  <c r="D161" i="15"/>
  <c r="E161" i="15"/>
  <c r="H161" i="15" s="1"/>
  <c r="D162" i="15"/>
  <c r="E162" i="15"/>
  <c r="H162" i="15" s="1"/>
  <c r="D163" i="15"/>
  <c r="E163" i="15"/>
  <c r="H163" i="15" s="1"/>
  <c r="D164" i="15"/>
  <c r="E164" i="15"/>
  <c r="H164" i="15" s="1"/>
  <c r="D165" i="15"/>
  <c r="E165" i="15"/>
  <c r="H165" i="15" s="1"/>
  <c r="D166" i="15"/>
  <c r="E166" i="15"/>
  <c r="H166" i="15" s="1"/>
  <c r="D167" i="15"/>
  <c r="E167" i="15"/>
  <c r="H167" i="15" s="1"/>
  <c r="D168" i="15"/>
  <c r="E168" i="15"/>
  <c r="H168" i="15" s="1"/>
  <c r="D169" i="15"/>
  <c r="E169" i="15"/>
  <c r="H169" i="15" s="1"/>
  <c r="D170" i="15"/>
  <c r="E170" i="15"/>
  <c r="H170" i="15" s="1"/>
  <c r="D171" i="15"/>
  <c r="E171" i="15"/>
  <c r="H171" i="15" s="1"/>
  <c r="D172" i="15"/>
  <c r="E172" i="15"/>
  <c r="H172" i="15" s="1"/>
  <c r="D173" i="15"/>
  <c r="E173" i="15"/>
  <c r="H173" i="15" s="1"/>
  <c r="D174" i="15"/>
  <c r="E174" i="15"/>
  <c r="H174" i="15" s="1"/>
  <c r="D175" i="15"/>
  <c r="E175" i="15"/>
  <c r="H175" i="15" s="1"/>
  <c r="D176" i="15"/>
  <c r="E176" i="15"/>
  <c r="H176" i="15" s="1"/>
  <c r="D177" i="15"/>
  <c r="E177" i="15"/>
  <c r="H177" i="15" s="1"/>
  <c r="D178" i="15"/>
  <c r="E178" i="15"/>
  <c r="H178" i="15" s="1"/>
  <c r="D179" i="15"/>
  <c r="E179" i="15"/>
  <c r="E252" i="15"/>
  <c r="H252" i="15" s="1"/>
  <c r="M192" i="15"/>
  <c r="P192" i="15" s="1"/>
  <c r="D252" i="15"/>
  <c r="L192" i="15"/>
  <c r="D192" i="15"/>
  <c r="L132" i="15"/>
  <c r="E192" i="15"/>
  <c r="H192" i="15" s="1"/>
  <c r="M132" i="15"/>
  <c r="P132" i="15" s="1"/>
  <c r="E132" i="15"/>
  <c r="H132" i="15" s="1"/>
  <c r="D132" i="15"/>
  <c r="D73" i="15"/>
  <c r="E73" i="15"/>
  <c r="H73" i="15" s="1"/>
  <c r="D74" i="15"/>
  <c r="E74" i="15"/>
  <c r="H74" i="15" s="1"/>
  <c r="D75" i="15"/>
  <c r="E75" i="15"/>
  <c r="H75" i="15" s="1"/>
  <c r="D76" i="15"/>
  <c r="E76" i="15"/>
  <c r="H76" i="15" s="1"/>
  <c r="D77" i="15"/>
  <c r="E77" i="15"/>
  <c r="H77" i="15" s="1"/>
  <c r="D78" i="15"/>
  <c r="E78" i="15"/>
  <c r="H78" i="15" s="1"/>
  <c r="D79" i="15"/>
  <c r="E79" i="15"/>
  <c r="H79" i="15" s="1"/>
  <c r="D80" i="15"/>
  <c r="E80" i="15"/>
  <c r="H80" i="15" s="1"/>
  <c r="D81" i="15"/>
  <c r="E81" i="15"/>
  <c r="H81" i="15" s="1"/>
  <c r="D82" i="15"/>
  <c r="E82" i="15"/>
  <c r="H82" i="15" s="1"/>
  <c r="D83" i="15"/>
  <c r="E83" i="15"/>
  <c r="H83" i="15" s="1"/>
  <c r="D84" i="15"/>
  <c r="E84" i="15"/>
  <c r="H84" i="15" s="1"/>
  <c r="D85" i="15"/>
  <c r="E85" i="15"/>
  <c r="H85" i="15" s="1"/>
  <c r="D86" i="15"/>
  <c r="E86" i="15"/>
  <c r="H86" i="15" s="1"/>
  <c r="D87" i="15"/>
  <c r="E87" i="15"/>
  <c r="H87" i="15" s="1"/>
  <c r="D88" i="15"/>
  <c r="E88" i="15"/>
  <c r="H88" i="15" s="1"/>
  <c r="D89" i="15"/>
  <c r="E89" i="15"/>
  <c r="H89" i="15" s="1"/>
  <c r="D90" i="15"/>
  <c r="E90" i="15"/>
  <c r="H90" i="15" s="1"/>
  <c r="D91" i="15"/>
  <c r="E91" i="15"/>
  <c r="H91" i="15" s="1"/>
  <c r="D92" i="15"/>
  <c r="E92" i="15"/>
  <c r="H92" i="15" s="1"/>
  <c r="D93" i="15"/>
  <c r="E93" i="15"/>
  <c r="H93" i="15" s="1"/>
  <c r="D94" i="15"/>
  <c r="E94" i="15"/>
  <c r="H94" i="15" s="1"/>
  <c r="D95" i="15"/>
  <c r="E95" i="15"/>
  <c r="H95" i="15" s="1"/>
  <c r="D96" i="15"/>
  <c r="E96" i="15"/>
  <c r="H96" i="15" s="1"/>
  <c r="D97" i="15"/>
  <c r="E97" i="15"/>
  <c r="H97" i="15" s="1"/>
  <c r="D98" i="15"/>
  <c r="E98" i="15"/>
  <c r="H98" i="15" s="1"/>
  <c r="D99" i="15"/>
  <c r="E99" i="15"/>
  <c r="H99" i="15" s="1"/>
  <c r="D100" i="15"/>
  <c r="E100" i="15"/>
  <c r="H100" i="15" s="1"/>
  <c r="D101" i="15"/>
  <c r="E101" i="15"/>
  <c r="H101" i="15" s="1"/>
  <c r="D102" i="15"/>
  <c r="E102" i="15"/>
  <c r="H102" i="15" s="1"/>
  <c r="D103" i="15"/>
  <c r="E103" i="15"/>
  <c r="H103" i="15" s="1"/>
  <c r="D104" i="15"/>
  <c r="E104" i="15"/>
  <c r="H104" i="15" s="1"/>
  <c r="D105" i="15"/>
  <c r="E105" i="15"/>
  <c r="H105" i="15" s="1"/>
  <c r="D106" i="15"/>
  <c r="E106" i="15"/>
  <c r="H106" i="15" s="1"/>
  <c r="D107" i="15"/>
  <c r="E107" i="15"/>
  <c r="H107" i="15" s="1"/>
  <c r="D108" i="15"/>
  <c r="E108" i="15"/>
  <c r="H108" i="15" s="1"/>
  <c r="D109" i="15"/>
  <c r="E109" i="15"/>
  <c r="H109" i="15" s="1"/>
  <c r="D110" i="15"/>
  <c r="E110" i="15"/>
  <c r="H110" i="15" s="1"/>
  <c r="D111" i="15"/>
  <c r="E111" i="15"/>
  <c r="H111" i="15" s="1"/>
  <c r="D112" i="15"/>
  <c r="E112" i="15"/>
  <c r="H112" i="15" s="1"/>
  <c r="D113" i="15"/>
  <c r="E113" i="15"/>
  <c r="H113" i="15" s="1"/>
  <c r="D114" i="15"/>
  <c r="E114" i="15"/>
  <c r="H114" i="15" s="1"/>
  <c r="D115" i="15"/>
  <c r="E115" i="15"/>
  <c r="H115" i="15" s="1"/>
  <c r="D116" i="15"/>
  <c r="E116" i="15"/>
  <c r="H116" i="15" s="1"/>
  <c r="D117" i="15"/>
  <c r="E117" i="15"/>
  <c r="H117" i="15" s="1"/>
  <c r="D118" i="15"/>
  <c r="E118" i="15"/>
  <c r="H118" i="15" s="1"/>
  <c r="D119" i="15"/>
  <c r="E119" i="15"/>
  <c r="L73" i="15"/>
  <c r="M73" i="15"/>
  <c r="P73" i="15" s="1"/>
  <c r="L74" i="15"/>
  <c r="M74" i="15"/>
  <c r="P74" i="15" s="1"/>
  <c r="L75" i="15"/>
  <c r="M75" i="15"/>
  <c r="P75" i="15" s="1"/>
  <c r="L76" i="15"/>
  <c r="M76" i="15"/>
  <c r="P76" i="15" s="1"/>
  <c r="L77" i="15"/>
  <c r="M77" i="15"/>
  <c r="P77" i="15" s="1"/>
  <c r="L78" i="15"/>
  <c r="M78" i="15"/>
  <c r="P78" i="15" s="1"/>
  <c r="L79" i="15"/>
  <c r="M79" i="15"/>
  <c r="P79" i="15" s="1"/>
  <c r="L80" i="15"/>
  <c r="M80" i="15"/>
  <c r="P80" i="15" s="1"/>
  <c r="L81" i="15"/>
  <c r="M81" i="15"/>
  <c r="P81" i="15" s="1"/>
  <c r="L82" i="15"/>
  <c r="M82" i="15"/>
  <c r="P82" i="15" s="1"/>
  <c r="L83" i="15"/>
  <c r="M83" i="15"/>
  <c r="P83" i="15" s="1"/>
  <c r="L84" i="15"/>
  <c r="M84" i="15"/>
  <c r="P84" i="15" s="1"/>
  <c r="L85" i="15"/>
  <c r="M85" i="15"/>
  <c r="P85" i="15" s="1"/>
  <c r="L86" i="15"/>
  <c r="M86" i="15"/>
  <c r="P86" i="15" s="1"/>
  <c r="L87" i="15"/>
  <c r="M87" i="15"/>
  <c r="P87" i="15" s="1"/>
  <c r="L88" i="15"/>
  <c r="M88" i="15"/>
  <c r="P88" i="15" s="1"/>
  <c r="L89" i="15"/>
  <c r="M89" i="15"/>
  <c r="P89" i="15" s="1"/>
  <c r="L90" i="15"/>
  <c r="M90" i="15"/>
  <c r="P90" i="15" s="1"/>
  <c r="L91" i="15"/>
  <c r="M91" i="15"/>
  <c r="P91" i="15" s="1"/>
  <c r="L92" i="15"/>
  <c r="M92" i="15"/>
  <c r="P92" i="15" s="1"/>
  <c r="L93" i="15"/>
  <c r="M93" i="15"/>
  <c r="P93" i="15" s="1"/>
  <c r="L94" i="15"/>
  <c r="M94" i="15"/>
  <c r="P94" i="15" s="1"/>
  <c r="L95" i="15"/>
  <c r="M95" i="15"/>
  <c r="P95" i="15" s="1"/>
  <c r="L96" i="15"/>
  <c r="M96" i="15"/>
  <c r="P96" i="15" s="1"/>
  <c r="L97" i="15"/>
  <c r="M97" i="15"/>
  <c r="P97" i="15" s="1"/>
  <c r="L98" i="15"/>
  <c r="M98" i="15"/>
  <c r="P98" i="15" s="1"/>
  <c r="L99" i="15"/>
  <c r="M99" i="15"/>
  <c r="P99" i="15" s="1"/>
  <c r="L100" i="15"/>
  <c r="M100" i="15"/>
  <c r="P100" i="15" s="1"/>
  <c r="L101" i="15"/>
  <c r="M101" i="15"/>
  <c r="P101" i="15" s="1"/>
  <c r="L102" i="15"/>
  <c r="M102" i="15"/>
  <c r="P102" i="15" s="1"/>
  <c r="L103" i="15"/>
  <c r="M103" i="15"/>
  <c r="P103" i="15" s="1"/>
  <c r="L104" i="15"/>
  <c r="M104" i="15"/>
  <c r="P104" i="15" s="1"/>
  <c r="L105" i="15"/>
  <c r="M105" i="15"/>
  <c r="P105" i="15" s="1"/>
  <c r="L106" i="15"/>
  <c r="M106" i="15"/>
  <c r="P106" i="15" s="1"/>
  <c r="L107" i="15"/>
  <c r="M107" i="15"/>
  <c r="P107" i="15" s="1"/>
  <c r="L108" i="15"/>
  <c r="M108" i="15"/>
  <c r="P108" i="15" s="1"/>
  <c r="L109" i="15"/>
  <c r="M109" i="15"/>
  <c r="P109" i="15" s="1"/>
  <c r="L110" i="15"/>
  <c r="M110" i="15"/>
  <c r="P110" i="15" s="1"/>
  <c r="L111" i="15"/>
  <c r="M111" i="15"/>
  <c r="P111" i="15" s="1"/>
  <c r="L112" i="15"/>
  <c r="M112" i="15"/>
  <c r="P112" i="15" s="1"/>
  <c r="L113" i="15"/>
  <c r="M113" i="15"/>
  <c r="P113" i="15" s="1"/>
  <c r="L114" i="15"/>
  <c r="M114" i="15"/>
  <c r="P114" i="15" s="1"/>
  <c r="L115" i="15"/>
  <c r="M115" i="15"/>
  <c r="P115" i="15" s="1"/>
  <c r="L116" i="15"/>
  <c r="M116" i="15"/>
  <c r="P116" i="15" s="1"/>
  <c r="L117" i="15"/>
  <c r="M117" i="15"/>
  <c r="P117" i="15" s="1"/>
  <c r="L118" i="15"/>
  <c r="M118" i="15"/>
  <c r="P118" i="15" s="1"/>
  <c r="L119" i="15"/>
  <c r="M119" i="15"/>
  <c r="M72" i="15"/>
  <c r="P72" i="15" s="1"/>
  <c r="L72" i="15"/>
  <c r="D72" i="15"/>
  <c r="E72" i="15"/>
  <c r="H72" i="15" s="1"/>
  <c r="E12" i="15"/>
  <c r="H12" i="15" s="1"/>
  <c r="D12" i="15"/>
  <c r="L13" i="15"/>
  <c r="M13" i="15"/>
  <c r="P13" i="15" s="1"/>
  <c r="L14" i="15"/>
  <c r="M14" i="15"/>
  <c r="P14" i="15" s="1"/>
  <c r="L15" i="15"/>
  <c r="M15" i="15"/>
  <c r="P15" i="15" s="1"/>
  <c r="L16" i="15"/>
  <c r="M16" i="15"/>
  <c r="P16" i="15" s="1"/>
  <c r="L17" i="15"/>
  <c r="M17" i="15"/>
  <c r="P17" i="15" s="1"/>
  <c r="L18" i="15"/>
  <c r="M18" i="15"/>
  <c r="P18" i="15" s="1"/>
  <c r="L19" i="15"/>
  <c r="M19" i="15"/>
  <c r="P19" i="15" s="1"/>
  <c r="L20" i="15"/>
  <c r="M20" i="15"/>
  <c r="P20" i="15" s="1"/>
  <c r="L21" i="15"/>
  <c r="M21" i="15"/>
  <c r="P21" i="15" s="1"/>
  <c r="L22" i="15"/>
  <c r="M22" i="15"/>
  <c r="P22" i="15" s="1"/>
  <c r="L23" i="15"/>
  <c r="M23" i="15"/>
  <c r="P23" i="15" s="1"/>
  <c r="L24" i="15"/>
  <c r="M24" i="15"/>
  <c r="P24" i="15" s="1"/>
  <c r="L25" i="15"/>
  <c r="M25" i="15"/>
  <c r="P25" i="15" s="1"/>
  <c r="L26" i="15"/>
  <c r="M26" i="15"/>
  <c r="P26" i="15" s="1"/>
  <c r="L27" i="15"/>
  <c r="M27" i="15"/>
  <c r="P27" i="15" s="1"/>
  <c r="L28" i="15"/>
  <c r="M28" i="15"/>
  <c r="P28" i="15" s="1"/>
  <c r="L29" i="15"/>
  <c r="M29" i="15"/>
  <c r="P29" i="15" s="1"/>
  <c r="L30" i="15"/>
  <c r="M30" i="15"/>
  <c r="P30" i="15" s="1"/>
  <c r="L31" i="15"/>
  <c r="M31" i="15"/>
  <c r="P31" i="15" s="1"/>
  <c r="L32" i="15"/>
  <c r="M32" i="15"/>
  <c r="P32" i="15" s="1"/>
  <c r="L33" i="15"/>
  <c r="M33" i="15"/>
  <c r="P33" i="15" s="1"/>
  <c r="L34" i="15"/>
  <c r="M34" i="15"/>
  <c r="P34" i="15" s="1"/>
  <c r="L35" i="15"/>
  <c r="M35" i="15"/>
  <c r="P35" i="15" s="1"/>
  <c r="L36" i="15"/>
  <c r="M36" i="15"/>
  <c r="P36" i="15" s="1"/>
  <c r="L37" i="15"/>
  <c r="M37" i="15"/>
  <c r="P37" i="15" s="1"/>
  <c r="L38" i="15"/>
  <c r="M38" i="15"/>
  <c r="P38" i="15" s="1"/>
  <c r="L39" i="15"/>
  <c r="M39" i="15"/>
  <c r="P39" i="15" s="1"/>
  <c r="L40" i="15"/>
  <c r="M40" i="15"/>
  <c r="P40" i="15" s="1"/>
  <c r="L41" i="15"/>
  <c r="M41" i="15"/>
  <c r="P41" i="15" s="1"/>
  <c r="L42" i="15"/>
  <c r="M42" i="15"/>
  <c r="P42" i="15" s="1"/>
  <c r="L43" i="15"/>
  <c r="M43" i="15"/>
  <c r="P43" i="15" s="1"/>
  <c r="L44" i="15"/>
  <c r="M44" i="15"/>
  <c r="P44" i="15" s="1"/>
  <c r="L45" i="15"/>
  <c r="M45" i="15"/>
  <c r="P45" i="15" s="1"/>
  <c r="L46" i="15"/>
  <c r="M46" i="15"/>
  <c r="P46" i="15" s="1"/>
  <c r="L47" i="15"/>
  <c r="M47" i="15"/>
  <c r="P47" i="15" s="1"/>
  <c r="L48" i="15"/>
  <c r="M48" i="15"/>
  <c r="P48" i="15" s="1"/>
  <c r="L49" i="15"/>
  <c r="M49" i="15"/>
  <c r="P49" i="15" s="1"/>
  <c r="L50" i="15"/>
  <c r="M50" i="15"/>
  <c r="P50" i="15" s="1"/>
  <c r="L51" i="15"/>
  <c r="M51" i="15"/>
  <c r="P51" i="15" s="1"/>
  <c r="L52" i="15"/>
  <c r="M52" i="15"/>
  <c r="P52" i="15" s="1"/>
  <c r="L53" i="15"/>
  <c r="M53" i="15"/>
  <c r="P53" i="15" s="1"/>
  <c r="L54" i="15"/>
  <c r="M54" i="15"/>
  <c r="P54" i="15" s="1"/>
  <c r="L55" i="15"/>
  <c r="M55" i="15"/>
  <c r="P55" i="15" s="1"/>
  <c r="L56" i="15"/>
  <c r="M56" i="15"/>
  <c r="P56" i="15" s="1"/>
  <c r="L57" i="15"/>
  <c r="M57" i="15"/>
  <c r="P57" i="15" s="1"/>
  <c r="L58" i="15"/>
  <c r="M58" i="15"/>
  <c r="P58" i="15" s="1"/>
  <c r="L59" i="15"/>
  <c r="M59" i="15"/>
  <c r="M12" i="15"/>
  <c r="P12" i="15" s="1"/>
  <c r="L12" i="15"/>
  <c r="J427" i="15"/>
  <c r="B427" i="15"/>
  <c r="J367" i="15"/>
  <c r="B367" i="15"/>
  <c r="J307" i="15"/>
  <c r="B307" i="15"/>
  <c r="J247" i="15"/>
  <c r="B247" i="15"/>
  <c r="J187" i="15"/>
  <c r="B187" i="15"/>
  <c r="J127" i="15"/>
  <c r="B127" i="15"/>
  <c r="J67" i="15"/>
  <c r="B67" i="15"/>
  <c r="D13" i="15" l="1"/>
  <c r="E13" i="15"/>
  <c r="H13" i="15" s="1"/>
  <c r="D14" i="15"/>
  <c r="E14" i="15"/>
  <c r="H14" i="15" s="1"/>
  <c r="D15" i="15"/>
  <c r="E15" i="15"/>
  <c r="H15" i="15" s="1"/>
  <c r="D16" i="15"/>
  <c r="E16" i="15"/>
  <c r="H16" i="15" s="1"/>
  <c r="D17" i="15"/>
  <c r="E17" i="15"/>
  <c r="H17" i="15" s="1"/>
  <c r="D18" i="15"/>
  <c r="E18" i="15"/>
  <c r="H18" i="15" s="1"/>
  <c r="D19" i="15"/>
  <c r="E19" i="15"/>
  <c r="H19" i="15" s="1"/>
  <c r="D20" i="15"/>
  <c r="E20" i="15"/>
  <c r="H20" i="15" s="1"/>
  <c r="D21" i="15"/>
  <c r="E21" i="15"/>
  <c r="H21" i="15" s="1"/>
  <c r="D22" i="15"/>
  <c r="E22" i="15"/>
  <c r="H22" i="15" s="1"/>
  <c r="D23" i="15"/>
  <c r="E23" i="15"/>
  <c r="H23" i="15" s="1"/>
  <c r="D24" i="15"/>
  <c r="E24" i="15"/>
  <c r="H24" i="15" s="1"/>
  <c r="D25" i="15"/>
  <c r="E25" i="15"/>
  <c r="H25" i="15" s="1"/>
  <c r="D26" i="15"/>
  <c r="E26" i="15"/>
  <c r="H26" i="15" s="1"/>
  <c r="D27" i="15"/>
  <c r="E27" i="15"/>
  <c r="H27" i="15" s="1"/>
  <c r="D28" i="15"/>
  <c r="E28" i="15"/>
  <c r="H28" i="15" s="1"/>
  <c r="D29" i="15"/>
  <c r="E29" i="15"/>
  <c r="H29" i="15" s="1"/>
  <c r="D30" i="15"/>
  <c r="E30" i="15"/>
  <c r="H30" i="15" s="1"/>
  <c r="D31" i="15"/>
  <c r="E31" i="15"/>
  <c r="H31" i="15" s="1"/>
  <c r="D32" i="15"/>
  <c r="E32" i="15"/>
  <c r="H32" i="15" s="1"/>
  <c r="D33" i="15"/>
  <c r="E33" i="15"/>
  <c r="H33" i="15" s="1"/>
  <c r="D34" i="15"/>
  <c r="E34" i="15"/>
  <c r="H34" i="15" s="1"/>
  <c r="D35" i="15"/>
  <c r="E35" i="15"/>
  <c r="H35" i="15" s="1"/>
  <c r="D36" i="15"/>
  <c r="E36" i="15"/>
  <c r="H36" i="15" s="1"/>
  <c r="D37" i="15"/>
  <c r="E37" i="15"/>
  <c r="H37" i="15" s="1"/>
  <c r="D38" i="15"/>
  <c r="E38" i="15"/>
  <c r="H38" i="15" s="1"/>
  <c r="D39" i="15"/>
  <c r="E39" i="15"/>
  <c r="H39" i="15" s="1"/>
  <c r="D40" i="15"/>
  <c r="E40" i="15"/>
  <c r="H40" i="15" s="1"/>
  <c r="D41" i="15"/>
  <c r="E41" i="15"/>
  <c r="H41" i="15" s="1"/>
  <c r="D42" i="15"/>
  <c r="E42" i="15"/>
  <c r="H42" i="15" s="1"/>
  <c r="D43" i="15"/>
  <c r="E43" i="15"/>
  <c r="H43" i="15" s="1"/>
  <c r="D44" i="15"/>
  <c r="E44" i="15"/>
  <c r="H44" i="15" s="1"/>
  <c r="D45" i="15"/>
  <c r="E45" i="15"/>
  <c r="H45" i="15" s="1"/>
  <c r="D46" i="15"/>
  <c r="E46" i="15"/>
  <c r="H46" i="15" s="1"/>
  <c r="D47" i="15"/>
  <c r="E47" i="15"/>
  <c r="H47" i="15" s="1"/>
  <c r="D48" i="15"/>
  <c r="E48" i="15"/>
  <c r="H48" i="15" s="1"/>
  <c r="D49" i="15"/>
  <c r="E49" i="15"/>
  <c r="H49" i="15" s="1"/>
  <c r="D50" i="15"/>
  <c r="E50" i="15"/>
  <c r="H50" i="15" s="1"/>
  <c r="D51" i="15"/>
  <c r="E51" i="15"/>
  <c r="H51" i="15" s="1"/>
  <c r="D52" i="15"/>
  <c r="E52" i="15"/>
  <c r="H52" i="15" s="1"/>
  <c r="D53" i="15"/>
  <c r="E53" i="15"/>
  <c r="H53" i="15" s="1"/>
  <c r="D54" i="15"/>
  <c r="E54" i="15"/>
  <c r="H54" i="15" s="1"/>
  <c r="D55" i="15"/>
  <c r="E55" i="15"/>
  <c r="H55" i="15" s="1"/>
  <c r="D56" i="15"/>
  <c r="E56" i="15"/>
  <c r="H56" i="15" s="1"/>
  <c r="D57" i="15"/>
  <c r="E57" i="15"/>
  <c r="H57" i="15" s="1"/>
  <c r="D58" i="15"/>
  <c r="E58" i="15"/>
  <c r="H58" i="15" s="1"/>
  <c r="D59" i="15"/>
  <c r="E59" i="15"/>
  <c r="H59" i="15" s="1"/>
  <c r="J7" i="15"/>
  <c r="N256" i="15" l="1"/>
  <c r="N264" i="15"/>
  <c r="N272" i="15"/>
  <c r="N280" i="15"/>
  <c r="N288" i="15"/>
  <c r="N258" i="15"/>
  <c r="N266" i="15"/>
  <c r="N274" i="15"/>
  <c r="N282" i="15"/>
  <c r="N290" i="15"/>
  <c r="N296" i="15"/>
  <c r="F316" i="15"/>
  <c r="F324" i="15"/>
  <c r="F332" i="15"/>
  <c r="F340" i="15"/>
  <c r="F348" i="15"/>
  <c r="F356" i="15"/>
  <c r="N255" i="15"/>
  <c r="N263" i="15"/>
  <c r="N271" i="15"/>
  <c r="N279" i="15"/>
  <c r="N287" i="15"/>
  <c r="N295" i="15"/>
  <c r="F315" i="15"/>
  <c r="F323" i="15"/>
  <c r="F331" i="15"/>
  <c r="F339" i="15"/>
  <c r="F347" i="15"/>
  <c r="F355" i="15"/>
  <c r="F314" i="15"/>
  <c r="F322" i="15"/>
  <c r="F330" i="15"/>
  <c r="F338" i="15"/>
  <c r="F346" i="15"/>
  <c r="F354" i="15"/>
  <c r="N253" i="15"/>
  <c r="N269" i="15"/>
  <c r="N277" i="15"/>
  <c r="N293" i="15"/>
  <c r="F313" i="15"/>
  <c r="F321" i="15"/>
  <c r="F329" i="15"/>
  <c r="F337" i="15"/>
  <c r="F353" i="15"/>
  <c r="N252" i="15"/>
  <c r="N260" i="15"/>
  <c r="N268" i="15"/>
  <c r="N276" i="15"/>
  <c r="N284" i="15"/>
  <c r="N292" i="15"/>
  <c r="N254" i="15"/>
  <c r="N262" i="15"/>
  <c r="N270" i="15"/>
  <c r="N278" i="15"/>
  <c r="N286" i="15"/>
  <c r="N294" i="15"/>
  <c r="F312" i="15"/>
  <c r="F320" i="15"/>
  <c r="F328" i="15"/>
  <c r="F336" i="15"/>
  <c r="F344" i="15"/>
  <c r="F352" i="15"/>
  <c r="N259" i="15"/>
  <c r="N267" i="15"/>
  <c r="N275" i="15"/>
  <c r="N283" i="15"/>
  <c r="N291" i="15"/>
  <c r="N299" i="15"/>
  <c r="F319" i="15"/>
  <c r="F327" i="15"/>
  <c r="F335" i="15"/>
  <c r="F343" i="15"/>
  <c r="F351" i="15"/>
  <c r="F359" i="15"/>
  <c r="N359" i="15"/>
  <c r="F419" i="15"/>
  <c r="N298" i="15"/>
  <c r="F318" i="15"/>
  <c r="F326" i="15"/>
  <c r="F334" i="15"/>
  <c r="F342" i="15"/>
  <c r="F350" i="15"/>
  <c r="F358" i="15"/>
  <c r="N257" i="15"/>
  <c r="N265" i="15"/>
  <c r="N273" i="15"/>
  <c r="N281" i="15"/>
  <c r="N289" i="15"/>
  <c r="N297" i="15"/>
  <c r="F317" i="15"/>
  <c r="F325" i="15"/>
  <c r="F333" i="15"/>
  <c r="F341" i="15"/>
  <c r="F349" i="15"/>
  <c r="F357" i="15"/>
  <c r="N261" i="15" l="1"/>
  <c r="F345" i="15"/>
  <c r="N285" i="15"/>
  <c r="F156" i="15" l="1"/>
  <c r="F150" i="15"/>
  <c r="F141" i="15"/>
  <c r="F157" i="15"/>
  <c r="F132" i="15"/>
  <c r="F210" i="15"/>
  <c r="F218" i="15"/>
  <c r="F226" i="15"/>
  <c r="N210" i="15"/>
  <c r="N218" i="15"/>
  <c r="N133" i="15"/>
  <c r="N157" i="15"/>
  <c r="F193" i="15"/>
  <c r="F201" i="15"/>
  <c r="F209" i="15"/>
  <c r="F217" i="15"/>
  <c r="N193" i="15"/>
  <c r="N217" i="15"/>
  <c r="F253" i="15"/>
  <c r="F261" i="15"/>
  <c r="F269" i="15"/>
  <c r="F277" i="15"/>
  <c r="N226" i="15"/>
  <c r="F270" i="15"/>
  <c r="F278" i="15"/>
  <c r="F286" i="15"/>
  <c r="F133" i="15"/>
  <c r="F166" i="15"/>
  <c r="N132" i="15"/>
  <c r="N140" i="15"/>
  <c r="N156" i="15"/>
  <c r="F149" i="15"/>
  <c r="F158" i="15"/>
  <c r="F140" i="15"/>
  <c r="N150" i="15"/>
  <c r="N158" i="15"/>
  <c r="N166" i="15"/>
  <c r="F192" i="15"/>
  <c r="F200" i="15"/>
  <c r="F216" i="15"/>
  <c r="N192" i="15"/>
  <c r="N200" i="15"/>
  <c r="N216" i="15"/>
  <c r="F252" i="15"/>
  <c r="F260" i="15"/>
  <c r="F276" i="15"/>
  <c r="N209" i="15" l="1"/>
  <c r="N149" i="15"/>
  <c r="N224" i="15"/>
  <c r="F224" i="15"/>
  <c r="F164" i="15"/>
  <c r="F284" i="15"/>
  <c r="N164" i="15"/>
  <c r="F290" i="15"/>
  <c r="F287" i="15"/>
  <c r="F271" i="15"/>
  <c r="F259" i="15"/>
  <c r="F256" i="15"/>
  <c r="F254" i="15"/>
  <c r="F283" i="15"/>
  <c r="F264" i="15"/>
  <c r="F297" i="15"/>
  <c r="F295" i="15"/>
  <c r="F293" i="15"/>
  <c r="F299" i="15"/>
  <c r="F275" i="15"/>
  <c r="F273" i="15"/>
  <c r="F257" i="15"/>
  <c r="N230" i="15"/>
  <c r="N228" i="15"/>
  <c r="F282" i="15"/>
  <c r="F267" i="15"/>
  <c r="F142" i="15"/>
  <c r="F144" i="15"/>
  <c r="F146" i="15"/>
  <c r="F159" i="15"/>
  <c r="F161" i="15"/>
  <c r="F163" i="15"/>
  <c r="F173" i="15"/>
  <c r="F175" i="15"/>
  <c r="F177" i="15"/>
  <c r="F179" i="15"/>
  <c r="N143" i="15"/>
  <c r="N145" i="15"/>
  <c r="N147" i="15"/>
  <c r="N160" i="15"/>
  <c r="N162" i="15"/>
  <c r="N172" i="15"/>
  <c r="N174" i="15"/>
  <c r="N176" i="15"/>
  <c r="N178" i="15"/>
  <c r="F202" i="15"/>
  <c r="F204" i="15"/>
  <c r="F206" i="15"/>
  <c r="F219" i="15"/>
  <c r="F221" i="15"/>
  <c r="F223" i="15"/>
  <c r="F233" i="15"/>
  <c r="F235" i="15"/>
  <c r="F237" i="15"/>
  <c r="F239" i="15"/>
  <c r="N203" i="15"/>
  <c r="N205" i="15"/>
  <c r="N207" i="15"/>
  <c r="N221" i="15"/>
  <c r="N232" i="15"/>
  <c r="N236" i="15"/>
  <c r="N238" i="15"/>
  <c r="F263" i="15"/>
  <c r="F134" i="15"/>
  <c r="F136" i="15"/>
  <c r="F138" i="15"/>
  <c r="F148" i="15"/>
  <c r="F152" i="15"/>
  <c r="F154" i="15"/>
  <c r="F167" i="15"/>
  <c r="F169" i="15"/>
  <c r="F171" i="15"/>
  <c r="N135" i="15"/>
  <c r="N137" i="15"/>
  <c r="N139" i="15"/>
  <c r="N151" i="15"/>
  <c r="N153" i="15"/>
  <c r="N155" i="15"/>
  <c r="N168" i="15"/>
  <c r="N170" i="15"/>
  <c r="F194" i="15"/>
  <c r="F196" i="15"/>
  <c r="F198" i="15"/>
  <c r="F208" i="15"/>
  <c r="F212" i="15"/>
  <c r="F214" i="15"/>
  <c r="F227" i="15"/>
  <c r="F229" i="15"/>
  <c r="F231" i="15"/>
  <c r="N195" i="15"/>
  <c r="N197" i="15"/>
  <c r="N199" i="15"/>
  <c r="N211" i="15"/>
  <c r="N213" i="15"/>
  <c r="N215" i="15"/>
  <c r="N222" i="15"/>
  <c r="N235" i="15"/>
  <c r="F288" i="15"/>
  <c r="F291" i="15"/>
  <c r="F268" i="15"/>
  <c r="F258" i="15"/>
  <c r="F255" i="15"/>
  <c r="F281" i="15"/>
  <c r="F280" i="15"/>
  <c r="F298" i="15"/>
  <c r="F296" i="15"/>
  <c r="F294" i="15"/>
  <c r="F292" i="15"/>
  <c r="F289" i="15"/>
  <c r="F274" i="15"/>
  <c r="F272" i="15"/>
  <c r="N231" i="15"/>
  <c r="N229" i="15"/>
  <c r="N227" i="15"/>
  <c r="F279" i="15"/>
  <c r="F265" i="15"/>
  <c r="F143" i="15"/>
  <c r="F145" i="15"/>
  <c r="F147" i="15"/>
  <c r="F160" i="15"/>
  <c r="F162" i="15"/>
  <c r="F172" i="15"/>
  <c r="F174" i="15"/>
  <c r="F176" i="15"/>
  <c r="F178" i="15"/>
  <c r="N142" i="15"/>
  <c r="N144" i="15"/>
  <c r="N146" i="15"/>
  <c r="N159" i="15"/>
  <c r="N161" i="15"/>
  <c r="N163" i="15"/>
  <c r="N173" i="15"/>
  <c r="N175" i="15"/>
  <c r="N177" i="15"/>
  <c r="N179" i="15"/>
  <c r="F203" i="15"/>
  <c r="F205" i="15"/>
  <c r="F207" i="15"/>
  <c r="F220" i="15"/>
  <c r="F222" i="15"/>
  <c r="F232" i="15"/>
  <c r="F234" i="15"/>
  <c r="F236" i="15"/>
  <c r="F238" i="15"/>
  <c r="N202" i="15"/>
  <c r="N204" i="15"/>
  <c r="N206" i="15"/>
  <c r="N219" i="15"/>
  <c r="N223" i="15"/>
  <c r="N234" i="15"/>
  <c r="N237" i="15"/>
  <c r="N239" i="15"/>
  <c r="F266" i="15"/>
  <c r="F135" i="15"/>
  <c r="F137" i="15"/>
  <c r="F139" i="15"/>
  <c r="F151" i="15"/>
  <c r="F153" i="15"/>
  <c r="F155" i="15"/>
  <c r="F168" i="15"/>
  <c r="F170" i="15"/>
  <c r="N134" i="15"/>
  <c r="N136" i="15"/>
  <c r="N138" i="15"/>
  <c r="N148" i="15"/>
  <c r="N152" i="15"/>
  <c r="N154" i="15"/>
  <c r="N167" i="15"/>
  <c r="N169" i="15"/>
  <c r="N171" i="15"/>
  <c r="F195" i="15"/>
  <c r="F197" i="15"/>
  <c r="F199" i="15"/>
  <c r="F211" i="15"/>
  <c r="F213" i="15"/>
  <c r="F215" i="15"/>
  <c r="F228" i="15"/>
  <c r="F230" i="15"/>
  <c r="N194" i="15"/>
  <c r="N196" i="15"/>
  <c r="N198" i="15"/>
  <c r="N208" i="15"/>
  <c r="N212" i="15"/>
  <c r="N214" i="15"/>
  <c r="N220" i="15"/>
  <c r="N233" i="15"/>
  <c r="F262" i="15"/>
  <c r="N141" i="15" l="1"/>
  <c r="N201" i="15"/>
  <c r="F165" i="15"/>
  <c r="F285" i="15"/>
  <c r="F225" i="15"/>
  <c r="N225" i="15"/>
  <c r="N165" i="15"/>
  <c r="N419" i="15" l="1"/>
  <c r="F479" i="15"/>
  <c r="N479" i="15"/>
  <c r="E7" i="15" l="1"/>
  <c r="M67" i="15" s="1"/>
  <c r="M127" i="15" l="1"/>
  <c r="M307" i="15"/>
  <c r="E427" i="15"/>
  <c r="E187" i="15"/>
  <c r="E247" i="15"/>
  <c r="E367" i="15"/>
  <c r="M427" i="15"/>
  <c r="M187" i="15"/>
  <c r="E307" i="15"/>
  <c r="M367" i="15"/>
  <c r="M7" i="15"/>
  <c r="M247" i="15"/>
  <c r="E67" i="15"/>
  <c r="E127" i="15"/>
  <c r="M547" i="15" l="1"/>
  <c r="E547" i="15"/>
  <c r="E487" i="15"/>
  <c r="M487" i="15"/>
  <c r="F12" i="15"/>
  <c r="N12" i="15"/>
  <c r="F72" i="15"/>
  <c r="N72" i="15"/>
  <c r="N96" i="15" l="1"/>
  <c r="F104" i="15"/>
  <c r="N38" i="15"/>
  <c r="F46" i="15"/>
  <c r="F89" i="15"/>
  <c r="F73" i="15"/>
  <c r="N37" i="15"/>
  <c r="F98" i="15"/>
  <c r="F21" i="15"/>
  <c r="F80" i="15"/>
  <c r="F38" i="15"/>
  <c r="F13" i="15"/>
  <c r="N97" i="15"/>
  <c r="N13" i="15"/>
  <c r="N90" i="15"/>
  <c r="F36" i="15"/>
  <c r="N104" i="15"/>
  <c r="F96" i="15"/>
  <c r="N46" i="15"/>
  <c r="N30" i="15"/>
  <c r="F20" i="15"/>
  <c r="F29" i="15"/>
  <c r="N20" i="15"/>
  <c r="N73" i="15"/>
  <c r="F97" i="15"/>
  <c r="F81" i="15"/>
  <c r="N29" i="15"/>
  <c r="F106" i="15"/>
  <c r="F90" i="15"/>
  <c r="F44" i="15"/>
  <c r="F30" i="15"/>
  <c r="N80" i="15"/>
  <c r="N36" i="15"/>
  <c r="N106" i="15"/>
  <c r="N89" i="15"/>
  <c r="N98" i="15"/>
  <c r="F37" i="15"/>
  <c r="N91" i="15" l="1"/>
  <c r="F85" i="15"/>
  <c r="N57" i="15"/>
  <c r="N43" i="15"/>
  <c r="N26" i="15"/>
  <c r="F58" i="15"/>
  <c r="F54" i="15"/>
  <c r="F42" i="15"/>
  <c r="F40" i="15"/>
  <c r="F27" i="15"/>
  <c r="F25" i="15"/>
  <c r="N115" i="15"/>
  <c r="N118" i="15"/>
  <c r="N108" i="15"/>
  <c r="N94" i="15"/>
  <c r="N92" i="15"/>
  <c r="N88" i="15"/>
  <c r="N78" i="15"/>
  <c r="N76" i="15"/>
  <c r="N74" i="15"/>
  <c r="F110" i="15"/>
  <c r="F108" i="15"/>
  <c r="F79" i="15"/>
  <c r="F77" i="15"/>
  <c r="F75" i="15"/>
  <c r="N51" i="15"/>
  <c r="N49" i="15"/>
  <c r="N47" i="15"/>
  <c r="N34" i="15"/>
  <c r="N32" i="15"/>
  <c r="N28" i="15"/>
  <c r="N18" i="15"/>
  <c r="N16" i="15"/>
  <c r="N14" i="15"/>
  <c r="F50" i="15"/>
  <c r="F48" i="15"/>
  <c r="F35" i="15"/>
  <c r="F33" i="15"/>
  <c r="F31" i="15"/>
  <c r="F19" i="15"/>
  <c r="F17" i="15"/>
  <c r="N110" i="15"/>
  <c r="N107" i="15"/>
  <c r="N102" i="15"/>
  <c r="N100" i="15"/>
  <c r="N87" i="15"/>
  <c r="N85" i="15"/>
  <c r="N83" i="15"/>
  <c r="F103" i="15"/>
  <c r="F101" i="15"/>
  <c r="F99" i="15"/>
  <c r="F86" i="15"/>
  <c r="F84" i="15"/>
  <c r="F82" i="15"/>
  <c r="N58" i="15"/>
  <c r="N56" i="15"/>
  <c r="N54" i="15"/>
  <c r="N42" i="15"/>
  <c r="N40" i="15"/>
  <c r="N27" i="15"/>
  <c r="N25" i="15"/>
  <c r="N23" i="15"/>
  <c r="F59" i="15"/>
  <c r="F57" i="15"/>
  <c r="F55" i="15"/>
  <c r="F53" i="15"/>
  <c r="F43" i="15"/>
  <c r="F41" i="15"/>
  <c r="F39" i="15"/>
  <c r="F26" i="15"/>
  <c r="F24" i="15"/>
  <c r="F22" i="15"/>
  <c r="N114" i="15"/>
  <c r="N116" i="15"/>
  <c r="N119" i="15"/>
  <c r="N79" i="15"/>
  <c r="F87" i="15"/>
  <c r="N59" i="15"/>
  <c r="N41" i="15"/>
  <c r="N24" i="15"/>
  <c r="F56" i="15"/>
  <c r="F52" i="15"/>
  <c r="F23" i="15"/>
  <c r="N95" i="15"/>
  <c r="N75" i="15"/>
  <c r="N53" i="15"/>
  <c r="F111" i="15"/>
  <c r="F109" i="15"/>
  <c r="F107" i="15"/>
  <c r="F94" i="15"/>
  <c r="F92" i="15"/>
  <c r="F78" i="15"/>
  <c r="F76" i="15"/>
  <c r="F74" i="15"/>
  <c r="N50" i="15"/>
  <c r="N48" i="15"/>
  <c r="N35" i="15"/>
  <c r="N33" i="15"/>
  <c r="N31" i="15"/>
  <c r="N19" i="15"/>
  <c r="N17" i="15"/>
  <c r="N15" i="15"/>
  <c r="F51" i="15"/>
  <c r="F49" i="15"/>
  <c r="F47" i="15"/>
  <c r="F34" i="15"/>
  <c r="F32" i="15"/>
  <c r="F18" i="15"/>
  <c r="F14" i="15"/>
  <c r="N111" i="15"/>
  <c r="N109" i="15"/>
  <c r="N103" i="15"/>
  <c r="N101" i="15"/>
  <c r="N99" i="15"/>
  <c r="N86" i="15"/>
  <c r="N84" i="15"/>
  <c r="N82" i="15"/>
  <c r="F118" i="15"/>
  <c r="F116" i="15"/>
  <c r="F114" i="15"/>
  <c r="F112" i="15"/>
  <c r="F102" i="15"/>
  <c r="F100" i="15"/>
  <c r="F95" i="15"/>
  <c r="F93" i="15"/>
  <c r="F91" i="15"/>
  <c r="F119" i="15"/>
  <c r="F117" i="15"/>
  <c r="F115" i="15"/>
  <c r="F113" i="15"/>
  <c r="N113" i="15"/>
  <c r="F16" i="15"/>
  <c r="F15" i="15"/>
  <c r="N93" i="15"/>
  <c r="N77" i="15"/>
  <c r="F83" i="15"/>
  <c r="N55" i="15"/>
  <c r="N39" i="15"/>
  <c r="N22" i="15"/>
  <c r="N117" i="15"/>
  <c r="N105" i="15" l="1"/>
  <c r="N21" i="15"/>
  <c r="F45" i="15"/>
  <c r="N81" i="15"/>
  <c r="N45" i="15"/>
  <c r="F105" i="15"/>
  <c r="N44" i="15" l="1"/>
  <c r="N52" i="15"/>
  <c r="N112" i="15"/>
  <c r="F88" i="15"/>
  <c r="F28" i="15"/>
  <c r="N175" i="33" l="1"/>
  <c r="N167" i="33"/>
  <c r="N159" i="33"/>
  <c r="N151" i="33"/>
  <c r="N143" i="33"/>
  <c r="N135" i="33"/>
  <c r="N178" i="33"/>
  <c r="N170" i="33"/>
  <c r="N162" i="33"/>
  <c r="N150" i="33"/>
  <c r="N142" i="33"/>
  <c r="N134" i="33"/>
  <c r="F169" i="33"/>
  <c r="F156" i="33"/>
  <c r="F138" i="33"/>
  <c r="F172" i="33"/>
  <c r="F162" i="33"/>
  <c r="F143" i="33"/>
  <c r="F166" i="33"/>
  <c r="F148" i="33"/>
  <c r="F159" i="33"/>
  <c r="F168" i="33"/>
  <c r="F152" i="33"/>
  <c r="F134" i="33"/>
  <c r="N177" i="33"/>
  <c r="N169" i="33"/>
  <c r="N161" i="33"/>
  <c r="N153" i="33"/>
  <c r="N141" i="33"/>
  <c r="N133" i="33"/>
  <c r="N172" i="33"/>
  <c r="N164" i="33"/>
  <c r="N156" i="33"/>
  <c r="N148" i="33"/>
  <c r="N140" i="33"/>
  <c r="N132" i="33"/>
  <c r="F165" i="33"/>
  <c r="F149" i="33"/>
  <c r="F150" i="33"/>
  <c r="F171" i="33"/>
  <c r="F153" i="33"/>
  <c r="F132" i="33"/>
  <c r="F157" i="33"/>
  <c r="F141" i="33"/>
  <c r="F151" i="33"/>
  <c r="F161" i="33"/>
  <c r="F145" i="33"/>
  <c r="F176" i="33"/>
  <c r="N171" i="33"/>
  <c r="N163" i="33"/>
  <c r="N155" i="33"/>
  <c r="N147" i="33"/>
  <c r="N139" i="33"/>
  <c r="N174" i="33"/>
  <c r="N166" i="33"/>
  <c r="N158" i="33"/>
  <c r="N146" i="33"/>
  <c r="N138" i="33"/>
  <c r="F174" i="33"/>
  <c r="F167" i="33"/>
  <c r="F139" i="33"/>
  <c r="F178" i="33"/>
  <c r="F155" i="33"/>
  <c r="F147" i="33"/>
  <c r="F173" i="33"/>
  <c r="F154" i="33"/>
  <c r="F136" i="33"/>
  <c r="F170" i="33"/>
  <c r="F160" i="33"/>
  <c r="F137" i="33"/>
  <c r="N173" i="33"/>
  <c r="N165" i="33"/>
  <c r="N157" i="33"/>
  <c r="N149" i="33"/>
  <c r="N137" i="33"/>
  <c r="N176" i="33"/>
  <c r="N168" i="33"/>
  <c r="N160" i="33"/>
  <c r="N152" i="33"/>
  <c r="N144" i="33"/>
  <c r="N136" i="33"/>
  <c r="F177" i="33"/>
  <c r="F140" i="33"/>
  <c r="F135" i="33"/>
  <c r="F179" i="33"/>
  <c r="F144" i="33"/>
  <c r="F142" i="33"/>
  <c r="F163" i="33"/>
  <c r="F158" i="33"/>
  <c r="F133" i="33"/>
  <c r="F164" i="33"/>
  <c r="F175" i="33"/>
  <c r="F146" i="33"/>
  <c r="N153" i="32"/>
  <c r="N177" i="38"/>
  <c r="N173" i="38"/>
  <c r="N169" i="38"/>
  <c r="N165" i="38"/>
  <c r="N161" i="38"/>
  <c r="N157" i="38"/>
  <c r="N153" i="38"/>
  <c r="N149" i="38"/>
  <c r="N141" i="38"/>
  <c r="N133" i="38"/>
  <c r="N176" i="38"/>
  <c r="N172" i="38"/>
  <c r="N168" i="38"/>
  <c r="N164" i="38"/>
  <c r="N160" i="38"/>
  <c r="N156" i="38"/>
  <c r="N152" i="38"/>
  <c r="N148" i="38"/>
  <c r="N144" i="38"/>
  <c r="N140" i="38"/>
  <c r="N136" i="38"/>
  <c r="N132" i="38"/>
  <c r="F176" i="38"/>
  <c r="F175" i="38"/>
  <c r="F158" i="38"/>
  <c r="F154" i="38"/>
  <c r="F141" i="38"/>
  <c r="F132" i="38"/>
  <c r="F172" i="38"/>
  <c r="F173" i="38"/>
  <c r="F156" i="38"/>
  <c r="F150" i="38"/>
  <c r="F134" i="38"/>
  <c r="F168" i="38"/>
  <c r="F174" i="38"/>
  <c r="F171" i="38"/>
  <c r="F151" i="38"/>
  <c r="F146" i="38"/>
  <c r="F152" i="38"/>
  <c r="F133" i="38"/>
  <c r="F167" i="38"/>
  <c r="F162" i="38"/>
  <c r="F147" i="38"/>
  <c r="F142" i="38"/>
  <c r="F178" i="38"/>
  <c r="F135" i="38"/>
  <c r="N162" i="32"/>
  <c r="N146" i="32"/>
  <c r="N175" i="38"/>
  <c r="N171" i="38"/>
  <c r="N167" i="38"/>
  <c r="N163" i="38"/>
  <c r="N159" i="38"/>
  <c r="N155" i="38"/>
  <c r="N151" i="38"/>
  <c r="N147" i="38"/>
  <c r="N143" i="38"/>
  <c r="N139" i="38"/>
  <c r="N135" i="38"/>
  <c r="N178" i="38"/>
  <c r="N174" i="38"/>
  <c r="N170" i="38"/>
  <c r="N166" i="38"/>
  <c r="N162" i="38"/>
  <c r="N158" i="38"/>
  <c r="N154" i="38"/>
  <c r="N150" i="38"/>
  <c r="N146" i="38"/>
  <c r="N142" i="38"/>
  <c r="N138" i="38"/>
  <c r="N134" i="38"/>
  <c r="F163" i="38"/>
  <c r="F166" i="38"/>
  <c r="F143" i="38"/>
  <c r="F138" i="38"/>
  <c r="F153" i="38"/>
  <c r="F148" i="38"/>
  <c r="F159" i="38"/>
  <c r="F157" i="38"/>
  <c r="F165" i="38"/>
  <c r="F179" i="38"/>
  <c r="F145" i="38"/>
  <c r="F144" i="38"/>
  <c r="F155" i="38"/>
  <c r="F170" i="38"/>
  <c r="F164" i="38"/>
  <c r="F161" i="38"/>
  <c r="F139" i="38"/>
  <c r="F137" i="38"/>
  <c r="F177" i="38"/>
  <c r="F169" i="38"/>
  <c r="F160" i="38"/>
  <c r="F149" i="38"/>
  <c r="F136" i="38"/>
  <c r="F140" i="38"/>
  <c r="F146" i="32"/>
  <c r="F162" i="32"/>
  <c r="N145" i="33" l="1"/>
  <c r="N145" i="38"/>
  <c r="N170" i="32" l="1"/>
  <c r="N148" i="32"/>
  <c r="N136" i="32"/>
  <c r="F177" i="32"/>
  <c r="N173" i="32"/>
  <c r="N159" i="32"/>
  <c r="F171" i="32"/>
  <c r="F158" i="32"/>
  <c r="N167" i="32"/>
  <c r="N144" i="32"/>
  <c r="N137" i="32"/>
  <c r="F176" i="32"/>
  <c r="F147" i="32"/>
  <c r="F157" i="32"/>
  <c r="N172" i="32"/>
  <c r="N147" i="32"/>
  <c r="F159" i="32"/>
  <c r="F151" i="32"/>
  <c r="F149" i="32"/>
  <c r="N168" i="32"/>
  <c r="N143" i="32"/>
  <c r="N134" i="32"/>
  <c r="F175" i="32"/>
  <c r="N164" i="32"/>
  <c r="N156" i="32"/>
  <c r="F169" i="32"/>
  <c r="F154" i="32"/>
  <c r="N157" i="32"/>
  <c r="N142" i="32"/>
  <c r="N135" i="32"/>
  <c r="F174" i="32"/>
  <c r="N178" i="32"/>
  <c r="N165" i="32"/>
  <c r="F170" i="32"/>
  <c r="F156" i="32"/>
  <c r="F148" i="32"/>
  <c r="N166" i="32"/>
  <c r="N141" i="32"/>
  <c r="N132" i="32"/>
  <c r="F173" i="32"/>
  <c r="N177" i="32"/>
  <c r="N163" i="32"/>
  <c r="N155" i="32"/>
  <c r="F167" i="32"/>
  <c r="F152" i="32"/>
  <c r="N171" i="32"/>
  <c r="N152" i="32"/>
  <c r="N140" i="32"/>
  <c r="N133" i="32"/>
  <c r="F172" i="32"/>
  <c r="N176" i="32"/>
  <c r="N160" i="32"/>
  <c r="F168" i="32"/>
  <c r="F155" i="32"/>
  <c r="N151" i="32"/>
  <c r="N138" i="32"/>
  <c r="F179" i="32"/>
  <c r="F163" i="32"/>
  <c r="N175" i="32"/>
  <c r="N161" i="32"/>
  <c r="N149" i="32"/>
  <c r="F160" i="32"/>
  <c r="F150" i="32"/>
  <c r="N169" i="32"/>
  <c r="N150" i="32"/>
  <c r="N139" i="32"/>
  <c r="F178" i="32"/>
  <c r="F165" i="32"/>
  <c r="N174" i="32"/>
  <c r="N158" i="32"/>
  <c r="F166" i="32"/>
  <c r="F153" i="32"/>
  <c r="F164" i="32"/>
  <c r="N145" i="32"/>
  <c r="N154" i="33" l="1"/>
  <c r="N137" i="38"/>
  <c r="F161" i="32" l="1"/>
  <c r="N154" i="32"/>
  <c r="F49" i="33" l="1"/>
  <c r="F42" i="33"/>
  <c r="F28" i="33"/>
  <c r="F32" i="33"/>
  <c r="F57" i="33"/>
  <c r="F55" i="33"/>
  <c r="F45" i="33"/>
  <c r="F31" i="33"/>
  <c r="N113" i="33"/>
  <c r="N105" i="33"/>
  <c r="N97" i="33"/>
  <c r="N89" i="33"/>
  <c r="N81" i="33"/>
  <c r="N73" i="33"/>
  <c r="F113" i="33"/>
  <c r="F105" i="33"/>
  <c r="F97" i="33"/>
  <c r="F89" i="33"/>
  <c r="F81" i="33"/>
  <c r="F73" i="33"/>
  <c r="N53" i="33"/>
  <c r="N45" i="33"/>
  <c r="N37" i="33"/>
  <c r="N29" i="33"/>
  <c r="N17" i="33"/>
  <c r="N116" i="33"/>
  <c r="N108" i="33"/>
  <c r="N100" i="33"/>
  <c r="N92" i="33"/>
  <c r="N84" i="33"/>
  <c r="N76" i="33"/>
  <c r="F116" i="33"/>
  <c r="F108" i="33"/>
  <c r="F100" i="33"/>
  <c r="F92" i="33"/>
  <c r="F84" i="33"/>
  <c r="F76" i="33"/>
  <c r="N56" i="33"/>
  <c r="N48" i="33"/>
  <c r="N40" i="33"/>
  <c r="N32" i="33"/>
  <c r="N24" i="33"/>
  <c r="N16" i="33"/>
  <c r="N111" i="33"/>
  <c r="N103" i="33"/>
  <c r="N95" i="33"/>
  <c r="N87" i="33"/>
  <c r="N79" i="33"/>
  <c r="F111" i="33"/>
  <c r="F103" i="33"/>
  <c r="F95" i="33"/>
  <c r="F87" i="33"/>
  <c r="F79" i="33"/>
  <c r="N51" i="33"/>
  <c r="N43" i="33"/>
  <c r="N35" i="33"/>
  <c r="N27" i="33"/>
  <c r="N19" i="33"/>
  <c r="N118" i="33"/>
  <c r="N110" i="33"/>
  <c r="N102" i="33"/>
  <c r="N94" i="33"/>
  <c r="N82" i="33"/>
  <c r="N74" i="33"/>
  <c r="F114" i="33"/>
  <c r="F106" i="33"/>
  <c r="F98" i="33"/>
  <c r="F90" i="33"/>
  <c r="F82" i="33"/>
  <c r="F74" i="33"/>
  <c r="N54" i="33"/>
  <c r="N46" i="33"/>
  <c r="N38" i="33"/>
  <c r="N26" i="33"/>
  <c r="N18" i="33"/>
  <c r="F18" i="33"/>
  <c r="F23" i="33"/>
  <c r="F48" i="33"/>
  <c r="F33" i="33"/>
  <c r="F13" i="33"/>
  <c r="F24" i="33"/>
  <c r="F25" i="33"/>
  <c r="F54" i="33"/>
  <c r="F47" i="33"/>
  <c r="F19" i="33"/>
  <c r="F58" i="33"/>
  <c r="F35" i="33"/>
  <c r="F27" i="33"/>
  <c r="F53" i="33"/>
  <c r="F34" i="33"/>
  <c r="F16" i="33"/>
  <c r="F50" i="33"/>
  <c r="F40" i="33"/>
  <c r="F17" i="33"/>
  <c r="F29" i="33"/>
  <c r="F51" i="33"/>
  <c r="F22" i="33"/>
  <c r="F38" i="33"/>
  <c r="F41" i="33"/>
  <c r="F26" i="33"/>
  <c r="F20" i="33"/>
  <c r="F12" i="33"/>
  <c r="F21" i="33"/>
  <c r="F44" i="33"/>
  <c r="F56" i="33"/>
  <c r="F36" i="33"/>
  <c r="F52" i="33"/>
  <c r="F46" i="33"/>
  <c r="F39" i="33"/>
  <c r="F14" i="33"/>
  <c r="F30" i="33"/>
  <c r="F43" i="33"/>
  <c r="F15" i="33"/>
  <c r="F37" i="33"/>
  <c r="N117" i="33"/>
  <c r="N109" i="33"/>
  <c r="N101" i="33"/>
  <c r="N93" i="33"/>
  <c r="N77" i="33"/>
  <c r="F117" i="33"/>
  <c r="F109" i="33"/>
  <c r="F101" i="33"/>
  <c r="F93" i="33"/>
  <c r="F85" i="33"/>
  <c r="F77" i="33"/>
  <c r="N57" i="33"/>
  <c r="N49" i="33"/>
  <c r="N41" i="33"/>
  <c r="N33" i="33"/>
  <c r="N21" i="33"/>
  <c r="N13" i="33"/>
  <c r="N112" i="33"/>
  <c r="N104" i="33"/>
  <c r="N96" i="33"/>
  <c r="N88" i="33"/>
  <c r="N80" i="33"/>
  <c r="N72" i="33"/>
  <c r="F112" i="33"/>
  <c r="F104" i="33"/>
  <c r="F96" i="33"/>
  <c r="F88" i="33"/>
  <c r="F80" i="33"/>
  <c r="F72" i="33"/>
  <c r="N52" i="33"/>
  <c r="N44" i="33"/>
  <c r="N36" i="33"/>
  <c r="N28" i="33"/>
  <c r="N20" i="33"/>
  <c r="N12" i="33"/>
  <c r="N115" i="33"/>
  <c r="N107" i="33"/>
  <c r="N99" i="33"/>
  <c r="N91" i="33"/>
  <c r="N83" i="33"/>
  <c r="N75" i="33"/>
  <c r="F115" i="33"/>
  <c r="F107" i="33"/>
  <c r="F99" i="33"/>
  <c r="F91" i="33"/>
  <c r="F83" i="33"/>
  <c r="F75" i="33"/>
  <c r="N55" i="33"/>
  <c r="N47" i="33"/>
  <c r="N39" i="33"/>
  <c r="N31" i="33"/>
  <c r="N23" i="33"/>
  <c r="N15" i="33"/>
  <c r="N114" i="33"/>
  <c r="N106" i="33"/>
  <c r="N98" i="33"/>
  <c r="N90" i="33"/>
  <c r="N78" i="33"/>
  <c r="F118" i="33"/>
  <c r="F110" i="33"/>
  <c r="F102" i="33"/>
  <c r="F94" i="33"/>
  <c r="F86" i="33"/>
  <c r="F78" i="33"/>
  <c r="N58" i="33"/>
  <c r="N50" i="33"/>
  <c r="N42" i="33"/>
  <c r="N30" i="33"/>
  <c r="N22" i="33"/>
  <c r="N14" i="33"/>
  <c r="N102" i="32"/>
  <c r="N86" i="32"/>
  <c r="F94" i="32"/>
  <c r="F78" i="32"/>
  <c r="N42" i="32"/>
  <c r="N26" i="32"/>
  <c r="N119" i="38"/>
  <c r="N115" i="38"/>
  <c r="N111" i="38"/>
  <c r="N107" i="38"/>
  <c r="N103" i="38"/>
  <c r="N99" i="38"/>
  <c r="N95" i="38"/>
  <c r="N91" i="38"/>
  <c r="N87" i="38"/>
  <c r="N83" i="38"/>
  <c r="N79" i="38"/>
  <c r="N75" i="38"/>
  <c r="F115" i="38"/>
  <c r="F111" i="38"/>
  <c r="F107" i="38"/>
  <c r="F103" i="38"/>
  <c r="F99" i="38"/>
  <c r="F95" i="38"/>
  <c r="F91" i="38"/>
  <c r="F87" i="38"/>
  <c r="F83" i="38"/>
  <c r="F79" i="38"/>
  <c r="F75" i="38"/>
  <c r="N55" i="38"/>
  <c r="N51" i="38"/>
  <c r="N47" i="38"/>
  <c r="N43" i="38"/>
  <c r="N39" i="38"/>
  <c r="N35" i="38"/>
  <c r="N31" i="38"/>
  <c r="N27" i="38"/>
  <c r="N23" i="38"/>
  <c r="N19" i="38"/>
  <c r="N15" i="38"/>
  <c r="N118" i="38"/>
  <c r="N114" i="38"/>
  <c r="N110" i="38"/>
  <c r="N106" i="38"/>
  <c r="N102" i="38"/>
  <c r="N98" i="38"/>
  <c r="N94" i="38"/>
  <c r="N90" i="38"/>
  <c r="N82" i="38"/>
  <c r="N78" i="38"/>
  <c r="N74" i="38"/>
  <c r="F118" i="38"/>
  <c r="F114" i="38"/>
  <c r="F110" i="38"/>
  <c r="F106" i="38"/>
  <c r="F102" i="38"/>
  <c r="F98" i="38"/>
  <c r="F94" i="38"/>
  <c r="F90" i="38"/>
  <c r="F86" i="38"/>
  <c r="F82" i="38"/>
  <c r="F78" i="38"/>
  <c r="F74" i="38"/>
  <c r="N58" i="38"/>
  <c r="N54" i="38"/>
  <c r="N50" i="38"/>
  <c r="N46" i="38"/>
  <c r="N42" i="38"/>
  <c r="N38" i="38"/>
  <c r="N34" i="38"/>
  <c r="N30" i="38"/>
  <c r="N26" i="38"/>
  <c r="N22" i="38"/>
  <c r="N18" i="38"/>
  <c r="N14" i="38"/>
  <c r="F56" i="38"/>
  <c r="F55" i="38"/>
  <c r="F38" i="38"/>
  <c r="F34" i="38"/>
  <c r="F21" i="38"/>
  <c r="F12" i="38"/>
  <c r="F52" i="38"/>
  <c r="F53" i="38"/>
  <c r="F36" i="38"/>
  <c r="F30" i="38"/>
  <c r="F14" i="38"/>
  <c r="F48" i="38"/>
  <c r="F54" i="38"/>
  <c r="F51" i="38"/>
  <c r="F31" i="38"/>
  <c r="F26" i="38"/>
  <c r="F32" i="38"/>
  <c r="F13" i="38"/>
  <c r="F47" i="38"/>
  <c r="F42" i="38"/>
  <c r="F27" i="38"/>
  <c r="F22" i="38"/>
  <c r="F58" i="38"/>
  <c r="F15" i="38"/>
  <c r="F46" i="38"/>
  <c r="F18" i="38"/>
  <c r="F28" i="38"/>
  <c r="F37" i="38"/>
  <c r="F45" i="38"/>
  <c r="F25" i="38"/>
  <c r="F35" i="38"/>
  <c r="F44" i="38"/>
  <c r="F19" i="38"/>
  <c r="F57" i="38"/>
  <c r="F40" i="38"/>
  <c r="F16" i="38"/>
  <c r="F26" i="32"/>
  <c r="F42" i="32"/>
  <c r="F93" i="32"/>
  <c r="F77" i="32"/>
  <c r="N33" i="32"/>
  <c r="N117" i="38"/>
  <c r="N113" i="38"/>
  <c r="N109" i="38"/>
  <c r="N105" i="38"/>
  <c r="N101" i="38"/>
  <c r="N97" i="38"/>
  <c r="N93" i="38"/>
  <c r="N89" i="38"/>
  <c r="N81" i="38"/>
  <c r="N77" i="38"/>
  <c r="N73" i="38"/>
  <c r="F117" i="38"/>
  <c r="F113" i="38"/>
  <c r="F109" i="38"/>
  <c r="F105" i="38"/>
  <c r="F101" i="38"/>
  <c r="F97" i="38"/>
  <c r="F93" i="38"/>
  <c r="F89" i="38"/>
  <c r="F85" i="38"/>
  <c r="F81" i="38"/>
  <c r="F77" i="38"/>
  <c r="F73" i="38"/>
  <c r="N57" i="38"/>
  <c r="N53" i="38"/>
  <c r="N49" i="38"/>
  <c r="N45" i="38"/>
  <c r="N41" i="38"/>
  <c r="N37" i="38"/>
  <c r="N33" i="38"/>
  <c r="N29" i="38"/>
  <c r="N21" i="38"/>
  <c r="N13" i="38"/>
  <c r="N116" i="38"/>
  <c r="N112" i="38"/>
  <c r="N108" i="38"/>
  <c r="N104" i="38"/>
  <c r="N100" i="38"/>
  <c r="N96" i="38"/>
  <c r="N92" i="38"/>
  <c r="N88" i="38"/>
  <c r="N84" i="38"/>
  <c r="N80" i="38"/>
  <c r="N76" i="38"/>
  <c r="N72" i="38"/>
  <c r="F116" i="38"/>
  <c r="F112" i="38"/>
  <c r="F108" i="38"/>
  <c r="F104" i="38"/>
  <c r="F100" i="38"/>
  <c r="F96" i="38"/>
  <c r="F92" i="38"/>
  <c r="F88" i="38"/>
  <c r="F84" i="38"/>
  <c r="F80" i="38"/>
  <c r="F76" i="38"/>
  <c r="F72" i="38"/>
  <c r="N56" i="38"/>
  <c r="N52" i="38"/>
  <c r="N48" i="38"/>
  <c r="N44" i="38"/>
  <c r="N40" i="38"/>
  <c r="N36" i="38"/>
  <c r="N32" i="38"/>
  <c r="N28" i="38"/>
  <c r="N24" i="38"/>
  <c r="N20" i="38"/>
  <c r="N16" i="38"/>
  <c r="N12" i="38"/>
  <c r="F43" i="38"/>
  <c r="F23" i="38"/>
  <c r="F33" i="38"/>
  <c r="F39" i="38"/>
  <c r="F24" i="38"/>
  <c r="F50" i="38"/>
  <c r="F41" i="38"/>
  <c r="F17" i="38"/>
  <c r="F49" i="38"/>
  <c r="F29" i="38"/>
  <c r="F20" i="38"/>
  <c r="N25" i="33" l="1"/>
  <c r="N25" i="38"/>
  <c r="N85" i="32" l="1"/>
  <c r="N25" i="32"/>
  <c r="N86" i="33" l="1"/>
  <c r="N86" i="38"/>
  <c r="N75" i="32" l="1"/>
  <c r="N51" i="32"/>
  <c r="F83" i="32"/>
  <c r="F57" i="32"/>
  <c r="N83" i="32"/>
  <c r="F91" i="32"/>
  <c r="F30" i="32"/>
  <c r="N95" i="32"/>
  <c r="N53" i="32"/>
  <c r="F45" i="32"/>
  <c r="F112" i="32"/>
  <c r="N27" i="32"/>
  <c r="N105" i="32"/>
  <c r="N52" i="32"/>
  <c r="F37" i="32"/>
  <c r="N72" i="32"/>
  <c r="N48" i="32"/>
  <c r="F109" i="32"/>
  <c r="N24" i="32"/>
  <c r="N89" i="32"/>
  <c r="F92" i="32"/>
  <c r="F36" i="32"/>
  <c r="N90" i="32"/>
  <c r="N21" i="32"/>
  <c r="F104" i="32"/>
  <c r="N36" i="32"/>
  <c r="F107" i="32"/>
  <c r="N22" i="32"/>
  <c r="N77" i="32"/>
  <c r="F73" i="32"/>
  <c r="F85" i="32"/>
  <c r="N87" i="32"/>
  <c r="F95" i="32"/>
  <c r="F47" i="32"/>
  <c r="N104" i="32"/>
  <c r="F82" i="32"/>
  <c r="N13" i="32"/>
  <c r="F114" i="32"/>
  <c r="N38" i="32"/>
  <c r="N108" i="32"/>
  <c r="N54" i="32"/>
  <c r="F43" i="32"/>
  <c r="N74" i="32"/>
  <c r="N50" i="32"/>
  <c r="F111" i="32"/>
  <c r="N30" i="32"/>
  <c r="F28" i="32"/>
  <c r="N97" i="32"/>
  <c r="F98" i="32"/>
  <c r="F39" i="32"/>
  <c r="N92" i="32"/>
  <c r="N23" i="32"/>
  <c r="F113" i="32"/>
  <c r="N39" i="32"/>
  <c r="F86" i="32"/>
  <c r="N17" i="32"/>
  <c r="N79" i="32"/>
  <c r="F75" i="32"/>
  <c r="F87" i="32"/>
  <c r="N12" i="32"/>
  <c r="N107" i="32"/>
  <c r="F96" i="32"/>
  <c r="F49" i="32"/>
  <c r="N106" i="32"/>
  <c r="F84" i="32"/>
  <c r="N15" i="32"/>
  <c r="F116" i="32"/>
  <c r="N40" i="32"/>
  <c r="N112" i="32"/>
  <c r="N56" i="32"/>
  <c r="F44" i="32"/>
  <c r="N76" i="32"/>
  <c r="F74" i="32"/>
  <c r="F32" i="32"/>
  <c r="N96" i="32"/>
  <c r="N55" i="32"/>
  <c r="F52" i="32"/>
  <c r="N109" i="32"/>
  <c r="F100" i="32"/>
  <c r="F46" i="32"/>
  <c r="N94" i="32"/>
  <c r="N28" i="32"/>
  <c r="F115" i="32"/>
  <c r="N29" i="32"/>
  <c r="F89" i="32"/>
  <c r="N19" i="32"/>
  <c r="N80" i="32"/>
  <c r="F79" i="32"/>
  <c r="F31" i="32"/>
  <c r="F106" i="32"/>
  <c r="N14" i="32"/>
  <c r="N111" i="32"/>
  <c r="F99" i="32"/>
  <c r="F51" i="32"/>
  <c r="N110" i="32"/>
  <c r="F56" i="32"/>
  <c r="F118" i="32"/>
  <c r="N47" i="32"/>
  <c r="N113" i="32"/>
  <c r="N58" i="32"/>
  <c r="F53" i="32"/>
  <c r="N78" i="32"/>
  <c r="F76" i="32"/>
  <c r="F34" i="32"/>
  <c r="N99" i="32"/>
  <c r="N57" i="32"/>
  <c r="F54" i="32"/>
  <c r="F102" i="32"/>
  <c r="F48" i="32"/>
  <c r="N98" i="32"/>
  <c r="N31" i="32"/>
  <c r="F117" i="32"/>
  <c r="N43" i="32"/>
  <c r="N88" i="32"/>
  <c r="N32" i="32"/>
  <c r="N119" i="32"/>
  <c r="N82" i="32"/>
  <c r="F80" i="32"/>
  <c r="F33" i="32"/>
  <c r="F108" i="32"/>
  <c r="N16" i="32"/>
  <c r="F101" i="32"/>
  <c r="F40" i="32"/>
  <c r="N103" i="32"/>
  <c r="F72" i="32"/>
  <c r="F58" i="32"/>
  <c r="N116" i="32"/>
  <c r="N73" i="32"/>
  <c r="N49" i="32"/>
  <c r="F81" i="32"/>
  <c r="F55" i="32"/>
  <c r="N81" i="32"/>
  <c r="F88" i="32"/>
  <c r="F38" i="32"/>
  <c r="N93" i="32"/>
  <c r="N44" i="32"/>
  <c r="F27" i="32"/>
  <c r="N117" i="32"/>
  <c r="F105" i="32"/>
  <c r="F50" i="32"/>
  <c r="N100" i="32"/>
  <c r="N45" i="32"/>
  <c r="F29" i="32"/>
  <c r="N46" i="32"/>
  <c r="N91" i="32"/>
  <c r="N37" i="32"/>
  <c r="N118" i="32"/>
  <c r="N84" i="32"/>
  <c r="F90" i="32"/>
  <c r="F35" i="32"/>
  <c r="F110" i="32"/>
  <c r="N18" i="32"/>
  <c r="F103" i="32"/>
  <c r="N35" i="32"/>
  <c r="F97" i="32"/>
  <c r="N20" i="32"/>
  <c r="N114" i="32"/>
  <c r="N115" i="32"/>
  <c r="N41" i="32"/>
  <c r="N101" i="32"/>
  <c r="N34" i="33" l="1"/>
  <c r="N17" i="38"/>
  <c r="F41" i="32" l="1"/>
  <c r="N34" i="32"/>
  <c r="N85" i="33" l="1"/>
  <c r="N85" i="38"/>
  <c r="M91" i="39" l="1"/>
  <c r="P91" i="39" s="1"/>
  <c r="L91" i="39"/>
  <c r="M90" i="39"/>
  <c r="P90" i="39" s="1"/>
  <c r="L90" i="39"/>
  <c r="M89" i="39"/>
  <c r="P89" i="39" s="1"/>
  <c r="L89" i="39"/>
  <c r="N89" i="39" l="1"/>
  <c r="N91" i="39"/>
  <c r="N90" i="39"/>
  <c r="O256" i="15" l="1"/>
  <c r="O264" i="15"/>
  <c r="O272" i="15"/>
  <c r="O280" i="15"/>
  <c r="O288" i="15"/>
  <c r="O258" i="15"/>
  <c r="O266" i="15"/>
  <c r="O274" i="15"/>
  <c r="O282" i="15"/>
  <c r="O290" i="15"/>
  <c r="O296" i="15"/>
  <c r="G316" i="15"/>
  <c r="G324" i="15"/>
  <c r="G332" i="15"/>
  <c r="G340" i="15"/>
  <c r="G348" i="15"/>
  <c r="G356" i="15"/>
  <c r="O316" i="15"/>
  <c r="O324" i="15"/>
  <c r="O332" i="15"/>
  <c r="O340" i="15"/>
  <c r="O255" i="15"/>
  <c r="O263" i="15"/>
  <c r="O271" i="15"/>
  <c r="O279" i="15"/>
  <c r="O287" i="15"/>
  <c r="O295" i="15"/>
  <c r="G315" i="15"/>
  <c r="G323" i="15"/>
  <c r="G331" i="15"/>
  <c r="G339" i="15"/>
  <c r="G347" i="15"/>
  <c r="G355" i="15"/>
  <c r="O315" i="15"/>
  <c r="O323" i="15"/>
  <c r="O331" i="15"/>
  <c r="O339" i="15"/>
  <c r="O347" i="15"/>
  <c r="O355" i="15"/>
  <c r="G375" i="15"/>
  <c r="G383" i="15"/>
  <c r="G391" i="15"/>
  <c r="G399" i="15"/>
  <c r="G407" i="15"/>
  <c r="G415" i="15"/>
  <c r="O348" i="15"/>
  <c r="O356" i="15"/>
  <c r="G376" i="15"/>
  <c r="G384" i="15"/>
  <c r="G392" i="15"/>
  <c r="G400" i="15"/>
  <c r="G408" i="15"/>
  <c r="G416" i="15"/>
  <c r="G314" i="15"/>
  <c r="G322" i="15"/>
  <c r="G330" i="15"/>
  <c r="G338" i="15"/>
  <c r="G346" i="15"/>
  <c r="G354" i="15"/>
  <c r="O314" i="15"/>
  <c r="O322" i="15"/>
  <c r="O330" i="15"/>
  <c r="O338" i="15"/>
  <c r="O253" i="15"/>
  <c r="O269" i="15"/>
  <c r="O277" i="15"/>
  <c r="O293" i="15"/>
  <c r="G313" i="15"/>
  <c r="G321" i="15"/>
  <c r="G329" i="15"/>
  <c r="G337" i="15"/>
  <c r="G353" i="15"/>
  <c r="O313" i="15"/>
  <c r="O329" i="15"/>
  <c r="O337" i="15"/>
  <c r="O353" i="15"/>
  <c r="G373" i="15"/>
  <c r="G381" i="15"/>
  <c r="G389" i="15"/>
  <c r="G397" i="15"/>
  <c r="G413" i="15"/>
  <c r="O346" i="15"/>
  <c r="O354" i="15"/>
  <c r="G374" i="15"/>
  <c r="G382" i="15"/>
  <c r="G390" i="15"/>
  <c r="G398" i="15"/>
  <c r="G406" i="15"/>
  <c r="G414" i="15"/>
  <c r="O260" i="15"/>
  <c r="O268" i="15"/>
  <c r="O276" i="15"/>
  <c r="O284" i="15"/>
  <c r="O292" i="15"/>
  <c r="O254" i="15"/>
  <c r="O262" i="15"/>
  <c r="O270" i="15"/>
  <c r="O278" i="15"/>
  <c r="O286" i="15"/>
  <c r="O294" i="15"/>
  <c r="G320" i="15"/>
  <c r="G328" i="15"/>
  <c r="G336" i="15"/>
  <c r="G344" i="15"/>
  <c r="G352" i="15"/>
  <c r="O320" i="15"/>
  <c r="O328" i="15"/>
  <c r="O336" i="15"/>
  <c r="O344" i="15"/>
  <c r="O259" i="15"/>
  <c r="O267" i="15"/>
  <c r="O275" i="15"/>
  <c r="O283" i="15"/>
  <c r="O291" i="15"/>
  <c r="G319" i="15"/>
  <c r="G327" i="15"/>
  <c r="G335" i="15"/>
  <c r="G343" i="15"/>
  <c r="G351" i="15"/>
  <c r="O319" i="15"/>
  <c r="O327" i="15"/>
  <c r="O335" i="15"/>
  <c r="O343" i="15"/>
  <c r="O351" i="15"/>
  <c r="G379" i="15"/>
  <c r="G387" i="15"/>
  <c r="G395" i="15"/>
  <c r="G403" i="15"/>
  <c r="G411" i="15"/>
  <c r="O352" i="15"/>
  <c r="G380" i="15"/>
  <c r="G388" i="15"/>
  <c r="G396" i="15"/>
  <c r="G404" i="15"/>
  <c r="G412" i="15"/>
  <c r="O298" i="15"/>
  <c r="G318" i="15"/>
  <c r="G326" i="15"/>
  <c r="G334" i="15"/>
  <c r="G342" i="15"/>
  <c r="G350" i="15"/>
  <c r="G358" i="15"/>
  <c r="O318" i="15"/>
  <c r="O326" i="15"/>
  <c r="O334" i="15"/>
  <c r="O342" i="15"/>
  <c r="O257" i="15"/>
  <c r="O265" i="15"/>
  <c r="O273" i="15"/>
  <c r="O281" i="15"/>
  <c r="O289" i="15"/>
  <c r="O297" i="15"/>
  <c r="G317" i="15"/>
  <c r="G325" i="15"/>
  <c r="G333" i="15"/>
  <c r="G341" i="15"/>
  <c r="G349" i="15"/>
  <c r="G357" i="15"/>
  <c r="O317" i="15"/>
  <c r="O325" i="15"/>
  <c r="O333" i="15"/>
  <c r="O341" i="15"/>
  <c r="O349" i="15"/>
  <c r="O357" i="15"/>
  <c r="G377" i="15"/>
  <c r="G385" i="15"/>
  <c r="G393" i="15"/>
  <c r="G401" i="15"/>
  <c r="G409" i="15"/>
  <c r="G417" i="15"/>
  <c r="O350" i="15"/>
  <c r="O358" i="15"/>
  <c r="G378" i="15"/>
  <c r="G386" i="15"/>
  <c r="G394" i="15"/>
  <c r="G402" i="15"/>
  <c r="G410" i="15"/>
  <c r="G418" i="15"/>
  <c r="O359" i="15" l="1"/>
  <c r="G419" i="15"/>
  <c r="G359" i="15"/>
  <c r="O299" i="15"/>
  <c r="G372" i="15"/>
  <c r="O312" i="15"/>
  <c r="G312" i="15"/>
  <c r="O252" i="15"/>
  <c r="O321" i="15" l="1"/>
  <c r="O261" i="15"/>
  <c r="G405" i="15"/>
  <c r="G345" i="15"/>
  <c r="O345" i="15"/>
  <c r="O285" i="15"/>
  <c r="G137" i="37" l="1"/>
  <c r="G154" i="37"/>
  <c r="G143" i="37"/>
  <c r="G158" i="37"/>
  <c r="G157" i="37"/>
  <c r="G133" i="37"/>
  <c r="G134" i="37"/>
  <c r="G151" i="37"/>
  <c r="G149" i="37"/>
  <c r="G160" i="37"/>
  <c r="G161" i="37"/>
  <c r="G139" i="37"/>
  <c r="G147" i="37"/>
  <c r="G162" i="37"/>
  <c r="G153" i="37"/>
  <c r="G164" i="37"/>
  <c r="G165" i="37"/>
  <c r="G142" i="37"/>
  <c r="G156" i="37"/>
  <c r="G140" i="37"/>
  <c r="G155" i="37"/>
  <c r="G163" i="37"/>
  <c r="G175" i="37"/>
  <c r="G132" i="39"/>
  <c r="G135" i="39"/>
  <c r="G177" i="39"/>
  <c r="G142" i="39"/>
  <c r="G164" i="39"/>
  <c r="G162" i="39"/>
  <c r="G134" i="39"/>
  <c r="G140" i="39"/>
  <c r="G137" i="39"/>
  <c r="G146" i="39"/>
  <c r="G170" i="39"/>
  <c r="G166" i="39"/>
  <c r="G143" i="39"/>
  <c r="G148" i="39"/>
  <c r="G141" i="39"/>
  <c r="G150" i="39"/>
  <c r="G172" i="39"/>
  <c r="G169" i="39"/>
  <c r="G138" i="39"/>
  <c r="G133" i="39"/>
  <c r="G145" i="39"/>
  <c r="G160" i="39"/>
  <c r="G167" i="39"/>
  <c r="G176" i="39"/>
  <c r="G138" i="40"/>
  <c r="G146" i="40"/>
  <c r="G145" i="40"/>
  <c r="O134" i="37"/>
  <c r="O138" i="37"/>
  <c r="O142" i="37"/>
  <c r="O150" i="37"/>
  <c r="O133" i="37"/>
  <c r="O137" i="37"/>
  <c r="O141" i="37"/>
  <c r="O145" i="37"/>
  <c r="O149" i="37"/>
  <c r="O153" i="37"/>
  <c r="O156" i="37"/>
  <c r="O160" i="37"/>
  <c r="O164" i="37"/>
  <c r="O168" i="37"/>
  <c r="O172" i="37"/>
  <c r="O176" i="37"/>
  <c r="O155" i="37"/>
  <c r="O159" i="37"/>
  <c r="O163" i="37"/>
  <c r="O167" i="37"/>
  <c r="O171" i="37"/>
  <c r="O175" i="37"/>
  <c r="O179" i="37"/>
  <c r="O132" i="39"/>
  <c r="O136" i="39"/>
  <c r="O140" i="39"/>
  <c r="O144" i="39"/>
  <c r="O148" i="39"/>
  <c r="O152" i="39"/>
  <c r="O156" i="39"/>
  <c r="O160" i="39"/>
  <c r="O164" i="39"/>
  <c r="O168" i="39"/>
  <c r="O172" i="39"/>
  <c r="O176" i="39"/>
  <c r="O133" i="39"/>
  <c r="O137" i="39"/>
  <c r="O141" i="39"/>
  <c r="O145" i="39"/>
  <c r="O149" i="39"/>
  <c r="O153" i="39"/>
  <c r="O157" i="39"/>
  <c r="O161" i="39"/>
  <c r="O165" i="39"/>
  <c r="O169" i="39"/>
  <c r="O173" i="39"/>
  <c r="O177" i="39"/>
  <c r="O146" i="40"/>
  <c r="O162" i="40"/>
  <c r="O153" i="40"/>
  <c r="G137" i="32"/>
  <c r="G138" i="32"/>
  <c r="G145" i="32"/>
  <c r="G135" i="37"/>
  <c r="G169" i="37"/>
  <c r="G144" i="37"/>
  <c r="G159" i="37"/>
  <c r="G176" i="37"/>
  <c r="G177" i="37"/>
  <c r="G138" i="37"/>
  <c r="G171" i="37"/>
  <c r="G148" i="37"/>
  <c r="G167" i="37"/>
  <c r="G166" i="37"/>
  <c r="G170" i="37"/>
  <c r="G132" i="37"/>
  <c r="G152" i="37"/>
  <c r="G172" i="37"/>
  <c r="G168" i="37"/>
  <c r="G174" i="37"/>
  <c r="G150" i="37"/>
  <c r="G136" i="37"/>
  <c r="G141" i="37"/>
  <c r="G173" i="37"/>
  <c r="G178" i="37"/>
  <c r="G136" i="39"/>
  <c r="G144" i="39"/>
  <c r="G149" i="39"/>
  <c r="G165" i="39"/>
  <c r="G173" i="39"/>
  <c r="G178" i="39"/>
  <c r="G139" i="39"/>
  <c r="G152" i="39"/>
  <c r="G153" i="39"/>
  <c r="G168" i="39"/>
  <c r="G174" i="39"/>
  <c r="G171" i="39"/>
  <c r="G147" i="39"/>
  <c r="G155" i="39"/>
  <c r="G157" i="39"/>
  <c r="G159" i="39"/>
  <c r="G154" i="39"/>
  <c r="G175" i="39"/>
  <c r="G151" i="39"/>
  <c r="G156" i="39"/>
  <c r="G163" i="39"/>
  <c r="G161" i="39"/>
  <c r="G158" i="39"/>
  <c r="G179" i="39"/>
  <c r="G137" i="40"/>
  <c r="G162" i="40"/>
  <c r="G140" i="40"/>
  <c r="O132" i="37"/>
  <c r="O136" i="37"/>
  <c r="O140" i="37"/>
  <c r="O144" i="37"/>
  <c r="O148" i="37"/>
  <c r="O152" i="37"/>
  <c r="O135" i="37"/>
  <c r="O139" i="37"/>
  <c r="O143" i="37"/>
  <c r="O147" i="37"/>
  <c r="O151" i="37"/>
  <c r="O154" i="37"/>
  <c r="O158" i="37"/>
  <c r="O162" i="37"/>
  <c r="O166" i="37"/>
  <c r="O170" i="37"/>
  <c r="O174" i="37"/>
  <c r="O178" i="37"/>
  <c r="O157" i="37"/>
  <c r="O161" i="37"/>
  <c r="O165" i="37"/>
  <c r="O169" i="37"/>
  <c r="O173" i="37"/>
  <c r="O177" i="37"/>
  <c r="O134" i="39"/>
  <c r="O138" i="39"/>
  <c r="O142" i="39"/>
  <c r="O146" i="39"/>
  <c r="O150" i="39"/>
  <c r="O154" i="39"/>
  <c r="O158" i="39"/>
  <c r="O162" i="39"/>
  <c r="O166" i="39"/>
  <c r="O170" i="39"/>
  <c r="O174" i="39"/>
  <c r="O178" i="39"/>
  <c r="O135" i="39"/>
  <c r="O139" i="39"/>
  <c r="O143" i="39"/>
  <c r="O147" i="39"/>
  <c r="O151" i="39"/>
  <c r="O155" i="39"/>
  <c r="O159" i="39"/>
  <c r="O163" i="39"/>
  <c r="O167" i="39"/>
  <c r="O171" i="39"/>
  <c r="O175" i="39"/>
  <c r="O175" i="33" l="1"/>
  <c r="O167" i="33"/>
  <c r="O159" i="33"/>
  <c r="O151" i="33"/>
  <c r="O143" i="33"/>
  <c r="O135" i="33"/>
  <c r="O178" i="33"/>
  <c r="O170" i="33"/>
  <c r="O162" i="33"/>
  <c r="O150" i="33"/>
  <c r="O142" i="33"/>
  <c r="O134" i="33"/>
  <c r="G169" i="33"/>
  <c r="G156" i="33"/>
  <c r="G138" i="33"/>
  <c r="G172" i="33"/>
  <c r="G162" i="33"/>
  <c r="G143" i="33"/>
  <c r="G166" i="33"/>
  <c r="G148" i="33"/>
  <c r="G159" i="33"/>
  <c r="G168" i="33"/>
  <c r="G152" i="33"/>
  <c r="G134" i="33"/>
  <c r="O177" i="33"/>
  <c r="O169" i="33"/>
  <c r="O161" i="33"/>
  <c r="O153" i="33"/>
  <c r="O141" i="33"/>
  <c r="O133" i="33"/>
  <c r="O172" i="33"/>
  <c r="O164" i="33"/>
  <c r="O156" i="33"/>
  <c r="O148" i="33"/>
  <c r="O140" i="33"/>
  <c r="O132" i="33"/>
  <c r="G165" i="33"/>
  <c r="G149" i="33"/>
  <c r="G150" i="33"/>
  <c r="G171" i="33"/>
  <c r="G153" i="33"/>
  <c r="G132" i="33"/>
  <c r="G157" i="33"/>
  <c r="G141" i="33"/>
  <c r="G151" i="33"/>
  <c r="G161" i="33"/>
  <c r="G145" i="33"/>
  <c r="G176" i="33"/>
  <c r="O171" i="33"/>
  <c r="O163" i="33"/>
  <c r="O155" i="33"/>
  <c r="O147" i="33"/>
  <c r="O139" i="33"/>
  <c r="O174" i="33"/>
  <c r="O166" i="33"/>
  <c r="O158" i="33"/>
  <c r="O146" i="33"/>
  <c r="O138" i="33"/>
  <c r="G174" i="33"/>
  <c r="G167" i="33"/>
  <c r="G139" i="33"/>
  <c r="G178" i="33"/>
  <c r="G155" i="33"/>
  <c r="G147" i="33"/>
  <c r="G173" i="33"/>
  <c r="G154" i="33"/>
  <c r="G136" i="33"/>
  <c r="G170" i="33"/>
  <c r="G160" i="33"/>
  <c r="G137" i="33"/>
  <c r="O173" i="33"/>
  <c r="O165" i="33"/>
  <c r="O157" i="33"/>
  <c r="O149" i="33"/>
  <c r="O137" i="33"/>
  <c r="O176" i="33"/>
  <c r="O168" i="33"/>
  <c r="O160" i="33"/>
  <c r="O152" i="33"/>
  <c r="O144" i="33"/>
  <c r="O136" i="33"/>
  <c r="G177" i="33"/>
  <c r="G140" i="33"/>
  <c r="G135" i="33"/>
  <c r="G179" i="33"/>
  <c r="G144" i="33"/>
  <c r="G142" i="33"/>
  <c r="G163" i="33"/>
  <c r="G158" i="33"/>
  <c r="G133" i="33"/>
  <c r="G164" i="33"/>
  <c r="G175" i="33"/>
  <c r="G146" i="33"/>
  <c r="O153" i="32"/>
  <c r="O177" i="38"/>
  <c r="O173" i="38"/>
  <c r="O169" i="38"/>
  <c r="O165" i="38"/>
  <c r="O161" i="38"/>
  <c r="O157" i="38"/>
  <c r="O153" i="38"/>
  <c r="O149" i="38"/>
  <c r="O141" i="38"/>
  <c r="O133" i="38"/>
  <c r="O176" i="38"/>
  <c r="O172" i="38"/>
  <c r="O168" i="38"/>
  <c r="O164" i="38"/>
  <c r="O160" i="38"/>
  <c r="O156" i="38"/>
  <c r="O152" i="38"/>
  <c r="O148" i="38"/>
  <c r="O144" i="38"/>
  <c r="O140" i="38"/>
  <c r="O136" i="38"/>
  <c r="O132" i="38"/>
  <c r="G176" i="38"/>
  <c r="G175" i="38"/>
  <c r="G158" i="38"/>
  <c r="G154" i="38"/>
  <c r="G141" i="38"/>
  <c r="G132" i="38"/>
  <c r="G172" i="38"/>
  <c r="G173" i="38"/>
  <c r="G156" i="38"/>
  <c r="G150" i="38"/>
  <c r="G134" i="38"/>
  <c r="G168" i="38"/>
  <c r="G174" i="38"/>
  <c r="G171" i="38"/>
  <c r="G151" i="38"/>
  <c r="G146" i="38"/>
  <c r="G152" i="38"/>
  <c r="G133" i="38"/>
  <c r="G167" i="38"/>
  <c r="G162" i="38"/>
  <c r="G147" i="38"/>
  <c r="G142" i="38"/>
  <c r="G178" i="38"/>
  <c r="G135" i="38"/>
  <c r="O162" i="32"/>
  <c r="O146" i="32"/>
  <c r="O175" i="38"/>
  <c r="O171" i="38"/>
  <c r="O167" i="38"/>
  <c r="O163" i="38"/>
  <c r="O159" i="38"/>
  <c r="O155" i="38"/>
  <c r="O151" i="38"/>
  <c r="O147" i="38"/>
  <c r="O143" i="38"/>
  <c r="O139" i="38"/>
  <c r="O135" i="38"/>
  <c r="O178" i="38"/>
  <c r="O174" i="38"/>
  <c r="O170" i="38"/>
  <c r="O166" i="38"/>
  <c r="O162" i="38"/>
  <c r="O158" i="38"/>
  <c r="O154" i="38"/>
  <c r="O150" i="38"/>
  <c r="O146" i="38"/>
  <c r="O142" i="38"/>
  <c r="O138" i="38"/>
  <c r="O134" i="38"/>
  <c r="G163" i="38"/>
  <c r="G166" i="38"/>
  <c r="G143" i="38"/>
  <c r="G138" i="38"/>
  <c r="G153" i="38"/>
  <c r="G148" i="38"/>
  <c r="G159" i="38"/>
  <c r="G157" i="38"/>
  <c r="G165" i="38"/>
  <c r="G179" i="38"/>
  <c r="G145" i="38"/>
  <c r="G144" i="38"/>
  <c r="G155" i="38"/>
  <c r="G170" i="38"/>
  <c r="G164" i="38"/>
  <c r="G161" i="38"/>
  <c r="G139" i="38"/>
  <c r="G137" i="38"/>
  <c r="G177" i="38"/>
  <c r="G169" i="38"/>
  <c r="G160" i="38"/>
  <c r="G149" i="38"/>
  <c r="G136" i="38"/>
  <c r="G140" i="38"/>
  <c r="G146" i="32"/>
  <c r="G162" i="32"/>
  <c r="G152" i="36" l="1"/>
  <c r="G167" i="36"/>
  <c r="G162" i="36"/>
  <c r="G160" i="36"/>
  <c r="G142" i="36"/>
  <c r="G166" i="36"/>
  <c r="G138" i="36"/>
  <c r="G153" i="36"/>
  <c r="G154" i="36"/>
  <c r="G144" i="36"/>
  <c r="G159" i="36"/>
  <c r="G158" i="36"/>
  <c r="G133" i="36"/>
  <c r="G156" i="36"/>
  <c r="G175" i="36"/>
  <c r="G137" i="36"/>
  <c r="G155" i="36"/>
  <c r="G151" i="36"/>
  <c r="G146" i="36"/>
  <c r="G173" i="36"/>
  <c r="G161" i="36"/>
  <c r="G150" i="36"/>
  <c r="G171" i="36"/>
  <c r="O133" i="36"/>
  <c r="O137" i="36"/>
  <c r="O141" i="36"/>
  <c r="O145" i="36"/>
  <c r="O149" i="36"/>
  <c r="O153" i="36"/>
  <c r="O157" i="36"/>
  <c r="O161" i="36"/>
  <c r="O165" i="36"/>
  <c r="O169" i="36"/>
  <c r="O173" i="36"/>
  <c r="O134" i="36"/>
  <c r="O138" i="36"/>
  <c r="O142" i="36"/>
  <c r="O146" i="36"/>
  <c r="O150" i="36"/>
  <c r="O154" i="36"/>
  <c r="O158" i="36"/>
  <c r="O162" i="36"/>
  <c r="O166" i="36"/>
  <c r="O170" i="36"/>
  <c r="O174" i="36"/>
  <c r="O178" i="36"/>
  <c r="O177" i="36"/>
  <c r="G147" i="36"/>
  <c r="G148" i="36"/>
  <c r="G176" i="36"/>
  <c r="G134" i="36"/>
  <c r="G163" i="36"/>
  <c r="G165" i="36"/>
  <c r="G136" i="36"/>
  <c r="G139" i="36"/>
  <c r="G157" i="36"/>
  <c r="G143" i="36"/>
  <c r="G140" i="36"/>
  <c r="G174" i="36"/>
  <c r="G172" i="36"/>
  <c r="G145" i="36"/>
  <c r="G178" i="36"/>
  <c r="G135" i="36"/>
  <c r="G149" i="36"/>
  <c r="G169" i="36"/>
  <c r="G132" i="36"/>
  <c r="G164" i="36"/>
  <c r="G168" i="36"/>
  <c r="G170" i="36"/>
  <c r="G141" i="36"/>
  <c r="G177" i="36"/>
  <c r="O135" i="36"/>
  <c r="O139" i="36"/>
  <c r="O143" i="36"/>
  <c r="O147" i="36"/>
  <c r="O151" i="36"/>
  <c r="O155" i="36"/>
  <c r="O159" i="36"/>
  <c r="O163" i="36"/>
  <c r="O167" i="36"/>
  <c r="O171" i="36"/>
  <c r="O132" i="36"/>
  <c r="O136" i="36"/>
  <c r="O140" i="36"/>
  <c r="O144" i="36"/>
  <c r="O148" i="36"/>
  <c r="O152" i="36"/>
  <c r="O156" i="36"/>
  <c r="O160" i="36"/>
  <c r="O164" i="36"/>
  <c r="O168" i="36"/>
  <c r="O172" i="36"/>
  <c r="O176" i="36"/>
  <c r="O175" i="36"/>
  <c r="O179" i="36"/>
  <c r="G132" i="34" l="1"/>
  <c r="G157" i="34"/>
  <c r="G172" i="34"/>
  <c r="G174" i="34"/>
  <c r="G142" i="34"/>
  <c r="G164" i="34"/>
  <c r="G160" i="34"/>
  <c r="G178" i="34"/>
  <c r="G139" i="34"/>
  <c r="G155" i="34"/>
  <c r="G163" i="34"/>
  <c r="G150" i="34"/>
  <c r="G140" i="34"/>
  <c r="G143" i="34"/>
  <c r="G165" i="34"/>
  <c r="G147" i="34"/>
  <c r="G170" i="34"/>
  <c r="G166" i="34"/>
  <c r="G168" i="34"/>
  <c r="G136" i="34"/>
  <c r="G167" i="34"/>
  <c r="G154" i="34"/>
  <c r="G173" i="34"/>
  <c r="G160" i="35"/>
  <c r="G153" i="35"/>
  <c r="G163" i="35"/>
  <c r="G176" i="35"/>
  <c r="G150" i="35"/>
  <c r="G157" i="35"/>
  <c r="G138" i="35"/>
  <c r="G154" i="35"/>
  <c r="G167" i="35"/>
  <c r="G149" i="35"/>
  <c r="G148" i="35"/>
  <c r="G152" i="35"/>
  <c r="G164" i="35"/>
  <c r="G175" i="35"/>
  <c r="G165" i="35"/>
  <c r="G169" i="35"/>
  <c r="G139" i="35"/>
  <c r="G143" i="35"/>
  <c r="G159" i="35"/>
  <c r="G141" i="35"/>
  <c r="G155" i="35"/>
  <c r="G171" i="35"/>
  <c r="G133" i="35"/>
  <c r="O133" i="35"/>
  <c r="O137" i="35"/>
  <c r="O141" i="35"/>
  <c r="O145" i="35"/>
  <c r="O149" i="35"/>
  <c r="O153" i="35"/>
  <c r="O157" i="35"/>
  <c r="O161" i="35"/>
  <c r="O165" i="35"/>
  <c r="O169" i="35"/>
  <c r="O173" i="35"/>
  <c r="O177" i="35"/>
  <c r="O134" i="35"/>
  <c r="O138" i="35"/>
  <c r="O142" i="35"/>
  <c r="O146" i="35"/>
  <c r="O150" i="35"/>
  <c r="O154" i="35"/>
  <c r="O158" i="35"/>
  <c r="O162" i="35"/>
  <c r="O166" i="35"/>
  <c r="O170" i="35"/>
  <c r="O174" i="35"/>
  <c r="O178" i="35"/>
  <c r="O137" i="34"/>
  <c r="O141" i="34"/>
  <c r="O145" i="34"/>
  <c r="O149" i="34"/>
  <c r="O153" i="34"/>
  <c r="O157" i="34"/>
  <c r="O161" i="34"/>
  <c r="O165" i="34"/>
  <c r="O169" i="34"/>
  <c r="O173" i="34"/>
  <c r="O177" i="34"/>
  <c r="O132" i="34"/>
  <c r="O136" i="34"/>
  <c r="O140" i="34"/>
  <c r="O144" i="34"/>
  <c r="O148" i="34"/>
  <c r="O152" i="34"/>
  <c r="O160" i="34"/>
  <c r="O164" i="34"/>
  <c r="O168" i="34"/>
  <c r="O172" i="34"/>
  <c r="O176" i="34"/>
  <c r="G152" i="34"/>
  <c r="G145" i="34"/>
  <c r="G177" i="34"/>
  <c r="G137" i="34"/>
  <c r="G138" i="34"/>
  <c r="G171" i="34"/>
  <c r="G134" i="34"/>
  <c r="G133" i="34"/>
  <c r="G161" i="34"/>
  <c r="G175" i="34"/>
  <c r="G144" i="34"/>
  <c r="G151" i="34"/>
  <c r="G158" i="34"/>
  <c r="G162" i="34"/>
  <c r="G149" i="34"/>
  <c r="G135" i="34"/>
  <c r="G148" i="34"/>
  <c r="G146" i="34"/>
  <c r="G169" i="34"/>
  <c r="G176" i="34"/>
  <c r="G153" i="34"/>
  <c r="G137" i="35"/>
  <c r="G161" i="35"/>
  <c r="G168" i="35"/>
  <c r="G135" i="35"/>
  <c r="G166" i="35"/>
  <c r="G173" i="35"/>
  <c r="G136" i="35"/>
  <c r="G147" i="35"/>
  <c r="G162" i="35"/>
  <c r="G134" i="35"/>
  <c r="G140" i="35"/>
  <c r="G172" i="35"/>
  <c r="G146" i="35"/>
  <c r="G158" i="35"/>
  <c r="G174" i="35"/>
  <c r="G142" i="35"/>
  <c r="G178" i="35"/>
  <c r="G177" i="35"/>
  <c r="G132" i="35"/>
  <c r="G151" i="35"/>
  <c r="G170" i="35"/>
  <c r="G145" i="35"/>
  <c r="G144" i="35"/>
  <c r="G156" i="35"/>
  <c r="O135" i="35"/>
  <c r="O139" i="35"/>
  <c r="O143" i="35"/>
  <c r="O147" i="35"/>
  <c r="O151" i="35"/>
  <c r="O155" i="35"/>
  <c r="O159" i="35"/>
  <c r="O163" i="35"/>
  <c r="O167" i="35"/>
  <c r="O171" i="35"/>
  <c r="O175" i="35"/>
  <c r="O132" i="35"/>
  <c r="O136" i="35"/>
  <c r="O140" i="35"/>
  <c r="O144" i="35"/>
  <c r="O148" i="35"/>
  <c r="O152" i="35"/>
  <c r="O156" i="35"/>
  <c r="O160" i="35"/>
  <c r="O164" i="35"/>
  <c r="O168" i="35"/>
  <c r="O172" i="35"/>
  <c r="O176" i="35"/>
  <c r="O135" i="34"/>
  <c r="O139" i="34"/>
  <c r="O143" i="34"/>
  <c r="O147" i="34"/>
  <c r="O151" i="34"/>
  <c r="O155" i="34"/>
  <c r="O163" i="34"/>
  <c r="O167" i="34"/>
  <c r="O171" i="34"/>
  <c r="O175" i="34"/>
  <c r="O134" i="34"/>
  <c r="O138" i="34"/>
  <c r="O142" i="34"/>
  <c r="O146" i="34"/>
  <c r="O150" i="34"/>
  <c r="O154" i="34"/>
  <c r="O158" i="34"/>
  <c r="O162" i="34"/>
  <c r="O166" i="34"/>
  <c r="O170" i="34"/>
  <c r="O174" i="34"/>
  <c r="O178" i="34"/>
  <c r="O179" i="39" l="1"/>
  <c r="O179" i="35"/>
  <c r="G179" i="36"/>
  <c r="G179" i="34"/>
  <c r="G179" i="35"/>
  <c r="G179" i="37"/>
  <c r="O179" i="40"/>
  <c r="O179" i="38"/>
  <c r="O179" i="34"/>
  <c r="G156" i="15" l="1"/>
  <c r="G150" i="15"/>
  <c r="G141" i="15"/>
  <c r="G157" i="15"/>
  <c r="G210" i="15"/>
  <c r="G218" i="15"/>
  <c r="G226" i="15"/>
  <c r="O210" i="15"/>
  <c r="O218" i="15"/>
  <c r="O133" i="15"/>
  <c r="O157" i="15"/>
  <c r="G193" i="15"/>
  <c r="G201" i="15"/>
  <c r="G209" i="15"/>
  <c r="G217" i="15"/>
  <c r="O193" i="15"/>
  <c r="O217" i="15"/>
  <c r="G253" i="15"/>
  <c r="G261" i="15"/>
  <c r="G269" i="15"/>
  <c r="G277" i="15"/>
  <c r="O226" i="15"/>
  <c r="G270" i="15"/>
  <c r="G278" i="15"/>
  <c r="G286" i="15"/>
  <c r="G133" i="15"/>
  <c r="G166" i="15"/>
  <c r="O140" i="15"/>
  <c r="O156" i="15"/>
  <c r="G149" i="15"/>
  <c r="G158" i="15"/>
  <c r="G140" i="15"/>
  <c r="O150" i="15"/>
  <c r="O158" i="15"/>
  <c r="O166" i="15"/>
  <c r="G200" i="15"/>
  <c r="G216" i="15"/>
  <c r="O200" i="15"/>
  <c r="O216" i="15"/>
  <c r="G260" i="15"/>
  <c r="G276" i="15"/>
  <c r="G192" i="15" l="1"/>
  <c r="O132" i="15"/>
  <c r="G132" i="15"/>
  <c r="G252" i="15"/>
  <c r="O192" i="15"/>
  <c r="O209" i="15" l="1"/>
  <c r="O149" i="15"/>
  <c r="O224" i="15"/>
  <c r="G224" i="15"/>
  <c r="G164" i="15"/>
  <c r="G284" i="15"/>
  <c r="O164" i="15"/>
  <c r="G290" i="15"/>
  <c r="G287" i="15"/>
  <c r="G271" i="15"/>
  <c r="G259" i="15"/>
  <c r="G256" i="15"/>
  <c r="G254" i="15"/>
  <c r="G283" i="15"/>
  <c r="G264" i="15"/>
  <c r="G297" i="15"/>
  <c r="G295" i="15"/>
  <c r="G293" i="15"/>
  <c r="G275" i="15"/>
  <c r="G273" i="15"/>
  <c r="G257" i="15"/>
  <c r="O230" i="15"/>
  <c r="O228" i="15"/>
  <c r="G282" i="15"/>
  <c r="G267" i="15"/>
  <c r="G142" i="15"/>
  <c r="G144" i="15"/>
  <c r="G146" i="15"/>
  <c r="G159" i="15"/>
  <c r="G161" i="15"/>
  <c r="G163" i="15"/>
  <c r="G173" i="15"/>
  <c r="G175" i="15"/>
  <c r="G177" i="15"/>
  <c r="O143" i="15"/>
  <c r="O145" i="15"/>
  <c r="O147" i="15"/>
  <c r="O160" i="15"/>
  <c r="O162" i="15"/>
  <c r="O172" i="15"/>
  <c r="O174" i="15"/>
  <c r="O176" i="15"/>
  <c r="O178" i="15"/>
  <c r="G202" i="15"/>
  <c r="G204" i="15"/>
  <c r="G206" i="15"/>
  <c r="G219" i="15"/>
  <c r="G221" i="15"/>
  <c r="G223" i="15"/>
  <c r="G233" i="15"/>
  <c r="G235" i="15"/>
  <c r="G237" i="15"/>
  <c r="O203" i="15"/>
  <c r="O205" i="15"/>
  <c r="O207" i="15"/>
  <c r="O221" i="15"/>
  <c r="O232" i="15"/>
  <c r="O236" i="15"/>
  <c r="O238" i="15"/>
  <c r="G263" i="15"/>
  <c r="G134" i="15"/>
  <c r="G136" i="15"/>
  <c r="G138" i="15"/>
  <c r="G148" i="15"/>
  <c r="G152" i="15"/>
  <c r="G154" i="15"/>
  <c r="G167" i="15"/>
  <c r="G169" i="15"/>
  <c r="G171" i="15"/>
  <c r="O135" i="15"/>
  <c r="O137" i="15"/>
  <c r="O139" i="15"/>
  <c r="O151" i="15"/>
  <c r="O153" i="15"/>
  <c r="O155" i="15"/>
  <c r="O168" i="15"/>
  <c r="O170" i="15"/>
  <c r="G194" i="15"/>
  <c r="G196" i="15"/>
  <c r="G198" i="15"/>
  <c r="G208" i="15"/>
  <c r="G212" i="15"/>
  <c r="G214" i="15"/>
  <c r="G227" i="15"/>
  <c r="G229" i="15"/>
  <c r="G231" i="15"/>
  <c r="O195" i="15"/>
  <c r="O197" i="15"/>
  <c r="O199" i="15"/>
  <c r="O211" i="15"/>
  <c r="O213" i="15"/>
  <c r="O215" i="15"/>
  <c r="O222" i="15"/>
  <c r="O235" i="15"/>
  <c r="G288" i="15"/>
  <c r="G291" i="15"/>
  <c r="G268" i="15"/>
  <c r="G258" i="15"/>
  <c r="G255" i="15"/>
  <c r="G281" i="15"/>
  <c r="G280" i="15"/>
  <c r="G298" i="15"/>
  <c r="G296" i="15"/>
  <c r="G294" i="15"/>
  <c r="G292" i="15"/>
  <c r="G289" i="15"/>
  <c r="G274" i="15"/>
  <c r="G272" i="15"/>
  <c r="O231" i="15"/>
  <c r="O229" i="15"/>
  <c r="O227" i="15"/>
  <c r="G279" i="15"/>
  <c r="G265" i="15"/>
  <c r="G143" i="15"/>
  <c r="G145" i="15"/>
  <c r="G147" i="15"/>
  <c r="G160" i="15"/>
  <c r="G162" i="15"/>
  <c r="G172" i="15"/>
  <c r="G174" i="15"/>
  <c r="G176" i="15"/>
  <c r="G178" i="15"/>
  <c r="O142" i="15"/>
  <c r="O144" i="15"/>
  <c r="O146" i="15"/>
  <c r="O159" i="15"/>
  <c r="O161" i="15"/>
  <c r="O163" i="15"/>
  <c r="O173" i="15"/>
  <c r="O175" i="15"/>
  <c r="O177" i="15"/>
  <c r="G203" i="15"/>
  <c r="G205" i="15"/>
  <c r="G207" i="15"/>
  <c r="G220" i="15"/>
  <c r="G222" i="15"/>
  <c r="G232" i="15"/>
  <c r="G234" i="15"/>
  <c r="G236" i="15"/>
  <c r="G238" i="15"/>
  <c r="O202" i="15"/>
  <c r="O204" i="15"/>
  <c r="O206" i="15"/>
  <c r="O219" i="15"/>
  <c r="O223" i="15"/>
  <c r="O234" i="15"/>
  <c r="O237" i="15"/>
  <c r="G266" i="15"/>
  <c r="G135" i="15"/>
  <c r="G137" i="15"/>
  <c r="G139" i="15"/>
  <c r="G151" i="15"/>
  <c r="G153" i="15"/>
  <c r="G155" i="15"/>
  <c r="G168" i="15"/>
  <c r="G170" i="15"/>
  <c r="O134" i="15"/>
  <c r="O136" i="15"/>
  <c r="O138" i="15"/>
  <c r="O148" i="15"/>
  <c r="O152" i="15"/>
  <c r="O154" i="15"/>
  <c r="O167" i="15"/>
  <c r="O169" i="15"/>
  <c r="O171" i="15"/>
  <c r="G195" i="15"/>
  <c r="G197" i="15"/>
  <c r="G199" i="15"/>
  <c r="G211" i="15"/>
  <c r="G213" i="15"/>
  <c r="G215" i="15"/>
  <c r="G228" i="15"/>
  <c r="G230" i="15"/>
  <c r="O194" i="15"/>
  <c r="O196" i="15"/>
  <c r="O198" i="15"/>
  <c r="O208" i="15"/>
  <c r="O212" i="15"/>
  <c r="O214" i="15"/>
  <c r="O220" i="15"/>
  <c r="O233" i="15"/>
  <c r="G262" i="15"/>
  <c r="G239" i="15" l="1"/>
  <c r="G179" i="31"/>
  <c r="G179" i="15"/>
  <c r="O239" i="15"/>
  <c r="O179" i="33"/>
  <c r="O179" i="32"/>
  <c r="O179" i="15"/>
  <c r="G299" i="15"/>
  <c r="O146" i="37" l="1"/>
  <c r="O133" i="34"/>
  <c r="O145" i="33" l="1"/>
  <c r="O145" i="38"/>
  <c r="O145" i="40" l="1"/>
  <c r="G133" i="40"/>
  <c r="G139" i="40"/>
  <c r="G144" i="40"/>
  <c r="G151" i="40"/>
  <c r="G155" i="40"/>
  <c r="G163" i="40"/>
  <c r="G168" i="40"/>
  <c r="G179" i="40"/>
  <c r="O133" i="40"/>
  <c r="O150" i="40"/>
  <c r="O169" i="40"/>
  <c r="O172" i="40"/>
  <c r="O176" i="40"/>
  <c r="G134" i="40"/>
  <c r="G141" i="40"/>
  <c r="G149" i="40"/>
  <c r="G152" i="40"/>
  <c r="G157" i="40"/>
  <c r="G169" i="40"/>
  <c r="G176" i="40"/>
  <c r="O134" i="40"/>
  <c r="O140" i="40"/>
  <c r="O144" i="40"/>
  <c r="O151" i="40"/>
  <c r="O156" i="40"/>
  <c r="O170" i="40"/>
  <c r="O173" i="40"/>
  <c r="O177" i="40"/>
  <c r="G132" i="40"/>
  <c r="G135" i="40"/>
  <c r="G142" i="40"/>
  <c r="G153" i="40"/>
  <c r="G166" i="40"/>
  <c r="G170" i="40"/>
  <c r="G173" i="40"/>
  <c r="G177" i="40"/>
  <c r="O135" i="40"/>
  <c r="O139" i="40"/>
  <c r="O141" i="40"/>
  <c r="O147" i="40"/>
  <c r="O149" i="40"/>
  <c r="O152" i="40"/>
  <c r="O155" i="40"/>
  <c r="O159" i="40"/>
  <c r="O164" i="40"/>
  <c r="O167" i="40"/>
  <c r="O171" i="40"/>
  <c r="O174" i="40"/>
  <c r="O178" i="40"/>
  <c r="G159" i="40"/>
  <c r="G165" i="40"/>
  <c r="G175" i="40"/>
  <c r="O137" i="40"/>
  <c r="O143" i="40"/>
  <c r="O148" i="40"/>
  <c r="O161" i="40"/>
  <c r="G147" i="40"/>
  <c r="G160" i="40"/>
  <c r="G172" i="40"/>
  <c r="O138" i="40"/>
  <c r="O158" i="40"/>
  <c r="O166" i="40"/>
  <c r="G136" i="40"/>
  <c r="G143" i="40"/>
  <c r="G148" i="40"/>
  <c r="G150" i="40"/>
  <c r="G154" i="40"/>
  <c r="G156" i="40"/>
  <c r="G158" i="40"/>
  <c r="G164" i="40"/>
  <c r="G167" i="40"/>
  <c r="G171" i="40"/>
  <c r="G174" i="40"/>
  <c r="G178" i="40"/>
  <c r="O132" i="40"/>
  <c r="O136" i="40"/>
  <c r="O142" i="40"/>
  <c r="O157" i="40"/>
  <c r="O160" i="40"/>
  <c r="O163" i="40"/>
  <c r="O165" i="40"/>
  <c r="O168" i="40"/>
  <c r="O175" i="40"/>
  <c r="G134" i="32"/>
  <c r="G133" i="32"/>
  <c r="G136" i="32"/>
  <c r="G141" i="32"/>
  <c r="G135" i="32"/>
  <c r="G144" i="32"/>
  <c r="G143" i="32"/>
  <c r="G139" i="32"/>
  <c r="G132" i="32"/>
  <c r="G140" i="32"/>
  <c r="G142" i="32"/>
  <c r="G142" i="31"/>
  <c r="G168" i="31"/>
  <c r="O139" i="31"/>
  <c r="O161" i="31"/>
  <c r="G134" i="31"/>
  <c r="G145" i="31"/>
  <c r="G171" i="31"/>
  <c r="O138" i="31"/>
  <c r="O152" i="31"/>
  <c r="O172" i="31"/>
  <c r="G132" i="31"/>
  <c r="G151" i="31"/>
  <c r="G165" i="31"/>
  <c r="O151" i="31"/>
  <c r="O165" i="31"/>
  <c r="O179" i="31"/>
  <c r="G143" i="31"/>
  <c r="G150" i="31"/>
  <c r="G158" i="31"/>
  <c r="G174" i="31"/>
  <c r="O142" i="31"/>
  <c r="O150" i="31"/>
  <c r="O158" i="31"/>
  <c r="O174" i="31"/>
  <c r="G146" i="31"/>
  <c r="G173" i="31"/>
  <c r="O141" i="31"/>
  <c r="O168" i="31"/>
  <c r="G138" i="31"/>
  <c r="G152" i="31"/>
  <c r="G172" i="31"/>
  <c r="O140" i="31"/>
  <c r="O160" i="31"/>
  <c r="O176" i="31"/>
  <c r="G133" i="31"/>
  <c r="G155" i="31"/>
  <c r="G166" i="31"/>
  <c r="O133" i="31"/>
  <c r="O155" i="31"/>
  <c r="O166" i="31"/>
  <c r="G147" i="31"/>
  <c r="G154" i="31"/>
  <c r="G162" i="31"/>
  <c r="G178" i="31"/>
  <c r="O147" i="31"/>
  <c r="O154" i="31"/>
  <c r="O162" i="31"/>
  <c r="O178" i="31"/>
  <c r="G135" i="31"/>
  <c r="G153" i="31"/>
  <c r="G177" i="31"/>
  <c r="O145" i="31"/>
  <c r="O173" i="31"/>
  <c r="G140" i="31"/>
  <c r="G160" i="31"/>
  <c r="G176" i="31"/>
  <c r="O144" i="31"/>
  <c r="O167" i="31"/>
  <c r="G137" i="31"/>
  <c r="G159" i="31"/>
  <c r="G170" i="31"/>
  <c r="O137" i="31"/>
  <c r="O159" i="31"/>
  <c r="O170" i="31"/>
  <c r="G148" i="31"/>
  <c r="G156" i="31"/>
  <c r="G164" i="31"/>
  <c r="O132" i="31"/>
  <c r="O148" i="31"/>
  <c r="O156" i="31"/>
  <c r="O164" i="31"/>
  <c r="G139" i="31"/>
  <c r="G161" i="31"/>
  <c r="O135" i="31"/>
  <c r="O153" i="31"/>
  <c r="O177" i="31"/>
  <c r="G141" i="31"/>
  <c r="G167" i="31"/>
  <c r="O134" i="31"/>
  <c r="O146" i="31"/>
  <c r="O171" i="31"/>
  <c r="G144" i="31"/>
  <c r="G163" i="31"/>
  <c r="G175" i="31"/>
  <c r="O143" i="31"/>
  <c r="O163" i="31"/>
  <c r="O175" i="31"/>
  <c r="G136" i="31"/>
  <c r="G149" i="31"/>
  <c r="G157" i="31"/>
  <c r="G169" i="31"/>
  <c r="O136" i="31"/>
  <c r="O149" i="31"/>
  <c r="O169" i="31"/>
  <c r="O141" i="15"/>
  <c r="O201" i="15"/>
  <c r="G165" i="15"/>
  <c r="G285" i="15"/>
  <c r="G225" i="15"/>
  <c r="O225" i="15"/>
  <c r="O165" i="15"/>
  <c r="O170" i="32" l="1"/>
  <c r="O148" i="32"/>
  <c r="O136" i="32"/>
  <c r="G177" i="32"/>
  <c r="O173" i="32"/>
  <c r="O159" i="32"/>
  <c r="G171" i="32"/>
  <c r="G158" i="32"/>
  <c r="O167" i="32"/>
  <c r="O144" i="32"/>
  <c r="O137" i="32"/>
  <c r="G176" i="32"/>
  <c r="G147" i="32"/>
  <c r="G157" i="32"/>
  <c r="O172" i="32"/>
  <c r="O147" i="32"/>
  <c r="G159" i="32"/>
  <c r="G151" i="32"/>
  <c r="G149" i="32"/>
  <c r="O168" i="32"/>
  <c r="O143" i="32"/>
  <c r="O134" i="32"/>
  <c r="G175" i="32"/>
  <c r="O164" i="32"/>
  <c r="O156" i="32"/>
  <c r="G169" i="32"/>
  <c r="G154" i="32"/>
  <c r="O157" i="32"/>
  <c r="O142" i="32"/>
  <c r="O135" i="32"/>
  <c r="G174" i="32"/>
  <c r="O178" i="32"/>
  <c r="O165" i="32"/>
  <c r="G170" i="32"/>
  <c r="G156" i="32"/>
  <c r="G148" i="32"/>
  <c r="O166" i="32"/>
  <c r="O141" i="32"/>
  <c r="O132" i="32"/>
  <c r="G173" i="32"/>
  <c r="O177" i="32"/>
  <c r="O163" i="32"/>
  <c r="O155" i="32"/>
  <c r="G167" i="32"/>
  <c r="G152" i="32"/>
  <c r="O171" i="32"/>
  <c r="O152" i="32"/>
  <c r="O140" i="32"/>
  <c r="O133" i="32"/>
  <c r="G172" i="32"/>
  <c r="O176" i="32"/>
  <c r="O160" i="32"/>
  <c r="G168" i="32"/>
  <c r="G155" i="32"/>
  <c r="O151" i="32"/>
  <c r="O138" i="32"/>
  <c r="G179" i="32"/>
  <c r="G163" i="32"/>
  <c r="O175" i="32"/>
  <c r="O161" i="32"/>
  <c r="O149" i="32"/>
  <c r="G160" i="32"/>
  <c r="G150" i="32"/>
  <c r="O169" i="32"/>
  <c r="O150" i="32"/>
  <c r="O139" i="32"/>
  <c r="G178" i="32"/>
  <c r="G165" i="32"/>
  <c r="O174" i="32"/>
  <c r="O158" i="32"/>
  <c r="G166" i="32"/>
  <c r="G153" i="32"/>
  <c r="G164" i="32"/>
  <c r="O145" i="32"/>
  <c r="G159" i="34" l="1"/>
  <c r="O159" i="34"/>
  <c r="G146" i="37"/>
  <c r="G145" i="37"/>
  <c r="O157" i="31"/>
  <c r="G156" i="34"/>
  <c r="O156" i="34"/>
  <c r="G141" i="34"/>
  <c r="O154" i="33" l="1"/>
  <c r="O137" i="38"/>
  <c r="O154" i="40" l="1"/>
  <c r="G161" i="40"/>
  <c r="G161" i="32" l="1"/>
  <c r="O154" i="32"/>
  <c r="G17" i="37" l="1"/>
  <c r="G23" i="37"/>
  <c r="G38" i="37"/>
  <c r="G13" i="37"/>
  <c r="G31" i="37"/>
  <c r="G40" i="37"/>
  <c r="G19" i="37"/>
  <c r="G42" i="37"/>
  <c r="G44" i="37"/>
  <c r="G22" i="37"/>
  <c r="G20" i="37"/>
  <c r="G43" i="37"/>
  <c r="G15" i="39"/>
  <c r="G22" i="39"/>
  <c r="G42" i="39"/>
  <c r="G20" i="39"/>
  <c r="G17" i="39"/>
  <c r="G50" i="39"/>
  <c r="G28" i="39"/>
  <c r="G30" i="39"/>
  <c r="G52" i="39"/>
  <c r="G18" i="39"/>
  <c r="G25" i="39"/>
  <c r="G47" i="39"/>
  <c r="G18" i="40"/>
  <c r="G25" i="40"/>
  <c r="O12" i="37"/>
  <c r="O16" i="37"/>
  <c r="O20" i="37"/>
  <c r="O24" i="37"/>
  <c r="O28" i="37"/>
  <c r="O32" i="37"/>
  <c r="O15" i="37"/>
  <c r="O19" i="37"/>
  <c r="O23" i="37"/>
  <c r="O27" i="37"/>
  <c r="O31" i="37"/>
  <c r="O34" i="37"/>
  <c r="O38" i="37"/>
  <c r="O42" i="37"/>
  <c r="O46" i="37"/>
  <c r="O50" i="37"/>
  <c r="O54" i="37"/>
  <c r="O58" i="37"/>
  <c r="G74" i="37"/>
  <c r="G78" i="37"/>
  <c r="G82" i="37"/>
  <c r="G86" i="37"/>
  <c r="G90" i="37"/>
  <c r="G94" i="37"/>
  <c r="G98" i="37"/>
  <c r="G102" i="37"/>
  <c r="G106" i="37"/>
  <c r="G110" i="37"/>
  <c r="G114" i="37"/>
  <c r="G118" i="37"/>
  <c r="O74" i="37"/>
  <c r="O78" i="37"/>
  <c r="O82" i="37"/>
  <c r="O90" i="37"/>
  <c r="O94" i="37"/>
  <c r="O98" i="37"/>
  <c r="O102" i="37"/>
  <c r="O106" i="37"/>
  <c r="O110" i="37"/>
  <c r="O114" i="37"/>
  <c r="O118" i="37"/>
  <c r="O37" i="37"/>
  <c r="O41" i="37"/>
  <c r="O45" i="37"/>
  <c r="O49" i="37"/>
  <c r="O53" i="37"/>
  <c r="O57" i="37"/>
  <c r="G73" i="37"/>
  <c r="G77" i="37"/>
  <c r="G81" i="37"/>
  <c r="G85" i="37"/>
  <c r="G89" i="37"/>
  <c r="G93" i="37"/>
  <c r="G97" i="37"/>
  <c r="G101" i="37"/>
  <c r="G105" i="37"/>
  <c r="G109" i="37"/>
  <c r="G113" i="37"/>
  <c r="G117" i="37"/>
  <c r="O73" i="37"/>
  <c r="O77" i="37"/>
  <c r="O81" i="37"/>
  <c r="O85" i="37"/>
  <c r="O89" i="37"/>
  <c r="O93" i="37"/>
  <c r="O97" i="37"/>
  <c r="O101" i="37"/>
  <c r="O105" i="37"/>
  <c r="O109" i="37"/>
  <c r="O113" i="37"/>
  <c r="O117" i="37"/>
  <c r="O14" i="39"/>
  <c r="O18" i="39"/>
  <c r="O22" i="39"/>
  <c r="O26" i="39"/>
  <c r="O30" i="39"/>
  <c r="O34" i="39"/>
  <c r="O38" i="39"/>
  <c r="O42" i="39"/>
  <c r="O46" i="39"/>
  <c r="O50" i="39"/>
  <c r="O54" i="39"/>
  <c r="O58" i="39"/>
  <c r="G74" i="39"/>
  <c r="G78" i="39"/>
  <c r="G82" i="39"/>
  <c r="G86" i="39"/>
  <c r="G90" i="39"/>
  <c r="G94" i="39"/>
  <c r="G98" i="39"/>
  <c r="G102" i="39"/>
  <c r="G106" i="39"/>
  <c r="G110" i="39"/>
  <c r="G114" i="39"/>
  <c r="G118" i="39"/>
  <c r="O74" i="39"/>
  <c r="O78" i="39"/>
  <c r="O82" i="39"/>
  <c r="O86" i="39"/>
  <c r="O94" i="39"/>
  <c r="O98" i="39"/>
  <c r="O102" i="39"/>
  <c r="O106" i="39"/>
  <c r="O110" i="39"/>
  <c r="O114" i="39"/>
  <c r="O118" i="39"/>
  <c r="O15" i="39"/>
  <c r="O19" i="39"/>
  <c r="O23" i="39"/>
  <c r="O27" i="39"/>
  <c r="O31" i="39"/>
  <c r="O35" i="39"/>
  <c r="O39" i="39"/>
  <c r="O43" i="39"/>
  <c r="O47" i="39"/>
  <c r="O51" i="39"/>
  <c r="O55" i="39"/>
  <c r="G75" i="39"/>
  <c r="G79" i="39"/>
  <c r="G83" i="39"/>
  <c r="G87" i="39"/>
  <c r="G91" i="39"/>
  <c r="G95" i="39"/>
  <c r="G99" i="39"/>
  <c r="G103" i="39"/>
  <c r="G107" i="39"/>
  <c r="G111" i="39"/>
  <c r="G115" i="39"/>
  <c r="O75" i="39"/>
  <c r="O79" i="39"/>
  <c r="O83" i="39"/>
  <c r="O87" i="39"/>
  <c r="O95" i="39"/>
  <c r="O99" i="39"/>
  <c r="O103" i="39"/>
  <c r="O107" i="39"/>
  <c r="O111" i="39"/>
  <c r="O115" i="39"/>
  <c r="O119" i="39"/>
  <c r="G34" i="37"/>
  <c r="G37" i="37"/>
  <c r="G14" i="37"/>
  <c r="G29" i="37"/>
  <c r="G41" i="37"/>
  <c r="G27" i="37"/>
  <c r="G33" i="37"/>
  <c r="G45" i="37"/>
  <c r="G36" i="37"/>
  <c r="G35" i="37"/>
  <c r="G55" i="37"/>
  <c r="G12" i="39"/>
  <c r="G57" i="39"/>
  <c r="G44" i="39"/>
  <c r="G14" i="39"/>
  <c r="G26" i="39"/>
  <c r="G46" i="39"/>
  <c r="G23" i="39"/>
  <c r="G21" i="39"/>
  <c r="G49" i="39"/>
  <c r="G13" i="39"/>
  <c r="G40" i="39"/>
  <c r="G56" i="39"/>
  <c r="G26" i="40"/>
  <c r="G17" i="32"/>
  <c r="G18" i="32"/>
  <c r="G25" i="32"/>
  <c r="G15" i="37"/>
  <c r="G49" i="37"/>
  <c r="G24" i="37"/>
  <c r="G39" i="37"/>
  <c r="G56" i="37"/>
  <c r="G57" i="37"/>
  <c r="G18" i="37"/>
  <c r="G51" i="37"/>
  <c r="G28" i="37"/>
  <c r="G47" i="37"/>
  <c r="G46" i="37"/>
  <c r="G50" i="37"/>
  <c r="G12" i="37"/>
  <c r="G32" i="37"/>
  <c r="G52" i="37"/>
  <c r="G48" i="37"/>
  <c r="G54" i="37"/>
  <c r="G30" i="37"/>
  <c r="G16" i="37"/>
  <c r="G21" i="37"/>
  <c r="G53" i="37"/>
  <c r="G58" i="37"/>
  <c r="G16" i="39"/>
  <c r="G24" i="39"/>
  <c r="G29" i="39"/>
  <c r="G45" i="39"/>
  <c r="G53" i="39"/>
  <c r="G58" i="39"/>
  <c r="G19" i="39"/>
  <c r="G32" i="39"/>
  <c r="G33" i="39"/>
  <c r="G48" i="39"/>
  <c r="G54" i="39"/>
  <c r="G51" i="39"/>
  <c r="G27" i="39"/>
  <c r="G35" i="39"/>
  <c r="G37" i="39"/>
  <c r="G39" i="39"/>
  <c r="G34" i="39"/>
  <c r="G55" i="39"/>
  <c r="G31" i="39"/>
  <c r="G36" i="39"/>
  <c r="G43" i="39"/>
  <c r="G41" i="39"/>
  <c r="G38" i="39"/>
  <c r="G17" i="40"/>
  <c r="G42" i="40"/>
  <c r="O14" i="37"/>
  <c r="O18" i="37"/>
  <c r="O22" i="37"/>
  <c r="O30" i="37"/>
  <c r="O13" i="37"/>
  <c r="O17" i="37"/>
  <c r="O21" i="37"/>
  <c r="O25" i="37"/>
  <c r="O29" i="37"/>
  <c r="O33" i="37"/>
  <c r="O36" i="37"/>
  <c r="O40" i="37"/>
  <c r="O44" i="37"/>
  <c r="O48" i="37"/>
  <c r="O52" i="37"/>
  <c r="O56" i="37"/>
  <c r="G72" i="37"/>
  <c r="G76" i="37"/>
  <c r="G80" i="37"/>
  <c r="G84" i="37"/>
  <c r="G88" i="37"/>
  <c r="G92" i="37"/>
  <c r="G96" i="37"/>
  <c r="G100" i="37"/>
  <c r="G104" i="37"/>
  <c r="G108" i="37"/>
  <c r="G112" i="37"/>
  <c r="G116" i="37"/>
  <c r="O72" i="37"/>
  <c r="O76" i="37"/>
  <c r="O80" i="37"/>
  <c r="O84" i="37"/>
  <c r="O88" i="37"/>
  <c r="O92" i="37"/>
  <c r="O96" i="37"/>
  <c r="O100" i="37"/>
  <c r="O104" i="37"/>
  <c r="O108" i="37"/>
  <c r="O112" i="37"/>
  <c r="O116" i="37"/>
  <c r="O35" i="37"/>
  <c r="O39" i="37"/>
  <c r="O43" i="37"/>
  <c r="O47" i="37"/>
  <c r="O51" i="37"/>
  <c r="O55" i="37"/>
  <c r="G75" i="37"/>
  <c r="G79" i="37"/>
  <c r="G83" i="37"/>
  <c r="G87" i="37"/>
  <c r="G91" i="37"/>
  <c r="G95" i="37"/>
  <c r="G99" i="37"/>
  <c r="G103" i="37"/>
  <c r="G107" i="37"/>
  <c r="G111" i="37"/>
  <c r="G115" i="37"/>
  <c r="O75" i="37"/>
  <c r="O79" i="37"/>
  <c r="O83" i="37"/>
  <c r="O87" i="37"/>
  <c r="O91" i="37"/>
  <c r="O95" i="37"/>
  <c r="O99" i="37"/>
  <c r="O103" i="37"/>
  <c r="O107" i="37"/>
  <c r="O111" i="37"/>
  <c r="O115" i="37"/>
  <c r="O12" i="39"/>
  <c r="O16" i="39"/>
  <c r="O20" i="39"/>
  <c r="O24" i="39"/>
  <c r="O28" i="39"/>
  <c r="O32" i="39"/>
  <c r="O36" i="39"/>
  <c r="O40" i="39"/>
  <c r="O44" i="39"/>
  <c r="O48" i="39"/>
  <c r="O52" i="39"/>
  <c r="O56" i="39"/>
  <c r="G72" i="39"/>
  <c r="G76" i="39"/>
  <c r="G80" i="39"/>
  <c r="G84" i="39"/>
  <c r="G88" i="39"/>
  <c r="G92" i="39"/>
  <c r="G96" i="39"/>
  <c r="G100" i="39"/>
  <c r="G104" i="39"/>
  <c r="G108" i="39"/>
  <c r="G112" i="39"/>
  <c r="G116" i="39"/>
  <c r="O72" i="39"/>
  <c r="O76" i="39"/>
  <c r="O80" i="39"/>
  <c r="O84" i="39"/>
  <c r="O88" i="39"/>
  <c r="O92" i="39"/>
  <c r="O96" i="39"/>
  <c r="O100" i="39"/>
  <c r="O104" i="39"/>
  <c r="O108" i="39"/>
  <c r="O112" i="39"/>
  <c r="O116" i="39"/>
  <c r="O13" i="39"/>
  <c r="O17" i="39"/>
  <c r="O21" i="39"/>
  <c r="O25" i="39"/>
  <c r="O29" i="39"/>
  <c r="O33" i="39"/>
  <c r="O37" i="39"/>
  <c r="O41" i="39"/>
  <c r="O45" i="39"/>
  <c r="O49" i="39"/>
  <c r="O53" i="39"/>
  <c r="O57" i="39"/>
  <c r="G73" i="39"/>
  <c r="G77" i="39"/>
  <c r="G81" i="39"/>
  <c r="G85" i="39"/>
  <c r="G89" i="39"/>
  <c r="G93" i="39"/>
  <c r="G97" i="39"/>
  <c r="G101" i="39"/>
  <c r="G105" i="39"/>
  <c r="G109" i="39"/>
  <c r="G113" i="39"/>
  <c r="G117" i="39"/>
  <c r="O73" i="39"/>
  <c r="O77" i="39"/>
  <c r="O81" i="39"/>
  <c r="O85" i="39"/>
  <c r="O93" i="39"/>
  <c r="O97" i="39"/>
  <c r="O101" i="39"/>
  <c r="O105" i="39"/>
  <c r="O109" i="39"/>
  <c r="O113" i="39"/>
  <c r="O117" i="39"/>
  <c r="O26" i="40"/>
  <c r="O42" i="40"/>
  <c r="G78" i="40"/>
  <c r="O86" i="40"/>
  <c r="O102" i="40"/>
  <c r="O33" i="40"/>
  <c r="G77" i="40"/>
  <c r="O89" i="39" l="1"/>
  <c r="O91" i="39"/>
  <c r="O90" i="39"/>
  <c r="G49" i="33"/>
  <c r="G42" i="33"/>
  <c r="G28" i="33"/>
  <c r="G32" i="33"/>
  <c r="G57" i="33"/>
  <c r="G55" i="33"/>
  <c r="G45" i="33"/>
  <c r="G31" i="33"/>
  <c r="O113" i="33"/>
  <c r="O105" i="33"/>
  <c r="O97" i="33"/>
  <c r="O89" i="33"/>
  <c r="O81" i="33"/>
  <c r="O73" i="33"/>
  <c r="G113" i="33"/>
  <c r="G105" i="33"/>
  <c r="G97" i="33"/>
  <c r="G89" i="33"/>
  <c r="G81" i="33"/>
  <c r="G73" i="33"/>
  <c r="O53" i="33"/>
  <c r="O45" i="33"/>
  <c r="O37" i="33"/>
  <c r="O29" i="33"/>
  <c r="O17" i="33"/>
  <c r="O116" i="33"/>
  <c r="O108" i="33"/>
  <c r="O100" i="33"/>
  <c r="O92" i="33"/>
  <c r="O84" i="33"/>
  <c r="O76" i="33"/>
  <c r="G116" i="33"/>
  <c r="G108" i="33"/>
  <c r="G100" i="33"/>
  <c r="G92" i="33"/>
  <c r="G84" i="33"/>
  <c r="G76" i="33"/>
  <c r="O56" i="33"/>
  <c r="O48" i="33"/>
  <c r="O40" i="33"/>
  <c r="O32" i="33"/>
  <c r="O24" i="33"/>
  <c r="O16" i="33"/>
  <c r="O111" i="33"/>
  <c r="O103" i="33"/>
  <c r="O95" i="33"/>
  <c r="O87" i="33"/>
  <c r="O79" i="33"/>
  <c r="G111" i="33"/>
  <c r="G103" i="33"/>
  <c r="G95" i="33"/>
  <c r="G87" i="33"/>
  <c r="G79" i="33"/>
  <c r="O51" i="33"/>
  <c r="O43" i="33"/>
  <c r="O35" i="33"/>
  <c r="O27" i="33"/>
  <c r="O19" i="33"/>
  <c r="O118" i="33"/>
  <c r="O110" i="33"/>
  <c r="O102" i="33"/>
  <c r="O94" i="33"/>
  <c r="O82" i="33"/>
  <c r="O74" i="33"/>
  <c r="G114" i="33"/>
  <c r="G106" i="33"/>
  <c r="G98" i="33"/>
  <c r="G90" i="33"/>
  <c r="G82" i="33"/>
  <c r="G74" i="33"/>
  <c r="O54" i="33"/>
  <c r="O46" i="33"/>
  <c r="O38" i="33"/>
  <c r="O26" i="33"/>
  <c r="O18" i="33"/>
  <c r="G18" i="33"/>
  <c r="G23" i="33"/>
  <c r="G48" i="33"/>
  <c r="G33" i="33"/>
  <c r="G13" i="33"/>
  <c r="G24" i="33"/>
  <c r="G25" i="33"/>
  <c r="G54" i="33"/>
  <c r="G47" i="33"/>
  <c r="G19" i="33"/>
  <c r="G58" i="33"/>
  <c r="G35" i="33"/>
  <c r="G27" i="33"/>
  <c r="G53" i="33"/>
  <c r="G34" i="33"/>
  <c r="G16" i="33"/>
  <c r="G50" i="33"/>
  <c r="G40" i="33"/>
  <c r="G17" i="33"/>
  <c r="G29" i="33"/>
  <c r="G51" i="33"/>
  <c r="G22" i="33"/>
  <c r="G38" i="33"/>
  <c r="G41" i="33"/>
  <c r="G26" i="33"/>
  <c r="G20" i="33"/>
  <c r="G12" i="33"/>
  <c r="G21" i="33"/>
  <c r="G44" i="33"/>
  <c r="G56" i="33"/>
  <c r="G36" i="33"/>
  <c r="G52" i="33"/>
  <c r="G46" i="33"/>
  <c r="G39" i="33"/>
  <c r="G14" i="33"/>
  <c r="G30" i="33"/>
  <c r="G43" i="33"/>
  <c r="G15" i="33"/>
  <c r="G37" i="33"/>
  <c r="O117" i="33"/>
  <c r="O109" i="33"/>
  <c r="O101" i="33"/>
  <c r="O93" i="33"/>
  <c r="O77" i="33"/>
  <c r="G117" i="33"/>
  <c r="G109" i="33"/>
  <c r="G101" i="33"/>
  <c r="G93" i="33"/>
  <c r="G85" i="33"/>
  <c r="G77" i="33"/>
  <c r="O57" i="33"/>
  <c r="O49" i="33"/>
  <c r="O41" i="33"/>
  <c r="O33" i="33"/>
  <c r="O21" i="33"/>
  <c r="O13" i="33"/>
  <c r="O112" i="33"/>
  <c r="O104" i="33"/>
  <c r="O96" i="33"/>
  <c r="O88" i="33"/>
  <c r="O80" i="33"/>
  <c r="O72" i="33"/>
  <c r="G112" i="33"/>
  <c r="G104" i="33"/>
  <c r="G96" i="33"/>
  <c r="G88" i="33"/>
  <c r="G80" i="33"/>
  <c r="G72" i="33"/>
  <c r="O52" i="33"/>
  <c r="O44" i="33"/>
  <c r="O36" i="33"/>
  <c r="O28" i="33"/>
  <c r="O20" i="33"/>
  <c r="O12" i="33"/>
  <c r="O115" i="33"/>
  <c r="O107" i="33"/>
  <c r="O99" i="33"/>
  <c r="O91" i="33"/>
  <c r="O83" i="33"/>
  <c r="O75" i="33"/>
  <c r="G115" i="33"/>
  <c r="G107" i="33"/>
  <c r="G99" i="33"/>
  <c r="G91" i="33"/>
  <c r="G83" i="33"/>
  <c r="G75" i="33"/>
  <c r="O55" i="33"/>
  <c r="O47" i="33"/>
  <c r="O39" i="33"/>
  <c r="O31" i="33"/>
  <c r="O23" i="33"/>
  <c r="O15" i="33"/>
  <c r="O114" i="33"/>
  <c r="O106" i="33"/>
  <c r="O98" i="33"/>
  <c r="O90" i="33"/>
  <c r="O78" i="33"/>
  <c r="G118" i="33"/>
  <c r="G110" i="33"/>
  <c r="G102" i="33"/>
  <c r="G94" i="33"/>
  <c r="G86" i="33"/>
  <c r="G78" i="33"/>
  <c r="O58" i="33"/>
  <c r="O50" i="33"/>
  <c r="O42" i="33"/>
  <c r="O30" i="33"/>
  <c r="O22" i="33"/>
  <c r="O14" i="33"/>
  <c r="O102" i="32"/>
  <c r="O86" i="32"/>
  <c r="G94" i="32"/>
  <c r="G78" i="32"/>
  <c r="O42" i="32"/>
  <c r="O26" i="32"/>
  <c r="O119" i="38"/>
  <c r="O115" i="38"/>
  <c r="O111" i="38"/>
  <c r="O107" i="38"/>
  <c r="O103" i="38"/>
  <c r="O99" i="38"/>
  <c r="O95" i="38"/>
  <c r="O91" i="38"/>
  <c r="O87" i="38"/>
  <c r="O83" i="38"/>
  <c r="O79" i="38"/>
  <c r="O75" i="38"/>
  <c r="G115" i="38"/>
  <c r="G111" i="38"/>
  <c r="G107" i="38"/>
  <c r="G103" i="38"/>
  <c r="G99" i="38"/>
  <c r="G95" i="38"/>
  <c r="G91" i="38"/>
  <c r="G87" i="38"/>
  <c r="G83" i="38"/>
  <c r="G79" i="38"/>
  <c r="G75" i="38"/>
  <c r="O55" i="38"/>
  <c r="O51" i="38"/>
  <c r="O47" i="38"/>
  <c r="O43" i="38"/>
  <c r="O39" i="38"/>
  <c r="O35" i="38"/>
  <c r="O31" i="38"/>
  <c r="O27" i="38"/>
  <c r="O23" i="38"/>
  <c r="O19" i="38"/>
  <c r="O15" i="38"/>
  <c r="O118" i="38"/>
  <c r="O114" i="38"/>
  <c r="O110" i="38"/>
  <c r="O106" i="38"/>
  <c r="O102" i="38"/>
  <c r="O98" i="38"/>
  <c r="O94" i="38"/>
  <c r="O90" i="38"/>
  <c r="O82" i="38"/>
  <c r="O78" i="38"/>
  <c r="O74" i="38"/>
  <c r="G118" i="38"/>
  <c r="G114" i="38"/>
  <c r="G110" i="38"/>
  <c r="G106" i="38"/>
  <c r="G102" i="38"/>
  <c r="G98" i="38"/>
  <c r="G94" i="38"/>
  <c r="G90" i="38"/>
  <c r="G86" i="38"/>
  <c r="G82" i="38"/>
  <c r="G78" i="38"/>
  <c r="G74" i="38"/>
  <c r="O58" i="38"/>
  <c r="O54" i="38"/>
  <c r="O50" i="38"/>
  <c r="O46" i="38"/>
  <c r="O42" i="38"/>
  <c r="O38" i="38"/>
  <c r="O34" i="38"/>
  <c r="O30" i="38"/>
  <c r="O26" i="38"/>
  <c r="O22" i="38"/>
  <c r="O18" i="38"/>
  <c r="O14" i="38"/>
  <c r="G56" i="38"/>
  <c r="G55" i="38"/>
  <c r="G38" i="38"/>
  <c r="G34" i="38"/>
  <c r="G21" i="38"/>
  <c r="G12" i="38"/>
  <c r="G52" i="38"/>
  <c r="G53" i="38"/>
  <c r="G36" i="38"/>
  <c r="G30" i="38"/>
  <c r="G14" i="38"/>
  <c r="G48" i="38"/>
  <c r="G54" i="38"/>
  <c r="G51" i="38"/>
  <c r="G31" i="38"/>
  <c r="G26" i="38"/>
  <c r="G32" i="38"/>
  <c r="G13" i="38"/>
  <c r="G47" i="38"/>
  <c r="G42" i="38"/>
  <c r="G27" i="38"/>
  <c r="G22" i="38"/>
  <c r="G58" i="38"/>
  <c r="G15" i="38"/>
  <c r="G46" i="38"/>
  <c r="G18" i="38"/>
  <c r="G28" i="38"/>
  <c r="G37" i="38"/>
  <c r="G45" i="38"/>
  <c r="G25" i="38"/>
  <c r="G35" i="38"/>
  <c r="G44" i="38"/>
  <c r="G19" i="38"/>
  <c r="G57" i="38"/>
  <c r="G40" i="38"/>
  <c r="G16" i="38"/>
  <c r="G26" i="32"/>
  <c r="G42" i="32"/>
  <c r="G93" i="32"/>
  <c r="G77" i="32"/>
  <c r="O33" i="32"/>
  <c r="O117" i="38"/>
  <c r="O113" i="38"/>
  <c r="O109" i="38"/>
  <c r="O105" i="38"/>
  <c r="O101" i="38"/>
  <c r="O97" i="38"/>
  <c r="O93" i="38"/>
  <c r="O89" i="38"/>
  <c r="O81" i="38"/>
  <c r="O77" i="38"/>
  <c r="O73" i="38"/>
  <c r="G117" i="38"/>
  <c r="G113" i="38"/>
  <c r="G109" i="38"/>
  <c r="G105" i="38"/>
  <c r="G101" i="38"/>
  <c r="G97" i="38"/>
  <c r="G93" i="38"/>
  <c r="G89" i="38"/>
  <c r="G85" i="38"/>
  <c r="G81" i="38"/>
  <c r="G77" i="38"/>
  <c r="G73" i="38"/>
  <c r="O57" i="38"/>
  <c r="O53" i="38"/>
  <c r="O49" i="38"/>
  <c r="O45" i="38"/>
  <c r="O41" i="38"/>
  <c r="O37" i="38"/>
  <c r="O33" i="38"/>
  <c r="O29" i="38"/>
  <c r="O21" i="38"/>
  <c r="O13" i="38"/>
  <c r="O116" i="38"/>
  <c r="O112" i="38"/>
  <c r="O108" i="38"/>
  <c r="O104" i="38"/>
  <c r="O100" i="38"/>
  <c r="O96" i="38"/>
  <c r="O92" i="38"/>
  <c r="O88" i="38"/>
  <c r="O84" i="38"/>
  <c r="O80" i="38"/>
  <c r="O76" i="38"/>
  <c r="O72" i="38"/>
  <c r="G116" i="38"/>
  <c r="G112" i="38"/>
  <c r="G108" i="38"/>
  <c r="G104" i="38"/>
  <c r="G100" i="38"/>
  <c r="G96" i="38"/>
  <c r="G92" i="38"/>
  <c r="G88" i="38"/>
  <c r="G84" i="38"/>
  <c r="G80" i="38"/>
  <c r="G76" i="38"/>
  <c r="G72" i="38"/>
  <c r="O56" i="38"/>
  <c r="O52" i="38"/>
  <c r="O48" i="38"/>
  <c r="O44" i="38"/>
  <c r="O40" i="38"/>
  <c r="O36" i="38"/>
  <c r="O32" i="38"/>
  <c r="O28" i="38"/>
  <c r="O24" i="38"/>
  <c r="O20" i="38"/>
  <c r="O16" i="38"/>
  <c r="O12" i="38"/>
  <c r="G43" i="38"/>
  <c r="G23" i="38"/>
  <c r="G33" i="38"/>
  <c r="G39" i="38"/>
  <c r="G24" i="38"/>
  <c r="G50" i="38"/>
  <c r="G41" i="38"/>
  <c r="G17" i="38"/>
  <c r="G49" i="38"/>
  <c r="G29" i="38"/>
  <c r="G20" i="38"/>
  <c r="G42" i="36" l="1"/>
  <c r="G18" i="36"/>
  <c r="G17" i="36"/>
  <c r="G26" i="36"/>
  <c r="G41" i="36"/>
  <c r="O33" i="36"/>
  <c r="O41" i="36"/>
  <c r="O34" i="36"/>
  <c r="O42" i="36"/>
  <c r="G78" i="36"/>
  <c r="G86" i="36"/>
  <c r="G102" i="36"/>
  <c r="O94" i="36"/>
  <c r="O102" i="36"/>
  <c r="G77" i="36"/>
  <c r="G85" i="36"/>
  <c r="G101" i="36"/>
  <c r="O93" i="36"/>
  <c r="O101" i="36"/>
  <c r="G25" i="36"/>
  <c r="G73" i="35" l="1"/>
  <c r="G89" i="35"/>
  <c r="G97" i="35"/>
  <c r="G105" i="35"/>
  <c r="O38" i="35"/>
  <c r="O46" i="35"/>
  <c r="G74" i="35"/>
  <c r="G82" i="35"/>
  <c r="G90" i="35"/>
  <c r="G106" i="35"/>
  <c r="O73" i="35"/>
  <c r="O81" i="35"/>
  <c r="O89" i="35"/>
  <c r="O105" i="35"/>
  <c r="O72" i="35"/>
  <c r="O88" i="35"/>
  <c r="O100" i="35"/>
  <c r="O104" i="35"/>
  <c r="G44" i="35"/>
  <c r="O15" i="35"/>
  <c r="O23" i="35"/>
  <c r="G75" i="35"/>
  <c r="G83" i="35"/>
  <c r="O40" i="35"/>
  <c r="G72" i="35"/>
  <c r="G88" i="35"/>
  <c r="G96" i="35"/>
  <c r="G104" i="35"/>
  <c r="O99" i="35"/>
  <c r="O74" i="35"/>
  <c r="O98" i="35"/>
  <c r="O106" i="35"/>
  <c r="O30" i="35"/>
  <c r="O22" i="35"/>
  <c r="G46" i="35"/>
  <c r="G37" i="35"/>
  <c r="G36" i="35"/>
  <c r="O14" i="35"/>
  <c r="O29" i="35"/>
  <c r="O28" i="35"/>
  <c r="G28" i="35"/>
  <c r="O44" i="35"/>
  <c r="G45" i="35"/>
  <c r="O45" i="35"/>
  <c r="O13" i="35"/>
  <c r="O12" i="35"/>
  <c r="O95" i="34"/>
  <c r="O34" i="34"/>
  <c r="O58" i="34"/>
  <c r="G94" i="34"/>
  <c r="O78" i="34"/>
  <c r="O94" i="34"/>
  <c r="G37" i="34"/>
  <c r="G54" i="34"/>
  <c r="G19" i="34"/>
  <c r="G43" i="34"/>
  <c r="G50" i="34"/>
  <c r="G48" i="34"/>
  <c r="G47" i="34"/>
  <c r="G53" i="34"/>
  <c r="O21" i="34"/>
  <c r="O37" i="34"/>
  <c r="O53" i="34"/>
  <c r="G73" i="34"/>
  <c r="G89" i="34"/>
  <c r="G97" i="34"/>
  <c r="G113" i="34"/>
  <c r="O81" i="34"/>
  <c r="O89" i="34"/>
  <c r="O97" i="34"/>
  <c r="O113" i="34"/>
  <c r="O44" i="34"/>
  <c r="O52" i="34"/>
  <c r="G72" i="34"/>
  <c r="G80" i="34"/>
  <c r="G88" i="34"/>
  <c r="G104" i="34"/>
  <c r="G112" i="34"/>
  <c r="O72" i="34"/>
  <c r="O80" i="34"/>
  <c r="O88" i="34"/>
  <c r="O104" i="34"/>
  <c r="O112" i="34"/>
  <c r="G25" i="34"/>
  <c r="G17" i="34"/>
  <c r="G51" i="34"/>
  <c r="G42" i="34"/>
  <c r="G15" i="34"/>
  <c r="G26" i="34"/>
  <c r="O19" i="34"/>
  <c r="O35" i="34"/>
  <c r="O51" i="34"/>
  <c r="G79" i="34"/>
  <c r="G95" i="34"/>
  <c r="G111" i="34"/>
  <c r="O87" i="34"/>
  <c r="O111" i="34"/>
  <c r="O26" i="34"/>
  <c r="O50" i="34"/>
  <c r="G86" i="34"/>
  <c r="G110" i="34"/>
  <c r="O102" i="34"/>
  <c r="G32" i="34"/>
  <c r="G57" i="34"/>
  <c r="G18" i="34"/>
  <c r="G14" i="34"/>
  <c r="G41" i="34"/>
  <c r="G55" i="34"/>
  <c r="G24" i="34"/>
  <c r="G38" i="34"/>
  <c r="G49" i="34"/>
  <c r="G33" i="34"/>
  <c r="O15" i="34"/>
  <c r="O23" i="34"/>
  <c r="O31" i="34"/>
  <c r="O47" i="34"/>
  <c r="O55" i="34"/>
  <c r="G75" i="34"/>
  <c r="G83" i="34"/>
  <c r="G91" i="34"/>
  <c r="G107" i="34"/>
  <c r="G115" i="34"/>
  <c r="O75" i="34"/>
  <c r="O83" i="34"/>
  <c r="O91" i="34"/>
  <c r="O107" i="34"/>
  <c r="O115" i="34"/>
  <c r="O14" i="34"/>
  <c r="O22" i="34"/>
  <c r="O30" i="34"/>
  <c r="O38" i="34"/>
  <c r="O46" i="34"/>
  <c r="O54" i="34"/>
  <c r="G74" i="34"/>
  <c r="G82" i="34"/>
  <c r="G90" i="34"/>
  <c r="G98" i="34"/>
  <c r="G106" i="34"/>
  <c r="G114" i="34"/>
  <c r="O74" i="34"/>
  <c r="O82" i="34"/>
  <c r="O90" i="34"/>
  <c r="O98" i="34"/>
  <c r="O106" i="34"/>
  <c r="O114" i="34"/>
  <c r="G31" i="34"/>
  <c r="G56" i="34"/>
  <c r="O27" i="34"/>
  <c r="O43" i="34"/>
  <c r="G87" i="34"/>
  <c r="G103" i="34"/>
  <c r="O79" i="34"/>
  <c r="O103" i="34"/>
  <c r="O18" i="34"/>
  <c r="O42" i="34"/>
  <c r="G78" i="34"/>
  <c r="G102" i="34"/>
  <c r="G118" i="34"/>
  <c r="O86" i="34"/>
  <c r="G52" i="34"/>
  <c r="G40" i="34"/>
  <c r="G58" i="34"/>
  <c r="G35" i="34"/>
  <c r="G30" i="34"/>
  <c r="G23" i="34"/>
  <c r="G27" i="34"/>
  <c r="G46" i="34"/>
  <c r="G16" i="34"/>
  <c r="G34" i="34"/>
  <c r="O17" i="34"/>
  <c r="O25" i="34"/>
  <c r="O33" i="34"/>
  <c r="O41" i="34"/>
  <c r="O49" i="34"/>
  <c r="O57" i="34"/>
  <c r="G77" i="34"/>
  <c r="G85" i="34"/>
  <c r="G93" i="34"/>
  <c r="G101" i="34"/>
  <c r="G109" i="34"/>
  <c r="G117" i="34"/>
  <c r="O77" i="34"/>
  <c r="O85" i="34"/>
  <c r="O93" i="34"/>
  <c r="O101" i="34"/>
  <c r="O109" i="34"/>
  <c r="O117" i="34"/>
  <c r="O16" i="34"/>
  <c r="O24" i="34"/>
  <c r="O32" i="34"/>
  <c r="O40" i="34"/>
  <c r="O48" i="34"/>
  <c r="O56" i="34"/>
  <c r="G76" i="34"/>
  <c r="G84" i="34"/>
  <c r="G92" i="34"/>
  <c r="G100" i="34"/>
  <c r="G108" i="34"/>
  <c r="G116" i="34"/>
  <c r="O76" i="34"/>
  <c r="O84" i="34"/>
  <c r="O92" i="34"/>
  <c r="O100" i="34"/>
  <c r="O108" i="34"/>
  <c r="O116" i="34"/>
  <c r="O110" i="34"/>
  <c r="O118" i="34"/>
  <c r="G22" i="34"/>
  <c r="G44" i="34"/>
  <c r="O29" i="34"/>
  <c r="G29" i="34"/>
  <c r="O28" i="34"/>
  <c r="G28" i="34"/>
  <c r="O20" i="34"/>
  <c r="G20" i="34"/>
  <c r="G13" i="34"/>
  <c r="O12" i="34"/>
  <c r="G12" i="34"/>
  <c r="G59" i="40" l="1"/>
  <c r="G59" i="38"/>
  <c r="G59" i="34"/>
  <c r="G59" i="36"/>
  <c r="G119" i="40"/>
  <c r="G119" i="38"/>
  <c r="G119" i="36"/>
  <c r="G119" i="34"/>
  <c r="O59" i="40"/>
  <c r="O59" i="38"/>
  <c r="O59" i="36"/>
  <c r="O59" i="34"/>
  <c r="O119" i="40"/>
  <c r="O119" i="34"/>
  <c r="O119" i="36"/>
  <c r="G104" i="15" l="1"/>
  <c r="G89" i="15"/>
  <c r="G73" i="15"/>
  <c r="O37" i="15"/>
  <c r="G98" i="15"/>
  <c r="G21" i="15"/>
  <c r="O72" i="15"/>
  <c r="G80" i="15"/>
  <c r="G38" i="15"/>
  <c r="G13" i="15"/>
  <c r="O97" i="15"/>
  <c r="O13" i="15"/>
  <c r="O90" i="15"/>
  <c r="G12" i="15"/>
  <c r="G36" i="15"/>
  <c r="O96" i="15"/>
  <c r="O38" i="15"/>
  <c r="O104" i="15"/>
  <c r="G96" i="15"/>
  <c r="O46" i="15"/>
  <c r="O30" i="15"/>
  <c r="G20" i="15"/>
  <c r="G29" i="15"/>
  <c r="O20" i="15"/>
  <c r="O73" i="15"/>
  <c r="G97" i="15"/>
  <c r="G81" i="15"/>
  <c r="O29" i="15"/>
  <c r="G106" i="15"/>
  <c r="G90" i="15"/>
  <c r="G44" i="15"/>
  <c r="G30" i="15"/>
  <c r="O12" i="15"/>
  <c r="G46" i="15"/>
  <c r="O80" i="15"/>
  <c r="G72" i="15"/>
  <c r="O36" i="15"/>
  <c r="O106" i="15"/>
  <c r="O89" i="15"/>
  <c r="O98" i="15"/>
  <c r="G37" i="15"/>
  <c r="O45" i="34" l="1"/>
  <c r="O105" i="34"/>
  <c r="G45" i="34"/>
  <c r="G105" i="34"/>
  <c r="O91" i="15" l="1"/>
  <c r="O75" i="15"/>
  <c r="G85" i="15"/>
  <c r="O53" i="15"/>
  <c r="O39" i="15"/>
  <c r="O22" i="15"/>
  <c r="G58" i="15"/>
  <c r="G52" i="15"/>
  <c r="G27" i="15"/>
  <c r="O115" i="15"/>
  <c r="O94" i="15"/>
  <c r="O74" i="15"/>
  <c r="G77" i="15"/>
  <c r="O47" i="15"/>
  <c r="O14" i="15"/>
  <c r="G48" i="15"/>
  <c r="O110" i="15"/>
  <c r="O100" i="15"/>
  <c r="O83" i="15"/>
  <c r="G99" i="15"/>
  <c r="G82" i="15"/>
  <c r="O54" i="15"/>
  <c r="O27" i="15"/>
  <c r="G55" i="15"/>
  <c r="G41" i="15"/>
  <c r="G26" i="15"/>
  <c r="G24" i="15"/>
  <c r="G22" i="15"/>
  <c r="O114" i="15"/>
  <c r="O116" i="15"/>
  <c r="O95" i="15"/>
  <c r="O77" i="15"/>
  <c r="G87" i="15"/>
  <c r="O57" i="15"/>
  <c r="O43" i="15"/>
  <c r="O26" i="15"/>
  <c r="G56" i="15"/>
  <c r="G42" i="15"/>
  <c r="G25" i="15"/>
  <c r="O117" i="15"/>
  <c r="O108" i="15"/>
  <c r="O88" i="15"/>
  <c r="O76" i="15"/>
  <c r="G108" i="15"/>
  <c r="G75" i="15"/>
  <c r="O49" i="15"/>
  <c r="O32" i="15"/>
  <c r="O16" i="15"/>
  <c r="G35" i="15"/>
  <c r="O102" i="15"/>
  <c r="O85" i="15"/>
  <c r="G101" i="15"/>
  <c r="G84" i="15"/>
  <c r="O56" i="15"/>
  <c r="O40" i="15"/>
  <c r="O23" i="15"/>
  <c r="G43" i="15"/>
  <c r="G107" i="15"/>
  <c r="G92" i="15"/>
  <c r="G76" i="15"/>
  <c r="O50" i="15"/>
  <c r="O35" i="15"/>
  <c r="O19" i="15"/>
  <c r="G49" i="15"/>
  <c r="O103" i="15"/>
  <c r="O99" i="15"/>
  <c r="O84" i="15"/>
  <c r="O82" i="15"/>
  <c r="G118" i="15"/>
  <c r="G116" i="15"/>
  <c r="G112" i="15"/>
  <c r="G102" i="15"/>
  <c r="G100" i="15"/>
  <c r="G95" i="15"/>
  <c r="G93" i="15"/>
  <c r="G91" i="15"/>
  <c r="G117" i="15"/>
  <c r="G115" i="15"/>
  <c r="G113" i="15"/>
  <c r="O113" i="15"/>
  <c r="G16" i="15"/>
  <c r="G15" i="15"/>
  <c r="O93" i="15"/>
  <c r="O79" i="15"/>
  <c r="G83" i="15"/>
  <c r="O55" i="15"/>
  <c r="O41" i="15"/>
  <c r="O24" i="15"/>
  <c r="G54" i="15"/>
  <c r="G40" i="15"/>
  <c r="G23" i="15"/>
  <c r="O118" i="15"/>
  <c r="O92" i="15"/>
  <c r="O78" i="15"/>
  <c r="G110" i="15"/>
  <c r="G79" i="15"/>
  <c r="O51" i="15"/>
  <c r="O34" i="15"/>
  <c r="O28" i="15"/>
  <c r="O18" i="15"/>
  <c r="G50" i="15"/>
  <c r="G33" i="15"/>
  <c r="G31" i="15"/>
  <c r="G19" i="15"/>
  <c r="G17" i="15"/>
  <c r="O107" i="15"/>
  <c r="O87" i="15"/>
  <c r="G103" i="15"/>
  <c r="G86" i="15"/>
  <c r="O58" i="15"/>
  <c r="O42" i="15"/>
  <c r="O25" i="15"/>
  <c r="G57" i="15"/>
  <c r="G53" i="15"/>
  <c r="G39" i="15"/>
  <c r="G111" i="15"/>
  <c r="G109" i="15"/>
  <c r="G94" i="15"/>
  <c r="G78" i="15"/>
  <c r="G74" i="15"/>
  <c r="O48" i="15"/>
  <c r="O33" i="15"/>
  <c r="O31" i="15"/>
  <c r="O17" i="15"/>
  <c r="O15" i="15"/>
  <c r="G51" i="15"/>
  <c r="G47" i="15"/>
  <c r="G34" i="15"/>
  <c r="G32" i="15"/>
  <c r="G18" i="15"/>
  <c r="G14" i="15"/>
  <c r="O111" i="15"/>
  <c r="O109" i="15"/>
  <c r="O101" i="15"/>
  <c r="O86" i="15"/>
  <c r="G114" i="15"/>
  <c r="O59" i="33" l="1"/>
  <c r="O59" i="32"/>
  <c r="O59" i="15"/>
  <c r="O59" i="31"/>
  <c r="G119" i="32"/>
  <c r="G119" i="33"/>
  <c r="G119" i="31"/>
  <c r="G119" i="15"/>
  <c r="O119" i="33"/>
  <c r="O119" i="15"/>
  <c r="O119" i="31"/>
  <c r="G59" i="33"/>
  <c r="G59" i="31"/>
  <c r="G59" i="32"/>
  <c r="G59" i="15"/>
  <c r="O26" i="37" l="1"/>
  <c r="O73" i="34"/>
  <c r="O13" i="34"/>
  <c r="O25" i="33" l="1"/>
  <c r="O25" i="38"/>
  <c r="O85" i="40" l="1"/>
  <c r="O25" i="40"/>
  <c r="O41" i="40"/>
  <c r="O101" i="40"/>
  <c r="O111" i="31"/>
  <c r="O110" i="31"/>
  <c r="G18" i="31"/>
  <c r="G32" i="31"/>
  <c r="G52" i="31"/>
  <c r="O20" i="31"/>
  <c r="O40" i="31"/>
  <c r="O55" i="31"/>
  <c r="G80" i="31"/>
  <c r="G100" i="31"/>
  <c r="G116" i="31"/>
  <c r="O84" i="31"/>
  <c r="O103" i="31"/>
  <c r="G12" i="31"/>
  <c r="G31" i="31"/>
  <c r="G45" i="31"/>
  <c r="O31" i="31"/>
  <c r="O44" i="31"/>
  <c r="G72" i="31"/>
  <c r="G91" i="31"/>
  <c r="G105" i="31"/>
  <c r="O87" i="31"/>
  <c r="O94" i="31"/>
  <c r="O102" i="31"/>
  <c r="G16" i="31"/>
  <c r="G29" i="31"/>
  <c r="G37" i="31"/>
  <c r="G49" i="31"/>
  <c r="O16" i="31"/>
  <c r="O29" i="31"/>
  <c r="O53" i="31"/>
  <c r="G87" i="31"/>
  <c r="G94" i="31"/>
  <c r="G102" i="31"/>
  <c r="G118" i="31"/>
  <c r="O86" i="31"/>
  <c r="O118" i="31"/>
  <c r="G19" i="31"/>
  <c r="G41" i="31"/>
  <c r="O15" i="31"/>
  <c r="O33" i="31"/>
  <c r="O52" i="31"/>
  <c r="G82" i="31"/>
  <c r="G108" i="31"/>
  <c r="O79" i="31"/>
  <c r="O100" i="31"/>
  <c r="O115" i="31"/>
  <c r="O109" i="31"/>
  <c r="G20" i="31"/>
  <c r="G40" i="31"/>
  <c r="G56" i="31"/>
  <c r="O24" i="31"/>
  <c r="O45" i="31"/>
  <c r="G81" i="31"/>
  <c r="G107" i="31"/>
  <c r="O74" i="31"/>
  <c r="O91" i="31"/>
  <c r="O105" i="31"/>
  <c r="G13" i="31"/>
  <c r="G35" i="31"/>
  <c r="G46" i="31"/>
  <c r="O13" i="31"/>
  <c r="O35" i="31"/>
  <c r="O49" i="31"/>
  <c r="G73" i="31"/>
  <c r="G95" i="31"/>
  <c r="G106" i="31"/>
  <c r="O73" i="31"/>
  <c r="O88" i="31"/>
  <c r="O96" i="31"/>
  <c r="O104" i="31"/>
  <c r="G23" i="31"/>
  <c r="G30" i="31"/>
  <c r="G38" i="31"/>
  <c r="G54" i="31"/>
  <c r="O22" i="31"/>
  <c r="O30" i="31"/>
  <c r="O38" i="31"/>
  <c r="O57" i="31"/>
  <c r="G88" i="31"/>
  <c r="G96" i="31"/>
  <c r="G104" i="31"/>
  <c r="O72" i="31"/>
  <c r="O93" i="31"/>
  <c r="G22" i="31"/>
  <c r="G48" i="31"/>
  <c r="O19" i="31"/>
  <c r="O41" i="31"/>
  <c r="O56" i="31"/>
  <c r="G86" i="31"/>
  <c r="G113" i="31"/>
  <c r="O81" i="31"/>
  <c r="O106" i="31"/>
  <c r="O116" i="31"/>
  <c r="G21" i="31"/>
  <c r="G47" i="31"/>
  <c r="O14" i="31"/>
  <c r="O26" i="31"/>
  <c r="O46" i="31"/>
  <c r="G74" i="31"/>
  <c r="G85" i="31"/>
  <c r="G111" i="31"/>
  <c r="O78" i="31"/>
  <c r="O95" i="31"/>
  <c r="G17" i="31"/>
  <c r="G39" i="31"/>
  <c r="G50" i="31"/>
  <c r="O17" i="31"/>
  <c r="O39" i="31"/>
  <c r="O54" i="31"/>
  <c r="G77" i="31"/>
  <c r="G99" i="31"/>
  <c r="G110" i="31"/>
  <c r="O77" i="31"/>
  <c r="O89" i="31"/>
  <c r="O107" i="31"/>
  <c r="G27" i="31"/>
  <c r="G34" i="31"/>
  <c r="G42" i="31"/>
  <c r="G58" i="31"/>
  <c r="O27" i="31"/>
  <c r="O34" i="31"/>
  <c r="O42" i="31"/>
  <c r="G76" i="31"/>
  <c r="G89" i="31"/>
  <c r="G97" i="31"/>
  <c r="G109" i="31"/>
  <c r="O76" i="31"/>
  <c r="O101" i="31"/>
  <c r="G26" i="31"/>
  <c r="G53" i="31"/>
  <c r="O21" i="31"/>
  <c r="O47" i="31"/>
  <c r="G75" i="31"/>
  <c r="G93" i="31"/>
  <c r="G117" i="31"/>
  <c r="O85" i="31"/>
  <c r="O108" i="31"/>
  <c r="O117" i="31"/>
  <c r="G14" i="31"/>
  <c r="G25" i="31"/>
  <c r="G51" i="31"/>
  <c r="O18" i="31"/>
  <c r="O32" i="31"/>
  <c r="O50" i="31"/>
  <c r="G78" i="31"/>
  <c r="G92" i="31"/>
  <c r="G112" i="31"/>
  <c r="O80" i="31"/>
  <c r="O99" i="31"/>
  <c r="G24" i="31"/>
  <c r="G43" i="31"/>
  <c r="G55" i="31"/>
  <c r="O23" i="31"/>
  <c r="O43" i="31"/>
  <c r="O58" i="31"/>
  <c r="G84" i="31"/>
  <c r="G103" i="31"/>
  <c r="G115" i="31"/>
  <c r="O83" i="31"/>
  <c r="O90" i="31"/>
  <c r="O98" i="31"/>
  <c r="O112" i="31"/>
  <c r="G28" i="31"/>
  <c r="G36" i="31"/>
  <c r="G44" i="31"/>
  <c r="O12" i="31"/>
  <c r="O28" i="31"/>
  <c r="O36" i="31"/>
  <c r="O48" i="31"/>
  <c r="G83" i="31"/>
  <c r="G90" i="31"/>
  <c r="G98" i="31"/>
  <c r="G114" i="31"/>
  <c r="O82" i="31"/>
  <c r="O113" i="31"/>
  <c r="G15" i="31"/>
  <c r="G33" i="31"/>
  <c r="G57" i="31"/>
  <c r="O25" i="31"/>
  <c r="O51" i="31"/>
  <c r="G79" i="31"/>
  <c r="G101" i="31"/>
  <c r="O75" i="31"/>
  <c r="O92" i="31"/>
  <c r="O114" i="31"/>
  <c r="O85" i="32" l="1"/>
  <c r="O25" i="32"/>
  <c r="O45" i="15"/>
  <c r="G105" i="15"/>
  <c r="G45" i="15"/>
  <c r="O105" i="15"/>
  <c r="O21" i="15"/>
  <c r="O81" i="15"/>
  <c r="O86" i="33" l="1"/>
  <c r="O86" i="38"/>
  <c r="O16" i="40" l="1"/>
  <c r="G115" i="40"/>
  <c r="O30" i="40"/>
  <c r="G116" i="40"/>
  <c r="G28" i="40"/>
  <c r="G52" i="40"/>
  <c r="G75" i="40"/>
  <c r="O108" i="40"/>
  <c r="G58" i="40"/>
  <c r="O39" i="40"/>
  <c r="G107" i="40"/>
  <c r="O22" i="40"/>
  <c r="O57" i="40"/>
  <c r="O87" i="40"/>
  <c r="G54" i="40"/>
  <c r="O24" i="40"/>
  <c r="G106" i="40"/>
  <c r="O15" i="40"/>
  <c r="G89" i="40"/>
  <c r="O94" i="40"/>
  <c r="O52" i="40"/>
  <c r="O95" i="40"/>
  <c r="G39" i="40"/>
  <c r="G74" i="40"/>
  <c r="O89" i="40"/>
  <c r="O12" i="40"/>
  <c r="O31" i="40"/>
  <c r="G110" i="40"/>
  <c r="O118" i="40"/>
  <c r="G50" i="40"/>
  <c r="G80" i="40"/>
  <c r="O82" i="40"/>
  <c r="O40" i="40"/>
  <c r="O77" i="40"/>
  <c r="G24" i="40"/>
  <c r="O50" i="40"/>
  <c r="O80" i="40"/>
  <c r="G38" i="40"/>
  <c r="O18" i="40"/>
  <c r="G113" i="40"/>
  <c r="G53" i="40"/>
  <c r="G83" i="40"/>
  <c r="O88" i="40"/>
  <c r="O43" i="40"/>
  <c r="O83" i="40"/>
  <c r="G31" i="40"/>
  <c r="O53" i="40"/>
  <c r="O84" i="40"/>
  <c r="G44" i="40"/>
  <c r="O20" i="40"/>
  <c r="G101" i="40"/>
  <c r="O112" i="40"/>
  <c r="G33" i="40"/>
  <c r="O72" i="40"/>
  <c r="O49" i="40"/>
  <c r="O91" i="40"/>
  <c r="G35" i="40"/>
  <c r="G88" i="40"/>
  <c r="O100" i="40"/>
  <c r="G21" i="40"/>
  <c r="O38" i="40"/>
  <c r="O75" i="40"/>
  <c r="G30" i="40"/>
  <c r="O29" i="40"/>
  <c r="G98" i="40"/>
  <c r="G84" i="40"/>
  <c r="O117" i="40"/>
  <c r="G55" i="40"/>
  <c r="G90" i="40"/>
  <c r="O103" i="40"/>
  <c r="G27" i="40"/>
  <c r="O44" i="40"/>
  <c r="O79" i="40"/>
  <c r="O19" i="40"/>
  <c r="G92" i="40"/>
  <c r="O96" i="40"/>
  <c r="O56" i="40"/>
  <c r="O99" i="40"/>
  <c r="G43" i="40"/>
  <c r="G81" i="40"/>
  <c r="O92" i="40"/>
  <c r="G13" i="40"/>
  <c r="O47" i="40"/>
  <c r="O81" i="40"/>
  <c r="O21" i="40"/>
  <c r="G94" i="40"/>
  <c r="O98" i="40"/>
  <c r="G73" i="40"/>
  <c r="O104" i="40"/>
  <c r="G45" i="40"/>
  <c r="G85" i="40"/>
  <c r="O97" i="40"/>
  <c r="G14" i="40"/>
  <c r="O36" i="40"/>
  <c r="G117" i="40"/>
  <c r="G57" i="40"/>
  <c r="G87" i="40"/>
  <c r="O90" i="40"/>
  <c r="G79" i="40"/>
  <c r="O114" i="40"/>
  <c r="G48" i="40"/>
  <c r="G100" i="40"/>
  <c r="G16" i="40"/>
  <c r="G37" i="40"/>
  <c r="O54" i="40"/>
  <c r="O109" i="40"/>
  <c r="G12" i="40"/>
  <c r="O45" i="40"/>
  <c r="G111" i="40"/>
  <c r="G105" i="40"/>
  <c r="O23" i="40"/>
  <c r="G109" i="40"/>
  <c r="G20" i="40"/>
  <c r="G40" i="40"/>
  <c r="O58" i="40"/>
  <c r="O106" i="40"/>
  <c r="G47" i="40"/>
  <c r="O32" i="40"/>
  <c r="G102" i="40"/>
  <c r="G95" i="40"/>
  <c r="G93" i="40"/>
  <c r="O105" i="40"/>
  <c r="G29" i="40"/>
  <c r="G72" i="40"/>
  <c r="O107" i="40"/>
  <c r="G51" i="40"/>
  <c r="O35" i="40"/>
  <c r="G104" i="40"/>
  <c r="G99" i="40"/>
  <c r="O13" i="40"/>
  <c r="G97" i="40"/>
  <c r="O113" i="40"/>
  <c r="G32" i="40"/>
  <c r="O51" i="40"/>
  <c r="O93" i="40"/>
  <c r="O27" i="40"/>
  <c r="G96" i="40"/>
  <c r="O115" i="40"/>
  <c r="G103" i="40"/>
  <c r="O17" i="40"/>
  <c r="O74" i="40"/>
  <c r="G34" i="40"/>
  <c r="G56" i="40"/>
  <c r="G82" i="40"/>
  <c r="O116" i="40"/>
  <c r="G46" i="40"/>
  <c r="G76" i="40"/>
  <c r="O76" i="40"/>
  <c r="O37" i="40"/>
  <c r="O73" i="40"/>
  <c r="G19" i="40"/>
  <c r="O46" i="40"/>
  <c r="O78" i="40"/>
  <c r="G36" i="40"/>
  <c r="O14" i="40"/>
  <c r="G86" i="40"/>
  <c r="O110" i="40"/>
  <c r="G15" i="40"/>
  <c r="O48" i="40"/>
  <c r="G114" i="40"/>
  <c r="G108" i="40"/>
  <c r="O28" i="40"/>
  <c r="G112" i="40"/>
  <c r="G23" i="40"/>
  <c r="G49" i="40"/>
  <c r="G91" i="40"/>
  <c r="O111" i="40"/>
  <c r="G22" i="40"/>
  <c r="O55" i="40"/>
  <c r="G118" i="40"/>
  <c r="G23" i="32"/>
  <c r="G19" i="32"/>
  <c r="G21" i="32"/>
  <c r="G15" i="32"/>
  <c r="G24" i="32"/>
  <c r="G22" i="32"/>
  <c r="G16" i="32"/>
  <c r="G13" i="32"/>
  <c r="G12" i="32"/>
  <c r="G14" i="32"/>
  <c r="G20" i="32"/>
  <c r="O116" i="36"/>
  <c r="O115" i="36"/>
  <c r="G34" i="36"/>
  <c r="O29" i="36"/>
  <c r="O55" i="36"/>
  <c r="O107" i="36"/>
  <c r="G33" i="36"/>
  <c r="O26" i="36"/>
  <c r="G90" i="36"/>
  <c r="G96" i="36"/>
  <c r="O73" i="36"/>
  <c r="O77" i="36"/>
  <c r="O91" i="36"/>
  <c r="O99" i="36"/>
  <c r="O106" i="36"/>
  <c r="G35" i="36"/>
  <c r="O14" i="36"/>
  <c r="O30" i="36"/>
  <c r="G21" i="36"/>
  <c r="G27" i="36"/>
  <c r="G49" i="36"/>
  <c r="O37" i="36"/>
  <c r="G81" i="36"/>
  <c r="G87" i="36"/>
  <c r="G107" i="36"/>
  <c r="G111" i="36"/>
  <c r="G38" i="36"/>
  <c r="G15" i="36"/>
  <c r="G36" i="36"/>
  <c r="G54" i="36"/>
  <c r="G58" i="36"/>
  <c r="O22" i="36"/>
  <c r="O28" i="36"/>
  <c r="O40" i="36"/>
  <c r="O49" i="36"/>
  <c r="G74" i="36"/>
  <c r="G88" i="36"/>
  <c r="G100" i="36"/>
  <c r="G114" i="36"/>
  <c r="G118" i="36"/>
  <c r="O82" i="36"/>
  <c r="O86" i="36"/>
  <c r="O108" i="36"/>
  <c r="O114" i="36"/>
  <c r="O113" i="36"/>
  <c r="G44" i="36"/>
  <c r="O52" i="36"/>
  <c r="O56" i="36"/>
  <c r="G89" i="36"/>
  <c r="O111" i="36"/>
  <c r="O13" i="36"/>
  <c r="O36" i="36"/>
  <c r="G91" i="36"/>
  <c r="G104" i="36"/>
  <c r="O74" i="36"/>
  <c r="O78" i="36"/>
  <c r="O92" i="36"/>
  <c r="O100" i="36"/>
  <c r="O110" i="36"/>
  <c r="G39" i="36"/>
  <c r="O15" i="36"/>
  <c r="O31" i="36"/>
  <c r="G22" i="36"/>
  <c r="G46" i="36"/>
  <c r="G50" i="36"/>
  <c r="O44" i="36"/>
  <c r="G82" i="36"/>
  <c r="G94" i="36"/>
  <c r="G108" i="36"/>
  <c r="O87" i="36"/>
  <c r="G40" i="36"/>
  <c r="G16" i="36"/>
  <c r="G43" i="36"/>
  <c r="G55" i="36"/>
  <c r="O23" i="36"/>
  <c r="O35" i="36"/>
  <c r="O46" i="36"/>
  <c r="O50" i="36"/>
  <c r="G75" i="36"/>
  <c r="G95" i="36"/>
  <c r="G103" i="36"/>
  <c r="G115" i="36"/>
  <c r="O83" i="36"/>
  <c r="O88" i="36"/>
  <c r="O118" i="36"/>
  <c r="O112" i="36"/>
  <c r="G29" i="36"/>
  <c r="O53" i="36"/>
  <c r="O57" i="36"/>
  <c r="O89" i="36"/>
  <c r="O16" i="36"/>
  <c r="O43" i="36"/>
  <c r="G92" i="36"/>
  <c r="G105" i="36"/>
  <c r="O75" i="36"/>
  <c r="O79" i="36"/>
  <c r="O95" i="36"/>
  <c r="O104" i="36"/>
  <c r="G20" i="36"/>
  <c r="G45" i="36"/>
  <c r="O17" i="36"/>
  <c r="O32" i="36"/>
  <c r="G23" i="36"/>
  <c r="G47" i="36"/>
  <c r="G51" i="36"/>
  <c r="O45" i="36"/>
  <c r="G83" i="36"/>
  <c r="G97" i="36"/>
  <c r="G109" i="36"/>
  <c r="O109" i="36"/>
  <c r="G13" i="36"/>
  <c r="G19" i="36"/>
  <c r="G52" i="36"/>
  <c r="G56" i="36"/>
  <c r="O20" i="36"/>
  <c r="O24" i="36"/>
  <c r="O38" i="36"/>
  <c r="O47" i="36"/>
  <c r="O51" i="36"/>
  <c r="G76" i="36"/>
  <c r="G98" i="36"/>
  <c r="G112" i="36"/>
  <c r="G116" i="36"/>
  <c r="O80" i="36"/>
  <c r="O84" i="36"/>
  <c r="O96" i="36"/>
  <c r="O117" i="36"/>
  <c r="G30" i="36"/>
  <c r="G37" i="36"/>
  <c r="O54" i="36"/>
  <c r="O58" i="36"/>
  <c r="O97" i="36"/>
  <c r="O19" i="36"/>
  <c r="G80" i="36"/>
  <c r="G93" i="36"/>
  <c r="O72" i="36"/>
  <c r="O76" i="36"/>
  <c r="O90" i="36"/>
  <c r="O98" i="36"/>
  <c r="O105" i="36"/>
  <c r="G31" i="36"/>
  <c r="O12" i="36"/>
  <c r="O18" i="36"/>
  <c r="G12" i="36"/>
  <c r="G24" i="36"/>
  <c r="G48" i="36"/>
  <c r="O27" i="36"/>
  <c r="G72" i="36"/>
  <c r="G84" i="36"/>
  <c r="G106" i="36"/>
  <c r="G110" i="36"/>
  <c r="G32" i="36"/>
  <c r="G14" i="36"/>
  <c r="G28" i="36"/>
  <c r="G53" i="36"/>
  <c r="G57" i="36"/>
  <c r="O21" i="36"/>
  <c r="O25" i="36"/>
  <c r="O39" i="36"/>
  <c r="O48" i="36"/>
  <c r="G73" i="36"/>
  <c r="G79" i="36"/>
  <c r="G99" i="36"/>
  <c r="G113" i="36"/>
  <c r="G117" i="36"/>
  <c r="O81" i="36"/>
  <c r="O85" i="36"/>
  <c r="O103" i="36"/>
  <c r="O86" i="37"/>
  <c r="O75" i="32" l="1"/>
  <c r="O51" i="32"/>
  <c r="G83" i="32"/>
  <c r="G57" i="32"/>
  <c r="O83" i="32"/>
  <c r="G91" i="32"/>
  <c r="G30" i="32"/>
  <c r="O95" i="32"/>
  <c r="O53" i="32"/>
  <c r="G45" i="32"/>
  <c r="G112" i="32"/>
  <c r="O27" i="32"/>
  <c r="O105" i="32"/>
  <c r="O52" i="32"/>
  <c r="G37" i="32"/>
  <c r="O72" i="32"/>
  <c r="O48" i="32"/>
  <c r="G109" i="32"/>
  <c r="O24" i="32"/>
  <c r="O89" i="32"/>
  <c r="G92" i="32"/>
  <c r="G36" i="32"/>
  <c r="O90" i="32"/>
  <c r="O21" i="32"/>
  <c r="G104" i="32"/>
  <c r="O36" i="32"/>
  <c r="G107" i="32"/>
  <c r="O22" i="32"/>
  <c r="O77" i="32"/>
  <c r="G73" i="32"/>
  <c r="G85" i="32"/>
  <c r="O87" i="32"/>
  <c r="G95" i="32"/>
  <c r="G47" i="32"/>
  <c r="O104" i="32"/>
  <c r="G82" i="32"/>
  <c r="O13" i="32"/>
  <c r="G114" i="32"/>
  <c r="O38" i="32"/>
  <c r="O108" i="32"/>
  <c r="O54" i="32"/>
  <c r="G43" i="32"/>
  <c r="O74" i="32"/>
  <c r="O50" i="32"/>
  <c r="G111" i="32"/>
  <c r="O30" i="32"/>
  <c r="G28" i="32"/>
  <c r="O97" i="32"/>
  <c r="G98" i="32"/>
  <c r="G39" i="32"/>
  <c r="O92" i="32"/>
  <c r="O23" i="32"/>
  <c r="G113" i="32"/>
  <c r="O39" i="32"/>
  <c r="G86" i="32"/>
  <c r="O17" i="32"/>
  <c r="O79" i="32"/>
  <c r="G75" i="32"/>
  <c r="G87" i="32"/>
  <c r="O12" i="32"/>
  <c r="O107" i="32"/>
  <c r="G96" i="32"/>
  <c r="G49" i="32"/>
  <c r="O106" i="32"/>
  <c r="G84" i="32"/>
  <c r="O15" i="32"/>
  <c r="G116" i="32"/>
  <c r="O40" i="32"/>
  <c r="O112" i="32"/>
  <c r="O56" i="32"/>
  <c r="G44" i="32"/>
  <c r="O76" i="32"/>
  <c r="G74" i="32"/>
  <c r="G32" i="32"/>
  <c r="O96" i="32"/>
  <c r="O55" i="32"/>
  <c r="G52" i="32"/>
  <c r="O109" i="32"/>
  <c r="G100" i="32"/>
  <c r="G46" i="32"/>
  <c r="O94" i="32"/>
  <c r="O28" i="32"/>
  <c r="G115" i="32"/>
  <c r="O29" i="32"/>
  <c r="G89" i="32"/>
  <c r="O19" i="32"/>
  <c r="O80" i="32"/>
  <c r="G79" i="32"/>
  <c r="G31" i="32"/>
  <c r="G106" i="32"/>
  <c r="O14" i="32"/>
  <c r="O111" i="32"/>
  <c r="G99" i="32"/>
  <c r="G51" i="32"/>
  <c r="O110" i="32"/>
  <c r="G56" i="32"/>
  <c r="G118" i="32"/>
  <c r="O47" i="32"/>
  <c r="O113" i="32"/>
  <c r="O58" i="32"/>
  <c r="G53" i="32"/>
  <c r="O78" i="32"/>
  <c r="G76" i="32"/>
  <c r="G34" i="32"/>
  <c r="O99" i="32"/>
  <c r="O57" i="32"/>
  <c r="G54" i="32"/>
  <c r="G102" i="32"/>
  <c r="G48" i="32"/>
  <c r="O98" i="32"/>
  <c r="O31" i="32"/>
  <c r="G117" i="32"/>
  <c r="O43" i="32"/>
  <c r="O88" i="32"/>
  <c r="O32" i="32"/>
  <c r="O119" i="32"/>
  <c r="O82" i="32"/>
  <c r="G80" i="32"/>
  <c r="G33" i="32"/>
  <c r="G108" i="32"/>
  <c r="O16" i="32"/>
  <c r="G101" i="32"/>
  <c r="G40" i="32"/>
  <c r="O103" i="32"/>
  <c r="G72" i="32"/>
  <c r="G58" i="32"/>
  <c r="O116" i="32"/>
  <c r="O73" i="32"/>
  <c r="O49" i="32"/>
  <c r="G81" i="32"/>
  <c r="G55" i="32"/>
  <c r="O81" i="32"/>
  <c r="G88" i="32"/>
  <c r="G38" i="32"/>
  <c r="O93" i="32"/>
  <c r="O44" i="32"/>
  <c r="G27" i="32"/>
  <c r="O117" i="32"/>
  <c r="G105" i="32"/>
  <c r="G50" i="32"/>
  <c r="O100" i="32"/>
  <c r="O45" i="32"/>
  <c r="G29" i="32"/>
  <c r="O46" i="32"/>
  <c r="O91" i="32"/>
  <c r="O37" i="32"/>
  <c r="O118" i="32"/>
  <c r="O84" i="32"/>
  <c r="G90" i="32"/>
  <c r="G35" i="32"/>
  <c r="G110" i="32"/>
  <c r="O18" i="32"/>
  <c r="G103" i="32"/>
  <c r="O35" i="32"/>
  <c r="G97" i="32"/>
  <c r="O20" i="32"/>
  <c r="O114" i="32"/>
  <c r="O115" i="32"/>
  <c r="O41" i="32"/>
  <c r="O101" i="32"/>
  <c r="O52" i="15"/>
  <c r="O44" i="15"/>
  <c r="G88" i="15"/>
  <c r="G28" i="15"/>
  <c r="O112" i="15"/>
  <c r="O39" i="34" l="1"/>
  <c r="G99" i="34"/>
  <c r="G39" i="34"/>
  <c r="O99" i="34"/>
  <c r="G26" i="37"/>
  <c r="G25" i="37"/>
  <c r="O97" i="31"/>
  <c r="O37" i="31"/>
  <c r="O96" i="34"/>
  <c r="O36" i="34"/>
  <c r="G96" i="34"/>
  <c r="G36" i="34"/>
  <c r="G21" i="34"/>
  <c r="G81" i="34"/>
  <c r="O34" i="33" l="1"/>
  <c r="O17" i="38"/>
  <c r="O34" i="40" l="1"/>
  <c r="G41" i="40"/>
  <c r="G41" i="32" l="1"/>
  <c r="O34" i="32"/>
  <c r="O85" i="33" l="1"/>
  <c r="O85" i="38"/>
  <c r="O382" i="15" l="1"/>
  <c r="O387" i="15"/>
  <c r="O399" i="15"/>
  <c r="O375" i="15"/>
  <c r="O414" i="15"/>
  <c r="O396" i="15"/>
  <c r="O385" i="15"/>
  <c r="O390" i="15"/>
  <c r="O383" i="15"/>
  <c r="O400" i="15"/>
  <c r="G436" i="15"/>
  <c r="G444" i="15"/>
  <c r="G452" i="15"/>
  <c r="G460" i="15"/>
  <c r="G468" i="15"/>
  <c r="O376" i="15"/>
  <c r="O394" i="15"/>
  <c r="O393" i="15"/>
  <c r="O410" i="15"/>
  <c r="O397" i="15"/>
  <c r="O372" i="15"/>
  <c r="O409" i="15"/>
  <c r="O404" i="15"/>
  <c r="O402" i="15"/>
  <c r="O413" i="15"/>
  <c r="O392" i="15"/>
  <c r="O411" i="15"/>
  <c r="G438" i="15"/>
  <c r="G446" i="15"/>
  <c r="G454" i="15"/>
  <c r="G462" i="15"/>
  <c r="G470" i="15"/>
  <c r="G476" i="15"/>
  <c r="O436" i="15"/>
  <c r="O444" i="15"/>
  <c r="O452" i="15"/>
  <c r="O460" i="15"/>
  <c r="O468" i="15"/>
  <c r="O476" i="15"/>
  <c r="G435" i="15"/>
  <c r="G443" i="15"/>
  <c r="G451" i="15"/>
  <c r="G459" i="15"/>
  <c r="G467" i="15"/>
  <c r="G475" i="15"/>
  <c r="O435" i="15"/>
  <c r="O443" i="15"/>
  <c r="O451" i="15"/>
  <c r="O459" i="15"/>
  <c r="O467" i="15"/>
  <c r="O475" i="15"/>
  <c r="O434" i="15"/>
  <c r="O442" i="15"/>
  <c r="O450" i="15"/>
  <c r="O458" i="15"/>
  <c r="O466" i="15"/>
  <c r="O474" i="15"/>
  <c r="G433" i="15"/>
  <c r="G441" i="15"/>
  <c r="G449" i="15"/>
  <c r="G457" i="15"/>
  <c r="G473" i="15"/>
  <c r="O433" i="15"/>
  <c r="O449" i="15"/>
  <c r="O457" i="15"/>
  <c r="O473" i="15"/>
  <c r="O401" i="15"/>
  <c r="O373" i="15"/>
  <c r="O416" i="15"/>
  <c r="O403" i="15"/>
  <c r="O418" i="15"/>
  <c r="O406" i="15"/>
  <c r="O378" i="15"/>
  <c r="O407" i="15"/>
  <c r="O386" i="15"/>
  <c r="O374" i="15"/>
  <c r="O412" i="15"/>
  <c r="G432" i="15"/>
  <c r="G440" i="15"/>
  <c r="G448" i="15"/>
  <c r="G456" i="15"/>
  <c r="G464" i="15"/>
  <c r="G472" i="15"/>
  <c r="O417" i="15"/>
  <c r="O388" i="15"/>
  <c r="O384" i="15"/>
  <c r="O391" i="15"/>
  <c r="O377" i="15"/>
  <c r="O389" i="15"/>
  <c r="O408" i="15"/>
  <c r="O379" i="15"/>
  <c r="O415" i="15"/>
  <c r="O398" i="15"/>
  <c r="O395" i="15"/>
  <c r="O380" i="15"/>
  <c r="G434" i="15"/>
  <c r="G442" i="15"/>
  <c r="G450" i="15"/>
  <c r="G458" i="15"/>
  <c r="G466" i="15"/>
  <c r="G474" i="15"/>
  <c r="O432" i="15"/>
  <c r="O440" i="15"/>
  <c r="O448" i="15"/>
  <c r="O456" i="15"/>
  <c r="O464" i="15"/>
  <c r="O472" i="15"/>
  <c r="G439" i="15"/>
  <c r="G447" i="15"/>
  <c r="G455" i="15"/>
  <c r="G463" i="15"/>
  <c r="G471" i="15"/>
  <c r="O439" i="15"/>
  <c r="O447" i="15"/>
  <c r="O455" i="15"/>
  <c r="O463" i="15"/>
  <c r="O471" i="15"/>
  <c r="G478" i="15"/>
  <c r="O438" i="15"/>
  <c r="O446" i="15"/>
  <c r="O454" i="15"/>
  <c r="O462" i="15"/>
  <c r="O470" i="15"/>
  <c r="O478" i="15"/>
  <c r="G437" i="15"/>
  <c r="G445" i="15"/>
  <c r="G453" i="15"/>
  <c r="G461" i="15"/>
  <c r="G469" i="15"/>
  <c r="G477" i="15"/>
  <c r="O437" i="15"/>
  <c r="O445" i="15"/>
  <c r="O453" i="15"/>
  <c r="O461" i="15"/>
  <c r="O469" i="15"/>
  <c r="O477" i="15"/>
  <c r="G479" i="15" l="1"/>
  <c r="O419" i="15"/>
  <c r="O479" i="15"/>
  <c r="O381" i="15" l="1"/>
  <c r="O441" i="15"/>
  <c r="O405" i="15"/>
  <c r="G465" i="15"/>
  <c r="O465" i="15"/>
  <c r="O39" i="35" l="1"/>
  <c r="N39" i="35"/>
  <c r="O82" i="35"/>
  <c r="N82" i="35"/>
  <c r="N51" i="35"/>
  <c r="F109" i="35"/>
  <c r="N26" i="35"/>
  <c r="N25" i="35"/>
  <c r="F92" i="35"/>
  <c r="N55" i="35"/>
  <c r="N20" i="35"/>
  <c r="F53" i="35"/>
  <c r="N117" i="35"/>
  <c r="F81" i="35"/>
  <c r="N47" i="35"/>
  <c r="F42" i="35"/>
  <c r="N79" i="35"/>
  <c r="N58" i="35"/>
  <c r="F84" i="35"/>
  <c r="F115" i="35"/>
  <c r="F51" i="35"/>
  <c r="N103" i="35"/>
  <c r="N113" i="35"/>
  <c r="F54" i="35"/>
  <c r="N85" i="35"/>
  <c r="N119" i="37"/>
  <c r="N119" i="35"/>
  <c r="N36" i="35"/>
  <c r="F56" i="35"/>
  <c r="N50" i="35"/>
  <c r="F30" i="35"/>
  <c r="F78" i="35"/>
  <c r="F116" i="35"/>
  <c r="F21" i="35"/>
  <c r="F101" i="35"/>
  <c r="F111" i="35"/>
  <c r="F23" i="35"/>
  <c r="F98" i="35"/>
  <c r="N16" i="35"/>
  <c r="F91" i="35"/>
  <c r="F95" i="35"/>
  <c r="N110" i="35"/>
  <c r="F59" i="44"/>
  <c r="F59" i="41"/>
  <c r="F59" i="39"/>
  <c r="F59" i="37"/>
  <c r="F59" i="35"/>
  <c r="F48" i="35"/>
  <c r="N111" i="35"/>
  <c r="N53" i="35"/>
  <c r="N52" i="35"/>
  <c r="F39" i="35"/>
  <c r="N42" i="35"/>
  <c r="N77" i="35"/>
  <c r="F43" i="35"/>
  <c r="N94" i="35"/>
  <c r="F16" i="35"/>
  <c r="N32" i="35"/>
  <c r="F118" i="35"/>
  <c r="N27" i="35"/>
  <c r="F52" i="35"/>
  <c r="N19" i="35"/>
  <c r="F35" i="35"/>
  <c r="F119" i="41"/>
  <c r="F119" i="39"/>
  <c r="F119" i="37"/>
  <c r="F119" i="35"/>
  <c r="N108" i="35"/>
  <c r="F32" i="35"/>
  <c r="N116" i="35"/>
  <c r="N91" i="35"/>
  <c r="F80" i="35"/>
  <c r="N37" i="35"/>
  <c r="N75" i="35"/>
  <c r="N93" i="35"/>
  <c r="N96" i="35"/>
  <c r="N90" i="35"/>
  <c r="N84" i="35"/>
  <c r="N112" i="35"/>
  <c r="F31" i="35"/>
  <c r="F22" i="35"/>
  <c r="N48" i="35"/>
  <c r="N33" i="35"/>
  <c r="F108" i="35"/>
  <c r="F47" i="35"/>
  <c r="F29" i="35"/>
  <c r="F103" i="35"/>
  <c r="F49" i="35"/>
  <c r="F100" i="35"/>
  <c r="N102" i="35"/>
  <c r="F94" i="35"/>
  <c r="F77" i="35"/>
  <c r="N57" i="35"/>
  <c r="F12" i="35"/>
  <c r="N80" i="35"/>
  <c r="N49" i="35"/>
  <c r="N78" i="35"/>
  <c r="F117" i="35"/>
  <c r="F93" i="35"/>
  <c r="N97" i="35"/>
  <c r="N18" i="35"/>
  <c r="F19" i="35"/>
  <c r="N21" i="35"/>
  <c r="F55" i="35"/>
  <c r="N114" i="35"/>
  <c r="F14" i="35"/>
  <c r="F38" i="35"/>
  <c r="F26" i="35"/>
  <c r="F18" i="35"/>
  <c r="N118" i="35"/>
  <c r="F40" i="35"/>
  <c r="F15" i="35"/>
  <c r="N115" i="35"/>
  <c r="N87" i="35"/>
  <c r="N43" i="35"/>
  <c r="N41" i="35"/>
  <c r="N35" i="35"/>
  <c r="F107" i="35"/>
  <c r="F87" i="35"/>
  <c r="F113" i="35"/>
  <c r="F25" i="35"/>
  <c r="F102" i="35"/>
  <c r="F85" i="35"/>
  <c r="F99" i="35"/>
  <c r="N54" i="35"/>
  <c r="N107" i="35"/>
  <c r="N109" i="35"/>
  <c r="F58" i="35"/>
  <c r="N24" i="35"/>
  <c r="F20" i="35"/>
  <c r="N95" i="35"/>
  <c r="F50" i="35"/>
  <c r="F114" i="35"/>
  <c r="N86" i="35"/>
  <c r="F41" i="35"/>
  <c r="F34" i="35"/>
  <c r="F86" i="35"/>
  <c r="F27" i="35"/>
  <c r="F79" i="35"/>
  <c r="F112" i="35"/>
  <c r="F76" i="35"/>
  <c r="N101" i="35"/>
  <c r="F33" i="35"/>
  <c r="F110" i="35"/>
  <c r="N17" i="35"/>
  <c r="F13" i="35"/>
  <c r="F24" i="35"/>
  <c r="N56" i="35"/>
  <c r="F57" i="35"/>
  <c r="N59" i="41"/>
  <c r="N59" i="44"/>
  <c r="N59" i="39"/>
  <c r="N59" i="37"/>
  <c r="N59" i="35"/>
  <c r="N31" i="35"/>
  <c r="N92" i="35"/>
  <c r="F17" i="35"/>
  <c r="N34" i="35"/>
  <c r="N83" i="35"/>
  <c r="N76" i="35"/>
  <c r="G27" i="35" l="1"/>
  <c r="O86" i="35"/>
  <c r="O87" i="35"/>
  <c r="O118" i="35"/>
  <c r="O18" i="35"/>
  <c r="O78" i="35"/>
  <c r="O57" i="35"/>
  <c r="G100" i="35"/>
  <c r="O112" i="35"/>
  <c r="O93" i="35"/>
  <c r="O116" i="35"/>
  <c r="G52" i="35"/>
  <c r="O42" i="35"/>
  <c r="G48" i="35"/>
  <c r="G81" i="35"/>
  <c r="O55" i="35"/>
  <c r="O92" i="35"/>
  <c r="G24" i="35"/>
  <c r="G33" i="35"/>
  <c r="G79" i="35"/>
  <c r="O109" i="35"/>
  <c r="G85" i="35"/>
  <c r="O43" i="35"/>
  <c r="G40" i="35"/>
  <c r="G14" i="35"/>
  <c r="G12" i="35"/>
  <c r="O102" i="35"/>
  <c r="G31" i="35"/>
  <c r="O96" i="35"/>
  <c r="O91" i="35"/>
  <c r="O19" i="35"/>
  <c r="O32" i="35"/>
  <c r="G91" i="35"/>
  <c r="G101" i="35"/>
  <c r="O113" i="35"/>
  <c r="G84" i="35"/>
  <c r="O26" i="35"/>
  <c r="G17" i="35"/>
  <c r="G110" i="35"/>
  <c r="O35" i="35"/>
  <c r="O41" i="35"/>
  <c r="G15" i="35"/>
  <c r="G93" i="35"/>
  <c r="G94" i="35"/>
  <c r="G103" i="35"/>
  <c r="G22" i="35"/>
  <c r="O37" i="35"/>
  <c r="G43" i="35"/>
  <c r="O52" i="35"/>
  <c r="G95" i="35"/>
  <c r="G111" i="35"/>
  <c r="G54" i="35"/>
  <c r="G42" i="35"/>
  <c r="G53" i="35"/>
  <c r="O34" i="35"/>
  <c r="O59" i="44"/>
  <c r="O59" i="41"/>
  <c r="O59" i="35"/>
  <c r="O59" i="39"/>
  <c r="O59" i="37"/>
  <c r="G57" i="35"/>
  <c r="O17" i="35"/>
  <c r="G76" i="35"/>
  <c r="G86" i="35"/>
  <c r="G114" i="35"/>
  <c r="G25" i="35"/>
  <c r="O97" i="35"/>
  <c r="O49" i="35"/>
  <c r="G77" i="35"/>
  <c r="G49" i="35"/>
  <c r="O75" i="35"/>
  <c r="G32" i="35"/>
  <c r="G59" i="44"/>
  <c r="G59" i="41"/>
  <c r="G59" i="39"/>
  <c r="G59" i="35"/>
  <c r="G59" i="37"/>
  <c r="G98" i="35"/>
  <c r="G23" i="35"/>
  <c r="O36" i="35"/>
  <c r="G51" i="35"/>
  <c r="O79" i="35"/>
  <c r="O117" i="35"/>
  <c r="G92" i="35"/>
  <c r="O83" i="35"/>
  <c r="O31" i="35"/>
  <c r="G13" i="35"/>
  <c r="O101" i="35"/>
  <c r="G20" i="35"/>
  <c r="O107" i="35"/>
  <c r="G102" i="35"/>
  <c r="O114" i="35"/>
  <c r="G47" i="35"/>
  <c r="O33" i="35"/>
  <c r="G16" i="35"/>
  <c r="O16" i="35"/>
  <c r="G21" i="35"/>
  <c r="O50" i="35"/>
  <c r="O119" i="37"/>
  <c r="O119" i="35"/>
  <c r="O103" i="35"/>
  <c r="O58" i="35"/>
  <c r="G109" i="35"/>
  <c r="G41" i="35"/>
  <c r="O95" i="35"/>
  <c r="G107" i="35"/>
  <c r="G38" i="35"/>
  <c r="G19" i="35"/>
  <c r="G117" i="35"/>
  <c r="G29" i="35"/>
  <c r="G80" i="35"/>
  <c r="O77" i="35"/>
  <c r="O111" i="35"/>
  <c r="G30" i="35"/>
  <c r="O47" i="35"/>
  <c r="O20" i="35"/>
  <c r="O56" i="35"/>
  <c r="G112" i="35"/>
  <c r="G34" i="35"/>
  <c r="G50" i="35"/>
  <c r="G58" i="35"/>
  <c r="G99" i="35"/>
  <c r="G87" i="35"/>
  <c r="G26" i="35"/>
  <c r="O21" i="35"/>
  <c r="O80" i="35"/>
  <c r="O90" i="35"/>
  <c r="O108" i="35"/>
  <c r="G35" i="35"/>
  <c r="G118" i="35"/>
  <c r="O53" i="35"/>
  <c r="G78" i="35"/>
  <c r="G115" i="35"/>
  <c r="O25" i="35"/>
  <c r="O76" i="35"/>
  <c r="O24" i="35"/>
  <c r="O54" i="35"/>
  <c r="G113" i="35"/>
  <c r="O115" i="35"/>
  <c r="G18" i="35"/>
  <c r="G55" i="35"/>
  <c r="G108" i="35"/>
  <c r="O48" i="35"/>
  <c r="O84" i="35"/>
  <c r="G119" i="41"/>
  <c r="G119" i="37"/>
  <c r="G119" i="39"/>
  <c r="G119" i="35"/>
  <c r="O27" i="35"/>
  <c r="O94" i="35"/>
  <c r="G39" i="35"/>
  <c r="O110" i="35"/>
  <c r="G116" i="35"/>
  <c r="G56" i="35"/>
  <c r="O85" i="35"/>
  <c r="O51" i="35"/>
</calcChain>
</file>

<file path=xl/sharedStrings.xml><?xml version="1.0" encoding="utf-8"?>
<sst xmlns="http://schemas.openxmlformats.org/spreadsheetml/2006/main" count="7636" uniqueCount="76">
  <si>
    <t xml:space="preserve">    «Утверждаю»</t>
  </si>
  <si>
    <t>Первый проректор</t>
  </si>
  <si>
    <t>___________Н.А. Круглая</t>
  </si>
  <si>
    <t>«_____» _________2026 г.</t>
  </si>
  <si>
    <t>Расписание занятий (1 семестр 2026/27 учебный год)</t>
  </si>
  <si>
    <t>Форма обучения:</t>
  </si>
  <si>
    <t>очная</t>
  </si>
  <si>
    <t>Курс:</t>
  </si>
  <si>
    <t>Неделя:</t>
  </si>
  <si>
    <t>Дни недели</t>
  </si>
  <si>
    <t>пара</t>
  </si>
  <si>
    <t>Вид занятий</t>
  </si>
  <si>
    <t>Дисциплина</t>
  </si>
  <si>
    <t>Преподаватель</t>
  </si>
  <si>
    <t>Ссылка</t>
  </si>
  <si>
    <t>Дисциплины</t>
  </si>
  <si>
    <t>Ссылки</t>
  </si>
  <si>
    <t>понедельник</t>
  </si>
  <si>
    <r>
      <t xml:space="preserve">1 пара
</t>
    </r>
    <r>
      <rPr>
        <sz val="12"/>
        <rFont val="Times New Roman"/>
        <family val="1"/>
        <charset val="204"/>
      </rPr>
      <t>9.00-10.30</t>
    </r>
  </si>
  <si>
    <r>
      <t xml:space="preserve">2 пара
</t>
    </r>
    <r>
      <rPr>
        <sz val="12"/>
        <rFont val="Times New Roman"/>
        <family val="1"/>
        <charset val="204"/>
      </rPr>
      <t>10.40-12.10</t>
    </r>
  </si>
  <si>
    <r>
      <t xml:space="preserve">3 пара
</t>
    </r>
    <r>
      <rPr>
        <sz val="12"/>
        <rFont val="Times New Roman"/>
        <family val="1"/>
        <charset val="204"/>
      </rPr>
      <t>12.30-14.00</t>
    </r>
  </si>
  <si>
    <r>
      <t xml:space="preserve">4 пара
</t>
    </r>
    <r>
      <rPr>
        <sz val="12"/>
        <rFont val="Times New Roman"/>
        <family val="1"/>
        <charset val="204"/>
      </rPr>
      <t>14.10-15.40</t>
    </r>
  </si>
  <si>
    <r>
      <t xml:space="preserve">5 пара
</t>
    </r>
    <r>
      <rPr>
        <sz val="12"/>
        <rFont val="Times New Roman"/>
        <family val="1"/>
        <charset val="204"/>
      </rPr>
      <t>15.50-17.20</t>
    </r>
  </si>
  <si>
    <r>
      <t xml:space="preserve">6 пара
</t>
    </r>
    <r>
      <rPr>
        <sz val="12"/>
        <rFont val="Times New Roman"/>
        <family val="1"/>
        <charset val="204"/>
      </rPr>
      <t>17.40-19.10</t>
    </r>
  </si>
  <si>
    <r>
      <t xml:space="preserve">7 пара
</t>
    </r>
    <r>
      <rPr>
        <sz val="12"/>
        <rFont val="Times New Roman"/>
        <family val="1"/>
        <charset val="204"/>
      </rPr>
      <t>19.20-20.50</t>
    </r>
  </si>
  <si>
    <t>вторник</t>
  </si>
  <si>
    <t>среда</t>
  </si>
  <si>
    <t>четверг</t>
  </si>
  <si>
    <t>пятница</t>
  </si>
  <si>
    <t>суббота</t>
  </si>
  <si>
    <t xml:space="preserve">Директор института </t>
  </si>
  <si>
    <t>Самчинская Я.Б.</t>
  </si>
  <si>
    <t>Библиотечный день</t>
  </si>
  <si>
    <t>https://max.ru/join/PF9p4nxFpYkpyJZDiJCXITBLRp8ioqfTBXE3wfeJlHs</t>
  </si>
  <si>
    <t>https://max.ru/join/o85unk1KbqCN1-IxGCSAqfdKA8ikJBwHtOsEG2C_ftA</t>
  </si>
  <si>
    <t>https://max.ru/join/UK1-XZ_XTqTQMkUzITZ-AvDWmTQjDawZvR5fkupR8eE</t>
  </si>
  <si>
    <t>https://max.ru/join/QktsjGaw5ToZMymwQv4u7TZ1a5jhx2Meh1Xg11Ht-o8</t>
  </si>
  <si>
    <t>https://max.ru/join/0MiRK0GUpSTCrtKMGu5ke9BatSupdkYkm3PEezrq5xw</t>
  </si>
  <si>
    <t>ДИСЦИПЛИНЫ</t>
  </si>
  <si>
    <t>ССЫЛКИ</t>
  </si>
  <si>
    <t>https://max.ru/join/otW8lgS1PqJ5ZhmtKc1Abb8BfYMXnmtaMD7qcLUGCxg</t>
  </si>
  <si>
    <t>https://max.ru/join/NU2edX9oXun4G550gjffmEH6rRcZcTV_m4i8V_Iscos</t>
  </si>
  <si>
    <t>https://max.ru/join/OH6fDuRVjPmIa0jo8bkpQ88VaCOt5qUj0lgw60QfR6E</t>
  </si>
  <si>
    <t>https://max.ru/join/RrwhTNjGuc3DgsCx989HtQjNPhbdkA4EOwQlUrySmIY</t>
  </si>
  <si>
    <t>https://max.ru/join/TCEatH6Avl8o9m9sQTggJgcSrdIkaHPRw7RIzgXKilo</t>
  </si>
  <si>
    <t>https://max.ru/join/rbLpJ5ax_sNm7y2cvgCMyBOUSIrOjgoKAtn_bNJ6fGo</t>
  </si>
  <si>
    <t>https://max.ru/join/HrLKTRdTWGgXDgkuZo5FTj-f0KVF4vF-lNNZ0Bt6Dlk</t>
  </si>
  <si>
    <t>https://max.ru/join/4mCFDUjZkVK8UuftVSt2q9QOKz6Cf_Jp6XFsId-Pa_Y</t>
  </si>
  <si>
    <t>https://max.ru/join/JliUDf7xjuRKGpBay-DL6RCwrYm2Hzj4E__hjp6UgOQ</t>
  </si>
  <si>
    <t>https://max.ru/join/831brpfUKBZ45r5lLawJQ4x_fudzUfMZk87zumhD3l4</t>
  </si>
  <si>
    <t>https://max.ru/join/HWJDG1wxuQDCiC0TUN5E66zyt7VXJqMWtv_aHX-fd1o</t>
  </si>
  <si>
    <t>https://max.ru/join/M7wDISGvmShFMnRwwNWABqv4bmIdPah2zAI1ryedWA4</t>
  </si>
  <si>
    <t>очно-заочная</t>
  </si>
  <si>
    <t>https://max.ru/join/O7ELSE3mnUXAMkjL9zkW6akpHRr_OV1RfDfgb1E6BKA</t>
  </si>
  <si>
    <t>https://max.ru/join/lLG9wFTsslIHYpmiSC-XFj3ChsNqu9JFSujMK928YAg</t>
  </si>
  <si>
    <t>https://max.ru/join/WiSqTQR9vhIixu_9tEOVcte-zLq3xD0Pr4wEaSuQ8L8</t>
  </si>
  <si>
    <t>https://max.ru/join/F2rHatjyRcQw2TG_ocvg-KtDcxEZHt6IW5wcYLC4iuw</t>
  </si>
  <si>
    <t>https://max.ru/join/g6zvD6fUKPmI5Ues4pjwwIXB0fZghlWb7Uaeuix-jUQ</t>
  </si>
  <si>
    <t>https://max.ru/join/ZQI6UYw-Ll6800VmJaLdI-Md1s6hKqFaVeuR5NmzeXM</t>
  </si>
  <si>
    <t>https://max.ru/join/8alUL1AavbikkBK8Wox0H5Gqk0GpaAW3WoZ_oaAjx88</t>
  </si>
  <si>
    <t>https://max.ru/join/83qviP_NZQNUREKHhLZDjtaG-cPRrU7VmIRLd2eydTs</t>
  </si>
  <si>
    <t>2 пара
10.40-198.10</t>
  </si>
  <si>
    <t>3 пара
198.30-14.00</t>
  </si>
  <si>
    <t>https://max.ru/join/DN-Al3Hn8BwzumxU2F0z1ZrdkkOKrJJlr2N-X5z2j-A</t>
  </si>
  <si>
    <t>https://max.ru/join/xVfUag6N_YqTK2FYY9dw1yr1OX0njFL0kEBUFOsnrKU</t>
  </si>
  <si>
    <t>https://max.ru/join/ABawVbim1pHAjVVmFjM7O45ddZZYKAUsl0XF3_xyIvw</t>
  </si>
  <si>
    <t>https://max.ru/join/VKkXfhUzxKeyFQk25Ym4SroS_8HJFubEzr_pkrxHHAs</t>
  </si>
  <si>
    <t>https://max.ru/join/v5Bjqd2wcIy4RnbDXh61Rk5L54rh3fI1wPxGBjBk2rc</t>
  </si>
  <si>
    <t>https://max.ru/join/Okan5Ed5VxVxXuMyIaDwQXtM9Y66v263YO3R7j43k14</t>
  </si>
  <si>
    <t>https://max.ru/join/6P4CDIXdiW5socNdup_FdA5kKEfDh7JWkzXGBNPsMNM</t>
  </si>
  <si>
    <t>https://max.ru/join/15pEPVrIDANjN-ex11uXS0z2QQcAQkpN7qeJUhIOK40</t>
  </si>
  <si>
    <t>https://max.ru/join/CuOdXmdZWK47DPyk2yukbmbFfy3zg-be-Oob6Blusek</t>
  </si>
  <si>
    <t>https://max.ru/join/vVDI4UrM3eCAidVGjy4YDG7oZq_cJEJtK2NywT5ISAk</t>
  </si>
  <si>
    <t>2 пара
10.40-260.10</t>
  </si>
  <si>
    <t>3 пара
260.30-14.00</t>
  </si>
  <si>
    <t>https://max.ru/join/pcqQ76hVH1VM62gdvJpdTUt6hv6a-FL0jPDOixrw4dg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</si>
</sst>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\ @"/>
  </numFmts>
  <fonts count="24" x14ac:knownFonts="1">
    <font>
      <sz val="10"/>
      <name val="Arial"/>
    </font>
    <font>
      <b/>
      <sz val="14"/>
      <name val="Times New Roman"/>
      <family val="1"/>
      <charset val="204"/>
    </font>
    <font>
      <sz val="10"/>
      <name val="Arial"/>
      <family val="2"/>
      <charset val="204"/>
    </font>
    <font>
      <sz val="8"/>
      <color indexed="8"/>
      <name val="Tahoma"/>
      <family val="2"/>
      <charset val="204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4"/>
      <name val="Times New Roman"/>
      <family val="1"/>
    </font>
    <font>
      <b/>
      <i/>
      <sz val="14"/>
      <color indexed="8"/>
      <name val="Times New Roman"/>
      <family val="1"/>
    </font>
    <font>
      <b/>
      <sz val="12"/>
      <name val="Times New Roman"/>
      <family val="1"/>
      <charset val="204"/>
    </font>
    <font>
      <sz val="14"/>
      <color indexed="8"/>
      <name val="Times New Roman"/>
      <family val="1"/>
    </font>
    <font>
      <b/>
      <i/>
      <sz val="12"/>
      <color indexed="8"/>
      <name val="Times New Roman"/>
      <family val="1"/>
      <charset val="204"/>
    </font>
    <font>
      <u/>
      <sz val="10"/>
      <color theme="10"/>
      <name val="Arial"/>
      <family val="2"/>
      <charset val="204"/>
    </font>
    <font>
      <u/>
      <sz val="10"/>
      <name val="Arial"/>
      <family val="2"/>
      <charset val="204"/>
    </font>
    <font>
      <sz val="14"/>
      <name val="Times New Roman"/>
      <family val="1"/>
      <charset val="204"/>
    </font>
    <font>
      <sz val="10"/>
      <color rgb="FF4F81BD"/>
      <name val="Times New Roman"/>
      <family val="1"/>
      <charset val="204"/>
    </font>
    <font>
      <sz val="16"/>
      <color rgb="FFFF0000"/>
      <name val="Arial"/>
      <family val="2"/>
      <charset val="204"/>
    </font>
    <font>
      <sz val="20"/>
      <color rgb="FFFF0000"/>
      <name val="Arial"/>
      <family val="2"/>
      <charset val="204"/>
    </font>
    <font>
      <u/>
      <sz val="10"/>
      <color rgb="FF0000FF"/>
      <name val="Arial"/>
      <family val="2"/>
      <charset val="204"/>
    </font>
    <font>
      <u/>
      <sz val="14"/>
      <color rgb="FF0000FF"/>
      <name val="Times New Roman"/>
      <family val="1"/>
      <charset val="204"/>
    </font>
    <font>
      <u/>
      <sz val="10"/>
      <color theme="10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double">
        <color indexed="8"/>
      </right>
      <top style="double">
        <color auto="1"/>
      </top>
      <bottom style="double">
        <color auto="1"/>
      </bottom>
      <diagonal/>
    </border>
    <border>
      <left style="double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double">
        <color auto="1"/>
      </top>
      <bottom style="double">
        <color auto="1"/>
      </bottom>
      <diagonal/>
    </border>
    <border>
      <left style="thin">
        <color indexed="8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double">
        <color auto="1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indexed="8"/>
      </left>
      <right/>
      <top style="double">
        <color auto="1"/>
      </top>
      <bottom style="double">
        <color auto="1"/>
      </bottom>
      <diagonal/>
    </border>
    <border>
      <left/>
      <right style="thin">
        <color indexed="8"/>
      </right>
      <top style="double">
        <color auto="1"/>
      </top>
      <bottom style="double">
        <color auto="1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15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97">
    <xf numFmtId="0" fontId="0" fillId="0" borderId="0" xfId="0"/>
    <xf numFmtId="0" fontId="7" fillId="0" borderId="0" xfId="1" applyFont="1" applyFill="1" applyAlignment="1">
      <alignment horizontal="right"/>
    </xf>
    <xf numFmtId="0" fontId="7" fillId="0" borderId="0" xfId="1" applyFont="1" applyFill="1" applyAlignment="1">
      <alignment horizontal="center" wrapText="1"/>
    </xf>
    <xf numFmtId="0" fontId="7" fillId="0" borderId="0" xfId="1" applyFont="1" applyFill="1"/>
    <xf numFmtId="0" fontId="7" fillId="0" borderId="0" xfId="1" applyFont="1" applyFill="1" applyAlignment="1" applyProtection="1">
      <alignment horizontal="left" vertical="center"/>
      <protection locked="0"/>
    </xf>
    <xf numFmtId="0" fontId="7" fillId="0" borderId="0" xfId="1" applyFont="1" applyFill="1" applyAlignment="1">
      <alignment horizontal="right" vertical="center"/>
    </xf>
    <xf numFmtId="0" fontId="7" fillId="0" borderId="0" xfId="1" applyFont="1" applyFill="1" applyBorder="1" applyAlignment="1">
      <alignment horizontal="right" vertical="center" wrapText="1"/>
    </xf>
    <xf numFmtId="0" fontId="7" fillId="0" borderId="0" xfId="1" applyFont="1" applyFill="1" applyBorder="1" applyAlignment="1">
      <alignment horizontal="right" vertical="center"/>
    </xf>
    <xf numFmtId="0" fontId="7" fillId="0" borderId="0" xfId="1" applyFont="1" applyFill="1" applyBorder="1" applyAlignment="1">
      <alignment vertical="center"/>
    </xf>
    <xf numFmtId="0" fontId="9" fillId="0" borderId="0" xfId="1" applyFont="1" applyFill="1" applyAlignment="1">
      <alignment horizontal="left"/>
    </xf>
    <xf numFmtId="0" fontId="7" fillId="0" borderId="8" xfId="1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textRotation="90" wrapText="1"/>
    </xf>
    <xf numFmtId="0" fontId="1" fillId="0" borderId="9" xfId="1" applyFont="1" applyFill="1" applyBorder="1" applyAlignment="1">
      <alignment horizontal="center" vertical="center" wrapText="1"/>
    </xf>
    <xf numFmtId="0" fontId="1" fillId="0" borderId="11" xfId="1" applyFont="1" applyFill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7" fillId="0" borderId="22" xfId="1" applyFont="1" applyFill="1" applyBorder="1" applyAlignment="1">
      <alignment horizontal="center" vertical="center" wrapText="1"/>
    </xf>
    <xf numFmtId="164" fontId="13" fillId="0" borderId="14" xfId="1" applyNumberFormat="1" applyFont="1" applyFill="1" applyBorder="1" applyAlignment="1">
      <alignment horizontal="center" vertical="center" wrapText="1"/>
    </xf>
    <xf numFmtId="164" fontId="13" fillId="0" borderId="15" xfId="1" applyNumberFormat="1" applyFont="1" applyFill="1" applyBorder="1" applyAlignment="1">
      <alignment horizontal="left" vertical="center" wrapText="1"/>
    </xf>
    <xf numFmtId="164" fontId="13" fillId="0" borderId="16" xfId="1" applyNumberFormat="1" applyFont="1" applyFill="1" applyBorder="1" applyAlignment="1">
      <alignment horizontal="left" vertical="center" wrapText="1"/>
    </xf>
    <xf numFmtId="164" fontId="13" fillId="0" borderId="14" xfId="1" applyNumberFormat="1" applyFont="1" applyFill="1" applyBorder="1" applyAlignment="1">
      <alignment vertical="center" wrapText="1"/>
    </xf>
    <xf numFmtId="164" fontId="13" fillId="0" borderId="1" xfId="1" applyNumberFormat="1" applyFont="1" applyFill="1" applyBorder="1" applyAlignment="1">
      <alignment horizontal="center" vertical="center" wrapText="1"/>
    </xf>
    <xf numFmtId="164" fontId="13" fillId="0" borderId="4" xfId="1" applyNumberFormat="1" applyFont="1" applyFill="1" applyBorder="1" applyAlignment="1">
      <alignment horizontal="left" vertical="center" wrapText="1"/>
    </xf>
    <xf numFmtId="164" fontId="13" fillId="0" borderId="2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Fill="1" applyBorder="1" applyAlignment="1">
      <alignment vertical="center" wrapText="1"/>
    </xf>
    <xf numFmtId="164" fontId="13" fillId="0" borderId="22" xfId="1" applyNumberFormat="1" applyFont="1" applyFill="1" applyBorder="1" applyAlignment="1">
      <alignment horizontal="center" vertical="center" wrapText="1"/>
    </xf>
    <xf numFmtId="164" fontId="13" fillId="0" borderId="22" xfId="1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left" vertical="center" wrapText="1"/>
    </xf>
    <xf numFmtId="164" fontId="13" fillId="0" borderId="24" xfId="1" applyNumberFormat="1" applyFont="1" applyFill="1" applyBorder="1" applyAlignment="1">
      <alignment horizontal="left" vertical="center" wrapText="1"/>
    </xf>
    <xf numFmtId="164" fontId="13" fillId="0" borderId="25" xfId="1" applyNumberFormat="1" applyFont="1" applyFill="1" applyBorder="1" applyAlignment="1">
      <alignment vertical="center" wrapText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4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vertical="center"/>
    </xf>
    <xf numFmtId="0" fontId="8" fillId="0" borderId="28" xfId="0" applyFont="1" applyFill="1" applyBorder="1" applyAlignment="1" applyProtection="1">
      <alignment horizontal="left" vertical="center"/>
      <protection locked="0" hidden="1"/>
    </xf>
    <xf numFmtId="164" fontId="16" fillId="0" borderId="19" xfId="5" applyNumberFormat="1" applyFont="1" applyFill="1" applyBorder="1" applyAlignment="1">
      <alignment vertical="center" wrapText="1"/>
    </xf>
    <xf numFmtId="0" fontId="8" fillId="0" borderId="0" xfId="1" applyFont="1" applyFill="1"/>
    <xf numFmtId="0" fontId="8" fillId="0" borderId="0" xfId="1" applyFont="1" applyFill="1" applyBorder="1" applyAlignment="1">
      <alignment vertical="center"/>
    </xf>
    <xf numFmtId="0" fontId="8" fillId="0" borderId="0" xfId="1" applyFont="1" applyFill="1" applyAlignment="1">
      <alignment horizontal="left"/>
    </xf>
    <xf numFmtId="164" fontId="17" fillId="0" borderId="19" xfId="1" applyNumberFormat="1" applyFont="1" applyFill="1" applyBorder="1" applyAlignment="1">
      <alignment vertical="center" wrapText="1"/>
    </xf>
    <xf numFmtId="164" fontId="17" fillId="0" borderId="25" xfId="1" applyNumberFormat="1" applyFont="1" applyFill="1" applyBorder="1" applyAlignment="1">
      <alignment vertical="center" wrapText="1"/>
    </xf>
    <xf numFmtId="164" fontId="17" fillId="0" borderId="17" xfId="1" applyNumberFormat="1" applyFont="1" applyFill="1" applyBorder="1" applyAlignment="1">
      <alignment vertical="center" wrapText="1"/>
    </xf>
    <xf numFmtId="0" fontId="8" fillId="2" borderId="28" xfId="1" applyFont="1" applyFill="1" applyBorder="1" applyAlignment="1">
      <alignment vertical="center"/>
    </xf>
    <xf numFmtId="0" fontId="2" fillId="0" borderId="0" xfId="0" applyFont="1"/>
    <xf numFmtId="164" fontId="15" fillId="0" borderId="19" xfId="5" applyNumberFormat="1" applyFill="1" applyBorder="1" applyAlignment="1">
      <alignment vertical="center" wrapText="1"/>
    </xf>
    <xf numFmtId="164" fontId="15" fillId="0" borderId="17" xfId="5" applyNumberFormat="1" applyFill="1" applyBorder="1" applyAlignment="1">
      <alignment vertical="center" wrapText="1"/>
    </xf>
    <xf numFmtId="0" fontId="6" fillId="0" borderId="0" xfId="1" applyFont="1" applyAlignment="1">
      <alignment horizontal="right"/>
    </xf>
    <xf numFmtId="0" fontId="6" fillId="0" borderId="0" xfId="1" applyFont="1" applyAlignment="1">
      <alignment horizontal="right" vertical="center"/>
    </xf>
    <xf numFmtId="0" fontId="6" fillId="0" borderId="28" xfId="1" applyFont="1" applyBorder="1" applyAlignment="1">
      <alignment horizontal="right" vertical="center"/>
    </xf>
    <xf numFmtId="0" fontId="18" fillId="0" borderId="17" xfId="0" applyFont="1" applyFill="1" applyBorder="1" applyAlignment="1">
      <alignment wrapText="1"/>
    </xf>
    <xf numFmtId="0" fontId="18" fillId="0" borderId="33" xfId="0" applyFont="1" applyFill="1" applyBorder="1" applyAlignment="1">
      <alignment wrapText="1"/>
    </xf>
    <xf numFmtId="0" fontId="19" fillId="0" borderId="1" xfId="0" applyFont="1" applyBorder="1"/>
    <xf numFmtId="0" fontId="0" fillId="0" borderId="1" xfId="0" applyBorder="1"/>
    <xf numFmtId="0" fontId="2" fillId="0" borderId="1" xfId="0" applyFont="1" applyBorder="1"/>
    <xf numFmtId="0" fontId="20" fillId="0" borderId="1" xfId="0" applyFont="1" applyBorder="1"/>
    <xf numFmtId="0" fontId="15" fillId="0" borderId="1" xfId="5" applyBorder="1"/>
    <xf numFmtId="0" fontId="21" fillId="0" borderId="19" xfId="5" applyNumberFormat="1" applyFont="1" applyFill="1" applyBorder="1" applyAlignment="1">
      <alignment vertical="center" wrapText="1"/>
    </xf>
    <xf numFmtId="0" fontId="22" fillId="0" borderId="17" xfId="1" applyNumberFormat="1" applyFont="1" applyFill="1" applyBorder="1" applyAlignment="1">
      <alignment vertical="center" wrapText="1"/>
    </xf>
    <xf numFmtId="0" fontId="22" fillId="0" borderId="19" xfId="1" applyNumberFormat="1" applyFont="1" applyFill="1" applyBorder="1" applyAlignment="1">
      <alignment vertical="center" wrapText="1"/>
    </xf>
    <xf numFmtId="0" fontId="22" fillId="0" borderId="25" xfId="1" applyNumberFormat="1" applyFont="1" applyFill="1" applyBorder="1" applyAlignment="1">
      <alignment vertical="center" wrapText="1"/>
    </xf>
    <xf numFmtId="0" fontId="19" fillId="0" borderId="1" xfId="0" applyFont="1" applyBorder="1" applyAlignment="1">
      <alignment vertical="center"/>
    </xf>
    <xf numFmtId="0" fontId="23" fillId="0" borderId="1" xfId="6" applyBorder="1"/>
    <xf numFmtId="0" fontId="23" fillId="0" borderId="0" xfId="6"/>
    <xf numFmtId="0" fontId="7" fillId="0" borderId="0" xfId="1" applyFont="1" applyFill="1" applyBorder="1" applyAlignment="1">
      <alignment horizontal="left" vertical="center"/>
    </xf>
    <xf numFmtId="0" fontId="8" fillId="0" borderId="0" xfId="1" applyFont="1" applyFill="1" applyBorder="1" applyAlignment="1">
      <alignment horizontal="left" vertical="center"/>
    </xf>
    <xf numFmtId="14" fontId="10" fillId="0" borderId="34" xfId="1" applyNumberFormat="1" applyFont="1" applyBorder="1" applyAlignment="1">
      <alignment horizontal="center" vertical="center" textRotation="90" wrapText="1"/>
    </xf>
    <xf numFmtId="14" fontId="10" fillId="0" borderId="35" xfId="1" applyNumberFormat="1" applyFont="1" applyBorder="1" applyAlignment="1">
      <alignment horizontal="center" vertical="center" textRotation="90" wrapText="1"/>
    </xf>
    <xf numFmtId="14" fontId="10" fillId="0" borderId="36" xfId="1" applyNumberFormat="1" applyFont="1" applyBorder="1" applyAlignment="1">
      <alignment horizontal="center" vertical="center" textRotation="90" wrapText="1"/>
    </xf>
    <xf numFmtId="164" fontId="11" fillId="0" borderId="26" xfId="1" applyNumberFormat="1" applyFont="1" applyFill="1" applyBorder="1" applyAlignment="1">
      <alignment horizontal="center" vertical="center" textRotation="90" wrapText="1"/>
    </xf>
    <xf numFmtId="164" fontId="11" fillId="0" borderId="3" xfId="1" applyNumberFormat="1" applyFont="1" applyFill="1" applyBorder="1" applyAlignment="1">
      <alignment horizontal="center" vertical="center" textRotation="90" wrapText="1"/>
    </xf>
    <xf numFmtId="164" fontId="11" fillId="0" borderId="27" xfId="1" applyNumberFormat="1" applyFont="1" applyFill="1" applyBorder="1" applyAlignment="1">
      <alignment horizontal="center" vertical="center" textRotation="90" wrapText="1"/>
    </xf>
    <xf numFmtId="14" fontId="10" fillId="0" borderId="12" xfId="1" applyNumberFormat="1" applyFont="1" applyBorder="1" applyAlignment="1">
      <alignment horizontal="center" vertical="center" textRotation="90" wrapText="1"/>
    </xf>
    <xf numFmtId="0" fontId="10" fillId="0" borderId="18" xfId="1" applyFont="1" applyBorder="1" applyAlignment="1">
      <alignment horizontal="center" vertical="center" textRotation="90" wrapText="1"/>
    </xf>
    <xf numFmtId="0" fontId="10" fillId="0" borderId="20" xfId="1" applyFont="1" applyBorder="1" applyAlignment="1">
      <alignment horizontal="center" vertical="center" textRotation="90" wrapText="1"/>
    </xf>
    <xf numFmtId="0" fontId="11" fillId="0" borderId="26" xfId="1" applyFont="1" applyFill="1" applyBorder="1" applyAlignment="1">
      <alignment horizontal="center" vertical="center" textRotation="90" wrapText="1"/>
    </xf>
    <xf numFmtId="0" fontId="11" fillId="0" borderId="3" xfId="1" applyFont="1" applyFill="1" applyBorder="1" applyAlignment="1">
      <alignment horizontal="center" vertical="center" textRotation="90" wrapText="1"/>
    </xf>
    <xf numFmtId="0" fontId="11" fillId="0" borderId="27" xfId="1" applyFont="1" applyFill="1" applyBorder="1" applyAlignment="1">
      <alignment horizontal="center" vertical="center" textRotation="90" wrapText="1"/>
    </xf>
    <xf numFmtId="0" fontId="1" fillId="0" borderId="37" xfId="1" applyFont="1" applyFill="1" applyBorder="1" applyAlignment="1">
      <alignment horizontal="center" vertical="center" wrapText="1"/>
    </xf>
    <xf numFmtId="0" fontId="1" fillId="0" borderId="38" xfId="1" applyFont="1" applyFill="1" applyBorder="1" applyAlignment="1">
      <alignment horizontal="center" vertical="center" wrapText="1"/>
    </xf>
    <xf numFmtId="0" fontId="8" fillId="0" borderId="29" xfId="1" applyFont="1" applyFill="1" applyBorder="1" applyAlignment="1">
      <alignment horizontal="left" vertical="center"/>
    </xf>
    <xf numFmtId="0" fontId="7" fillId="0" borderId="6" xfId="1" applyFont="1" applyFill="1" applyBorder="1" applyAlignment="1">
      <alignment horizontal="center" vertical="center" wrapText="1"/>
    </xf>
    <xf numFmtId="0" fontId="7" fillId="0" borderId="7" xfId="1" applyFont="1" applyFill="1" applyBorder="1" applyAlignment="1">
      <alignment horizontal="center" vertical="center" wrapText="1"/>
    </xf>
    <xf numFmtId="0" fontId="7" fillId="0" borderId="0" xfId="1" applyFont="1" applyFill="1" applyBorder="1" applyAlignment="1">
      <alignment horizontal="left" vertical="center"/>
    </xf>
    <xf numFmtId="14" fontId="10" fillId="0" borderId="18" xfId="1" applyNumberFormat="1" applyFont="1" applyBorder="1" applyAlignment="1">
      <alignment horizontal="center" vertical="center" textRotation="90" wrapText="1"/>
    </xf>
    <xf numFmtId="14" fontId="10" fillId="0" borderId="20" xfId="1" applyNumberFormat="1" applyFont="1" applyBorder="1" applyAlignment="1">
      <alignment horizontal="center" vertical="center" textRotation="90" wrapText="1"/>
    </xf>
    <xf numFmtId="164" fontId="11" fillId="0" borderId="13" xfId="1" applyNumberFormat="1" applyFont="1" applyFill="1" applyBorder="1" applyAlignment="1">
      <alignment horizontal="center" vertical="center" textRotation="90" wrapText="1"/>
    </xf>
    <xf numFmtId="164" fontId="11" fillId="0" borderId="5" xfId="1" applyNumberFormat="1" applyFont="1" applyFill="1" applyBorder="1" applyAlignment="1">
      <alignment horizontal="center" vertical="center" textRotation="90" wrapText="1"/>
    </xf>
    <xf numFmtId="164" fontId="11" fillId="0" borderId="21" xfId="1" applyNumberFormat="1" applyFont="1" applyFill="1" applyBorder="1" applyAlignment="1">
      <alignment horizontal="center" vertical="center" textRotation="90" wrapText="1"/>
    </xf>
    <xf numFmtId="0" fontId="11" fillId="0" borderId="13" xfId="1" applyFont="1" applyFill="1" applyBorder="1" applyAlignment="1">
      <alignment horizontal="center" vertical="center" textRotation="90" wrapText="1"/>
    </xf>
    <xf numFmtId="0" fontId="11" fillId="0" borderId="5" xfId="1" applyFont="1" applyFill="1" applyBorder="1" applyAlignment="1">
      <alignment horizontal="center" vertical="center" textRotation="90" wrapText="1"/>
    </xf>
    <xf numFmtId="0" fontId="11" fillId="0" borderId="21" xfId="1" applyFont="1" applyFill="1" applyBorder="1" applyAlignment="1">
      <alignment horizontal="center" vertical="center" textRotation="90" wrapText="1"/>
    </xf>
    <xf numFmtId="0" fontId="7" fillId="0" borderId="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8" fillId="0" borderId="0" xfId="1" applyFont="1" applyFill="1" applyBorder="1" applyAlignment="1">
      <alignment horizontal="left" vertical="center"/>
    </xf>
    <xf numFmtId="164" fontId="13" fillId="0" borderId="30" xfId="1" applyNumberFormat="1" applyFont="1" applyFill="1" applyBorder="1" applyAlignment="1">
      <alignment horizontal="center" vertical="center" wrapText="1"/>
    </xf>
    <xf numFmtId="164" fontId="13" fillId="0" borderId="31" xfId="1" applyNumberFormat="1" applyFont="1" applyFill="1" applyBorder="1" applyAlignment="1">
      <alignment horizontal="center" vertical="center" wrapText="1"/>
    </xf>
    <xf numFmtId="164" fontId="13" fillId="0" borderId="32" xfId="1" applyNumberFormat="1" applyFont="1" applyFill="1" applyBorder="1" applyAlignment="1">
      <alignment horizontal="center" vertical="center" wrapText="1"/>
    </xf>
  </cellXfs>
  <cellStyles count="7">
    <cellStyle name="Hyperlink" xfId="6" xr:uid="{00000000-000B-0000-0000-000008000000}"/>
    <cellStyle name="Гиперссылка" xfId="5" builtinId="8"/>
    <cellStyle name="Гиперссылка 2" xfId="3" xr:uid="{00000000-0005-0000-0000-000001000000}"/>
    <cellStyle name="Обычный" xfId="0" builtinId="0"/>
    <cellStyle name="Обычный 2" xfId="1" xr:uid="{00000000-0005-0000-0000-000003000000}"/>
    <cellStyle name="Обычный 3" xfId="4" xr:uid="{00000000-0005-0000-0000-000004000000}"/>
    <cellStyle name="Обычный 4" xfId="2" xr:uid="{00000000-0005-0000-0000-000005000000}"/>
  </cellStyles>
  <dxfs count="14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8BCDA89-78D4-44F3-AC1C-25735E46FB97}"/>
            </a:ext>
            <a:ext uri="{147F2762-F138-4A5C-976F-8EAC2B608ADB}">
              <a16:predDERef xmlns:a16="http://schemas.microsoft.com/office/drawing/2014/main" pred="{89A7E688-A98E-F2CE-E69C-B86FC43E2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209645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6109873-2B0F-4267-9AD7-29FDEEEAD6F4}"/>
            </a:ext>
            <a:ext uri="{147F2762-F138-4A5C-976F-8EAC2B608ADB}">
              <a16:predDERef xmlns:a16="http://schemas.microsoft.com/office/drawing/2014/main" pred="{48BCDA89-78D4-44F3-AC1C-25735E46F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CC01778-C57C-4E75-B71A-BC9B5F982A29}"/>
            </a:ext>
            <a:ext uri="{147F2762-F138-4A5C-976F-8EAC2B608ADB}">
              <a16:predDERef xmlns:a16="http://schemas.microsoft.com/office/drawing/2014/main" pred="{86109873-2B0F-4267-9AD7-29FDEEEAD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419671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181</xdr:row>
      <xdr:rowOff>104775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24D1161-4F65-4D58-B586-BBEDBF6D195F}"/>
            </a:ext>
            <a:ext uri="{147F2762-F138-4A5C-976F-8EAC2B608ADB}">
              <a16:predDERef xmlns:a16="http://schemas.microsoft.com/office/drawing/2014/main" pred="{7CC01778-C57C-4E75-B71A-BC9B5F982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181</xdr:row>
      <xdr:rowOff>104775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4AC838F-4556-4AF6-8782-E9BD2BD00A7B}"/>
            </a:ext>
            <a:ext uri="{147F2762-F138-4A5C-976F-8EAC2B608ADB}">
              <a16:predDERef xmlns:a16="http://schemas.microsoft.com/office/drawing/2014/main" pred="{224D1161-4F65-4D58-B586-BBEDBF6D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630840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885825</xdr:colOff>
      <xdr:row>181</xdr:row>
      <xdr:rowOff>104775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3EA2280-F622-48AA-90C2-E7026D113255}"/>
            </a:ext>
            <a:ext uri="{147F2762-F138-4A5C-976F-8EAC2B608ADB}">
              <a16:predDERef xmlns:a16="http://schemas.microsoft.com/office/drawing/2014/main" pred="{C4AC838F-4556-4AF6-8782-E9BD2BD0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179</xdr:row>
      <xdr:rowOff>0</xdr:rowOff>
    </xdr:from>
    <xdr:to>
      <xdr:col>13</xdr:col>
      <xdr:colOff>885825</xdr:colOff>
      <xdr:row>181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F1B6B10-5AB2-4967-B320-86211A5F365F}"/>
            </a:ext>
            <a:ext uri="{147F2762-F138-4A5C-976F-8EAC2B608ADB}">
              <a16:predDERef xmlns:a16="http://schemas.microsoft.com/office/drawing/2014/main" pred="{03EA2280-F622-48AA-90C2-E7026D11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840867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885825</xdr:colOff>
      <xdr:row>181</xdr:row>
      <xdr:rowOff>104775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60FB4468-9BB9-4855-BBDD-9B766EBE582B}"/>
            </a:ext>
            <a:ext uri="{147F2762-F138-4A5C-976F-8EAC2B608ADB}">
              <a16:predDERef xmlns:a16="http://schemas.microsoft.com/office/drawing/2014/main" pred="{EF1B6B10-5AB2-4967-B320-86211A5F3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179</xdr:row>
      <xdr:rowOff>0</xdr:rowOff>
    </xdr:from>
    <xdr:to>
      <xdr:col>13</xdr:col>
      <xdr:colOff>885825</xdr:colOff>
      <xdr:row>181</xdr:row>
      <xdr:rowOff>104775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9263779E-1EDA-4A3C-852B-F62FE6C25A7D}"/>
            </a:ext>
            <a:ext uri="{147F2762-F138-4A5C-976F-8EAC2B608ADB}">
              <a16:predDERef xmlns:a16="http://schemas.microsoft.com/office/drawing/2014/main" pred="{60FB4468-9BB9-4855-BBDD-9B766EBE5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051464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885825</xdr:colOff>
      <xdr:row>181</xdr:row>
      <xdr:rowOff>104775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3AB53E63-8872-42D5-B2B1-CC0155CFFD89}"/>
            </a:ext>
            <a:ext uri="{147F2762-F138-4A5C-976F-8EAC2B608ADB}">
              <a16:predDERef xmlns:a16="http://schemas.microsoft.com/office/drawing/2014/main" pred="{9263779E-1EDA-4A3C-852B-F62FE6C25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179</xdr:row>
      <xdr:rowOff>0</xdr:rowOff>
    </xdr:from>
    <xdr:to>
      <xdr:col>13</xdr:col>
      <xdr:colOff>885825</xdr:colOff>
      <xdr:row>181</xdr:row>
      <xdr:rowOff>104775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524AAF17-7B74-49E6-9263-A6AD2485D039}"/>
            </a:ext>
            <a:ext uri="{147F2762-F138-4A5C-976F-8EAC2B608ADB}">
              <a16:predDERef xmlns:a16="http://schemas.microsoft.com/office/drawing/2014/main" pred="{3AB53E63-8872-42D5-B2B1-CC0155CFF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261491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885825</xdr:colOff>
      <xdr:row>181</xdr:row>
      <xdr:rowOff>104775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83C563A4-A908-4E1E-9175-D738CA273D41}"/>
            </a:ext>
            <a:ext uri="{147F2762-F138-4A5C-976F-8EAC2B608ADB}">
              <a16:predDERef xmlns:a16="http://schemas.microsoft.com/office/drawing/2014/main" pred="{524AAF17-7B74-49E6-9263-A6AD2485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179</xdr:row>
      <xdr:rowOff>0</xdr:rowOff>
    </xdr:from>
    <xdr:to>
      <xdr:col>13</xdr:col>
      <xdr:colOff>885825</xdr:colOff>
      <xdr:row>181</xdr:row>
      <xdr:rowOff>104775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E111EE79-3EC4-4DA4-8595-E52E3EA718F9}"/>
            </a:ext>
            <a:ext uri="{147F2762-F138-4A5C-976F-8EAC2B608ADB}">
              <a16:predDERef xmlns:a16="http://schemas.microsoft.com/office/drawing/2014/main" pred="{83C563A4-A908-4E1E-9175-D738CA273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471517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885825</xdr:colOff>
      <xdr:row>181</xdr:row>
      <xdr:rowOff>104775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7897FD2D-149E-4B6D-AA00-FA81FC0CE29B}"/>
            </a:ext>
            <a:ext uri="{147F2762-F138-4A5C-976F-8EAC2B608ADB}">
              <a16:predDERef xmlns:a16="http://schemas.microsoft.com/office/drawing/2014/main" pred="{E111EE79-3EC4-4DA4-8595-E52E3EA7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8363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179</xdr:row>
      <xdr:rowOff>0</xdr:rowOff>
    </xdr:from>
    <xdr:to>
      <xdr:col>13</xdr:col>
      <xdr:colOff>885825</xdr:colOff>
      <xdr:row>181</xdr:row>
      <xdr:rowOff>104775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11B2A2D-2D58-4801-81FC-D76219595586}"/>
            </a:ext>
            <a:ext uri="{147F2762-F138-4A5C-976F-8EAC2B608ADB}">
              <a16:predDERef xmlns:a16="http://schemas.microsoft.com/office/drawing/2014/main" pred="{7897FD2D-149E-4B6D-AA00-FA81FC0CE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288250" y="168363900"/>
          <a:ext cx="885825" cy="447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8DC5FAB-148B-4B69-A4D4-3CDFACBC6BEE}"/>
            </a:ext>
            <a:ext uri="{147F2762-F138-4A5C-976F-8EAC2B608ADB}">
              <a16:predDERef xmlns:a16="http://schemas.microsoft.com/office/drawing/2014/main" pred="{F72576B1-7871-4137-B0E9-68629E4D2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696116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D27BB5-F11F-4A5C-8B4C-56533ABDCAFD}"/>
            </a:ext>
            <a:ext uri="{147F2762-F138-4A5C-976F-8EAC2B608ADB}">
              <a16:predDERef xmlns:a16="http://schemas.microsoft.com/office/drawing/2014/main" pred="{08DC5FAB-148B-4B69-A4D4-3CDFACBC6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46EE029-091F-4734-B58E-5B22600AE2F9}"/>
            </a:ext>
            <a:ext uri="{147F2762-F138-4A5C-976F-8EAC2B608ADB}">
              <a16:predDERef xmlns:a16="http://schemas.microsoft.com/office/drawing/2014/main" pred="{38D27BB5-F11F-4A5C-8B4C-56533ABDC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483423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E465BF6D-157F-44C6-8511-ED792A1EB5E6}"/>
            </a:ext>
            <a:ext uri="{147F2762-F138-4A5C-976F-8EAC2B608ADB}">
              <a16:predDERef xmlns:a16="http://schemas.microsoft.com/office/drawing/2014/main" pred="{046EE029-091F-4734-B58E-5B22600A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225ABE29-65DB-4A08-8CF8-33AA1702125A}"/>
            </a:ext>
            <a:ext uri="{147F2762-F138-4A5C-976F-8EAC2B608ADB}">
              <a16:predDERef xmlns:a16="http://schemas.microsoft.com/office/drawing/2014/main" pred="{E465BF6D-157F-44C6-8511-ED792A1EB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2705397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F7E5D198-E043-4299-9737-4BE4033FD438}"/>
            </a:ext>
            <a:ext uri="{147F2762-F138-4A5C-976F-8EAC2B608ADB}">
              <a16:predDERef xmlns:a16="http://schemas.microsoft.com/office/drawing/2014/main" pred="{225ABE29-65DB-4A08-8CF8-33AA17021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9E095DE-D37B-49A3-A4B2-675C263EA065}"/>
            </a:ext>
            <a:ext uri="{147F2762-F138-4A5C-976F-8EAC2B608ADB}">
              <a16:predDERef xmlns:a16="http://schemas.microsoft.com/office/drawing/2014/main" pred="{F7E5D198-E043-4299-9737-4BE4033FD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1058799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180</xdr:row>
      <xdr:rowOff>0</xdr:rowOff>
    </xdr:from>
    <xdr:to>
      <xdr:col>13</xdr:col>
      <xdr:colOff>885825</xdr:colOff>
      <xdr:row>182</xdr:row>
      <xdr:rowOff>104775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4C5DF119-479C-42D5-B059-853DA10D5656}"/>
            </a:ext>
            <a:ext uri="{147F2762-F138-4A5C-976F-8EAC2B608ADB}">
              <a16:predDERef xmlns:a16="http://schemas.microsoft.com/office/drawing/2014/main" pred="{99E095DE-D37B-49A3-A4B2-675C263EA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180</xdr:row>
      <xdr:rowOff>0</xdr:rowOff>
    </xdr:from>
    <xdr:to>
      <xdr:col>5</xdr:col>
      <xdr:colOff>885825</xdr:colOff>
      <xdr:row>182</xdr:row>
      <xdr:rowOff>104775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837229B9-FC5B-47B2-A4CE-2D97CF4E600C}"/>
            </a:ext>
            <a:ext uri="{147F2762-F138-4A5C-976F-8EAC2B608ADB}">
              <a16:predDERef xmlns:a16="http://schemas.microsoft.com/office/drawing/2014/main" pred="{4C5DF119-479C-42D5-B059-853DA10D5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84820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178</xdr:row>
      <xdr:rowOff>0</xdr:rowOff>
    </xdr:from>
    <xdr:to>
      <xdr:col>5</xdr:col>
      <xdr:colOff>885825</xdr:colOff>
      <xdr:row>179</xdr:row>
      <xdr:rowOff>447675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5D491C36-D68F-495A-9F5B-3F8CDA7CCB51}"/>
            </a:ext>
            <a:ext uri="{147F2762-F138-4A5C-976F-8EAC2B608ADB}">
              <a16:predDERef xmlns:a16="http://schemas.microsoft.com/office/drawing/2014/main" pred="{837229B9-FC5B-47B2-A4CE-2D97CF4E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178</xdr:row>
      <xdr:rowOff>0</xdr:rowOff>
    </xdr:from>
    <xdr:to>
      <xdr:col>13</xdr:col>
      <xdr:colOff>885825</xdr:colOff>
      <xdr:row>179</xdr:row>
      <xdr:rowOff>447675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D212543C-4913-4C7E-88AA-F4436AB4324D}"/>
            </a:ext>
            <a:ext uri="{147F2762-F138-4A5C-976F-8EAC2B608ADB}">
              <a16:predDERef xmlns:a16="http://schemas.microsoft.com/office/drawing/2014/main" pred="{5D491C36-D68F-495A-9F5B-3F8CDA7C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6370320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885825</xdr:colOff>
      <xdr:row>119</xdr:row>
      <xdr:rowOff>447675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984316B-2D92-4F89-8AC2-6716B1C8BA49}"/>
            </a:ext>
            <a:ext uri="{147F2762-F138-4A5C-976F-8EAC2B608ADB}">
              <a16:predDERef xmlns:a16="http://schemas.microsoft.com/office/drawing/2014/main" pred="{D212543C-4913-4C7E-88AA-F4436AB43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118</xdr:row>
      <xdr:rowOff>0</xdr:rowOff>
    </xdr:from>
    <xdr:to>
      <xdr:col>13</xdr:col>
      <xdr:colOff>885825</xdr:colOff>
      <xdr:row>119</xdr:row>
      <xdr:rowOff>447675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C28C171-BDBF-48CF-ABA3-B42B97CBDA5B}"/>
            </a:ext>
            <a:ext uri="{147F2762-F138-4A5C-976F-8EAC2B608ADB}">
              <a16:predDERef xmlns:a16="http://schemas.microsoft.com/office/drawing/2014/main" pred="{0984316B-2D92-4F89-8AC2-6716B1C8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42529125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885825</xdr:colOff>
      <xdr:row>59</xdr:row>
      <xdr:rowOff>447675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546237ED-6D3F-4109-9191-F6436105EA0E}"/>
            </a:ext>
            <a:ext uri="{147F2762-F138-4A5C-976F-8EAC2B608ADB}">
              <a16:predDERef xmlns:a16="http://schemas.microsoft.com/office/drawing/2014/main" pred="{2C28C171-BDBF-48CF-ABA3-B42B97CBD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21355050"/>
          <a:ext cx="88582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58</xdr:row>
      <xdr:rowOff>0</xdr:rowOff>
    </xdr:from>
    <xdr:to>
      <xdr:col>13</xdr:col>
      <xdr:colOff>885825</xdr:colOff>
      <xdr:row>59</xdr:row>
      <xdr:rowOff>447675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BE40B536-04DD-4CAD-B410-BC3891694C43}"/>
            </a:ext>
            <a:ext uri="{147F2762-F138-4A5C-976F-8EAC2B608ADB}">
              <a16:predDERef xmlns:a16="http://schemas.microsoft.com/office/drawing/2014/main" pred="{546237ED-6D3F-4109-9191-F6436105E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07325" y="21355050"/>
          <a:ext cx="885825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1_&#1057;&#1077;&#1085;&#1090;&#1103;&#1073;&#1088;&#110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&#1041;&#104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2_&#1054;&#1082;&#1090;&#1103;&#1073;&#1088;&#110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3_&#1053;&#1086;&#1103;&#1073;&#1088;&#110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4_&#1044;&#1077;&#1082;&#1072;&#1073;&#1088;&#110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40;&#1057;&#1055;&#1048;&#1057;&#1040;&#1053;&#1048;&#1045;_2026%20&#8212;%20&#1054;&#1063;&#1053;&#1054;&#1045;/&#1056;&#1040;&#1057;&#1055;&#1048;&#1057;&#1040;&#1053;&#1048;&#1045;_2026%20&#8212;%20&#1054;&#1063;&#1053;&#1054;&#1045;/&#1080;&#1085;&#1089;&#1090;_&#1048;&#1085;&#1092;_&#1058;&#1077;&#1093;&#1085;&#1086;&#1083;&#1086;&#1075;&#1080;&#1081;/&#1048;&#1085;&#1089;&#1090;_&#1048;&#1085;&#1092;_&#1058;&#1077;&#1093;&#1085;&#1086;&#1083;&#1086;&#1075;&#1080;&#1081;_&#1054;&#1095;&#1085;&#1086;&#1077;/5_&#1071;&#1085;&#1074;&#1072;&#1088;&#110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Сентябрь"/>
      <sheetName val="ауд"/>
      <sheetName val="КАБИНЕТЫ"/>
      <sheetName val="РО"/>
      <sheetName val="препод"/>
      <sheetName val="1нед"/>
      <sheetName val="2нед"/>
      <sheetName val="3нед"/>
      <sheetName val="4нед"/>
      <sheetName val="5нед"/>
      <sheetName val="часы"/>
      <sheetName val="Лист2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 t="str">
            <v>Направление подготовки:</v>
          </cell>
          <cell r="D6" t="str">
            <v>00</v>
          </cell>
          <cell r="L6" t="str">
            <v>09.03.04Программная инженерия (Программно-информационные системы)</v>
          </cell>
          <cell r="T6" t="str">
            <v>44.03.05Педагогическое образование (с двумя профилями подготовки) (Математика и Информатика)</v>
          </cell>
        </row>
        <row r="10">
          <cell r="D10">
            <v>0</v>
          </cell>
          <cell r="L10" t="str">
            <v>12-26ПИ</v>
          </cell>
          <cell r="T10" t="str">
            <v>12-26МИ</v>
          </cell>
        </row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>
            <v>0</v>
          </cell>
          <cell r="L12">
            <v>0</v>
          </cell>
          <cell r="O12">
            <v>0</v>
          </cell>
          <cell r="P12" t="str">
            <v/>
          </cell>
          <cell r="S12">
            <v>0</v>
          </cell>
          <cell r="T12">
            <v>0</v>
          </cell>
          <cell r="W12">
            <v>0</v>
          </cell>
          <cell r="X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>
            <v>0</v>
          </cell>
          <cell r="L13">
            <v>0</v>
          </cell>
          <cell r="O13">
            <v>0</v>
          </cell>
          <cell r="P13" t="str">
            <v/>
          </cell>
          <cell r="S13">
            <v>0</v>
          </cell>
          <cell r="T13">
            <v>0</v>
          </cell>
          <cell r="W13">
            <v>0</v>
          </cell>
          <cell r="X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>
            <v>0</v>
          </cell>
          <cell r="T14">
            <v>0</v>
          </cell>
          <cell r="W14">
            <v>0</v>
          </cell>
          <cell r="X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>
            <v>0</v>
          </cell>
          <cell r="T15">
            <v>0</v>
          </cell>
          <cell r="W15">
            <v>0</v>
          </cell>
          <cell r="X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>
            <v>0</v>
          </cell>
          <cell r="L21">
            <v>0</v>
          </cell>
          <cell r="O21">
            <v>0</v>
          </cell>
          <cell r="P21" t="str">
            <v/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>
            <v>0</v>
          </cell>
          <cell r="T22">
            <v>0</v>
          </cell>
          <cell r="W22">
            <v>0</v>
          </cell>
          <cell r="X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>
            <v>0</v>
          </cell>
          <cell r="L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л</v>
          </cell>
          <cell r="T37" t="str">
            <v>Геометрия</v>
          </cell>
          <cell r="W37" t="str">
            <v>Казанцев Ю.А.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>
            <v>0</v>
          </cell>
          <cell r="L40">
            <v>0</v>
          </cell>
          <cell r="O40">
            <v>0</v>
          </cell>
          <cell r="P40" t="str">
            <v/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>
            <v>0</v>
          </cell>
          <cell r="L45">
            <v>0</v>
          </cell>
          <cell r="O45">
            <v>0</v>
          </cell>
          <cell r="P45" t="str">
            <v/>
          </cell>
          <cell r="S45" t="str">
            <v>л</v>
          </cell>
          <cell r="T45" t="str">
            <v>Программное обеспечение систем и сетей</v>
          </cell>
          <cell r="W45" t="str">
            <v>Алешов В.В.</v>
          </cell>
          <cell r="X45" t="str">
            <v>ст. преподаватель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68">
          <cell r="D68" t="str">
            <v>44.03.05..Педагогическое образование (с двумя профилями подготовки) (Физика и Информатика)</v>
          </cell>
          <cell r="L68" t="str">
            <v>09.03.04Программная инженерия (Программно-информационные системы)</v>
          </cell>
          <cell r="T68" t="str">
            <v>09.03.04Программная инженерия (Программно-информационные системы)</v>
          </cell>
        </row>
        <row r="72">
          <cell r="D72" t="str">
            <v>12-26ФИ</v>
          </cell>
          <cell r="L72" t="str">
            <v>12-25ПИ</v>
          </cell>
          <cell r="T72" t="str">
            <v>12-24ПИ</v>
          </cell>
        </row>
        <row r="74">
          <cell r="C74">
            <v>0</v>
          </cell>
          <cell r="D74">
            <v>0</v>
          </cell>
          <cell r="G74">
            <v>0</v>
          </cell>
          <cell r="H74" t="str">
            <v/>
          </cell>
          <cell r="K74">
            <v>0</v>
          </cell>
          <cell r="L74">
            <v>0</v>
          </cell>
          <cell r="O74">
            <v>0</v>
          </cell>
          <cell r="P74" t="str">
            <v/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>
            <v>0</v>
          </cell>
          <cell r="D75">
            <v>0</v>
          </cell>
          <cell r="G75">
            <v>0</v>
          </cell>
          <cell r="H75" t="str">
            <v/>
          </cell>
          <cell r="K75">
            <v>0</v>
          </cell>
          <cell r="L75">
            <v>0</v>
          </cell>
          <cell r="O75">
            <v>0</v>
          </cell>
          <cell r="P75" t="str">
            <v/>
          </cell>
          <cell r="S75">
            <v>0</v>
          </cell>
          <cell r="T75">
            <v>0</v>
          </cell>
          <cell r="W75">
            <v>0</v>
          </cell>
          <cell r="X75" t="str">
            <v/>
          </cell>
        </row>
        <row r="76">
          <cell r="C76">
            <v>0</v>
          </cell>
          <cell r="D76">
            <v>0</v>
          </cell>
          <cell r="G76">
            <v>0</v>
          </cell>
          <cell r="H76" t="str">
            <v/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>
            <v>0</v>
          </cell>
          <cell r="T76">
            <v>0</v>
          </cell>
          <cell r="W76">
            <v>0</v>
          </cell>
          <cell r="X76" t="str">
            <v/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>
            <v>0</v>
          </cell>
          <cell r="T77">
            <v>0</v>
          </cell>
          <cell r="W77">
            <v>0</v>
          </cell>
          <cell r="X77" t="str">
            <v/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>
            <v>0</v>
          </cell>
          <cell r="L82">
            <v>0</v>
          </cell>
          <cell r="O82">
            <v>0</v>
          </cell>
          <cell r="P82" t="str">
            <v/>
          </cell>
          <cell r="S82">
            <v>0</v>
          </cell>
          <cell r="T82">
            <v>0</v>
          </cell>
          <cell r="W82">
            <v>0</v>
          </cell>
          <cell r="X82" t="str">
            <v/>
          </cell>
        </row>
        <row r="83">
          <cell r="C83">
            <v>0</v>
          </cell>
          <cell r="D83">
            <v>0</v>
          </cell>
          <cell r="G83">
            <v>0</v>
          </cell>
          <cell r="H83" t="str">
            <v/>
          </cell>
          <cell r="K83">
            <v>0</v>
          </cell>
          <cell r="L83">
            <v>0</v>
          </cell>
          <cell r="O83">
            <v>0</v>
          </cell>
          <cell r="P83" t="str">
            <v/>
          </cell>
          <cell r="S83">
            <v>0</v>
          </cell>
          <cell r="T83">
            <v>0</v>
          </cell>
          <cell r="W83">
            <v>0</v>
          </cell>
          <cell r="X83" t="str">
            <v/>
          </cell>
        </row>
        <row r="84">
          <cell r="C84">
            <v>0</v>
          </cell>
          <cell r="D84">
            <v>0</v>
          </cell>
          <cell r="G84">
            <v>0</v>
          </cell>
          <cell r="H84" t="str">
            <v/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Основы компьютерных наук</v>
          </cell>
          <cell r="O92" t="str">
            <v>Криницкий Ю.В.</v>
          </cell>
          <cell r="P92" t="str">
            <v>преподаватель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 t="str">
            <v>пр</v>
          </cell>
          <cell r="L98" t="str">
            <v>Дискретная математика</v>
          </cell>
          <cell r="O98" t="str">
            <v>Казанцев Ю.А.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л</v>
          </cell>
          <cell r="D100" t="str">
            <v>Программное обеспечение систем и сетей</v>
          </cell>
          <cell r="G100" t="str">
            <v>Алешов В.В.</v>
          </cell>
          <cell r="H100" t="str">
            <v>ст. преподаватель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л</v>
          </cell>
          <cell r="D107" t="str">
            <v>Математические основы информатики</v>
          </cell>
          <cell r="G107" t="str">
            <v>Казанцев Ю.А.</v>
          </cell>
          <cell r="H107" t="str">
            <v>ст. преподаватель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>
            <v>0</v>
          </cell>
          <cell r="D108">
            <v>0</v>
          </cell>
          <cell r="G108">
            <v>0</v>
          </cell>
          <cell r="H108" t="str">
            <v/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0">
          <cell r="D130" t="str">
            <v>09.03.04Программная инженерия (Программно-информационные системы)</v>
          </cell>
          <cell r="L130" t="str">
            <v>09.04.04 Программная инженерия (Разработка программно-информационных систем)</v>
          </cell>
          <cell r="T130" t="str">
            <v>09.03.04Программная инженерия (Программно-информационные системы)</v>
          </cell>
        </row>
        <row r="134">
          <cell r="D134" t="str">
            <v>12-23ПИ</v>
          </cell>
          <cell r="L134" t="str">
            <v>12-25РПм</v>
          </cell>
          <cell r="T134" t="str">
            <v>12-25ПИоз</v>
          </cell>
        </row>
        <row r="136">
          <cell r="C136">
            <v>0</v>
          </cell>
          <cell r="D136">
            <v>0</v>
          </cell>
          <cell r="G136">
            <v>0</v>
          </cell>
          <cell r="H136" t="str">
            <v/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>
            <v>0</v>
          </cell>
          <cell r="D137">
            <v>0</v>
          </cell>
          <cell r="G137">
            <v>0</v>
          </cell>
          <cell r="H137" t="str">
            <v/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>
            <v>0</v>
          </cell>
          <cell r="D138">
            <v>0</v>
          </cell>
          <cell r="G138">
            <v>0</v>
          </cell>
          <cell r="H138" t="str">
            <v/>
          </cell>
          <cell r="K138">
            <v>0</v>
          </cell>
          <cell r="L138">
            <v>0</v>
          </cell>
          <cell r="O138">
            <v>0</v>
          </cell>
          <cell r="P138" t="str">
            <v/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>
            <v>0</v>
          </cell>
          <cell r="D139">
            <v>0</v>
          </cell>
          <cell r="G139">
            <v>0</v>
          </cell>
          <cell r="H139" t="str">
            <v/>
          </cell>
          <cell r="K139">
            <v>0</v>
          </cell>
          <cell r="L139">
            <v>0</v>
          </cell>
          <cell r="O139">
            <v>0</v>
          </cell>
          <cell r="P139" t="str">
            <v/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>
            <v>0</v>
          </cell>
          <cell r="D146">
            <v>0</v>
          </cell>
          <cell r="G146">
            <v>0</v>
          </cell>
          <cell r="H146" t="str">
            <v/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>
            <v>0</v>
          </cell>
          <cell r="D147">
            <v>0</v>
          </cell>
          <cell r="G147">
            <v>0</v>
          </cell>
          <cell r="H147" t="str">
            <v/>
          </cell>
          <cell r="K147">
            <v>0</v>
          </cell>
          <cell r="L147">
            <v>0</v>
          </cell>
          <cell r="O147">
            <v>0</v>
          </cell>
          <cell r="P147" t="str">
            <v/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>
            <v>0</v>
          </cell>
          <cell r="L148">
            <v>0</v>
          </cell>
          <cell r="O148">
            <v>0</v>
          </cell>
          <cell r="P148" t="str">
            <v/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л</v>
          </cell>
          <cell r="L161" t="str">
            <v>Управление конфигурацией и сопровождение программного обеспечения</v>
          </cell>
          <cell r="O161" t="str">
            <v>Круглый Д.Г.</v>
          </cell>
          <cell r="P161" t="str">
            <v>профессор, д-р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>
            <v>0</v>
          </cell>
          <cell r="L162">
            <v>0</v>
          </cell>
          <cell r="O162">
            <v>0</v>
          </cell>
          <cell r="P162" t="str">
            <v/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>
            <v>0</v>
          </cell>
          <cell r="L163">
            <v>0</v>
          </cell>
          <cell r="O163">
            <v>0</v>
          </cell>
          <cell r="P163" t="str">
            <v/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>
            <v>0</v>
          </cell>
          <cell r="T165">
            <v>0</v>
          </cell>
          <cell r="W165">
            <v>0</v>
          </cell>
          <cell r="X165" t="str">
            <v/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л</v>
          </cell>
          <cell r="D168" t="str">
            <v>Разработка приложений для мобильных устройств</v>
          </cell>
          <cell r="G168" t="str">
            <v>Алешов Е.В.</v>
          </cell>
          <cell r="H168" t="str">
            <v>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л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>
            <v>0</v>
          </cell>
          <cell r="L171">
            <v>0</v>
          </cell>
          <cell r="O171">
            <v>0</v>
          </cell>
          <cell r="P171" t="str">
            <v/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>
            <v>0</v>
          </cell>
          <cell r="L172">
            <v>0</v>
          </cell>
          <cell r="O172">
            <v>0</v>
          </cell>
          <cell r="P172" t="str">
            <v/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2">
          <cell r="D192" t="str">
            <v>44.03.05Педагогическое образование (с двумя профилями подготовки) (Математика и Информатика)</v>
          </cell>
          <cell r="L192" t="str">
            <v>44.03.05.Педагогическое образование (с двумя профилями подготовки) (Математика и Экономика)</v>
          </cell>
          <cell r="T192" t="str">
            <v>09.03.04Программная инженерия (Программно-информационные системы)</v>
          </cell>
        </row>
        <row r="196">
          <cell r="D196" t="str">
            <v>12-25МИоз</v>
          </cell>
          <cell r="L196" t="str">
            <v>12-25МЭоз</v>
          </cell>
          <cell r="T196" t="str">
            <v>12-24ПИоз</v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>
            <v>0</v>
          </cell>
          <cell r="L203">
            <v>0</v>
          </cell>
          <cell r="O203">
            <v>0</v>
          </cell>
          <cell r="P203" t="str">
            <v/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>
            <v>0</v>
          </cell>
          <cell r="L204">
            <v>0</v>
          </cell>
          <cell r="O204">
            <v>0</v>
          </cell>
          <cell r="P204" t="str">
            <v/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>
            <v>0</v>
          </cell>
          <cell r="T211">
            <v>0</v>
          </cell>
          <cell r="W211">
            <v>0</v>
          </cell>
          <cell r="X211" t="str">
            <v/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>
            <v>0</v>
          </cell>
          <cell r="T212">
            <v>0</v>
          </cell>
          <cell r="W212">
            <v>0</v>
          </cell>
          <cell r="X212" t="str">
            <v/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>
            <v>0</v>
          </cell>
          <cell r="D228">
            <v>0</v>
          </cell>
          <cell r="G228">
            <v>0</v>
          </cell>
          <cell r="H228" t="str">
            <v/>
          </cell>
          <cell r="K228" t="str">
            <v>л</v>
          </cell>
          <cell r="L228" t="str">
            <v>Математический анализ</v>
          </cell>
          <cell r="O228" t="str">
            <v>Линник Е.П.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54">
          <cell r="D254" t="str">
            <v>44.03.05Педагогическое образование (с двумя профилями подготовки) (Математика и Информатика)</v>
          </cell>
          <cell r="L254" t="str">
            <v>44.03.05.Педагогическое образование (с двумя профилями подготовки) (Математика и Экономика)</v>
          </cell>
          <cell r="T254" t="str">
            <v>09.03.04Программная инженерия (Программно-информационные системы)</v>
          </cell>
        </row>
        <row r="258">
          <cell r="D258" t="str">
            <v>12-24МИоз</v>
          </cell>
          <cell r="L258" t="str">
            <v>12-24МЭоз</v>
          </cell>
          <cell r="T258" t="str">
            <v>12-26ПИ1з</v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>
            <v>0</v>
          </cell>
          <cell r="D265">
            <v>0</v>
          </cell>
          <cell r="G265">
            <v>0</v>
          </cell>
          <cell r="H265" t="str">
            <v/>
          </cell>
          <cell r="K265">
            <v>0</v>
          </cell>
          <cell r="L265">
            <v>0</v>
          </cell>
          <cell r="O265">
            <v>0</v>
          </cell>
          <cell r="P265" t="str">
            <v/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>
            <v>0</v>
          </cell>
          <cell r="L273">
            <v>0</v>
          </cell>
          <cell r="O273">
            <v>0</v>
          </cell>
          <cell r="P273" t="str">
            <v/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>
            <v>0</v>
          </cell>
          <cell r="L274">
            <v>0</v>
          </cell>
          <cell r="O274">
            <v>0</v>
          </cell>
          <cell r="P274" t="str">
            <v/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л</v>
          </cell>
          <cell r="T13" t="str">
            <v>Математический анализ</v>
          </cell>
          <cell r="W13" t="str">
            <v>Линник Е.П.</v>
          </cell>
          <cell r="X13" t="str">
            <v>доцент, канд. наук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>
            <v>0</v>
          </cell>
          <cell r="L14">
            <v>0</v>
          </cell>
          <cell r="O14">
            <v>0</v>
          </cell>
          <cell r="P14" t="str">
            <v/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Геометрия</v>
          </cell>
          <cell r="W30" t="str">
            <v>Казанцев Ю.А.</v>
          </cell>
          <cell r="X30" t="str">
            <v>ст. преподаватель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л</v>
          </cell>
          <cell r="T31" t="str">
            <v>Алгебра</v>
          </cell>
          <cell r="W31" t="str">
            <v>Овчинникова М.В.</v>
          </cell>
          <cell r="X31" t="str">
            <v>доцент, канд. наук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пр</v>
          </cell>
          <cell r="T36" t="str">
            <v xml:space="preserve"> Основы российской государственности</v>
          </cell>
          <cell r="W36" t="str">
            <v>Лысенко Е.Г.</v>
          </cell>
          <cell r="X36" t="str">
            <v>доцент, канд. наук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л</v>
          </cell>
          <cell r="D75" t="str">
            <v>Элементарная  физика</v>
          </cell>
          <cell r="G75" t="str">
            <v>Коробова И.В.</v>
          </cell>
          <cell r="H75" t="str">
            <v>профессор, д-р наук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 t="str">
            <v>л</v>
          </cell>
          <cell r="L84" t="str">
            <v>Финансово-экономический практикум</v>
          </cell>
          <cell r="O84" t="str">
            <v>Марусик Е.А.</v>
          </cell>
          <cell r="P84" t="str">
            <v>доцент, канд. наук</v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>Математические основы информатики</v>
          </cell>
          <cell r="G91" t="str">
            <v>Казанцев Ю.А.</v>
          </cell>
          <cell r="H91" t="str">
            <v>ст. 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пр</v>
          </cell>
          <cell r="D98" t="str">
            <v xml:space="preserve"> Основы российской государственности</v>
          </cell>
          <cell r="G98" t="str">
            <v>Лысенко Е.Г.</v>
          </cell>
          <cell r="H98" t="str">
            <v>доцент, канд. наук</v>
          </cell>
          <cell r="K98" t="str">
            <v>пр</v>
          </cell>
          <cell r="L98" t="str">
            <v>Основы компьютерных наук</v>
          </cell>
          <cell r="O98" t="str">
            <v>Криницкий Ю.В.</v>
          </cell>
          <cell r="P98" t="str">
            <v>преподаватель</v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>
            <v>0</v>
          </cell>
          <cell r="D145">
            <v>0</v>
          </cell>
          <cell r="G145">
            <v>0</v>
          </cell>
          <cell r="H145" t="str">
            <v/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Проектирование человеко-машинного интерфейса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Продвинутые технологии искусственного интеллекта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Технологии искусственного интеллекта</v>
          </cell>
          <cell r="G170" t="str">
            <v>Гришин И.Ю.</v>
          </cell>
          <cell r="H170" t="str">
            <v>профессор, д-р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Алгебра</v>
          </cell>
          <cell r="G203" t="str">
            <v>Овчинникова М.В.</v>
          </cell>
          <cell r="H203" t="str">
            <v>доцент, канд. наук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л</v>
          </cell>
          <cell r="D204" t="str">
            <v>Математический анализ</v>
          </cell>
          <cell r="G204" t="str">
            <v>Линник Е.П.</v>
          </cell>
          <cell r="H204" t="str">
            <v>доцент, канд. наук</v>
          </cell>
          <cell r="K204" t="str">
            <v>л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Разработка программного обеспечения, дизайн алгоритмов и аналитика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л</v>
          </cell>
          <cell r="T219" t="str">
            <v>Компьютерная безопасность</v>
          </cell>
          <cell r="W219" t="str">
            <v>Алешов Е.В.</v>
          </cell>
          <cell r="X219" t="str">
            <v>преподаватель</v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л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Программирование</v>
          </cell>
          <cell r="G227" t="str">
            <v>Криницкий Ю.В.</v>
          </cell>
          <cell r="H227" t="str">
            <v>преподаватель</v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Математическая логика и теория алгоритмов</v>
          </cell>
          <cell r="G273" t="str">
            <v>Казанцев Ю.А.</v>
          </cell>
          <cell r="H273" t="str">
            <v>ст. преподаватель</v>
          </cell>
          <cell r="K273" t="str">
            <v>л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>
            <v>0</v>
          </cell>
          <cell r="D274">
            <v>0</v>
          </cell>
          <cell r="G274">
            <v>0</v>
          </cell>
          <cell r="H274" t="str">
            <v/>
          </cell>
          <cell r="K274" t="str">
            <v>л</v>
          </cell>
          <cell r="L274" t="str">
            <v>Математическая логика и теория алгоритмов</v>
          </cell>
          <cell r="O274" t="str">
            <v>Казанцев Ю.А.</v>
          </cell>
          <cell r="P274" t="str">
            <v>ст. преподаватель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Архитектура компьютера</v>
          </cell>
          <cell r="G282" t="str">
            <v>Криницкий Ю.В.</v>
          </cell>
          <cell r="H282" t="str">
            <v>преподаватель</v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л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л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л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пр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пр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пр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пр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л</v>
          </cell>
          <cell r="L76" t="str">
            <v>ИКТ и медиаинформационная грамотность</v>
          </cell>
          <cell r="O76" t="str">
            <v>Линник И.И.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л</v>
          </cell>
          <cell r="L90" t="str">
            <v>Финансово-экономический практикум</v>
          </cell>
          <cell r="O90" t="str">
            <v>Марусик Е.А.</v>
          </cell>
          <cell r="P90" t="str">
            <v>доцент, канд. наук</v>
          </cell>
          <cell r="S90" t="str">
            <v>л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л</v>
          </cell>
          <cell r="L91" t="str">
            <v>Нормативно-правовые основы профессиональной деятельности</v>
          </cell>
          <cell r="O91" t="str">
            <v>Милкина Е.В.</v>
          </cell>
          <cell r="P91" t="str">
            <v>доцент, канд. наук</v>
          </cell>
          <cell r="S91" t="str">
            <v>л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 t="str">
            <v>л</v>
          </cell>
          <cell r="L92" t="str">
            <v>Нормативно-правовые основы профессиональной деятельности</v>
          </cell>
          <cell r="O92" t="str">
            <v>Милкина Е.В.</v>
          </cell>
          <cell r="P92" t="str">
            <v>доцент, канд. наук</v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л</v>
          </cell>
          <cell r="T100" t="str">
            <v>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 t="str">
            <v>л</v>
          </cell>
          <cell r="T101" t="str">
            <v>Основы военной подготовки</v>
          </cell>
          <cell r="W101" t="str">
            <v>Кулак А.Ф.</v>
          </cell>
          <cell r="X101" t="str">
            <v>преподаватель</v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>
            <v>0</v>
          </cell>
          <cell r="T141">
            <v>0</v>
          </cell>
          <cell r="W141">
            <v>0</v>
          </cell>
          <cell r="X141" t="str">
            <v/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>
            <v>0</v>
          </cell>
          <cell r="T142">
            <v>0</v>
          </cell>
          <cell r="W142">
            <v>0</v>
          </cell>
          <cell r="X142" t="str">
            <v/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л</v>
          </cell>
          <cell r="T157" t="str">
            <v>Финансово-экономический практикум</v>
          </cell>
          <cell r="W157" t="str">
            <v>Марусик Е.А.</v>
          </cell>
          <cell r="X157" t="str">
            <v>доцент, канд. наук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 t="str">
            <v>л</v>
          </cell>
          <cell r="T158" t="str">
            <v>Нормативно-правовые основы профессиональной деятельности</v>
          </cell>
          <cell r="W158" t="str">
            <v>Лаврищева О.А.</v>
          </cell>
          <cell r="X158" t="str">
            <v>доцент, канд. наук</v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л</v>
          </cell>
          <cell r="T166" t="str">
            <v>ИКТ и медиаинформационная грамотность</v>
          </cell>
          <cell r="W166" t="str">
            <v>Линник И.И.</v>
          </cell>
          <cell r="X166" t="str">
            <v>доцент, канд. наук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Педагогика</v>
          </cell>
          <cell r="G203" t="str">
            <v>Вишневский В.А.</v>
          </cell>
          <cell r="H203" t="str">
            <v>доцент, канд. наук</v>
          </cell>
          <cell r="K203" t="str">
            <v>л</v>
          </cell>
          <cell r="L203" t="str">
            <v>Педагогика</v>
          </cell>
          <cell r="O203" t="str">
            <v>Вишневский В.А.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>Программирование</v>
          </cell>
          <cell r="G204" t="str">
            <v>Криницкий Ю.В.</v>
          </cell>
          <cell r="H204" t="str">
            <v>преподаватель</v>
          </cell>
          <cell r="K204" t="str">
            <v>пр</v>
          </cell>
          <cell r="L204" t="str">
            <v>Алгебра</v>
          </cell>
          <cell r="O204" t="str">
            <v>Овчинникова М.В.</v>
          </cell>
          <cell r="P204" t="str">
            <v>доцент, канд. наук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Финансово-экономический практикум</v>
          </cell>
          <cell r="G219" t="str">
            <v>Марусик Е.А.</v>
          </cell>
          <cell r="H219" t="str">
            <v>доцент, канд. наук</v>
          </cell>
          <cell r="K219" t="str">
            <v>л</v>
          </cell>
          <cell r="L219" t="str">
            <v>Финансово-экономический практикум</v>
          </cell>
          <cell r="O219" t="str">
            <v>Марусик Е.А.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Нормативно-правовые основы профессиональной деятельности</v>
          </cell>
          <cell r="G220" t="str">
            <v>Лаврищева О.А.</v>
          </cell>
          <cell r="H220" t="str">
            <v>доцент, канд. наук</v>
          </cell>
          <cell r="K220" t="str">
            <v>л</v>
          </cell>
          <cell r="L220" t="str">
            <v>Нормативно-правовые основы профессиональной деятельности</v>
          </cell>
          <cell r="O220" t="str">
            <v>Лаврищева О.А.</v>
          </cell>
          <cell r="P220" t="str">
            <v>доцент, канд. наук</v>
          </cell>
          <cell r="S220" t="str">
            <v>л</v>
          </cell>
          <cell r="T220" t="str">
            <v>Основы военной подготовки</v>
          </cell>
          <cell r="W220" t="str">
            <v>Кулак А.Ф.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 t="str">
            <v>л</v>
          </cell>
          <cell r="D227" t="str">
            <v>Психология</v>
          </cell>
          <cell r="G227" t="str">
            <v>Дьяков С.И.</v>
          </cell>
          <cell r="H227" t="str">
            <v>профессор, д-р наук</v>
          </cell>
          <cell r="K227" t="str">
            <v>л</v>
          </cell>
          <cell r="L227" t="str">
            <v>Психология</v>
          </cell>
          <cell r="O227" t="str">
            <v>Дьяков С.И.</v>
          </cell>
          <cell r="P227" t="str">
            <v>профессор, д-р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Основы предпринимательства</v>
          </cell>
          <cell r="O228" t="str">
            <v>Илюшина О.Н.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>Алгебра</v>
          </cell>
          <cell r="G235" t="str">
            <v>Овчинникова М.В.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л</v>
          </cell>
          <cell r="D281" t="str">
            <v>Методы исследовательской/проектной деятельности</v>
          </cell>
          <cell r="G281" t="str">
            <v>Казанцев Ю.А.</v>
          </cell>
          <cell r="H281" t="str">
            <v>ст. преподаватель</v>
          </cell>
          <cell r="K281" t="str">
            <v>л</v>
          </cell>
          <cell r="L281" t="str">
            <v>Методы исследовательской/проектной деятельности</v>
          </cell>
          <cell r="O281" t="str">
            <v>Казанцев Ю.А.</v>
          </cell>
          <cell r="P281" t="str">
            <v>ст. преподаватель</v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л</v>
          </cell>
          <cell r="D282" t="str">
            <v>Основы военной подготовки</v>
          </cell>
          <cell r="G282" t="str">
            <v>Кулак А.Ф.</v>
          </cell>
          <cell r="H282" t="str">
            <v>преподаватель</v>
          </cell>
          <cell r="K282" t="str">
            <v>л</v>
          </cell>
          <cell r="L282" t="str">
            <v>Основы военной подготовки</v>
          </cell>
          <cell r="O282" t="str">
            <v>Кулак А.Ф.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л</v>
          </cell>
          <cell r="L289" t="str">
            <v>Психолого-педагогические основы обучения
математике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л</v>
          </cell>
          <cell r="D290" t="str">
            <v>Психолого-педагогические основы обучения
математике и информатике</v>
          </cell>
          <cell r="G290" t="str">
            <v>Казанцев Ю.А.</v>
          </cell>
          <cell r="H290" t="str">
            <v>ст. преподаватель</v>
          </cell>
          <cell r="K290">
            <v>0</v>
          </cell>
          <cell r="L290">
            <v>0</v>
          </cell>
          <cell r="O290">
            <v>0</v>
          </cell>
          <cell r="P290" t="str">
            <v/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 t="str">
            <v>л</v>
          </cell>
          <cell r="L28" t="str">
            <v>Основы российской государственности</v>
          </cell>
          <cell r="O28" t="str">
            <v>Вишневский С.А.</v>
          </cell>
          <cell r="P28" t="str">
            <v>доцент, канд. наук</v>
          </cell>
          <cell r="S28" t="str">
            <v>л</v>
          </cell>
          <cell r="T28" t="str">
            <v>Основы российской государственности</v>
          </cell>
          <cell r="W28" t="str">
            <v>Вишневский С.А.</v>
          </cell>
          <cell r="X28" t="str">
            <v>доцент, канд. наук</v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 t="str">
            <v>пр</v>
          </cell>
          <cell r="T29" t="str">
            <v xml:space="preserve"> Обучение служением</v>
          </cell>
          <cell r="W29" t="str">
            <v>Кобзева Е.В.</v>
          </cell>
          <cell r="X29" t="str">
            <v>преподаватель</v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 t="str">
            <v>л</v>
          </cell>
          <cell r="T38" t="str">
            <v>Алгебра</v>
          </cell>
          <cell r="W38" t="str">
            <v>Овчинникова М.В.</v>
          </cell>
          <cell r="X38" t="str">
            <v>доцент, канд. наук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 t="str">
            <v>л</v>
          </cell>
          <cell r="D82" t="str">
            <v>Элементарная  физика</v>
          </cell>
          <cell r="G82" t="str">
            <v>Коробова И.В.</v>
          </cell>
          <cell r="H82" t="str">
            <v>профессор, д-р наук</v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>
            <v>0</v>
          </cell>
          <cell r="D85">
            <v>0</v>
          </cell>
          <cell r="G85">
            <v>0</v>
          </cell>
          <cell r="H85" t="str">
            <v/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 t="str">
            <v>л</v>
          </cell>
          <cell r="D90" t="str">
            <v>Основы российской государственности</v>
          </cell>
          <cell r="G90" t="str">
            <v>Вишневский С.А.</v>
          </cell>
          <cell r="H90" t="str">
            <v>доцент, канд. наук</v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пр</v>
          </cell>
          <cell r="D91" t="str">
            <v xml:space="preserve"> Обучение служением</v>
          </cell>
          <cell r="G91" t="str">
            <v>Кобзева Е.В.</v>
          </cell>
          <cell r="H91" t="str">
            <v>преподаватель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Элементарная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 t="str">
            <v>л</v>
          </cell>
          <cell r="L137" t="str">
            <v>Управление конфигурацией и сопровождение программного обеспечения</v>
          </cell>
          <cell r="O137" t="str">
            <v>Круглый Д.Г.</v>
          </cell>
          <cell r="P137" t="str">
            <v>профессор, д-р наук</v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Управление конфигурацией и сопровождение программного обеспечения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пр</v>
          </cell>
          <cell r="T149" t="str">
            <v xml:space="preserve"> ИКТ и медиаинформационная грамотность</v>
          </cell>
          <cell r="W149" t="str">
            <v>Олейников Н.Н.</v>
          </cell>
          <cell r="X149" t="str">
            <v>ст. 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пр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 t="str">
            <v>пр</v>
          </cell>
          <cell r="L154" t="str">
            <v xml:space="preserve"> Программирование графических процессоров</v>
          </cell>
          <cell r="O154" t="str">
            <v>Алешов Е.В.</v>
          </cell>
          <cell r="P154" t="str">
            <v>преподаватель</v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Программирование графических процессоров</v>
          </cell>
          <cell r="O155" t="str">
            <v>Алешов Е.В.</v>
          </cell>
          <cell r="P155" t="str">
            <v>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 t="str">
            <v>пр</v>
          </cell>
          <cell r="T157" t="str">
            <v>Основы компьютерных наук</v>
          </cell>
          <cell r="W157" t="str">
            <v>Криницкий Ю.В.</v>
          </cell>
          <cell r="X157" t="str">
            <v>преподаватель</v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Проектирование человеко-машинного интерфейса</v>
          </cell>
          <cell r="G160" t="str">
            <v>Алешов В.В.</v>
          </cell>
          <cell r="H160" t="str">
            <v>ст. 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Продвинутые технологии искусственного интеллекта</v>
          </cell>
          <cell r="G161" t="str">
            <v>Алешов В.В.</v>
          </cell>
          <cell r="H161" t="str">
            <v>ст. преподаватель</v>
          </cell>
          <cell r="K161" t="str">
            <v>пр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Операционные системы семейства Unix / Linux</v>
          </cell>
          <cell r="G162" t="str">
            <v>Криницкий Ю.В.</v>
          </cell>
          <cell r="H162" t="str">
            <v>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>
            <v>0</v>
          </cell>
          <cell r="D163">
            <v>0</v>
          </cell>
          <cell r="G163">
            <v>0</v>
          </cell>
          <cell r="H163" t="str">
            <v/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пр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>
            <v>0</v>
          </cell>
          <cell r="D203">
            <v>0</v>
          </cell>
          <cell r="G203">
            <v>0</v>
          </cell>
          <cell r="H203" t="str">
            <v/>
          </cell>
          <cell r="K203" t="str">
            <v>пр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пр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пр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 t="str">
            <v>пр</v>
          </cell>
          <cell r="T219" t="str">
            <v>Разработка программного обеспечения, дизайн алгоритмов и аналитика</v>
          </cell>
          <cell r="W219" t="str">
            <v>Алешов Е.В.</v>
          </cell>
          <cell r="X219" t="str">
            <v>преподаватель</v>
          </cell>
        </row>
        <row r="220">
          <cell r="C220" t="str">
            <v>пр</v>
          </cell>
          <cell r="D220" t="str">
            <v>Программирование</v>
          </cell>
          <cell r="G220" t="str">
            <v>Криницкий Ю.В.</v>
          </cell>
          <cell r="H220" t="str">
            <v>преподаватель</v>
          </cell>
          <cell r="K220" t="str">
            <v>пр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 t="str">
            <v>пр</v>
          </cell>
          <cell r="T220" t="str">
            <v>Компьютерная безопасность</v>
          </cell>
          <cell r="W220" t="str">
            <v>Алешов Е.В.</v>
          </cell>
          <cell r="X220" t="str">
            <v>преподаватель</v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пр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>
            <v>0</v>
          </cell>
          <cell r="T228">
            <v>0</v>
          </cell>
          <cell r="W228">
            <v>0</v>
          </cell>
          <cell r="X228" t="str">
            <v/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л</v>
          </cell>
          <cell r="D235" t="str">
            <v>Математический анализ</v>
          </cell>
          <cell r="G235" t="str">
            <v>Линник Е.П.</v>
          </cell>
          <cell r="H235" t="str">
            <v>доцент, канд. наук</v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S245">
            <v>0</v>
          </cell>
          <cell r="T245">
            <v>0</v>
          </cell>
          <cell r="W245">
            <v>0</v>
          </cell>
          <cell r="X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Теория вероятностей и математическая статистика</v>
          </cell>
          <cell r="O273" t="str">
            <v>Блыщик Н.О.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 t="str">
            <v>пр</v>
          </cell>
          <cell r="D281" t="str">
            <v>Теория вероятностей и математическая
статистика</v>
          </cell>
          <cell r="G281" t="str">
            <v>Блыщик Н.О.</v>
          </cell>
          <cell r="H281" t="str">
            <v>ст. преподаватель</v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Теория чисел</v>
          </cell>
          <cell r="G289" t="str">
            <v>Овчинникова М.В.</v>
          </cell>
          <cell r="H289" t="str">
            <v>доцент, канд. наук</v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>
            <v>0</v>
          </cell>
          <cell r="D290">
            <v>0</v>
          </cell>
          <cell r="G290">
            <v>0</v>
          </cell>
          <cell r="H290" t="str">
            <v/>
          </cell>
          <cell r="K290" t="str">
            <v>пр</v>
          </cell>
          <cell r="L290" t="str">
            <v>Теория чисел</v>
          </cell>
          <cell r="O290" t="str">
            <v>Овчинникова М.В.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Уч.План"/>
      <sheetName val="нагрузка"/>
      <sheetName val="Р_С"/>
    </sheetNames>
    <sheetDataSet>
      <sheetData sheetId="0"/>
      <sheetData sheetId="1"/>
      <sheetData sheetId="2"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61">
          <cell r="B61" t="str">
            <v>Иностранный язык</v>
          </cell>
        </row>
        <row r="62">
          <cell r="B62" t="str">
            <v>Физическая культура и спорт</v>
          </cell>
        </row>
        <row r="63">
          <cell r="B63" t="str">
            <v>История России</v>
          </cell>
        </row>
        <row r="64">
          <cell r="B64" t="str">
            <v>Основы российской государственности</v>
          </cell>
        </row>
        <row r="65">
          <cell r="B65" t="str">
            <v>Технологии цифрового образования</v>
          </cell>
        </row>
        <row r="66">
          <cell r="B66" t="str">
            <v>Английский язык для специальных целей</v>
          </cell>
        </row>
        <row r="67">
          <cell r="B67" t="str">
            <v>Алгебра и Геометрия</v>
          </cell>
        </row>
        <row r="68">
          <cell r="B68" t="str">
            <v>Математический анализ</v>
          </cell>
        </row>
        <row r="69">
          <cell r="B69" t="str">
            <v>Основы и методология программирования</v>
          </cell>
        </row>
        <row r="70">
          <cell r="B70" t="str">
            <v>Обучение служением</v>
          </cell>
        </row>
        <row r="71">
          <cell r="B71" t="str">
            <v xml:space="preserve"> Математический анализ</v>
          </cell>
        </row>
        <row r="72">
          <cell r="B72" t="str">
            <v xml:space="preserve"> История России</v>
          </cell>
        </row>
        <row r="73">
          <cell r="B73" t="str">
            <v xml:space="preserve"> Обучение служением</v>
          </cell>
        </row>
        <row r="74">
          <cell r="B74" t="str">
            <v xml:space="preserve"> Основы российской государственности</v>
          </cell>
        </row>
        <row r="75">
          <cell r="B75" t="str">
            <v xml:space="preserve"> Технологии цифрового образования</v>
          </cell>
        </row>
        <row r="76">
          <cell r="B76"/>
        </row>
        <row r="77">
          <cell r="B77"/>
        </row>
        <row r="78">
          <cell r="B78"/>
        </row>
        <row r="79">
          <cell r="B79"/>
        </row>
        <row r="110">
          <cell r="B110" t="str">
            <v>История России</v>
          </cell>
        </row>
        <row r="111">
          <cell r="B111" t="str">
            <v>Основы российской государственности</v>
          </cell>
        </row>
        <row r="112">
          <cell r="B112" t="str">
            <v>Иностранный язык</v>
          </cell>
        </row>
        <row r="113">
          <cell r="B113" t="str">
            <v>Технологии цифрового образования</v>
          </cell>
        </row>
        <row r="114">
          <cell r="B114" t="str">
            <v>Возрастная анатомия, физиология и культура здоровья</v>
          </cell>
        </row>
        <row r="115">
          <cell r="B115" t="str">
            <v>Физическая культура и спорт</v>
          </cell>
        </row>
        <row r="116">
          <cell r="B116" t="str">
            <v>Программное обеспечение систем и сетей</v>
          </cell>
        </row>
        <row r="117">
          <cell r="B117" t="str">
            <v>Математический анализ</v>
          </cell>
        </row>
        <row r="118">
          <cell r="B118" t="str">
            <v>Геометрия</v>
          </cell>
        </row>
        <row r="119">
          <cell r="B119" t="str">
            <v>Алгебра</v>
          </cell>
        </row>
        <row r="120">
          <cell r="B120" t="str">
            <v>Обучение служением</v>
          </cell>
        </row>
        <row r="121">
          <cell r="B121" t="str">
            <v xml:space="preserve"> Математический анализ</v>
          </cell>
        </row>
        <row r="122">
          <cell r="B122" t="str">
            <v xml:space="preserve"> Обучение служением</v>
          </cell>
        </row>
        <row r="123">
          <cell r="B123" t="str">
            <v xml:space="preserve"> Основы российской государственности</v>
          </cell>
        </row>
        <row r="124">
          <cell r="B124" t="str">
            <v xml:space="preserve"> Технологии цифрового образования</v>
          </cell>
        </row>
        <row r="125">
          <cell r="B125" t="str">
            <v xml:space="preserve"> История России</v>
          </cell>
        </row>
        <row r="126">
          <cell r="B126" t="str">
            <v xml:space="preserve"> Возрастная анатомия, физиология и культура здоровья</v>
          </cell>
        </row>
        <row r="127">
          <cell r="B127"/>
        </row>
        <row r="128">
          <cell r="B128"/>
        </row>
        <row r="159">
          <cell r="B159" t="str">
            <v>История России</v>
          </cell>
        </row>
        <row r="160">
          <cell r="B160" t="str">
            <v>Основы российской государственности</v>
          </cell>
        </row>
        <row r="161">
          <cell r="B161" t="str">
            <v>Иностранный язык</v>
          </cell>
        </row>
        <row r="162">
          <cell r="B162" t="str">
            <v>Технологии цифрового образования</v>
          </cell>
        </row>
        <row r="163">
          <cell r="B163" t="str">
            <v>Возрастная анатомия, физиология и культура здоровья</v>
          </cell>
        </row>
        <row r="164">
          <cell r="B164" t="str">
            <v>Физическая культура и спорт</v>
          </cell>
        </row>
        <row r="165">
          <cell r="B165" t="str">
            <v>Высшая математика</v>
          </cell>
        </row>
        <row r="166">
          <cell r="B166" t="str">
            <v>Математические основы информатики</v>
          </cell>
        </row>
        <row r="167">
          <cell r="B167" t="str">
            <v>Программное обеспечение систем и сетей</v>
          </cell>
        </row>
        <row r="168">
          <cell r="B168" t="str">
            <v>Дискретные модели в информатике</v>
          </cell>
        </row>
        <row r="169">
          <cell r="B169" t="str">
            <v>Элементарная  физика</v>
          </cell>
        </row>
        <row r="170">
          <cell r="B170" t="str">
            <v>Элементарная математика</v>
          </cell>
        </row>
        <row r="171">
          <cell r="B171" t="str">
            <v>Обучение служением</v>
          </cell>
        </row>
        <row r="172">
          <cell r="B172" t="str">
            <v xml:space="preserve"> Обучение служением</v>
          </cell>
        </row>
        <row r="173">
          <cell r="B173" t="str">
            <v xml:space="preserve"> Основы российской государственности</v>
          </cell>
        </row>
        <row r="174">
          <cell r="B174" t="str">
            <v xml:space="preserve"> История России</v>
          </cell>
        </row>
        <row r="175">
          <cell r="B175" t="str">
            <v xml:space="preserve"> Технологии цифрового образования</v>
          </cell>
        </row>
        <row r="176">
          <cell r="B176" t="str">
            <v xml:space="preserve"> Возрастная анатомия, физиология и культура здоровья</v>
          </cell>
        </row>
        <row r="177">
          <cell r="B177"/>
        </row>
        <row r="178">
          <cell r="B178"/>
        </row>
        <row r="179">
          <cell r="B179"/>
        </row>
        <row r="180">
          <cell r="B180"/>
        </row>
        <row r="181">
          <cell r="B181"/>
        </row>
        <row r="182">
          <cell r="B182"/>
        </row>
        <row r="208">
          <cell r="B208" t="str">
            <v>Финансово-экономический практикум</v>
          </cell>
        </row>
        <row r="209">
          <cell r="B209" t="str">
            <v>Нормативно-правовые основы профессиональной деятельности</v>
          </cell>
        </row>
        <row r="210">
          <cell r="B210" t="str">
            <v>ИКТ и медиаинформационная грамотность</v>
          </cell>
        </row>
        <row r="211">
          <cell r="B211" t="str">
            <v>Введение в Javascript и основы веб-разработки</v>
          </cell>
        </row>
        <row r="212">
          <cell r="B212" t="str">
            <v>Архитектура компьютера и Интернет</v>
          </cell>
        </row>
        <row r="213">
          <cell r="B213" t="str">
            <v>Основы компьютерных наук</v>
          </cell>
        </row>
        <row r="214">
          <cell r="B214" t="str">
            <v>Математика для программирования</v>
          </cell>
        </row>
        <row r="215">
          <cell r="B215" t="str">
            <v>Дискретная математика</v>
          </cell>
        </row>
        <row r="216">
          <cell r="B216" t="str">
            <v>Физическая культура и спорт</v>
          </cell>
        </row>
        <row r="217">
          <cell r="B217" t="str">
            <v xml:space="preserve"> ИКТ и медиаинформационная грамотность</v>
          </cell>
        </row>
        <row r="218">
          <cell r="B218" t="str">
            <v xml:space="preserve"> Финансово-экономический практикум</v>
          </cell>
        </row>
        <row r="219">
          <cell r="B219" t="str">
            <v xml:space="preserve"> Нормативно-правовые основы профессиональной деятельности</v>
          </cell>
        </row>
        <row r="220">
          <cell r="B220"/>
        </row>
        <row r="221">
          <cell r="B221"/>
        </row>
        <row r="222">
          <cell r="B222"/>
        </row>
        <row r="223">
          <cell r="B223"/>
        </row>
        <row r="224">
          <cell r="B224"/>
        </row>
        <row r="225">
          <cell r="B225"/>
        </row>
        <row r="226">
          <cell r="B226"/>
        </row>
        <row r="227">
          <cell r="B227"/>
        </row>
        <row r="228">
          <cell r="B228"/>
        </row>
        <row r="229">
          <cell r="B229"/>
        </row>
        <row r="230">
          <cell r="B230"/>
        </row>
        <row r="231">
          <cell r="B231"/>
        </row>
        <row r="257">
          <cell r="B257" t="str">
            <v>Основы военной подготовки</v>
          </cell>
        </row>
        <row r="258">
          <cell r="B258" t="str">
            <v>Разработка программного обеспечения, дизайн алгоритмов и аналитика</v>
          </cell>
        </row>
        <row r="259">
          <cell r="B259" t="str">
            <v>Компьютерная безопасность</v>
          </cell>
        </row>
        <row r="260">
          <cell r="B260" t="str">
            <v>Управление ИТ-проектами и гибкая методология</v>
          </cell>
        </row>
        <row r="261">
          <cell r="B261" t="str">
            <v>Графика и анимация в 3D</v>
          </cell>
        </row>
        <row r="262">
          <cell r="B262" t="str">
            <v>Физическая культура и спорт</v>
          </cell>
        </row>
        <row r="263">
          <cell r="B263" t="str">
            <v>Управление ИТ-проектами и гибкая методология (курсовая работа)</v>
          </cell>
        </row>
        <row r="264">
          <cell r="B264" t="str">
            <v xml:space="preserve"> Основы военной подготовки</v>
          </cell>
        </row>
        <row r="265">
          <cell r="B265"/>
        </row>
        <row r="266">
          <cell r="B266"/>
        </row>
        <row r="267">
          <cell r="B267"/>
        </row>
        <row r="268">
          <cell r="B268"/>
        </row>
        <row r="269">
          <cell r="B269"/>
        </row>
        <row r="270">
          <cell r="B270"/>
        </row>
        <row r="271">
          <cell r="B271"/>
        </row>
        <row r="306">
          <cell r="B306" t="str">
            <v>Взаимодействие с лицами с ОВЗ и с инвалидностью в социальной и профессиональной сферах</v>
          </cell>
        </row>
        <row r="307">
          <cell r="B307" t="str">
            <v>Технологии искусственного интеллекта</v>
          </cell>
        </row>
        <row r="308">
          <cell r="B308" t="str">
            <v>Операционные системы семейства Unix / Linux</v>
          </cell>
        </row>
        <row r="309">
          <cell r="B309" t="str">
            <v>Продвинутые технологии искусственного интеллекта</v>
          </cell>
        </row>
        <row r="310">
          <cell r="B310" t="str">
            <v>Проектирование человеко-машинного интерфейса</v>
          </cell>
        </row>
        <row r="311">
          <cell r="B311" t="str">
            <v>Разработка приложений для мобильных устройств</v>
          </cell>
        </row>
        <row r="312">
          <cell r="B312" t="str">
            <v>Учебная практика (ознакомительная практика)</v>
          </cell>
        </row>
        <row r="313">
          <cell r="B313" t="str">
            <v>Производственная практика (технологическая (проектно-технологическая) практика)</v>
          </cell>
        </row>
        <row r="314">
          <cell r="B314"/>
        </row>
        <row r="315">
          <cell r="B315"/>
        </row>
        <row r="316">
          <cell r="B316"/>
        </row>
        <row r="317">
          <cell r="B317"/>
        </row>
        <row r="318">
          <cell r="B318"/>
        </row>
        <row r="319">
          <cell r="B319"/>
        </row>
        <row r="320">
          <cell r="B320"/>
        </row>
        <row r="321">
          <cell r="B321"/>
        </row>
        <row r="322">
          <cell r="B322"/>
        </row>
        <row r="323">
          <cell r="B323"/>
        </row>
        <row r="324">
          <cell r="B324"/>
        </row>
        <row r="325">
          <cell r="B325"/>
        </row>
        <row r="355">
          <cell r="B355" t="str">
            <v>Экономические аспекты программной инженерии</v>
          </cell>
        </row>
        <row r="356">
          <cell r="B356" t="str">
            <v>Системы обработки больших данных</v>
          </cell>
        </row>
        <row r="357">
          <cell r="B357" t="str">
            <v>Управление конфигурацией и сопровождение программного обеспечения</v>
          </cell>
        </row>
        <row r="358">
          <cell r="B358" t="str">
            <v>Современные операционные системы и базы данных (курсовая работа)</v>
          </cell>
        </row>
        <row r="359">
          <cell r="B359" t="str">
            <v>Процессы и профессиональная практика программной инженерии</v>
          </cell>
        </row>
        <row r="360">
          <cell r="B360" t="str">
            <v>Современные операционные системы и базы данных</v>
          </cell>
        </row>
        <row r="361">
          <cell r="B361" t="str">
            <v>Программирование графических процессоров</v>
          </cell>
        </row>
        <row r="362">
          <cell r="B362" t="str">
            <v>Производственная практика. Научно- исследовательская работа</v>
          </cell>
        </row>
        <row r="363">
          <cell r="B363" t="str">
            <v xml:space="preserve"> Программирование графических процессоров</v>
          </cell>
        </row>
        <row r="364">
          <cell r="B364" t="str">
            <v xml:space="preserve"> Управление конфигурацией и сопровождение программного обеспечения</v>
          </cell>
        </row>
        <row r="365">
          <cell r="B365" t="str">
            <v xml:space="preserve"> Системы обработки больших данных</v>
          </cell>
        </row>
        <row r="366">
          <cell r="B366"/>
        </row>
        <row r="367">
          <cell r="B367"/>
        </row>
        <row r="368">
          <cell r="B368"/>
        </row>
        <row r="369">
          <cell r="B369"/>
        </row>
        <row r="370">
          <cell r="B370"/>
        </row>
        <row r="404">
          <cell r="B404" t="str">
            <v>Финансово-экономический практикум</v>
          </cell>
        </row>
        <row r="405">
          <cell r="B405" t="str">
            <v>Нормативно-правовые основы профессиональной деятельности</v>
          </cell>
        </row>
        <row r="406">
          <cell r="B406" t="str">
            <v>ИКТ и медиаинформационная грамотность</v>
          </cell>
        </row>
        <row r="407">
          <cell r="B407" t="str">
            <v>Введение в Javascript и основы веб-разработки</v>
          </cell>
        </row>
        <row r="408">
          <cell r="B408" t="str">
            <v>Архитектура компьютера и Интернет</v>
          </cell>
        </row>
        <row r="409">
          <cell r="B409" t="str">
            <v>Основы компьютерных наук</v>
          </cell>
        </row>
        <row r="410">
          <cell r="B410" t="str">
            <v>Математика для программирования</v>
          </cell>
        </row>
        <row r="411">
          <cell r="B411" t="str">
            <v>Дискретная математика</v>
          </cell>
        </row>
        <row r="412">
          <cell r="B412" t="str">
            <v xml:space="preserve"> ИКТ и медиаинформационная грамотность</v>
          </cell>
        </row>
        <row r="413">
          <cell r="B413" t="str">
            <v xml:space="preserve"> Финансово-экономический практикум</v>
          </cell>
        </row>
        <row r="414">
          <cell r="B414" t="str">
            <v xml:space="preserve"> Нормативно-правовые основы профессиональной деятельности</v>
          </cell>
        </row>
        <row r="415">
          <cell r="B415"/>
        </row>
        <row r="416">
          <cell r="B416"/>
        </row>
        <row r="417">
          <cell r="B417"/>
        </row>
        <row r="418">
          <cell r="B418"/>
        </row>
        <row r="453">
          <cell r="B453" t="str">
            <v>Финансово-экономический практикум</v>
          </cell>
        </row>
        <row r="454">
          <cell r="B454" t="str">
            <v>Нормативно-правовые основы профессиональной деятельности</v>
          </cell>
        </row>
        <row r="455">
          <cell r="B455" t="str">
            <v>Психология</v>
          </cell>
        </row>
        <row r="456">
          <cell r="B456" t="str">
            <v>Педагогика</v>
          </cell>
        </row>
        <row r="457">
          <cell r="B457" t="str">
            <v>Информационные системы</v>
          </cell>
        </row>
        <row r="458">
          <cell r="B458" t="str">
            <v>Программирование</v>
          </cell>
        </row>
        <row r="459">
          <cell r="B459" t="str">
            <v>Математический анализ</v>
          </cell>
        </row>
        <row r="460">
          <cell r="B460" t="str">
            <v>Геометрия</v>
          </cell>
        </row>
        <row r="461">
          <cell r="B461" t="str">
            <v>Алгебра</v>
          </cell>
        </row>
        <row r="462">
          <cell r="B462" t="str">
            <v>Информационные системы (курсовая работа)</v>
          </cell>
        </row>
        <row r="463">
          <cell r="B463" t="str">
            <v xml:space="preserve"> Математический анализ</v>
          </cell>
        </row>
        <row r="464">
          <cell r="B464" t="str">
            <v xml:space="preserve"> Психология</v>
          </cell>
        </row>
        <row r="465">
          <cell r="B465" t="str">
            <v xml:space="preserve"> Финансово-экономический практикум</v>
          </cell>
        </row>
        <row r="466">
          <cell r="B466" t="str">
            <v xml:space="preserve"> Нормативно-правовые основы профессиональной деятельности</v>
          </cell>
        </row>
        <row r="467">
          <cell r="B467" t="str">
            <v xml:space="preserve"> Педагогика</v>
          </cell>
        </row>
        <row r="468">
          <cell r="B468"/>
        </row>
        <row r="469">
          <cell r="B469"/>
        </row>
        <row r="470">
          <cell r="B470"/>
        </row>
        <row r="471">
          <cell r="B471"/>
        </row>
        <row r="472">
          <cell r="B472"/>
        </row>
        <row r="502">
          <cell r="B502" t="str">
            <v>Финансово-экономический практикум</v>
          </cell>
        </row>
        <row r="503">
          <cell r="B503" t="str">
            <v>Нормативно-правовые основы профессиональной деятельности</v>
          </cell>
        </row>
        <row r="504">
          <cell r="B504" t="str">
            <v>Психология</v>
          </cell>
        </row>
        <row r="505">
          <cell r="B505" t="str">
            <v>Педагогика</v>
          </cell>
        </row>
        <row r="506">
          <cell r="B506" t="str">
            <v>Математический анализ</v>
          </cell>
        </row>
        <row r="507">
          <cell r="B507" t="str">
            <v>Геометрия</v>
          </cell>
        </row>
        <row r="508">
          <cell r="B508" t="str">
            <v>Алгебра</v>
          </cell>
        </row>
        <row r="509">
          <cell r="B509" t="str">
            <v>Программирование</v>
          </cell>
        </row>
        <row r="510">
          <cell r="B510" t="str">
            <v>Микроэкономика</v>
          </cell>
        </row>
        <row r="511">
          <cell r="B511" t="str">
            <v>Основы предпринимательства</v>
          </cell>
        </row>
        <row r="512">
          <cell r="B512" t="str">
            <v>Деньги, кредит, банки</v>
          </cell>
        </row>
        <row r="513">
          <cell r="B513" t="str">
            <v>Экономика фирмы</v>
          </cell>
        </row>
        <row r="514">
          <cell r="B514" t="str">
            <v xml:space="preserve"> Математический анализ</v>
          </cell>
        </row>
        <row r="515">
          <cell r="B515" t="str">
            <v xml:space="preserve"> Психология</v>
          </cell>
        </row>
        <row r="516">
          <cell r="B516" t="str">
            <v xml:space="preserve"> Финансово-экономический практикум</v>
          </cell>
        </row>
        <row r="517">
          <cell r="B517" t="str">
            <v xml:space="preserve"> Нормативно-правовые основы профессиональной деятельности</v>
          </cell>
        </row>
        <row r="518">
          <cell r="B518" t="str">
            <v xml:space="preserve"> Педагогика</v>
          </cell>
        </row>
        <row r="519">
          <cell r="B519"/>
        </row>
        <row r="520">
          <cell r="B520"/>
        </row>
        <row r="521">
          <cell r="B521"/>
        </row>
        <row r="551">
          <cell r="B551" t="str">
            <v>Основы военной подготовки</v>
          </cell>
        </row>
        <row r="552">
          <cell r="B552" t="str">
            <v>Разработка программного обеспечения, дизайн алгоритмов и аналитика</v>
          </cell>
        </row>
        <row r="553">
          <cell r="B553" t="str">
            <v>Компьютерная безопасность</v>
          </cell>
        </row>
        <row r="554">
          <cell r="B554" t="str">
            <v>Управление ИТ-проектами и гибкая методология</v>
          </cell>
        </row>
        <row r="555">
          <cell r="B555" t="str">
            <v xml:space="preserve"> Основы военной подготовки</v>
          </cell>
        </row>
        <row r="556">
          <cell r="B556"/>
        </row>
        <row r="557">
          <cell r="B557"/>
        </row>
        <row r="558">
          <cell r="B558"/>
        </row>
        <row r="559">
          <cell r="B559"/>
        </row>
        <row r="560">
          <cell r="B560"/>
        </row>
        <row r="561">
          <cell r="B561"/>
        </row>
        <row r="562">
          <cell r="B562"/>
        </row>
        <row r="563">
          <cell r="B563"/>
        </row>
        <row r="564">
          <cell r="B564"/>
        </row>
        <row r="565">
          <cell r="B565"/>
        </row>
        <row r="566">
          <cell r="B566"/>
        </row>
        <row r="567">
          <cell r="B567"/>
        </row>
        <row r="568">
          <cell r="B568"/>
        </row>
        <row r="569">
          <cell r="B569"/>
        </row>
        <row r="570">
          <cell r="B570"/>
        </row>
        <row r="600">
          <cell r="B600" t="str">
            <v>Педагогика</v>
          </cell>
        </row>
        <row r="601">
          <cell r="B601" t="str">
            <v>Основы государственной политики в сфере межэтнических и межконфессиональных отношений</v>
          </cell>
        </row>
        <row r="602">
          <cell r="B602" t="str">
            <v>Технология и организация воспитательных практик (классное руководство)</v>
          </cell>
        </row>
        <row r="603">
          <cell r="B603" t="str">
            <v>Методы исследовательской/проектной деятельности</v>
          </cell>
        </row>
        <row r="604">
          <cell r="B604" t="str">
            <v>Математическая логика и теория алгоритмов</v>
          </cell>
        </row>
        <row r="605">
          <cell r="B605" t="str">
            <v>Архитектура компьютера</v>
          </cell>
        </row>
        <row r="606">
          <cell r="B606" t="str">
            <v>Теория вероятностей и математическая
статистика</v>
          </cell>
        </row>
        <row r="607">
          <cell r="B607" t="str">
            <v>Психолого-педагогические основы обучения
математике и информатике</v>
          </cell>
        </row>
        <row r="608">
          <cell r="B608" t="str">
            <v>Теория чисел</v>
          </cell>
        </row>
        <row r="609">
          <cell r="B609" t="str">
            <v>Основы военной подготовки</v>
          </cell>
        </row>
        <row r="610">
          <cell r="B610" t="str">
            <v>Производственная практика. Педагогическая практика</v>
          </cell>
        </row>
        <row r="611">
          <cell r="B611" t="str">
            <v>Производственная практика. Педагогическая практика (Классное руководство)</v>
          </cell>
        </row>
        <row r="612">
          <cell r="B612" t="str">
            <v xml:space="preserve"> Педагогика</v>
          </cell>
        </row>
        <row r="613">
          <cell r="B613" t="str">
            <v xml:space="preserve"> Основы военной подготовки</v>
          </cell>
        </row>
        <row r="614">
          <cell r="B614" t="str">
            <v xml:space="preserve"> Основы государственной политики в сфере межэтнических и межконфессиональных отношений</v>
          </cell>
        </row>
        <row r="615">
          <cell r="B615" t="str">
            <v xml:space="preserve"> Технология и организация воспитательных практик (классное руководство)</v>
          </cell>
        </row>
        <row r="616">
          <cell r="B616" t="str">
            <v xml:space="preserve"> Методы исследовательской/проектной деятельности</v>
          </cell>
        </row>
        <row r="617">
          <cell r="B617"/>
        </row>
        <row r="618">
          <cell r="B618"/>
        </row>
        <row r="619">
          <cell r="B619"/>
        </row>
        <row r="620">
          <cell r="B620"/>
        </row>
        <row r="621">
          <cell r="B621"/>
        </row>
        <row r="649">
          <cell r="B649" t="str">
            <v>Педагогика</v>
          </cell>
        </row>
        <row r="650">
          <cell r="B650" t="str">
            <v>Основы государственной политики в сфере межэтнических и межконфессиональных отношений</v>
          </cell>
        </row>
        <row r="651">
          <cell r="B651" t="str">
            <v>Технология и организация воспитательных практик (классное руководство)</v>
          </cell>
        </row>
        <row r="652">
          <cell r="B652" t="str">
            <v>Методы исследовательской/проектной деятельности</v>
          </cell>
        </row>
        <row r="653">
          <cell r="B653" t="str">
            <v>Теория чисел</v>
          </cell>
        </row>
        <row r="654">
          <cell r="B654" t="str">
            <v>Дискретная математика</v>
          </cell>
        </row>
        <row r="655">
          <cell r="B655" t="str">
            <v>Теория вероятностей и математическая статистика</v>
          </cell>
        </row>
        <row r="656">
          <cell r="B656" t="str">
            <v>Математическая логика и теория алгоритмов</v>
          </cell>
        </row>
        <row r="657">
          <cell r="B657" t="str">
            <v>Психолого-педагогические основы обучения
математике</v>
          </cell>
        </row>
        <row r="658">
          <cell r="B658" t="str">
            <v>Основы военной подготовки</v>
          </cell>
        </row>
        <row r="659">
          <cell r="B659" t="str">
            <v>Производственная практика. Педагогическая практика</v>
          </cell>
        </row>
        <row r="660">
          <cell r="B660" t="str">
            <v>Производственная практика. Педагогическая практика (Классное руководство)</v>
          </cell>
        </row>
        <row r="661">
          <cell r="B661" t="str">
            <v xml:space="preserve"> Педагогика</v>
          </cell>
        </row>
        <row r="662">
          <cell r="B662" t="str">
            <v xml:space="preserve"> Основы военной подготовки</v>
          </cell>
        </row>
        <row r="663">
          <cell r="B663" t="str">
            <v xml:space="preserve"> Основы государственной политики в сфере межэтнических и межконфессиональных отношений</v>
          </cell>
        </row>
        <row r="664">
          <cell r="B664" t="str">
            <v xml:space="preserve"> Технология и организация воспитательных практик (классное руководство)</v>
          </cell>
        </row>
        <row r="665">
          <cell r="B665" t="str">
            <v xml:space="preserve"> Методы исследовательской/проектной деятельности</v>
          </cell>
        </row>
        <row r="666">
          <cell r="B666"/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Октябрь"/>
      <sheetName val="ауд"/>
      <sheetName val="КАБИНЕТЫ"/>
      <sheetName val="РО"/>
      <sheetName val="препод"/>
      <sheetName val="5нед"/>
      <sheetName val="6нед"/>
      <sheetName val="7нед"/>
      <sheetName val="8нед"/>
      <sheetName val="9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 xml:space="preserve"> Обучение служением</v>
          </cell>
          <cell r="O13" t="str">
            <v>Кобзева Е.В.</v>
          </cell>
          <cell r="P13" t="str">
            <v>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 t="str">
            <v>пр</v>
          </cell>
          <cell r="L15" t="str">
            <v>Основы и методология программирования</v>
          </cell>
          <cell r="O15" t="str">
            <v>Криницкий Ю.В.</v>
          </cell>
          <cell r="P15" t="str">
            <v>преподаватель</v>
          </cell>
          <cell r="S15" t="str">
            <v>л</v>
          </cell>
          <cell r="T15" t="str">
            <v>Возрастная анатомия, физиология и культура здоровья</v>
          </cell>
          <cell r="W15" t="str">
            <v>Тотоева О.Н.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>
            <v>0</v>
          </cell>
          <cell r="L20">
            <v>0</v>
          </cell>
          <cell r="O20">
            <v>0</v>
          </cell>
          <cell r="P20" t="str">
            <v/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>
            <v>0</v>
          </cell>
          <cell r="T21">
            <v>0</v>
          </cell>
          <cell r="W21">
            <v>0</v>
          </cell>
          <cell r="X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 t="str">
            <v>л</v>
          </cell>
          <cell r="L22" t="str">
            <v>Технологии цифрового образования</v>
          </cell>
          <cell r="O22" t="str">
            <v>Шевченко Е.Н.</v>
          </cell>
          <cell r="P22" t="str">
            <v>ст. преподаватель</v>
          </cell>
          <cell r="S22" t="str">
            <v>л</v>
          </cell>
          <cell r="T22" t="str">
            <v>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 t="str">
            <v>л</v>
          </cell>
          <cell r="L23" t="str">
            <v>Обучение служением</v>
          </cell>
          <cell r="O23" t="str">
            <v>Вишневский В.А.</v>
          </cell>
          <cell r="P23" t="str">
            <v>доцент, канд. наук</v>
          </cell>
          <cell r="S23" t="str">
            <v>л</v>
          </cell>
          <cell r="T23" t="str">
            <v>Обучение служением</v>
          </cell>
          <cell r="W23" t="str">
            <v>Вишневский В.А.</v>
          </cell>
          <cell r="X23" t="str">
            <v>доцент, канд. наук</v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 t="str">
            <v>пр</v>
          </cell>
          <cell r="T24" t="str">
            <v>Алгебра</v>
          </cell>
          <cell r="W24" t="str">
            <v>Овчинникова М.В.</v>
          </cell>
          <cell r="X24" t="str">
            <v>доцент, канд. наук</v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G28">
            <v>0</v>
          </cell>
          <cell r="H28" t="str">
            <v/>
          </cell>
          <cell r="K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G29">
            <v>0</v>
          </cell>
          <cell r="H29" t="str">
            <v/>
          </cell>
          <cell r="K29">
            <v>0</v>
          </cell>
          <cell r="O29">
            <v>0</v>
          </cell>
          <cell r="P29" t="str">
            <v/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G30">
            <v>0</v>
          </cell>
          <cell r="H30" t="str">
            <v/>
          </cell>
          <cell r="K30">
            <v>0</v>
          </cell>
          <cell r="O30">
            <v>0</v>
          </cell>
          <cell r="P30" t="str">
            <v/>
          </cell>
          <cell r="S30">
            <v>0</v>
          </cell>
          <cell r="T30">
            <v>0</v>
          </cell>
          <cell r="W30">
            <v>0</v>
          </cell>
          <cell r="X30" t="str">
            <v/>
          </cell>
        </row>
        <row r="31">
          <cell r="C31">
            <v>0</v>
          </cell>
          <cell r="G31">
            <v>0</v>
          </cell>
          <cell r="H31" t="str">
            <v/>
          </cell>
          <cell r="K31">
            <v>0</v>
          </cell>
          <cell r="O31">
            <v>0</v>
          </cell>
          <cell r="P31" t="str">
            <v/>
          </cell>
          <cell r="S31">
            <v>0</v>
          </cell>
          <cell r="T31">
            <v>0</v>
          </cell>
          <cell r="W31">
            <v>0</v>
          </cell>
          <cell r="X31" t="str">
            <v/>
          </cell>
        </row>
        <row r="32">
          <cell r="C32">
            <v>0</v>
          </cell>
          <cell r="G32">
            <v>0</v>
          </cell>
          <cell r="H32" t="str">
            <v/>
          </cell>
          <cell r="K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G33">
            <v>0</v>
          </cell>
          <cell r="H33" t="str">
            <v/>
          </cell>
          <cell r="K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G34">
            <v>0</v>
          </cell>
          <cell r="H34" t="str">
            <v/>
          </cell>
          <cell r="K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 t="str">
            <v>л</v>
          </cell>
          <cell r="T36" t="str">
            <v>Программное обеспечение систем и сетей</v>
          </cell>
          <cell r="W36" t="str">
            <v>Алешов В.В.</v>
          </cell>
          <cell r="X36" t="str">
            <v>ст. преподаватель</v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 t="str">
            <v>пр</v>
          </cell>
          <cell r="T37" t="str">
            <v>Программное обеспечение систем и сетей</v>
          </cell>
          <cell r="W37" t="str">
            <v>Алешов В.В.</v>
          </cell>
          <cell r="X37" t="str">
            <v>ст. преподаватель</v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 t="str">
            <v>л</v>
          </cell>
          <cell r="L38" t="str">
            <v>Алгебра и Геометрия</v>
          </cell>
          <cell r="O38" t="str">
            <v>Овчинникова М.В.</v>
          </cell>
          <cell r="P38" t="str">
            <v>доцент, канд. наук</v>
          </cell>
          <cell r="S38" t="str">
            <v>пр</v>
          </cell>
          <cell r="T38" t="str">
            <v>Геометрия</v>
          </cell>
          <cell r="W38" t="str">
            <v>Казанцев Ю.А.</v>
          </cell>
          <cell r="X38" t="str">
            <v>ст. преподаватель</v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л</v>
          </cell>
          <cell r="L39" t="str">
            <v>Математический анализ</v>
          </cell>
          <cell r="O39" t="str">
            <v>Линник Е.П.</v>
          </cell>
          <cell r="P39" t="str">
            <v>доцент, канд. наук</v>
          </cell>
          <cell r="S39">
            <v>0</v>
          </cell>
          <cell r="T39">
            <v>0</v>
          </cell>
          <cell r="W39">
            <v>0</v>
          </cell>
          <cell r="X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>
            <v>0</v>
          </cell>
          <cell r="T40">
            <v>0</v>
          </cell>
          <cell r="W40">
            <v>0</v>
          </cell>
          <cell r="X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>
            <v>0</v>
          </cell>
          <cell r="L44">
            <v>0</v>
          </cell>
          <cell r="O44">
            <v>0</v>
          </cell>
          <cell r="P44" t="str">
            <v/>
          </cell>
          <cell r="S44" t="str">
            <v>пр</v>
          </cell>
          <cell r="T44" t="str">
            <v xml:space="preserve"> Основы российской государственности</v>
          </cell>
          <cell r="W44" t="str">
            <v>Лысенко Е.Г.</v>
          </cell>
          <cell r="X44" t="str">
            <v>доцент, канд. наук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пр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 t="str">
            <v>пр</v>
          </cell>
          <cell r="L47" t="str">
            <v>Основы и методология программирования</v>
          </cell>
          <cell r="O47" t="str">
            <v>Криницкий Ю.В.</v>
          </cell>
          <cell r="P47" t="str">
            <v>преподаватель</v>
          </cell>
          <cell r="S47">
            <v>0</v>
          </cell>
          <cell r="T47">
            <v>0</v>
          </cell>
          <cell r="W47">
            <v>0</v>
          </cell>
          <cell r="X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пр</v>
          </cell>
          <cell r="L74" t="str">
            <v>Дискретная математика</v>
          </cell>
          <cell r="O74" t="str">
            <v>Казанцев Ю.А.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л</v>
          </cell>
          <cell r="L75" t="str">
            <v>ИКТ и медиаинформационная грамотность</v>
          </cell>
          <cell r="O75" t="str">
            <v>Линник И.И.</v>
          </cell>
          <cell r="P75" t="str">
            <v>доцент, канд. наук</v>
          </cell>
          <cell r="S75" t="str">
            <v>пр</v>
          </cell>
          <cell r="T75" t="str">
            <v>Разработка программного обеспечения, дизайн алгоритмов и аналитика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>
            <v>0</v>
          </cell>
          <cell r="L76">
            <v>0</v>
          </cell>
          <cell r="O76">
            <v>0</v>
          </cell>
          <cell r="P76" t="str">
            <v/>
          </cell>
          <cell r="S76" t="str">
            <v>л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 t="str">
            <v>л</v>
          </cell>
          <cell r="D77" t="str">
            <v>Возрастная анатомия, физиология и культура здоровья</v>
          </cell>
          <cell r="G77" t="str">
            <v>Тотоева О.Н.</v>
          </cell>
          <cell r="H77" t="str">
            <v>доцент, канд. наук</v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л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л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л</v>
          </cell>
          <cell r="D84" t="str">
            <v>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Обучение служением</v>
          </cell>
          <cell r="G85" t="str">
            <v>Вишневский В.А.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>
            <v>0</v>
          </cell>
          <cell r="D86">
            <v>0</v>
          </cell>
          <cell r="G86">
            <v>0</v>
          </cell>
          <cell r="H86" t="str">
            <v/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>
            <v>0</v>
          </cell>
          <cell r="L90">
            <v>0</v>
          </cell>
          <cell r="O90">
            <v>0</v>
          </cell>
          <cell r="P90" t="str">
            <v/>
          </cell>
          <cell r="S90">
            <v>0</v>
          </cell>
          <cell r="T90">
            <v>0</v>
          </cell>
          <cell r="W90">
            <v>0</v>
          </cell>
          <cell r="X90" t="str">
            <v/>
          </cell>
        </row>
        <row r="91">
          <cell r="C91">
            <v>0</v>
          </cell>
          <cell r="D91">
            <v>0</v>
          </cell>
          <cell r="G91">
            <v>0</v>
          </cell>
          <cell r="H91" t="str">
            <v/>
          </cell>
          <cell r="K91">
            <v>0</v>
          </cell>
          <cell r="L91">
            <v>0</v>
          </cell>
          <cell r="O91">
            <v>0</v>
          </cell>
          <cell r="P91" t="str">
            <v/>
          </cell>
          <cell r="S91">
            <v>0</v>
          </cell>
          <cell r="T91">
            <v>0</v>
          </cell>
          <cell r="W91">
            <v>0</v>
          </cell>
          <cell r="X91" t="str">
            <v/>
          </cell>
        </row>
        <row r="92">
          <cell r="C92">
            <v>0</v>
          </cell>
          <cell r="D92">
            <v>0</v>
          </cell>
          <cell r="G92">
            <v>0</v>
          </cell>
          <cell r="H92" t="str">
            <v/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>
            <v>0</v>
          </cell>
          <cell r="T92">
            <v>0</v>
          </cell>
          <cell r="W92">
            <v>0</v>
          </cell>
          <cell r="X92" t="str">
            <v/>
          </cell>
        </row>
        <row r="93">
          <cell r="C93">
            <v>0</v>
          </cell>
          <cell r="D93">
            <v>0</v>
          </cell>
          <cell r="G93">
            <v>0</v>
          </cell>
          <cell r="H93" t="str">
            <v/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 t="str">
            <v>л</v>
          </cell>
          <cell r="D98" t="str">
            <v>Математические основы информатики</v>
          </cell>
          <cell r="G98" t="str">
            <v>Казанцев Ю.А.</v>
          </cell>
          <cell r="H98" t="str">
            <v>ст. преподаватель</v>
          </cell>
          <cell r="K98" t="str">
            <v>пр</v>
          </cell>
          <cell r="L98" t="str">
            <v xml:space="preserve"> ИКТ и медиаинформационная грамотность</v>
          </cell>
          <cell r="O98" t="str">
            <v>Олейников Н.Н.</v>
          </cell>
          <cell r="P98" t="str">
            <v>ст. преподаватель</v>
          </cell>
          <cell r="S98" t="str">
            <v>л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 t="str">
            <v>л</v>
          </cell>
          <cell r="D99" t="str">
            <v>Высшая математика</v>
          </cell>
          <cell r="G99" t="str">
            <v>Зиненко И.Н.</v>
          </cell>
          <cell r="H99" t="str">
            <v>доцент, канд. наук</v>
          </cell>
          <cell r="K99" t="str">
            <v>л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л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Элементарная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л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>
            <v>0</v>
          </cell>
          <cell r="T100">
            <v>0</v>
          </cell>
          <cell r="W100">
            <v>0</v>
          </cell>
          <cell r="X100" t="str">
            <v/>
          </cell>
        </row>
        <row r="101">
          <cell r="C101">
            <v>0</v>
          </cell>
          <cell r="D101">
            <v>0</v>
          </cell>
          <cell r="G101">
            <v>0</v>
          </cell>
          <cell r="H101" t="str">
            <v/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>
            <v>0</v>
          </cell>
          <cell r="D102">
            <v>0</v>
          </cell>
          <cell r="G102">
            <v>0</v>
          </cell>
          <cell r="H102" t="str">
            <v/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 t="str">
            <v>пр</v>
          </cell>
          <cell r="D106" t="str">
            <v xml:space="preserve"> Основы российской государственности</v>
          </cell>
          <cell r="G106" t="str">
            <v>Лысенко Е.Г.</v>
          </cell>
          <cell r="H106" t="str">
            <v>доцент, канд. наук</v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л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л</v>
          </cell>
          <cell r="L107" t="str">
            <v>Архитектура компьютера и Интернет</v>
          </cell>
          <cell r="O107" t="str">
            <v>Криницкий Ю.В.</v>
          </cell>
          <cell r="P107" t="str">
            <v>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пр</v>
          </cell>
          <cell r="D108" t="str">
            <v>Элементарная  физика</v>
          </cell>
          <cell r="G108" t="str">
            <v>Коробова И.В.</v>
          </cell>
          <cell r="H108" t="str">
            <v>профессор, д-р наук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>
            <v>0</v>
          </cell>
          <cell r="D109">
            <v>0</v>
          </cell>
          <cell r="G109">
            <v>0</v>
          </cell>
          <cell r="H109" t="str">
            <v/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пр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>
            <v>0</v>
          </cell>
          <cell r="L140">
            <v>0</v>
          </cell>
          <cell r="O140">
            <v>0</v>
          </cell>
          <cell r="P140" t="str">
            <v/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пр</v>
          </cell>
          <cell r="T141" t="str">
            <v xml:space="preserve"> Финансово-экономический практикум</v>
          </cell>
          <cell r="W141" t="str">
            <v>Бойчук О.В.</v>
          </cell>
          <cell r="X141" t="str">
            <v>ст. преподаватель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пр</v>
          </cell>
          <cell r="T142" t="str">
            <v xml:space="preserve"> Нормативно-правовые основы профессиональной деятельности</v>
          </cell>
          <cell r="W142" t="str">
            <v>Жанова Д.А.</v>
          </cell>
          <cell r="X142" t="str">
            <v>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л</v>
          </cell>
          <cell r="L147" t="str">
            <v>Системы обработки больших данных</v>
          </cell>
          <cell r="O147" t="str">
            <v>Круглый Д.Г.</v>
          </cell>
          <cell r="P147" t="str">
            <v>профессор, д-р наук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 t="str">
            <v>л</v>
          </cell>
          <cell r="D148" t="str">
            <v>Разработка приложений для мобильных устройств</v>
          </cell>
          <cell r="G148" t="str">
            <v>Алешов Е.В.</v>
          </cell>
          <cell r="H148" t="str">
            <v>преподаватель</v>
          </cell>
          <cell r="K148" t="str">
            <v>л</v>
          </cell>
          <cell r="L148" t="str">
            <v>Системы обработки больших данных</v>
          </cell>
          <cell r="O148" t="str">
            <v>Круглый Д.Г.</v>
          </cell>
          <cell r="P148" t="str">
            <v>профессор, д-р наук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>
            <v>0</v>
          </cell>
          <cell r="T149">
            <v>0</v>
          </cell>
          <cell r="W149">
            <v>0</v>
          </cell>
          <cell r="X149" t="str">
            <v/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>
            <v>0</v>
          </cell>
          <cell r="T150">
            <v>0</v>
          </cell>
          <cell r="W150">
            <v>0</v>
          </cell>
          <cell r="X150" t="str">
            <v/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>
            <v>0</v>
          </cell>
          <cell r="D152">
            <v>0</v>
          </cell>
          <cell r="G152">
            <v>0</v>
          </cell>
          <cell r="H152" t="str">
            <v/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>
            <v>0</v>
          </cell>
          <cell r="D153">
            <v>0</v>
          </cell>
          <cell r="G153">
            <v>0</v>
          </cell>
          <cell r="H153" t="str">
            <v/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>
            <v>0</v>
          </cell>
          <cell r="D154">
            <v>0</v>
          </cell>
          <cell r="G154">
            <v>0</v>
          </cell>
          <cell r="H154" t="str">
            <v/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>
            <v>0</v>
          </cell>
          <cell r="D155">
            <v>0</v>
          </cell>
          <cell r="G155">
            <v>0</v>
          </cell>
          <cell r="H155" t="str">
            <v/>
          </cell>
          <cell r="K155">
            <v>0</v>
          </cell>
          <cell r="L155">
            <v>0</v>
          </cell>
          <cell r="O155">
            <v>0</v>
          </cell>
          <cell r="P155" t="str">
            <v/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>
            <v>0</v>
          </cell>
          <cell r="L156">
            <v>0</v>
          </cell>
          <cell r="O156">
            <v>0</v>
          </cell>
          <cell r="P156" t="str">
            <v/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 t="str">
            <v>л</v>
          </cell>
          <cell r="D160" t="str">
            <v>Операционные системы семейства Unix / Linux</v>
          </cell>
          <cell r="G160" t="str">
            <v>Криницкий Ю.В.</v>
          </cell>
          <cell r="H160" t="str">
            <v>преподаватель</v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пр</v>
          </cell>
          <cell r="D162" t="str">
            <v>Продвинутые технологии искусственного интеллекта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пр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 t="str">
            <v>пр</v>
          </cell>
          <cell r="L164" t="str">
            <v xml:space="preserve"> Программирование графических процессоров</v>
          </cell>
          <cell r="O164" t="str">
            <v>Алешов Е.В.</v>
          </cell>
          <cell r="P164" t="str">
            <v>преподаватель</v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>
            <v>0</v>
          </cell>
          <cell r="T166">
            <v>0</v>
          </cell>
          <cell r="W166">
            <v>0</v>
          </cell>
          <cell r="X166" t="str">
            <v/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л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83">
          <cell r="C183">
            <v>0</v>
          </cell>
          <cell r="D183">
            <v>0</v>
          </cell>
          <cell r="G183">
            <v>0</v>
          </cell>
          <cell r="H183" t="str">
            <v/>
          </cell>
          <cell r="K183">
            <v>0</v>
          </cell>
          <cell r="L183">
            <v>0</v>
          </cell>
          <cell r="O183">
            <v>0</v>
          </cell>
          <cell r="P183" t="str">
            <v/>
          </cell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пр</v>
          </cell>
          <cell r="D203" t="str">
            <v xml:space="preserve"> Финансово-экономический практикум</v>
          </cell>
          <cell r="G203" t="str">
            <v>Бойчук О.В.</v>
          </cell>
          <cell r="H203" t="str">
            <v>ст. преподаватель</v>
          </cell>
          <cell r="K203" t="str">
            <v>пр</v>
          </cell>
          <cell r="L203" t="str">
            <v xml:space="preserve"> Финансово-экономический практикум</v>
          </cell>
          <cell r="O203" t="str">
            <v>Бойчук О.В.</v>
          </cell>
          <cell r="P203" t="str">
            <v>ст. преподаватель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 t="str">
            <v>пр</v>
          </cell>
          <cell r="D204" t="str">
            <v xml:space="preserve"> Нормативно-правовые основы профессиональной деятельности</v>
          </cell>
          <cell r="G204" t="str">
            <v>Жанова Д.А.</v>
          </cell>
          <cell r="H204" t="str">
            <v>преподаватель</v>
          </cell>
          <cell r="K204" t="str">
            <v>пр</v>
          </cell>
          <cell r="L204" t="str">
            <v xml:space="preserve"> Нормативно-правовые основы профессиональной деятельности</v>
          </cell>
          <cell r="O204" t="str">
            <v>Жанова Д.А.</v>
          </cell>
          <cell r="P204" t="str">
            <v>преподаватель</v>
          </cell>
          <cell r="S204">
            <v>0</v>
          </cell>
          <cell r="T204">
            <v>0</v>
          </cell>
          <cell r="W204">
            <v>0</v>
          </cell>
          <cell r="X204" t="str">
            <v/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 t="str">
            <v/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 t="str">
            <v>пр</v>
          </cell>
          <cell r="D211" t="str">
            <v xml:space="preserve"> Математический анализ</v>
          </cell>
          <cell r="G211" t="str">
            <v>Якимова В.В.</v>
          </cell>
          <cell r="H211" t="str">
            <v>ст. преподаватель</v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пр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>
            <v>0</v>
          </cell>
          <cell r="D212">
            <v>0</v>
          </cell>
          <cell r="G212">
            <v>0</v>
          </cell>
          <cell r="H212" t="str">
            <v/>
          </cell>
          <cell r="K212">
            <v>0</v>
          </cell>
          <cell r="L212">
            <v>0</v>
          </cell>
          <cell r="O212">
            <v>0</v>
          </cell>
          <cell r="P212" t="str">
            <v/>
          </cell>
          <cell r="S212" t="str">
            <v>пр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>
            <v>0</v>
          </cell>
          <cell r="D219">
            <v>0</v>
          </cell>
          <cell r="G219">
            <v>0</v>
          </cell>
          <cell r="H219" t="str">
            <v/>
          </cell>
          <cell r="K219">
            <v>0</v>
          </cell>
          <cell r="L219">
            <v>0</v>
          </cell>
          <cell r="O219">
            <v>0</v>
          </cell>
          <cell r="P219" t="str">
            <v/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>
            <v>0</v>
          </cell>
          <cell r="D220">
            <v>0</v>
          </cell>
          <cell r="G220">
            <v>0</v>
          </cell>
          <cell r="H220" t="str">
            <v/>
          </cell>
          <cell r="K220">
            <v>0</v>
          </cell>
          <cell r="L220">
            <v>0</v>
          </cell>
          <cell r="O220">
            <v>0</v>
          </cell>
          <cell r="P220" t="str">
            <v/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пр</v>
          </cell>
          <cell r="L227" t="str">
            <v xml:space="preserve"> Математический анализ</v>
          </cell>
          <cell r="O227" t="str">
            <v>Якимова В.В.</v>
          </cell>
          <cell r="P227" t="str">
            <v>ст. преподаватель</v>
          </cell>
          <cell r="S227">
            <v>0</v>
          </cell>
          <cell r="T227">
            <v>0</v>
          </cell>
          <cell r="W227">
            <v>0</v>
          </cell>
          <cell r="X227" t="str">
            <v/>
          </cell>
        </row>
        <row r="228">
          <cell r="C228" t="str">
            <v>л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Алгебра</v>
          </cell>
          <cell r="O228" t="str">
            <v>Овчинникова М.В.</v>
          </cell>
          <cell r="P228" t="str">
            <v>доцент, канд. наук</v>
          </cell>
          <cell r="S228" t="str">
            <v>л</v>
          </cell>
          <cell r="T228" t="str">
            <v>Управление ИТ-проектами и гибкая методология</v>
          </cell>
          <cell r="W228" t="str">
            <v>Гришин И.Ю.</v>
          </cell>
          <cell r="X228" t="str">
            <v>профессор, д-р наук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 t="str">
            <v>пр</v>
          </cell>
          <cell r="D235" t="str">
            <v xml:space="preserve"> Педагогика</v>
          </cell>
          <cell r="G235" t="str">
            <v>Кобзева Е.В.</v>
          </cell>
          <cell r="H235" t="str">
            <v>преподаватель</v>
          </cell>
          <cell r="K235" t="str">
            <v>пр</v>
          </cell>
          <cell r="L235" t="str">
            <v xml:space="preserve"> Педагогика</v>
          </cell>
          <cell r="O235" t="str">
            <v>Кобзева Е.В.</v>
          </cell>
          <cell r="P235" t="str">
            <v>преподаватель</v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 t="str">
            <v>пр</v>
          </cell>
          <cell r="D236" t="str">
            <v xml:space="preserve"> Психология</v>
          </cell>
          <cell r="G236" t="str">
            <v>Кирилюк Л.Л.</v>
          </cell>
          <cell r="H236" t="str">
            <v>преподаватель</v>
          </cell>
          <cell r="K236" t="str">
            <v>пр</v>
          </cell>
          <cell r="L236" t="str">
            <v xml:space="preserve"> Психология</v>
          </cell>
          <cell r="O236" t="str">
            <v>Кирилюк Л.Л.</v>
          </cell>
          <cell r="P236" t="str">
            <v>преподаватель</v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45">
          <cell r="C245">
            <v>0</v>
          </cell>
          <cell r="D245">
            <v>0</v>
          </cell>
          <cell r="G245">
            <v>0</v>
          </cell>
          <cell r="H245" t="str">
            <v/>
          </cell>
          <cell r="K245">
            <v>0</v>
          </cell>
          <cell r="L245">
            <v>0</v>
          </cell>
          <cell r="O245">
            <v>0</v>
          </cell>
          <cell r="P245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 t="str">
            <v>пр</v>
          </cell>
          <cell r="D264" t="str">
            <v>Психолого-педагогические основы обучения
математике и информатике</v>
          </cell>
          <cell r="G264" t="str">
            <v>Казанцев Ю.А.</v>
          </cell>
          <cell r="H264" t="str">
            <v>ст. преподаватель</v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л</v>
          </cell>
          <cell r="D265" t="str">
            <v>Технология и организация воспитательных практик (классное руководство)</v>
          </cell>
          <cell r="G265" t="str">
            <v>Макарчук Н.В.</v>
          </cell>
          <cell r="H265" t="str">
            <v>преподаватель</v>
          </cell>
          <cell r="K265" t="str">
            <v>л</v>
          </cell>
          <cell r="L265" t="str">
            <v>Технология и организация воспитательных практик (классное руководство)</v>
          </cell>
          <cell r="O265" t="str">
            <v>Макарчук Н.В.</v>
          </cell>
          <cell r="P265" t="str">
            <v>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>
            <v>0</v>
          </cell>
          <cell r="D266">
            <v>0</v>
          </cell>
          <cell r="G266">
            <v>0</v>
          </cell>
          <cell r="H266" t="str">
            <v/>
          </cell>
          <cell r="K266">
            <v>0</v>
          </cell>
          <cell r="L266">
            <v>0</v>
          </cell>
          <cell r="O266">
            <v>0</v>
          </cell>
          <cell r="P266" t="str">
            <v/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 t="str">
            <v>л</v>
          </cell>
          <cell r="D273" t="str">
            <v>Основы государственной политики в сфере межэтнических и межконфессиональных отношений</v>
          </cell>
          <cell r="G273" t="str">
            <v>Бекиров С.Н.</v>
          </cell>
          <cell r="H273" t="str">
            <v>доцент, канд. наук</v>
          </cell>
          <cell r="K273" t="str">
            <v>л</v>
          </cell>
          <cell r="L273" t="str">
            <v>Основы государственной политики в сфере межэтнических и межконфессиональных отношений</v>
          </cell>
          <cell r="O273" t="str">
            <v>Бекиров С.Н.</v>
          </cell>
          <cell r="P273" t="str">
            <v>доцент, канд. наук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л</v>
          </cell>
          <cell r="D274" t="str">
            <v>Педагогика</v>
          </cell>
          <cell r="G274" t="str">
            <v>Кочегурная М.Ю.</v>
          </cell>
          <cell r="H274" t="str">
            <v>доцент</v>
          </cell>
          <cell r="K274" t="str">
            <v>л</v>
          </cell>
          <cell r="L274" t="str">
            <v>Педагогика</v>
          </cell>
          <cell r="O274" t="str">
            <v>Кочегурная М.Ю.</v>
          </cell>
          <cell r="P274" t="str">
            <v>доцент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>
            <v>0</v>
          </cell>
          <cell r="D282">
            <v>0</v>
          </cell>
          <cell r="G282">
            <v>0</v>
          </cell>
          <cell r="H282" t="str">
            <v/>
          </cell>
          <cell r="K282">
            <v>0</v>
          </cell>
          <cell r="L282">
            <v>0</v>
          </cell>
          <cell r="O282">
            <v>0</v>
          </cell>
          <cell r="P282" t="str">
            <v/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 t="str">
            <v>пр</v>
          </cell>
          <cell r="D289" t="str">
            <v>Математическая логика и теория алгоритмов</v>
          </cell>
          <cell r="G289" t="str">
            <v>Казанцев Ю.А.</v>
          </cell>
          <cell r="H289" t="str">
            <v>ст. преподаватель</v>
          </cell>
          <cell r="K289">
            <v>0</v>
          </cell>
          <cell r="L289">
            <v>0</v>
          </cell>
          <cell r="O289">
            <v>0</v>
          </cell>
          <cell r="P289" t="str">
            <v/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>Архитектура компьютера</v>
          </cell>
          <cell r="G290" t="str">
            <v>Криницкий Ю.В.</v>
          </cell>
          <cell r="H290" t="str">
            <v>преподаватель</v>
          </cell>
          <cell r="K290" t="str">
            <v>пр</v>
          </cell>
          <cell r="L290" t="str">
            <v>Математическая логика и теория алгоритмов</v>
          </cell>
          <cell r="O290" t="str">
            <v>Казанцев Ю.А.</v>
          </cell>
          <cell r="P290" t="str">
            <v>ст. преподаватель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>
            <v>0</v>
          </cell>
          <cell r="D297">
            <v>0</v>
          </cell>
          <cell r="G297">
            <v>0</v>
          </cell>
          <cell r="H297" t="str">
            <v/>
          </cell>
          <cell r="K297">
            <v>0</v>
          </cell>
          <cell r="L297">
            <v>0</v>
          </cell>
          <cell r="O297">
            <v>0</v>
          </cell>
          <cell r="P297" t="str">
            <v/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K307">
            <v>0</v>
          </cell>
          <cell r="L307">
            <v>0</v>
          </cell>
          <cell r="O307">
            <v>0</v>
          </cell>
          <cell r="P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  <cell r="K12" t="str">
            <v>л</v>
          </cell>
          <cell r="L12" t="str">
            <v>История России</v>
          </cell>
          <cell r="O12" t="str">
            <v>Сальников В.И.</v>
          </cell>
          <cell r="P12" t="str">
            <v>доцент, канд. наук</v>
          </cell>
          <cell r="S12" t="str">
            <v>л</v>
          </cell>
          <cell r="T12" t="str">
            <v>История России</v>
          </cell>
          <cell r="W12" t="str">
            <v>Сальников В.И.</v>
          </cell>
          <cell r="X12" t="str">
            <v>доцент, канд. наук</v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  <cell r="K13" t="str">
            <v>пр</v>
          </cell>
          <cell r="L13" t="str">
            <v>Английский язык для специальных целей</v>
          </cell>
          <cell r="O13" t="str">
            <v>Суворова С.Г.</v>
          </cell>
          <cell r="P13" t="str">
            <v>ст. преподаватель</v>
          </cell>
          <cell r="S13" t="str">
            <v>пр</v>
          </cell>
          <cell r="T13" t="str">
            <v>Физическая культура и спорт</v>
          </cell>
          <cell r="W13" t="str">
            <v>Набока В.И.</v>
          </cell>
          <cell r="X13" t="str">
            <v>преподаватель</v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  <cell r="K14" t="str">
            <v>пр</v>
          </cell>
          <cell r="L14" t="str">
            <v>Физическая культура и спорт</v>
          </cell>
          <cell r="O14" t="str">
            <v>Набока В.И.</v>
          </cell>
          <cell r="P14" t="str">
            <v>преподаватель</v>
          </cell>
          <cell r="S14" t="str">
            <v>пр</v>
          </cell>
          <cell r="T14" t="str">
            <v>Иностранный язык</v>
          </cell>
          <cell r="W14" t="str">
            <v>Суворова С.Г.</v>
          </cell>
          <cell r="X14" t="str">
            <v>ст. преподаватель</v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  <cell r="K15">
            <v>0</v>
          </cell>
          <cell r="L15">
            <v>0</v>
          </cell>
          <cell r="O15">
            <v>0</v>
          </cell>
          <cell r="P15" t="str">
            <v/>
          </cell>
          <cell r="S15" t="str">
            <v>л</v>
          </cell>
          <cell r="T15" t="str">
            <v>Математический анализ</v>
          </cell>
          <cell r="W15" t="str">
            <v>Линник Е.П.</v>
          </cell>
          <cell r="X15" t="str">
            <v>доцент, канд. наук</v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  <cell r="K16">
            <v>0</v>
          </cell>
          <cell r="L16">
            <v>0</v>
          </cell>
          <cell r="O16">
            <v>0</v>
          </cell>
          <cell r="P16" t="str">
            <v/>
          </cell>
          <cell r="S16">
            <v>0</v>
          </cell>
          <cell r="T16">
            <v>0</v>
          </cell>
          <cell r="W16">
            <v>0</v>
          </cell>
          <cell r="X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  <cell r="K17">
            <v>0</v>
          </cell>
          <cell r="L17">
            <v>0</v>
          </cell>
          <cell r="O17">
            <v>0</v>
          </cell>
          <cell r="P17" t="str">
            <v/>
          </cell>
          <cell r="S17">
            <v>0</v>
          </cell>
          <cell r="T17">
            <v>0</v>
          </cell>
          <cell r="W17">
            <v>0</v>
          </cell>
          <cell r="X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  <cell r="K18">
            <v>0</v>
          </cell>
          <cell r="L18">
            <v>0</v>
          </cell>
          <cell r="O18">
            <v>0</v>
          </cell>
          <cell r="P18" t="str">
            <v/>
          </cell>
          <cell r="S18">
            <v>0</v>
          </cell>
          <cell r="T18">
            <v>0</v>
          </cell>
          <cell r="W18">
            <v>0</v>
          </cell>
          <cell r="X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  <cell r="K19">
            <v>0</v>
          </cell>
          <cell r="L19">
            <v>0</v>
          </cell>
          <cell r="O19">
            <v>0</v>
          </cell>
          <cell r="P19" t="str">
            <v/>
          </cell>
          <cell r="S19">
            <v>0</v>
          </cell>
          <cell r="T19">
            <v>0</v>
          </cell>
          <cell r="W19">
            <v>0</v>
          </cell>
          <cell r="X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  <cell r="K20" t="str">
            <v>пр</v>
          </cell>
          <cell r="L20" t="str">
            <v xml:space="preserve"> Основы российской государственности</v>
          </cell>
          <cell r="O20" t="str">
            <v>Лысенко Е.Г.</v>
          </cell>
          <cell r="P20" t="str">
            <v>доцент, канд. наук</v>
          </cell>
          <cell r="S20">
            <v>0</v>
          </cell>
          <cell r="T20">
            <v>0</v>
          </cell>
          <cell r="W20">
            <v>0</v>
          </cell>
          <cell r="X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  <cell r="K21" t="str">
            <v>пр</v>
          </cell>
          <cell r="L21" t="str">
            <v>Иностранный язык</v>
          </cell>
          <cell r="O21" t="str">
            <v>Суворова С.Г.</v>
          </cell>
          <cell r="P21" t="str">
            <v>ст. преподаватель</v>
          </cell>
          <cell r="S21" t="str">
            <v>л</v>
          </cell>
          <cell r="T21" t="str">
            <v>Геометрия</v>
          </cell>
          <cell r="W21" t="str">
            <v>Казанцев Ю.А.</v>
          </cell>
          <cell r="X21" t="str">
            <v>ст. преподаватель</v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  <cell r="K22">
            <v>0</v>
          </cell>
          <cell r="L22">
            <v>0</v>
          </cell>
          <cell r="O22">
            <v>0</v>
          </cell>
          <cell r="P22" t="str">
            <v/>
          </cell>
          <cell r="S22" t="str">
            <v>пр</v>
          </cell>
          <cell r="T22" t="str">
            <v xml:space="preserve"> Технологии цифрового образования</v>
          </cell>
          <cell r="W22" t="str">
            <v>Шевченко Е.Н.</v>
          </cell>
          <cell r="X22" t="str">
            <v>ст. преподаватель</v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  <cell r="K23">
            <v>0</v>
          </cell>
          <cell r="L23">
            <v>0</v>
          </cell>
          <cell r="O23">
            <v>0</v>
          </cell>
          <cell r="P23" t="str">
            <v/>
          </cell>
          <cell r="S23">
            <v>0</v>
          </cell>
          <cell r="T23">
            <v>0</v>
          </cell>
          <cell r="W23">
            <v>0</v>
          </cell>
          <cell r="X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  <cell r="K24">
            <v>0</v>
          </cell>
          <cell r="L24">
            <v>0</v>
          </cell>
          <cell r="O24">
            <v>0</v>
          </cell>
          <cell r="P24" t="str">
            <v/>
          </cell>
          <cell r="S24">
            <v>0</v>
          </cell>
          <cell r="T24">
            <v>0</v>
          </cell>
          <cell r="W24">
            <v>0</v>
          </cell>
          <cell r="X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  <cell r="K25">
            <v>0</v>
          </cell>
          <cell r="L25">
            <v>0</v>
          </cell>
          <cell r="O25">
            <v>0</v>
          </cell>
          <cell r="P25" t="str">
            <v/>
          </cell>
          <cell r="S25">
            <v>0</v>
          </cell>
          <cell r="T25">
            <v>0</v>
          </cell>
          <cell r="W25">
            <v>0</v>
          </cell>
          <cell r="X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  <cell r="K26">
            <v>0</v>
          </cell>
          <cell r="L26">
            <v>0</v>
          </cell>
          <cell r="O26">
            <v>0</v>
          </cell>
          <cell r="P26" t="str">
            <v/>
          </cell>
          <cell r="S26">
            <v>0</v>
          </cell>
          <cell r="T26">
            <v>0</v>
          </cell>
          <cell r="W26">
            <v>0</v>
          </cell>
          <cell r="X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  <cell r="K27">
            <v>0</v>
          </cell>
          <cell r="L27">
            <v>0</v>
          </cell>
          <cell r="O27">
            <v>0</v>
          </cell>
          <cell r="P27" t="str">
            <v/>
          </cell>
          <cell r="S27">
            <v>0</v>
          </cell>
          <cell r="T27">
            <v>0</v>
          </cell>
          <cell r="W27">
            <v>0</v>
          </cell>
          <cell r="X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  <cell r="K28">
            <v>0</v>
          </cell>
          <cell r="L28">
            <v>0</v>
          </cell>
          <cell r="O28">
            <v>0</v>
          </cell>
          <cell r="P28" t="str">
            <v/>
          </cell>
          <cell r="S28">
            <v>0</v>
          </cell>
          <cell r="T28">
            <v>0</v>
          </cell>
          <cell r="W28">
            <v>0</v>
          </cell>
          <cell r="X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  <cell r="K29" t="str">
            <v>л</v>
          </cell>
          <cell r="L29" t="str">
            <v>Основы и методология программирования</v>
          </cell>
          <cell r="O29" t="str">
            <v>Криницкий Ю.В.</v>
          </cell>
          <cell r="P29" t="str">
            <v>преподаватель</v>
          </cell>
          <cell r="S29">
            <v>0</v>
          </cell>
          <cell r="T29">
            <v>0</v>
          </cell>
          <cell r="W29">
            <v>0</v>
          </cell>
          <cell r="X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  <cell r="K30" t="str">
            <v>л</v>
          </cell>
          <cell r="L30" t="str">
            <v>Основы и методология программирования</v>
          </cell>
          <cell r="O30" t="str">
            <v>Криницкий Ю.В.</v>
          </cell>
          <cell r="P30" t="str">
            <v>преподаватель</v>
          </cell>
          <cell r="S30" t="str">
            <v>л</v>
          </cell>
          <cell r="T30" t="str">
            <v>Алгебра</v>
          </cell>
          <cell r="W30" t="str">
            <v>Овчинникова М.В.</v>
          </cell>
          <cell r="X30" t="str">
            <v>доцент, канд. наук</v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  <cell r="K31">
            <v>0</v>
          </cell>
          <cell r="L31">
            <v>0</v>
          </cell>
          <cell r="O31">
            <v>0</v>
          </cell>
          <cell r="P31" t="str">
            <v/>
          </cell>
          <cell r="S31" t="str">
            <v>пр</v>
          </cell>
          <cell r="T31" t="str">
            <v>Физическая культура и спорт</v>
          </cell>
          <cell r="W31" t="str">
            <v>Набока В.И.</v>
          </cell>
          <cell r="X31" t="str">
            <v>преподаватель</v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  <cell r="K32">
            <v>0</v>
          </cell>
          <cell r="L32">
            <v>0</v>
          </cell>
          <cell r="O32">
            <v>0</v>
          </cell>
          <cell r="P32" t="str">
            <v/>
          </cell>
          <cell r="S32">
            <v>0</v>
          </cell>
          <cell r="T32">
            <v>0</v>
          </cell>
          <cell r="W32">
            <v>0</v>
          </cell>
          <cell r="X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  <cell r="K33">
            <v>0</v>
          </cell>
          <cell r="L33">
            <v>0</v>
          </cell>
          <cell r="O33">
            <v>0</v>
          </cell>
          <cell r="P33" t="str">
            <v/>
          </cell>
          <cell r="S33">
            <v>0</v>
          </cell>
          <cell r="T33">
            <v>0</v>
          </cell>
          <cell r="W33">
            <v>0</v>
          </cell>
          <cell r="X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  <cell r="K34">
            <v>0</v>
          </cell>
          <cell r="L34">
            <v>0</v>
          </cell>
          <cell r="O34">
            <v>0</v>
          </cell>
          <cell r="P34" t="str">
            <v/>
          </cell>
          <cell r="S34">
            <v>0</v>
          </cell>
          <cell r="T34">
            <v>0</v>
          </cell>
          <cell r="W34">
            <v>0</v>
          </cell>
          <cell r="X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  <cell r="K35">
            <v>0</v>
          </cell>
          <cell r="L35">
            <v>0</v>
          </cell>
          <cell r="O35">
            <v>0</v>
          </cell>
          <cell r="P35" t="str">
            <v/>
          </cell>
          <cell r="S35">
            <v>0</v>
          </cell>
          <cell r="T35">
            <v>0</v>
          </cell>
          <cell r="W35">
            <v>0</v>
          </cell>
          <cell r="X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  <cell r="K36">
            <v>0</v>
          </cell>
          <cell r="L36">
            <v>0</v>
          </cell>
          <cell r="O36">
            <v>0</v>
          </cell>
          <cell r="P36" t="str">
            <v/>
          </cell>
          <cell r="S36">
            <v>0</v>
          </cell>
          <cell r="T36">
            <v>0</v>
          </cell>
          <cell r="W36">
            <v>0</v>
          </cell>
          <cell r="X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  <cell r="K37">
            <v>0</v>
          </cell>
          <cell r="L37">
            <v>0</v>
          </cell>
          <cell r="O37">
            <v>0</v>
          </cell>
          <cell r="P37" t="str">
            <v/>
          </cell>
          <cell r="S37">
            <v>0</v>
          </cell>
          <cell r="T37">
            <v>0</v>
          </cell>
          <cell r="W37">
            <v>0</v>
          </cell>
          <cell r="X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  <cell r="K38">
            <v>0</v>
          </cell>
          <cell r="L38">
            <v>0</v>
          </cell>
          <cell r="O38">
            <v>0</v>
          </cell>
          <cell r="P38" t="str">
            <v/>
          </cell>
          <cell r="S38">
            <v>0</v>
          </cell>
          <cell r="T38">
            <v>0</v>
          </cell>
          <cell r="W38">
            <v>0</v>
          </cell>
          <cell r="X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  <cell r="K39" t="str">
            <v>пр</v>
          </cell>
          <cell r="L39" t="str">
            <v xml:space="preserve"> Технологии цифрового образования</v>
          </cell>
          <cell r="O39" t="str">
            <v>Шевченко Е.Н.</v>
          </cell>
          <cell r="P39" t="str">
            <v>ст. преподаватель</v>
          </cell>
          <cell r="S39" t="str">
            <v>пр</v>
          </cell>
          <cell r="T39" t="str">
            <v xml:space="preserve"> Возрастная анатомия, физиология и культура здоровья</v>
          </cell>
          <cell r="W39" t="str">
            <v>Тотоева О.Н.</v>
          </cell>
          <cell r="X39" t="str">
            <v>доцент, канд. наук</v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  <cell r="K40" t="str">
            <v>пр</v>
          </cell>
          <cell r="L40" t="str">
            <v xml:space="preserve"> История России</v>
          </cell>
          <cell r="O40" t="str">
            <v>Алфимов В.Э.</v>
          </cell>
          <cell r="P40" t="str">
            <v>ст. преподаватель</v>
          </cell>
          <cell r="S40" t="str">
            <v>пр</v>
          </cell>
          <cell r="T40" t="str">
            <v xml:space="preserve"> Основы российской государственности</v>
          </cell>
          <cell r="W40" t="str">
            <v>Лысенко Е.Г.</v>
          </cell>
          <cell r="X40" t="str">
            <v>доцент, канд. наук</v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  <cell r="K41">
            <v>0</v>
          </cell>
          <cell r="L41">
            <v>0</v>
          </cell>
          <cell r="O41">
            <v>0</v>
          </cell>
          <cell r="P41" t="str">
            <v/>
          </cell>
          <cell r="S41">
            <v>0</v>
          </cell>
          <cell r="T41">
            <v>0</v>
          </cell>
          <cell r="W41">
            <v>0</v>
          </cell>
          <cell r="X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  <cell r="K42">
            <v>0</v>
          </cell>
          <cell r="L42">
            <v>0</v>
          </cell>
          <cell r="O42">
            <v>0</v>
          </cell>
          <cell r="P42" t="str">
            <v/>
          </cell>
          <cell r="S42">
            <v>0</v>
          </cell>
          <cell r="T42">
            <v>0</v>
          </cell>
          <cell r="W42">
            <v>0</v>
          </cell>
          <cell r="X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  <cell r="K43">
            <v>0</v>
          </cell>
          <cell r="L43">
            <v>0</v>
          </cell>
          <cell r="O43">
            <v>0</v>
          </cell>
          <cell r="P43" t="str">
            <v/>
          </cell>
          <cell r="S43">
            <v>0</v>
          </cell>
          <cell r="T43">
            <v>0</v>
          </cell>
          <cell r="W43">
            <v>0</v>
          </cell>
          <cell r="X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  <cell r="K44" t="str">
            <v>пр</v>
          </cell>
          <cell r="L44" t="str">
            <v xml:space="preserve"> Основы российской государственности</v>
          </cell>
          <cell r="O44" t="str">
            <v>Лысенко Е.Г.</v>
          </cell>
          <cell r="P44" t="str">
            <v>доцент, канд. наук</v>
          </cell>
          <cell r="S44" t="str">
            <v>пр</v>
          </cell>
          <cell r="T44" t="str">
            <v xml:space="preserve"> Математический анализ</v>
          </cell>
          <cell r="W44" t="str">
            <v>Якимова В.В.</v>
          </cell>
          <cell r="X44" t="str">
            <v>ст. преподаватель</v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  <cell r="K45" t="str">
            <v>пр</v>
          </cell>
          <cell r="L45" t="str">
            <v xml:space="preserve"> Математический анализ</v>
          </cell>
          <cell r="O45" t="str">
            <v>Якимова В.В.</v>
          </cell>
          <cell r="P45" t="str">
            <v>ст. преподаватель</v>
          </cell>
          <cell r="S45" t="str">
            <v>пр</v>
          </cell>
          <cell r="T45" t="str">
            <v xml:space="preserve"> История России</v>
          </cell>
          <cell r="W45" t="str">
            <v>Сальников В.И.</v>
          </cell>
          <cell r="X45" t="str">
            <v>доцент, канд. наук</v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  <cell r="K46" t="str">
            <v>пр</v>
          </cell>
          <cell r="L46" t="str">
            <v>Алгебра и Геометрия</v>
          </cell>
          <cell r="O46" t="str">
            <v>Овчинникова М.В.</v>
          </cell>
          <cell r="P46" t="str">
            <v>доцент, канд. наук</v>
          </cell>
          <cell r="S46" t="str">
            <v>л</v>
          </cell>
          <cell r="T46" t="str">
            <v>Программное обеспечение систем и сетей</v>
          </cell>
          <cell r="W46" t="str">
            <v>Алешов В.В.</v>
          </cell>
          <cell r="X46" t="str">
            <v>ст. преподаватель</v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  <cell r="K47">
            <v>0</v>
          </cell>
          <cell r="L47">
            <v>0</v>
          </cell>
          <cell r="O47">
            <v>0</v>
          </cell>
          <cell r="P47" t="str">
            <v/>
          </cell>
          <cell r="S47" t="str">
            <v>пр</v>
          </cell>
          <cell r="T47" t="str">
            <v>Алгебра</v>
          </cell>
          <cell r="W47" t="str">
            <v>Овчинникова М.В.</v>
          </cell>
          <cell r="X47" t="str">
            <v>доцент, канд. наук</v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  <cell r="K48">
            <v>0</v>
          </cell>
          <cell r="L48">
            <v>0</v>
          </cell>
          <cell r="O48">
            <v>0</v>
          </cell>
          <cell r="P48" t="str">
            <v/>
          </cell>
          <cell r="S48">
            <v>0</v>
          </cell>
          <cell r="T48">
            <v>0</v>
          </cell>
          <cell r="W48">
            <v>0</v>
          </cell>
          <cell r="X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  <cell r="K49">
            <v>0</v>
          </cell>
          <cell r="L49">
            <v>0</v>
          </cell>
          <cell r="O49">
            <v>0</v>
          </cell>
          <cell r="P49" t="str">
            <v/>
          </cell>
          <cell r="S49">
            <v>0</v>
          </cell>
          <cell r="T49">
            <v>0</v>
          </cell>
          <cell r="W49">
            <v>0</v>
          </cell>
          <cell r="X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  <cell r="K50">
            <v>0</v>
          </cell>
          <cell r="L50">
            <v>0</v>
          </cell>
          <cell r="O50">
            <v>0</v>
          </cell>
          <cell r="P50" t="str">
            <v/>
          </cell>
          <cell r="S50">
            <v>0</v>
          </cell>
          <cell r="T50">
            <v>0</v>
          </cell>
          <cell r="W50">
            <v>0</v>
          </cell>
          <cell r="X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  <cell r="K51">
            <v>0</v>
          </cell>
          <cell r="L51">
            <v>0</v>
          </cell>
          <cell r="O51">
            <v>0</v>
          </cell>
          <cell r="P51" t="str">
            <v/>
          </cell>
          <cell r="S51">
            <v>0</v>
          </cell>
          <cell r="T51">
            <v>0</v>
          </cell>
          <cell r="W51">
            <v>0</v>
          </cell>
          <cell r="X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  <cell r="K52">
            <v>0</v>
          </cell>
          <cell r="L52">
            <v>0</v>
          </cell>
          <cell r="O52">
            <v>0</v>
          </cell>
          <cell r="P52" t="str">
            <v/>
          </cell>
          <cell r="S52">
            <v>0</v>
          </cell>
          <cell r="T52">
            <v>0</v>
          </cell>
          <cell r="W52">
            <v>0</v>
          </cell>
          <cell r="X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  <cell r="K53">
            <v>0</v>
          </cell>
          <cell r="L53">
            <v>0</v>
          </cell>
          <cell r="O53">
            <v>0</v>
          </cell>
          <cell r="P53" t="str">
            <v/>
          </cell>
          <cell r="S53">
            <v>0</v>
          </cell>
          <cell r="T53">
            <v>0</v>
          </cell>
          <cell r="W53">
            <v>0</v>
          </cell>
          <cell r="X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  <cell r="K54">
            <v>0</v>
          </cell>
          <cell r="L54">
            <v>0</v>
          </cell>
          <cell r="O54">
            <v>0</v>
          </cell>
          <cell r="P54" t="str">
            <v/>
          </cell>
          <cell r="S54">
            <v>0</v>
          </cell>
          <cell r="T54">
            <v>0</v>
          </cell>
          <cell r="W54">
            <v>0</v>
          </cell>
          <cell r="X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  <cell r="K55">
            <v>0</v>
          </cell>
          <cell r="L55">
            <v>0</v>
          </cell>
          <cell r="O55">
            <v>0</v>
          </cell>
          <cell r="P55" t="str">
            <v/>
          </cell>
          <cell r="S55">
            <v>0</v>
          </cell>
          <cell r="T55">
            <v>0</v>
          </cell>
          <cell r="W55">
            <v>0</v>
          </cell>
          <cell r="X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  <cell r="K56">
            <v>0</v>
          </cell>
          <cell r="L56">
            <v>0</v>
          </cell>
          <cell r="O56">
            <v>0</v>
          </cell>
          <cell r="P56" t="str">
            <v/>
          </cell>
          <cell r="S56">
            <v>0</v>
          </cell>
          <cell r="T56">
            <v>0</v>
          </cell>
          <cell r="W56">
            <v>0</v>
          </cell>
          <cell r="X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  <cell r="K57">
            <v>0</v>
          </cell>
          <cell r="L57">
            <v>0</v>
          </cell>
          <cell r="O57">
            <v>0</v>
          </cell>
          <cell r="P57" t="str">
            <v/>
          </cell>
          <cell r="S57">
            <v>0</v>
          </cell>
          <cell r="T57">
            <v>0</v>
          </cell>
          <cell r="W57">
            <v>0</v>
          </cell>
          <cell r="X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  <cell r="K58">
            <v>0</v>
          </cell>
          <cell r="L58">
            <v>0</v>
          </cell>
          <cell r="O58">
            <v>0</v>
          </cell>
          <cell r="P58" t="str">
            <v/>
          </cell>
          <cell r="S58">
            <v>0</v>
          </cell>
          <cell r="T58">
            <v>0</v>
          </cell>
          <cell r="W58">
            <v>0</v>
          </cell>
          <cell r="X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K59">
            <v>0</v>
          </cell>
          <cell r="L59">
            <v>0</v>
          </cell>
          <cell r="O59">
            <v>0</v>
          </cell>
          <cell r="P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74">
          <cell r="C74" t="str">
            <v>л</v>
          </cell>
          <cell r="D74" t="str">
            <v>История России</v>
          </cell>
          <cell r="G74" t="str">
            <v>Сальников В.И.</v>
          </cell>
          <cell r="H74" t="str">
            <v>доцент, канд. наук</v>
          </cell>
          <cell r="K74" t="str">
            <v>л</v>
          </cell>
          <cell r="L74" t="str">
            <v>Введение в Javascript и основы веб-разработки</v>
          </cell>
          <cell r="O74" t="str">
            <v>Алешов В.В.</v>
          </cell>
          <cell r="P74" t="str">
            <v>ст. преподаватель</v>
          </cell>
          <cell r="S74">
            <v>0</v>
          </cell>
          <cell r="T74">
            <v>0</v>
          </cell>
          <cell r="W74">
            <v>0</v>
          </cell>
          <cell r="X74" t="str">
            <v/>
          </cell>
        </row>
        <row r="75">
          <cell r="C75" t="str">
            <v>пр</v>
          </cell>
          <cell r="D75" t="str">
            <v>Физическая культура и спорт</v>
          </cell>
          <cell r="G75" t="str">
            <v>Набока В.И.</v>
          </cell>
          <cell r="H75" t="str">
            <v>преподаватель</v>
          </cell>
          <cell r="K75" t="str">
            <v>пр</v>
          </cell>
          <cell r="L75" t="str">
            <v>Введение в Javascript и основы веб-разработки</v>
          </cell>
          <cell r="O75" t="str">
            <v>Алешов В.В.</v>
          </cell>
          <cell r="P75" t="str">
            <v>ст. преподаватель</v>
          </cell>
          <cell r="S75" t="str">
            <v>пр</v>
          </cell>
          <cell r="T75" t="str">
            <v>Компьютерная безопасность</v>
          </cell>
          <cell r="W75" t="str">
            <v>Алешов Е.В.</v>
          </cell>
          <cell r="X75" t="str">
            <v>преподаватель</v>
          </cell>
        </row>
        <row r="76">
          <cell r="C76" t="str">
            <v>пр</v>
          </cell>
          <cell r="D76" t="str">
            <v>Иностранный язык</v>
          </cell>
          <cell r="G76" t="str">
            <v>Суворова С.Г.</v>
          </cell>
          <cell r="H76" t="str">
            <v>ст. преподаватель</v>
          </cell>
          <cell r="K76" t="str">
            <v>пр</v>
          </cell>
          <cell r="L76" t="str">
            <v>Математика для программирования</v>
          </cell>
          <cell r="O76" t="str">
            <v>Линник Е.П.</v>
          </cell>
          <cell r="P76" t="str">
            <v>доцент, канд. наук</v>
          </cell>
          <cell r="S76" t="str">
            <v>пр</v>
          </cell>
          <cell r="T76" t="str">
            <v>Графика и анимация в 3D</v>
          </cell>
          <cell r="W76" t="str">
            <v>Алешов В.В.</v>
          </cell>
          <cell r="X76" t="str">
            <v>ст. преподаватель</v>
          </cell>
        </row>
        <row r="77">
          <cell r="C77">
            <v>0</v>
          </cell>
          <cell r="D77">
            <v>0</v>
          </cell>
          <cell r="G77">
            <v>0</v>
          </cell>
          <cell r="H77" t="str">
            <v/>
          </cell>
          <cell r="K77">
            <v>0</v>
          </cell>
          <cell r="L77">
            <v>0</v>
          </cell>
          <cell r="O77">
            <v>0</v>
          </cell>
          <cell r="P77" t="str">
            <v/>
          </cell>
          <cell r="S77" t="str">
            <v>пр</v>
          </cell>
          <cell r="T77" t="str">
            <v>Графика и анимация в 3D</v>
          </cell>
          <cell r="W77" t="str">
            <v>Алешов В.В.</v>
          </cell>
          <cell r="X77" t="str">
            <v>ст. преподаватель</v>
          </cell>
        </row>
        <row r="78">
          <cell r="C78">
            <v>0</v>
          </cell>
          <cell r="D78">
            <v>0</v>
          </cell>
          <cell r="G78">
            <v>0</v>
          </cell>
          <cell r="H78" t="str">
            <v/>
          </cell>
          <cell r="K78">
            <v>0</v>
          </cell>
          <cell r="L78">
            <v>0</v>
          </cell>
          <cell r="O78">
            <v>0</v>
          </cell>
          <cell r="P78" t="str">
            <v/>
          </cell>
          <cell r="S78">
            <v>0</v>
          </cell>
          <cell r="T78">
            <v>0</v>
          </cell>
          <cell r="W78">
            <v>0</v>
          </cell>
          <cell r="X78" t="str">
            <v/>
          </cell>
        </row>
        <row r="79">
          <cell r="C79">
            <v>0</v>
          </cell>
          <cell r="D79">
            <v>0</v>
          </cell>
          <cell r="G79">
            <v>0</v>
          </cell>
          <cell r="H79" t="str">
            <v/>
          </cell>
          <cell r="K79">
            <v>0</v>
          </cell>
          <cell r="L79">
            <v>0</v>
          </cell>
          <cell r="O79">
            <v>0</v>
          </cell>
          <cell r="P79" t="str">
            <v/>
          </cell>
          <cell r="S79">
            <v>0</v>
          </cell>
          <cell r="T79">
            <v>0</v>
          </cell>
          <cell r="W79">
            <v>0</v>
          </cell>
          <cell r="X79" t="str">
            <v/>
          </cell>
        </row>
        <row r="80">
          <cell r="C80">
            <v>0</v>
          </cell>
          <cell r="D80">
            <v>0</v>
          </cell>
          <cell r="G80">
            <v>0</v>
          </cell>
          <cell r="H80" t="str">
            <v/>
          </cell>
          <cell r="K80">
            <v>0</v>
          </cell>
          <cell r="L80">
            <v>0</v>
          </cell>
          <cell r="O80">
            <v>0</v>
          </cell>
          <cell r="P80" t="str">
            <v/>
          </cell>
          <cell r="S80">
            <v>0</v>
          </cell>
          <cell r="T80">
            <v>0</v>
          </cell>
          <cell r="W80">
            <v>0</v>
          </cell>
          <cell r="X80" t="str">
            <v/>
          </cell>
        </row>
        <row r="81">
          <cell r="C81">
            <v>0</v>
          </cell>
          <cell r="D81">
            <v>0</v>
          </cell>
          <cell r="G81">
            <v>0</v>
          </cell>
          <cell r="H81" t="str">
            <v/>
          </cell>
          <cell r="K81">
            <v>0</v>
          </cell>
          <cell r="L81">
            <v>0</v>
          </cell>
          <cell r="O81">
            <v>0</v>
          </cell>
          <cell r="P81" t="str">
            <v/>
          </cell>
          <cell r="S81">
            <v>0</v>
          </cell>
          <cell r="T81">
            <v>0</v>
          </cell>
          <cell r="W81">
            <v>0</v>
          </cell>
          <cell r="X81" t="str">
            <v/>
          </cell>
        </row>
        <row r="82">
          <cell r="C82">
            <v>0</v>
          </cell>
          <cell r="D82">
            <v>0</v>
          </cell>
          <cell r="G82">
            <v>0</v>
          </cell>
          <cell r="H82" t="str">
            <v/>
          </cell>
          <cell r="K82" t="str">
            <v>л</v>
          </cell>
          <cell r="L82" t="str">
            <v>Основы компьютерных наук</v>
          </cell>
          <cell r="O82" t="str">
            <v>Криницкий Ю.В.</v>
          </cell>
          <cell r="P82" t="str">
            <v>преподаватель</v>
          </cell>
          <cell r="S82" t="str">
            <v>л</v>
          </cell>
          <cell r="T82" t="str">
            <v>Разработка программного обеспечения, дизайн алгоритмов и аналитика</v>
          </cell>
          <cell r="W82" t="str">
            <v>Алешов Е.В.</v>
          </cell>
          <cell r="X82" t="str">
            <v>преподаватель</v>
          </cell>
        </row>
        <row r="83">
          <cell r="C83" t="str">
            <v>пр</v>
          </cell>
          <cell r="D83" t="str">
            <v>Программное обеспечение систем и сетей</v>
          </cell>
          <cell r="G83" t="str">
            <v>Алешов В.В.</v>
          </cell>
          <cell r="H83" t="str">
            <v>ст. преподаватель</v>
          </cell>
          <cell r="K83" t="str">
            <v>пр</v>
          </cell>
          <cell r="L83" t="str">
            <v>Основы компьютерных наук</v>
          </cell>
          <cell r="O83" t="str">
            <v>Криницкий Ю.В.</v>
          </cell>
          <cell r="P83" t="str">
            <v>преподаватель</v>
          </cell>
          <cell r="S83" t="str">
            <v>пр</v>
          </cell>
          <cell r="T83" t="str">
            <v>Разработка программного обеспечения, дизайн алгоритмов и аналитика</v>
          </cell>
          <cell r="W83" t="str">
            <v>Алешов Е.В.</v>
          </cell>
          <cell r="X83" t="str">
            <v>преподаватель</v>
          </cell>
        </row>
        <row r="84">
          <cell r="C84" t="str">
            <v>пр</v>
          </cell>
          <cell r="D84" t="str">
            <v xml:space="preserve"> Технологии цифрового образования</v>
          </cell>
          <cell r="G84" t="str">
            <v>Шевченко Е.Н.</v>
          </cell>
          <cell r="H84" t="str">
            <v>ст. преподаватель</v>
          </cell>
          <cell r="K84">
            <v>0</v>
          </cell>
          <cell r="L84">
            <v>0</v>
          </cell>
          <cell r="O84">
            <v>0</v>
          </cell>
          <cell r="P84" t="str">
            <v/>
          </cell>
          <cell r="S84">
            <v>0</v>
          </cell>
          <cell r="T84">
            <v>0</v>
          </cell>
          <cell r="W84">
            <v>0</v>
          </cell>
          <cell r="X84" t="str">
            <v/>
          </cell>
        </row>
        <row r="85">
          <cell r="C85" t="str">
            <v>л</v>
          </cell>
          <cell r="D85" t="str">
            <v>Элементарная математика</v>
          </cell>
          <cell r="G85" t="str">
            <v>Зиненко И.Н.</v>
          </cell>
          <cell r="H85" t="str">
            <v>доцент, канд. наук</v>
          </cell>
          <cell r="K85">
            <v>0</v>
          </cell>
          <cell r="L85">
            <v>0</v>
          </cell>
          <cell r="O85">
            <v>0</v>
          </cell>
          <cell r="P85" t="str">
            <v/>
          </cell>
          <cell r="S85">
            <v>0</v>
          </cell>
          <cell r="T85">
            <v>0</v>
          </cell>
          <cell r="W85">
            <v>0</v>
          </cell>
          <cell r="X85" t="str">
            <v/>
          </cell>
        </row>
        <row r="86">
          <cell r="C86" t="str">
            <v>л</v>
          </cell>
          <cell r="D86" t="str">
            <v>Элементарная математика</v>
          </cell>
          <cell r="G86" t="str">
            <v>Зиненко И.Н.</v>
          </cell>
          <cell r="H86" t="str">
            <v>доцент, канд. наук</v>
          </cell>
          <cell r="K86">
            <v>0</v>
          </cell>
          <cell r="L86">
            <v>0</v>
          </cell>
          <cell r="O86">
            <v>0</v>
          </cell>
          <cell r="P86" t="str">
            <v/>
          </cell>
          <cell r="S86">
            <v>0</v>
          </cell>
          <cell r="T86">
            <v>0</v>
          </cell>
          <cell r="W86">
            <v>0</v>
          </cell>
          <cell r="X86" t="str">
            <v/>
          </cell>
        </row>
        <row r="87">
          <cell r="C87">
            <v>0</v>
          </cell>
          <cell r="D87">
            <v>0</v>
          </cell>
          <cell r="G87">
            <v>0</v>
          </cell>
          <cell r="H87" t="str">
            <v/>
          </cell>
          <cell r="K87">
            <v>0</v>
          </cell>
          <cell r="L87">
            <v>0</v>
          </cell>
          <cell r="O87">
            <v>0</v>
          </cell>
          <cell r="P87" t="str">
            <v/>
          </cell>
          <cell r="S87">
            <v>0</v>
          </cell>
          <cell r="T87">
            <v>0</v>
          </cell>
          <cell r="W87">
            <v>0</v>
          </cell>
          <cell r="X87" t="str">
            <v/>
          </cell>
        </row>
        <row r="88">
          <cell r="C88">
            <v>0</v>
          </cell>
          <cell r="D88">
            <v>0</v>
          </cell>
          <cell r="G88">
            <v>0</v>
          </cell>
          <cell r="H88" t="str">
            <v/>
          </cell>
          <cell r="K88">
            <v>0</v>
          </cell>
          <cell r="L88">
            <v>0</v>
          </cell>
          <cell r="O88">
            <v>0</v>
          </cell>
          <cell r="P88" t="str">
            <v/>
          </cell>
          <cell r="S88">
            <v>0</v>
          </cell>
          <cell r="T88">
            <v>0</v>
          </cell>
          <cell r="W88">
            <v>0</v>
          </cell>
          <cell r="X88" t="str">
            <v/>
          </cell>
        </row>
        <row r="89">
          <cell r="C89">
            <v>0</v>
          </cell>
          <cell r="D89">
            <v>0</v>
          </cell>
          <cell r="G89">
            <v>0</v>
          </cell>
          <cell r="H89" t="str">
            <v/>
          </cell>
          <cell r="K89">
            <v>0</v>
          </cell>
          <cell r="L89">
            <v>0</v>
          </cell>
          <cell r="O89">
            <v>0</v>
          </cell>
          <cell r="P89" t="str">
            <v/>
          </cell>
          <cell r="S89">
            <v>0</v>
          </cell>
          <cell r="T89">
            <v>0</v>
          </cell>
          <cell r="W89">
            <v>0</v>
          </cell>
          <cell r="X89" t="str">
            <v/>
          </cell>
        </row>
        <row r="90">
          <cell r="C90">
            <v>0</v>
          </cell>
          <cell r="D90">
            <v>0</v>
          </cell>
          <cell r="G90">
            <v>0</v>
          </cell>
          <cell r="H90" t="str">
            <v/>
          </cell>
          <cell r="K90" t="str">
            <v>пр</v>
          </cell>
          <cell r="L90" t="str">
            <v xml:space="preserve"> Финансово-экономический практикум</v>
          </cell>
          <cell r="O90" t="str">
            <v>Бойчук О.В.</v>
          </cell>
          <cell r="P90" t="str">
            <v>ст. преподаватель</v>
          </cell>
          <cell r="S90" t="str">
            <v>пр</v>
          </cell>
          <cell r="T90" t="str">
            <v>Графика и анимация в 3D</v>
          </cell>
          <cell r="W90" t="str">
            <v>Алешов В.В.</v>
          </cell>
          <cell r="X90" t="str">
            <v>ст. преподаватель</v>
          </cell>
        </row>
        <row r="91">
          <cell r="C91" t="str">
            <v>л</v>
          </cell>
          <cell r="D91" t="str">
            <v>Элементарная  физика</v>
          </cell>
          <cell r="G91" t="str">
            <v>Коробова И.В.</v>
          </cell>
          <cell r="H91" t="str">
            <v>профессор, д-р наук</v>
          </cell>
          <cell r="K91" t="str">
            <v>пр</v>
          </cell>
          <cell r="L91" t="str">
            <v xml:space="preserve"> Нормативно-правовые основы профессиональной деятельности</v>
          </cell>
          <cell r="O91" t="str">
            <v>Тымчук А.С.</v>
          </cell>
          <cell r="P91" t="str">
            <v>преподаватель</v>
          </cell>
          <cell r="S91" t="str">
            <v>пр</v>
          </cell>
          <cell r="T91" t="str">
            <v>Графика и анимация в 3D</v>
          </cell>
          <cell r="W91" t="str">
            <v>Алешов В.В.</v>
          </cell>
          <cell r="X91" t="str">
            <v>ст. преподаватель</v>
          </cell>
        </row>
        <row r="92">
          <cell r="C92" t="str">
            <v>пр</v>
          </cell>
          <cell r="D92" t="str">
            <v>Математические основы информатики</v>
          </cell>
          <cell r="G92" t="str">
            <v>Казанцев Ю.А.</v>
          </cell>
          <cell r="H92" t="str">
            <v>ст. преподаватель</v>
          </cell>
          <cell r="K92">
            <v>0</v>
          </cell>
          <cell r="L92">
            <v>0</v>
          </cell>
          <cell r="O92">
            <v>0</v>
          </cell>
          <cell r="P92" t="str">
            <v/>
          </cell>
          <cell r="S92" t="str">
            <v>пр</v>
          </cell>
          <cell r="T92" t="str">
            <v>Физическая культура и спорт</v>
          </cell>
          <cell r="W92" t="str">
            <v>Продан С.В.</v>
          </cell>
          <cell r="X92" t="str">
            <v>преподаватель</v>
          </cell>
        </row>
        <row r="93">
          <cell r="C93" t="str">
            <v>пр</v>
          </cell>
          <cell r="D93" t="str">
            <v>Физическая культура и спорт</v>
          </cell>
          <cell r="G93" t="str">
            <v>Набока В.И.</v>
          </cell>
          <cell r="H93" t="str">
            <v>преподаватель</v>
          </cell>
          <cell r="K93">
            <v>0</v>
          </cell>
          <cell r="L93">
            <v>0</v>
          </cell>
          <cell r="O93">
            <v>0</v>
          </cell>
          <cell r="P93" t="str">
            <v/>
          </cell>
          <cell r="S93">
            <v>0</v>
          </cell>
          <cell r="T93">
            <v>0</v>
          </cell>
          <cell r="W93">
            <v>0</v>
          </cell>
          <cell r="X93" t="str">
            <v/>
          </cell>
        </row>
        <row r="94">
          <cell r="C94">
            <v>0</v>
          </cell>
          <cell r="D94">
            <v>0</v>
          </cell>
          <cell r="G94">
            <v>0</v>
          </cell>
          <cell r="H94" t="str">
            <v/>
          </cell>
          <cell r="K94">
            <v>0</v>
          </cell>
          <cell r="L94">
            <v>0</v>
          </cell>
          <cell r="O94">
            <v>0</v>
          </cell>
          <cell r="P94" t="str">
            <v/>
          </cell>
          <cell r="S94">
            <v>0</v>
          </cell>
          <cell r="T94">
            <v>0</v>
          </cell>
          <cell r="W94">
            <v>0</v>
          </cell>
          <cell r="X94" t="str">
            <v/>
          </cell>
        </row>
        <row r="95">
          <cell r="C95">
            <v>0</v>
          </cell>
          <cell r="D95">
            <v>0</v>
          </cell>
          <cell r="G95">
            <v>0</v>
          </cell>
          <cell r="H95" t="str">
            <v/>
          </cell>
          <cell r="K95">
            <v>0</v>
          </cell>
          <cell r="L95">
            <v>0</v>
          </cell>
          <cell r="O95">
            <v>0</v>
          </cell>
          <cell r="P95" t="str">
            <v/>
          </cell>
          <cell r="S95">
            <v>0</v>
          </cell>
          <cell r="T95">
            <v>0</v>
          </cell>
          <cell r="W95">
            <v>0</v>
          </cell>
          <cell r="X95" t="str">
            <v/>
          </cell>
        </row>
        <row r="96">
          <cell r="C96">
            <v>0</v>
          </cell>
          <cell r="D96">
            <v>0</v>
          </cell>
          <cell r="G96">
            <v>0</v>
          </cell>
          <cell r="H96" t="str">
            <v/>
          </cell>
          <cell r="K96">
            <v>0</v>
          </cell>
          <cell r="L96">
            <v>0</v>
          </cell>
          <cell r="O96">
            <v>0</v>
          </cell>
          <cell r="P96" t="str">
            <v/>
          </cell>
          <cell r="S96">
            <v>0</v>
          </cell>
          <cell r="T96">
            <v>0</v>
          </cell>
          <cell r="W96">
            <v>0</v>
          </cell>
          <cell r="X96" t="str">
            <v/>
          </cell>
        </row>
        <row r="97">
          <cell r="C97">
            <v>0</v>
          </cell>
          <cell r="D97">
            <v>0</v>
          </cell>
          <cell r="G97">
            <v>0</v>
          </cell>
          <cell r="H97" t="str">
            <v/>
          </cell>
          <cell r="K97">
            <v>0</v>
          </cell>
          <cell r="L97">
            <v>0</v>
          </cell>
          <cell r="O97">
            <v>0</v>
          </cell>
          <cell r="P97" t="str">
            <v/>
          </cell>
          <cell r="S97">
            <v>0</v>
          </cell>
          <cell r="T97">
            <v>0</v>
          </cell>
          <cell r="W97">
            <v>0</v>
          </cell>
          <cell r="X97" t="str">
            <v/>
          </cell>
        </row>
        <row r="98">
          <cell r="C98">
            <v>0</v>
          </cell>
          <cell r="D98">
            <v>0</v>
          </cell>
          <cell r="G98">
            <v>0</v>
          </cell>
          <cell r="H98" t="str">
            <v/>
          </cell>
          <cell r="K98">
            <v>0</v>
          </cell>
          <cell r="L98">
            <v>0</v>
          </cell>
          <cell r="O98">
            <v>0</v>
          </cell>
          <cell r="P98" t="str">
            <v/>
          </cell>
          <cell r="S98" t="str">
            <v>пр</v>
          </cell>
          <cell r="T98" t="str">
            <v>Управление ИТ-проектами и гибкая методология</v>
          </cell>
          <cell r="W98" t="str">
            <v>Гришин И.Ю.</v>
          </cell>
          <cell r="X98" t="str">
            <v>профессор, д-р наук</v>
          </cell>
        </row>
        <row r="99">
          <cell r="C99">
            <v>0</v>
          </cell>
          <cell r="D99">
            <v>0</v>
          </cell>
          <cell r="G99">
            <v>0</v>
          </cell>
          <cell r="H99" t="str">
            <v/>
          </cell>
          <cell r="K99" t="str">
            <v>пр</v>
          </cell>
          <cell r="L99" t="str">
            <v>Математика для программирования</v>
          </cell>
          <cell r="O99" t="str">
            <v>Линник Е.П.</v>
          </cell>
          <cell r="P99" t="str">
            <v>доцент, канд. наук</v>
          </cell>
          <cell r="S99" t="str">
            <v>пр</v>
          </cell>
          <cell r="T99" t="str">
            <v>Управление ИТ-проектами и гибкая методология</v>
          </cell>
          <cell r="W99" t="str">
            <v>Гришин И.Ю.</v>
          </cell>
          <cell r="X99" t="str">
            <v>профессор, д-р наук</v>
          </cell>
        </row>
        <row r="100">
          <cell r="C100" t="str">
            <v>пр</v>
          </cell>
          <cell r="D100" t="str">
            <v>Высшая математика</v>
          </cell>
          <cell r="G100" t="str">
            <v>Зиненко И.Н.</v>
          </cell>
          <cell r="H100" t="str">
            <v>доцент, канд. наук</v>
          </cell>
          <cell r="K100" t="str">
            <v>пр</v>
          </cell>
          <cell r="L100" t="str">
            <v>Математика для программирования</v>
          </cell>
          <cell r="O100" t="str">
            <v>Линник Е.П.</v>
          </cell>
          <cell r="P100" t="str">
            <v>доцент, канд. наук</v>
          </cell>
          <cell r="S100" t="str">
            <v>пр</v>
          </cell>
          <cell r="T100" t="str">
            <v xml:space="preserve"> Основы военной подготовки</v>
          </cell>
          <cell r="W100" t="str">
            <v>Кулак А.Ф.</v>
          </cell>
          <cell r="X100" t="str">
            <v>преподаватель</v>
          </cell>
        </row>
        <row r="101">
          <cell r="C101" t="str">
            <v>пр</v>
          </cell>
          <cell r="D101" t="str">
            <v xml:space="preserve"> Возрастная анатомия, физиология и культура здоровья</v>
          </cell>
          <cell r="G101" t="str">
            <v>Тотоева О.Н.</v>
          </cell>
          <cell r="H101" t="str">
            <v>доцент, канд. наук</v>
          </cell>
          <cell r="K101">
            <v>0</v>
          </cell>
          <cell r="L101">
            <v>0</v>
          </cell>
          <cell r="O101">
            <v>0</v>
          </cell>
          <cell r="P101" t="str">
            <v/>
          </cell>
          <cell r="S101">
            <v>0</v>
          </cell>
          <cell r="T101">
            <v>0</v>
          </cell>
          <cell r="W101">
            <v>0</v>
          </cell>
          <cell r="X101" t="str">
            <v/>
          </cell>
        </row>
        <row r="102">
          <cell r="C102" t="str">
            <v>пр</v>
          </cell>
          <cell r="D102" t="str">
            <v xml:space="preserve"> Основы российской государственности</v>
          </cell>
          <cell r="G102" t="str">
            <v>Лысенко Е.Г.</v>
          </cell>
          <cell r="H102" t="str">
            <v>доцент, канд. наук</v>
          </cell>
          <cell r="K102">
            <v>0</v>
          </cell>
          <cell r="L102">
            <v>0</v>
          </cell>
          <cell r="O102">
            <v>0</v>
          </cell>
          <cell r="P102" t="str">
            <v/>
          </cell>
          <cell r="S102">
            <v>0</v>
          </cell>
          <cell r="T102">
            <v>0</v>
          </cell>
          <cell r="W102">
            <v>0</v>
          </cell>
          <cell r="X102" t="str">
            <v/>
          </cell>
        </row>
        <row r="103">
          <cell r="C103">
            <v>0</v>
          </cell>
          <cell r="D103">
            <v>0</v>
          </cell>
          <cell r="G103">
            <v>0</v>
          </cell>
          <cell r="H103" t="str">
            <v/>
          </cell>
          <cell r="K103">
            <v>0</v>
          </cell>
          <cell r="L103">
            <v>0</v>
          </cell>
          <cell r="O103">
            <v>0</v>
          </cell>
          <cell r="P103" t="str">
            <v/>
          </cell>
          <cell r="S103">
            <v>0</v>
          </cell>
          <cell r="T103">
            <v>0</v>
          </cell>
          <cell r="W103">
            <v>0</v>
          </cell>
          <cell r="X103" t="str">
            <v/>
          </cell>
        </row>
        <row r="104">
          <cell r="C104">
            <v>0</v>
          </cell>
          <cell r="D104">
            <v>0</v>
          </cell>
          <cell r="G104">
            <v>0</v>
          </cell>
          <cell r="H104" t="str">
            <v/>
          </cell>
          <cell r="K104">
            <v>0</v>
          </cell>
          <cell r="L104">
            <v>0</v>
          </cell>
          <cell r="O104">
            <v>0</v>
          </cell>
          <cell r="P104" t="str">
            <v/>
          </cell>
          <cell r="S104">
            <v>0</v>
          </cell>
          <cell r="T104">
            <v>0</v>
          </cell>
          <cell r="W104">
            <v>0</v>
          </cell>
          <cell r="X104" t="str">
            <v/>
          </cell>
        </row>
        <row r="105">
          <cell r="C105">
            <v>0</v>
          </cell>
          <cell r="D105">
            <v>0</v>
          </cell>
          <cell r="G105">
            <v>0</v>
          </cell>
          <cell r="H105" t="str">
            <v/>
          </cell>
          <cell r="K105">
            <v>0</v>
          </cell>
          <cell r="L105">
            <v>0</v>
          </cell>
          <cell r="O105">
            <v>0</v>
          </cell>
          <cell r="P105" t="str">
            <v/>
          </cell>
          <cell r="S105">
            <v>0</v>
          </cell>
          <cell r="T105">
            <v>0</v>
          </cell>
          <cell r="W105">
            <v>0</v>
          </cell>
          <cell r="X105" t="str">
            <v/>
          </cell>
        </row>
        <row r="106">
          <cell r="C106">
            <v>0</v>
          </cell>
          <cell r="D106">
            <v>0</v>
          </cell>
          <cell r="G106">
            <v>0</v>
          </cell>
          <cell r="H106" t="str">
            <v/>
          </cell>
          <cell r="K106">
            <v>0</v>
          </cell>
          <cell r="L106">
            <v>0</v>
          </cell>
          <cell r="O106">
            <v>0</v>
          </cell>
          <cell r="P106" t="str">
            <v/>
          </cell>
          <cell r="S106" t="str">
            <v>пр</v>
          </cell>
          <cell r="T106" t="str">
            <v>Управление ИТ-проектами и гибкая методология</v>
          </cell>
          <cell r="W106" t="str">
            <v>Гришин И.Ю.</v>
          </cell>
          <cell r="X106" t="str">
            <v>профессор, д-р наук</v>
          </cell>
        </row>
        <row r="107">
          <cell r="C107" t="str">
            <v>пр</v>
          </cell>
          <cell r="D107" t="str">
            <v xml:space="preserve"> История России</v>
          </cell>
          <cell r="G107" t="str">
            <v>Сальников В.И.</v>
          </cell>
          <cell r="H107" t="str">
            <v>доцент, канд. наук</v>
          </cell>
          <cell r="K107" t="str">
            <v>пр</v>
          </cell>
          <cell r="L107" t="str">
            <v>Введение в Javascript и основы веб-разработки</v>
          </cell>
          <cell r="O107" t="str">
            <v>Алешов В.В.</v>
          </cell>
          <cell r="P107" t="str">
            <v>ст. преподаватель</v>
          </cell>
          <cell r="S107" t="str">
            <v>л</v>
          </cell>
          <cell r="T107" t="str">
            <v>Компьютерная безопасность</v>
          </cell>
          <cell r="W107" t="str">
            <v>Алешов Е.В.</v>
          </cell>
          <cell r="X107" t="str">
            <v>преподаватель</v>
          </cell>
        </row>
        <row r="108">
          <cell r="C108" t="str">
            <v>л</v>
          </cell>
          <cell r="D108" t="str">
            <v>Дискретные модели в информатике</v>
          </cell>
          <cell r="G108" t="str">
            <v>Олейников Н.Н.</v>
          </cell>
          <cell r="H108" t="str">
            <v>ст. преподаватель</v>
          </cell>
          <cell r="K108" t="str">
            <v>пр</v>
          </cell>
          <cell r="L108" t="str">
            <v>Архитектура компьютера и Интернет</v>
          </cell>
          <cell r="O108" t="str">
            <v>Криницкий Ю.В.</v>
          </cell>
          <cell r="P108" t="str">
            <v>преподаватель</v>
          </cell>
          <cell r="S108" t="str">
            <v>пр</v>
          </cell>
          <cell r="T108" t="str">
            <v>Компьютерная безопасность</v>
          </cell>
          <cell r="W108" t="str">
            <v>Алешов Е.В.</v>
          </cell>
          <cell r="X108" t="str">
            <v>преподаватель</v>
          </cell>
        </row>
        <row r="109">
          <cell r="C109" t="str">
            <v>пр</v>
          </cell>
          <cell r="D109" t="str">
            <v>Дискретные модели в информатике</v>
          </cell>
          <cell r="G109" t="str">
            <v>Олейников Н.Н.</v>
          </cell>
          <cell r="H109" t="str">
            <v>ст. преподаватель</v>
          </cell>
          <cell r="K109" t="str">
            <v>пр</v>
          </cell>
          <cell r="L109" t="str">
            <v>Физическая культура и спорт</v>
          </cell>
          <cell r="O109" t="str">
            <v>Заболотний С.И.</v>
          </cell>
          <cell r="P109" t="str">
            <v>преподаватель</v>
          </cell>
          <cell r="S109">
            <v>0</v>
          </cell>
          <cell r="T109">
            <v>0</v>
          </cell>
          <cell r="W109">
            <v>0</v>
          </cell>
          <cell r="X109" t="str">
            <v/>
          </cell>
        </row>
        <row r="110">
          <cell r="C110">
            <v>0</v>
          </cell>
          <cell r="D110">
            <v>0</v>
          </cell>
          <cell r="G110">
            <v>0</v>
          </cell>
          <cell r="H110" t="str">
            <v/>
          </cell>
          <cell r="K110">
            <v>0</v>
          </cell>
          <cell r="L110">
            <v>0</v>
          </cell>
          <cell r="O110">
            <v>0</v>
          </cell>
          <cell r="P110" t="str">
            <v/>
          </cell>
          <cell r="S110">
            <v>0</v>
          </cell>
          <cell r="T110">
            <v>0</v>
          </cell>
          <cell r="W110">
            <v>0</v>
          </cell>
          <cell r="X110" t="str">
            <v/>
          </cell>
        </row>
        <row r="111">
          <cell r="C111">
            <v>0</v>
          </cell>
          <cell r="D111">
            <v>0</v>
          </cell>
          <cell r="G111">
            <v>0</v>
          </cell>
          <cell r="H111" t="str">
            <v/>
          </cell>
          <cell r="K111">
            <v>0</v>
          </cell>
          <cell r="L111">
            <v>0</v>
          </cell>
          <cell r="O111">
            <v>0</v>
          </cell>
          <cell r="P111" t="str">
            <v/>
          </cell>
          <cell r="S111">
            <v>0</v>
          </cell>
          <cell r="T111">
            <v>0</v>
          </cell>
          <cell r="W111">
            <v>0</v>
          </cell>
          <cell r="X111" t="str">
            <v/>
          </cell>
        </row>
        <row r="112">
          <cell r="C112">
            <v>0</v>
          </cell>
          <cell r="D112">
            <v>0</v>
          </cell>
          <cell r="G112">
            <v>0</v>
          </cell>
          <cell r="H112" t="str">
            <v/>
          </cell>
          <cell r="K112">
            <v>0</v>
          </cell>
          <cell r="L112">
            <v>0</v>
          </cell>
          <cell r="O112">
            <v>0</v>
          </cell>
          <cell r="P112" t="str">
            <v/>
          </cell>
          <cell r="S112">
            <v>0</v>
          </cell>
          <cell r="T112">
            <v>0</v>
          </cell>
          <cell r="W112">
            <v>0</v>
          </cell>
          <cell r="X112" t="str">
            <v/>
          </cell>
        </row>
        <row r="113">
          <cell r="C113">
            <v>0</v>
          </cell>
          <cell r="D113">
            <v>0</v>
          </cell>
          <cell r="G113">
            <v>0</v>
          </cell>
          <cell r="H113" t="str">
            <v/>
          </cell>
          <cell r="K113">
            <v>0</v>
          </cell>
          <cell r="L113">
            <v>0</v>
          </cell>
          <cell r="O113">
            <v>0</v>
          </cell>
          <cell r="P113" t="str">
            <v/>
          </cell>
          <cell r="S113">
            <v>0</v>
          </cell>
          <cell r="T113">
            <v>0</v>
          </cell>
          <cell r="W113">
            <v>0</v>
          </cell>
          <cell r="X113" t="str">
            <v/>
          </cell>
        </row>
        <row r="114">
          <cell r="C114">
            <v>0</v>
          </cell>
          <cell r="D114">
            <v>0</v>
          </cell>
          <cell r="G114">
            <v>0</v>
          </cell>
          <cell r="H114" t="str">
            <v/>
          </cell>
          <cell r="K114">
            <v>0</v>
          </cell>
          <cell r="L114">
            <v>0</v>
          </cell>
          <cell r="O114">
            <v>0</v>
          </cell>
          <cell r="P114" t="str">
            <v/>
          </cell>
          <cell r="S114">
            <v>0</v>
          </cell>
          <cell r="T114">
            <v>0</v>
          </cell>
          <cell r="W114">
            <v>0</v>
          </cell>
          <cell r="X114" t="str">
            <v/>
          </cell>
        </row>
        <row r="115">
          <cell r="C115">
            <v>0</v>
          </cell>
          <cell r="D115">
            <v>0</v>
          </cell>
          <cell r="G115">
            <v>0</v>
          </cell>
          <cell r="H115" t="str">
            <v/>
          </cell>
          <cell r="K115">
            <v>0</v>
          </cell>
          <cell r="L115">
            <v>0</v>
          </cell>
          <cell r="O115">
            <v>0</v>
          </cell>
          <cell r="P115" t="str">
            <v/>
          </cell>
          <cell r="S115">
            <v>0</v>
          </cell>
          <cell r="T115">
            <v>0</v>
          </cell>
          <cell r="W115">
            <v>0</v>
          </cell>
          <cell r="X115" t="str">
            <v/>
          </cell>
        </row>
        <row r="116">
          <cell r="C116">
            <v>0</v>
          </cell>
          <cell r="D116">
            <v>0</v>
          </cell>
          <cell r="G116">
            <v>0</v>
          </cell>
          <cell r="H116" t="str">
            <v/>
          </cell>
          <cell r="K116">
            <v>0</v>
          </cell>
          <cell r="L116">
            <v>0</v>
          </cell>
          <cell r="O116">
            <v>0</v>
          </cell>
          <cell r="P116" t="str">
            <v/>
          </cell>
          <cell r="S116">
            <v>0</v>
          </cell>
          <cell r="T116">
            <v>0</v>
          </cell>
          <cell r="W116">
            <v>0</v>
          </cell>
          <cell r="X116" t="str">
            <v/>
          </cell>
        </row>
        <row r="117">
          <cell r="C117">
            <v>0</v>
          </cell>
          <cell r="D117">
            <v>0</v>
          </cell>
          <cell r="G117">
            <v>0</v>
          </cell>
          <cell r="H117" t="str">
            <v/>
          </cell>
          <cell r="K117">
            <v>0</v>
          </cell>
          <cell r="L117">
            <v>0</v>
          </cell>
          <cell r="O117">
            <v>0</v>
          </cell>
          <cell r="P117" t="str">
            <v/>
          </cell>
          <cell r="S117">
            <v>0</v>
          </cell>
          <cell r="T117">
            <v>0</v>
          </cell>
          <cell r="W117">
            <v>0</v>
          </cell>
          <cell r="X117" t="str">
            <v/>
          </cell>
        </row>
        <row r="118">
          <cell r="C118">
            <v>0</v>
          </cell>
          <cell r="D118">
            <v>0</v>
          </cell>
          <cell r="G118">
            <v>0</v>
          </cell>
          <cell r="H118" t="str">
            <v/>
          </cell>
          <cell r="K118">
            <v>0</v>
          </cell>
          <cell r="L118">
            <v>0</v>
          </cell>
          <cell r="O118">
            <v>0</v>
          </cell>
          <cell r="P118" t="str">
            <v/>
          </cell>
          <cell r="S118">
            <v>0</v>
          </cell>
          <cell r="T118">
            <v>0</v>
          </cell>
          <cell r="W118">
            <v>0</v>
          </cell>
          <cell r="X118" t="str">
            <v/>
          </cell>
        </row>
        <row r="119">
          <cell r="C119">
            <v>0</v>
          </cell>
          <cell r="D119">
            <v>0</v>
          </cell>
          <cell r="G119">
            <v>0</v>
          </cell>
          <cell r="H119" t="str">
            <v/>
          </cell>
          <cell r="K119">
            <v>0</v>
          </cell>
          <cell r="L119">
            <v>0</v>
          </cell>
          <cell r="O119">
            <v>0</v>
          </cell>
          <cell r="P119" t="str">
            <v/>
          </cell>
          <cell r="S119">
            <v>0</v>
          </cell>
          <cell r="T119">
            <v>0</v>
          </cell>
          <cell r="W119">
            <v>0</v>
          </cell>
          <cell r="X119" t="str">
            <v/>
          </cell>
        </row>
        <row r="120">
          <cell r="C120">
            <v>0</v>
          </cell>
          <cell r="D120">
            <v>0</v>
          </cell>
          <cell r="G120">
            <v>0</v>
          </cell>
          <cell r="H120" t="str">
            <v/>
          </cell>
          <cell r="K120">
            <v>0</v>
          </cell>
          <cell r="L120">
            <v>0</v>
          </cell>
          <cell r="O120">
            <v>0</v>
          </cell>
          <cell r="P120" t="str">
            <v/>
          </cell>
          <cell r="S120">
            <v>0</v>
          </cell>
          <cell r="T120">
            <v>0</v>
          </cell>
          <cell r="W120">
            <v>0</v>
          </cell>
          <cell r="X120" t="str">
            <v/>
          </cell>
        </row>
        <row r="121">
          <cell r="C121">
            <v>0</v>
          </cell>
          <cell r="D121">
            <v>0</v>
          </cell>
          <cell r="G121">
            <v>0</v>
          </cell>
          <cell r="H121" t="str">
            <v/>
          </cell>
          <cell r="K121">
            <v>0</v>
          </cell>
          <cell r="L121">
            <v>0</v>
          </cell>
          <cell r="O121">
            <v>0</v>
          </cell>
          <cell r="P121" t="str">
            <v/>
          </cell>
          <cell r="S121">
            <v>0</v>
          </cell>
          <cell r="T121">
            <v>0</v>
          </cell>
          <cell r="W121">
            <v>0</v>
          </cell>
          <cell r="X121" t="str">
            <v/>
          </cell>
        </row>
        <row r="136">
          <cell r="C136" t="str">
            <v>пр</v>
          </cell>
          <cell r="D136" t="str">
            <v>Операционные системы семейства Unix / Linux</v>
          </cell>
          <cell r="G136" t="str">
            <v>Криницкий Ю.В.</v>
          </cell>
          <cell r="H136" t="str">
            <v>преподаватель</v>
          </cell>
          <cell r="K136">
            <v>0</v>
          </cell>
          <cell r="L136">
            <v>0</v>
          </cell>
          <cell r="O136">
            <v>0</v>
          </cell>
          <cell r="P136" t="str">
            <v/>
          </cell>
          <cell r="S136">
            <v>0</v>
          </cell>
          <cell r="T136">
            <v>0</v>
          </cell>
          <cell r="W136">
            <v>0</v>
          </cell>
          <cell r="X136" t="str">
            <v/>
          </cell>
        </row>
        <row r="137">
          <cell r="C137" t="str">
            <v>пр</v>
          </cell>
          <cell r="D137" t="str">
            <v>Операционные системы семейства Unix / Linux</v>
          </cell>
          <cell r="G137" t="str">
            <v>Криницкий Ю.В.</v>
          </cell>
          <cell r="H137" t="str">
            <v>преподаватель</v>
          </cell>
          <cell r="K137">
            <v>0</v>
          </cell>
          <cell r="L137">
            <v>0</v>
          </cell>
          <cell r="O137">
            <v>0</v>
          </cell>
          <cell r="P137" t="str">
            <v/>
          </cell>
          <cell r="S137">
            <v>0</v>
          </cell>
          <cell r="T137">
            <v>0</v>
          </cell>
          <cell r="W137">
            <v>0</v>
          </cell>
          <cell r="X137" t="str">
            <v/>
          </cell>
        </row>
        <row r="138">
          <cell r="C138" t="str">
            <v>пр</v>
          </cell>
          <cell r="D138" t="str">
            <v>Разработка приложений для мобильных устройств</v>
          </cell>
          <cell r="G138" t="str">
            <v>Алешов Е.В.</v>
          </cell>
          <cell r="H138" t="str">
            <v>преподаватель</v>
          </cell>
          <cell r="K138" t="str">
            <v>л</v>
          </cell>
          <cell r="L138" t="str">
            <v>Программирование графических процессоров</v>
          </cell>
          <cell r="O138" t="str">
            <v>Круглый Д.Г.</v>
          </cell>
          <cell r="P138" t="str">
            <v>профессор, д-р наук</v>
          </cell>
          <cell r="S138">
            <v>0</v>
          </cell>
          <cell r="T138">
            <v>0</v>
          </cell>
          <cell r="W138">
            <v>0</v>
          </cell>
          <cell r="X138" t="str">
            <v/>
          </cell>
        </row>
        <row r="139">
          <cell r="C139" t="str">
            <v>пр</v>
          </cell>
          <cell r="D139" t="str">
            <v>Разработка приложений для мобильных устройств</v>
          </cell>
          <cell r="G139" t="str">
            <v>Алешов Е.В.</v>
          </cell>
          <cell r="H139" t="str">
            <v>преподаватель</v>
          </cell>
          <cell r="K139" t="str">
            <v>л</v>
          </cell>
          <cell r="L139" t="str">
            <v>Экономические аспекты программной инженерии</v>
          </cell>
          <cell r="O139" t="str">
            <v>Самчинская Я.Б.</v>
          </cell>
          <cell r="P139" t="str">
            <v>доцент, канд. наук</v>
          </cell>
          <cell r="S139">
            <v>0</v>
          </cell>
          <cell r="T139">
            <v>0</v>
          </cell>
          <cell r="W139">
            <v>0</v>
          </cell>
          <cell r="X139" t="str">
            <v/>
          </cell>
        </row>
        <row r="140">
          <cell r="C140">
            <v>0</v>
          </cell>
          <cell r="D140">
            <v>0</v>
          </cell>
          <cell r="G140">
            <v>0</v>
          </cell>
          <cell r="H140" t="str">
            <v/>
          </cell>
          <cell r="K140" t="str">
            <v>пр</v>
          </cell>
          <cell r="L140" t="str">
            <v xml:space="preserve"> Программирование графических процессоров</v>
          </cell>
          <cell r="O140" t="str">
            <v>Алешов Е.В.</v>
          </cell>
          <cell r="P140" t="str">
            <v>преподаватель</v>
          </cell>
          <cell r="S140">
            <v>0</v>
          </cell>
          <cell r="T140">
            <v>0</v>
          </cell>
          <cell r="W140">
            <v>0</v>
          </cell>
          <cell r="X140" t="str">
            <v/>
          </cell>
        </row>
        <row r="141">
          <cell r="C141">
            <v>0</v>
          </cell>
          <cell r="D141">
            <v>0</v>
          </cell>
          <cell r="G141">
            <v>0</v>
          </cell>
          <cell r="H141" t="str">
            <v/>
          </cell>
          <cell r="K141">
            <v>0</v>
          </cell>
          <cell r="L141">
            <v>0</v>
          </cell>
          <cell r="O141">
            <v>0</v>
          </cell>
          <cell r="P141" t="str">
            <v/>
          </cell>
          <cell r="S141" t="str">
            <v>л</v>
          </cell>
          <cell r="T141" t="str">
            <v>Математика для программирования</v>
          </cell>
          <cell r="W141" t="str">
            <v>Линник Е.П.</v>
          </cell>
          <cell r="X141" t="str">
            <v>доцент, канд. наук</v>
          </cell>
        </row>
        <row r="142">
          <cell r="C142">
            <v>0</v>
          </cell>
          <cell r="D142">
            <v>0</v>
          </cell>
          <cell r="G142">
            <v>0</v>
          </cell>
          <cell r="H142" t="str">
            <v/>
          </cell>
          <cell r="K142">
            <v>0</v>
          </cell>
          <cell r="L142">
            <v>0</v>
          </cell>
          <cell r="O142">
            <v>0</v>
          </cell>
          <cell r="P142" t="str">
            <v/>
          </cell>
          <cell r="S142" t="str">
            <v>л</v>
          </cell>
          <cell r="T142" t="str">
            <v>Введение в Javascript и основы веб-разработки</v>
          </cell>
          <cell r="W142" t="str">
            <v>Алешов В.В.</v>
          </cell>
          <cell r="X142" t="str">
            <v>ст. преподаватель</v>
          </cell>
        </row>
        <row r="143">
          <cell r="C143">
            <v>0</v>
          </cell>
          <cell r="D143">
            <v>0</v>
          </cell>
          <cell r="G143">
            <v>0</v>
          </cell>
          <cell r="H143" t="str">
            <v/>
          </cell>
          <cell r="K143">
            <v>0</v>
          </cell>
          <cell r="L143">
            <v>0</v>
          </cell>
          <cell r="O143">
            <v>0</v>
          </cell>
          <cell r="P143" t="str">
            <v/>
          </cell>
          <cell r="S143">
            <v>0</v>
          </cell>
          <cell r="T143">
            <v>0</v>
          </cell>
          <cell r="W143">
            <v>0</v>
          </cell>
          <cell r="X143" t="str">
            <v/>
          </cell>
        </row>
        <row r="144">
          <cell r="C144">
            <v>0</v>
          </cell>
          <cell r="D144">
            <v>0</v>
          </cell>
          <cell r="G144">
            <v>0</v>
          </cell>
          <cell r="H144" t="str">
            <v/>
          </cell>
          <cell r="K144">
            <v>0</v>
          </cell>
          <cell r="L144">
            <v>0</v>
          </cell>
          <cell r="O144">
            <v>0</v>
          </cell>
          <cell r="P144" t="str">
            <v/>
          </cell>
          <cell r="S144">
            <v>0</v>
          </cell>
          <cell r="T144">
            <v>0</v>
          </cell>
          <cell r="W144">
            <v>0</v>
          </cell>
          <cell r="X144" t="str">
            <v/>
          </cell>
        </row>
        <row r="145">
          <cell r="C145" t="str">
            <v>л</v>
          </cell>
          <cell r="D145" t="str">
            <v>Взаимодействие с лицами с ОВЗ и с инвалидностью в социальной и профессиональной сферах</v>
          </cell>
          <cell r="G145" t="str">
            <v>Образцова Е.Н.</v>
          </cell>
          <cell r="H145" t="str">
            <v>доцент, канд. наук</v>
          </cell>
          <cell r="K145">
            <v>0</v>
          </cell>
          <cell r="L145">
            <v>0</v>
          </cell>
          <cell r="O145">
            <v>0</v>
          </cell>
          <cell r="P145" t="str">
            <v/>
          </cell>
          <cell r="S145">
            <v>0</v>
          </cell>
          <cell r="T145">
            <v>0</v>
          </cell>
          <cell r="W145">
            <v>0</v>
          </cell>
          <cell r="X145" t="str">
            <v/>
          </cell>
        </row>
        <row r="146">
          <cell r="C146" t="str">
            <v>л</v>
          </cell>
          <cell r="D146" t="str">
            <v>Проектирование человеко-машинного интерфейса</v>
          </cell>
          <cell r="G146" t="str">
            <v>Алешов В.В.</v>
          </cell>
          <cell r="H146" t="str">
            <v>ст. преподаватель</v>
          </cell>
          <cell r="K146">
            <v>0</v>
          </cell>
          <cell r="L146">
            <v>0</v>
          </cell>
          <cell r="O146">
            <v>0</v>
          </cell>
          <cell r="P146" t="str">
            <v/>
          </cell>
          <cell r="S146">
            <v>0</v>
          </cell>
          <cell r="T146">
            <v>0</v>
          </cell>
          <cell r="W146">
            <v>0</v>
          </cell>
          <cell r="X146" t="str">
            <v/>
          </cell>
        </row>
        <row r="147">
          <cell r="C147" t="str">
            <v>пр</v>
          </cell>
          <cell r="D147" t="str">
            <v>Проектирование человеко-машинного интерфейса</v>
          </cell>
          <cell r="G147" t="str">
            <v>Алешов В.В.</v>
          </cell>
          <cell r="H147" t="str">
            <v>ст. преподаватель</v>
          </cell>
          <cell r="K147" t="str">
            <v>пр</v>
          </cell>
          <cell r="L147" t="str">
            <v xml:space="preserve"> Системы обработки больших данных</v>
          </cell>
          <cell r="O147" t="str">
            <v>Гуцол Д.В.</v>
          </cell>
          <cell r="P147" t="str">
            <v>ст. преподаватель</v>
          </cell>
          <cell r="S147">
            <v>0</v>
          </cell>
          <cell r="T147">
            <v>0</v>
          </cell>
          <cell r="W147">
            <v>0</v>
          </cell>
          <cell r="X147" t="str">
            <v/>
          </cell>
        </row>
        <row r="148">
          <cell r="C148">
            <v>0</v>
          </cell>
          <cell r="D148">
            <v>0</v>
          </cell>
          <cell r="G148">
            <v>0</v>
          </cell>
          <cell r="H148" t="str">
            <v/>
          </cell>
          <cell r="K148" t="str">
            <v>пр</v>
          </cell>
          <cell r="L148" t="str">
            <v xml:space="preserve"> Системы обработки больших данных</v>
          </cell>
          <cell r="O148" t="str">
            <v>Гуцол Д.В.</v>
          </cell>
          <cell r="P148" t="str">
            <v>ст. преподаватель</v>
          </cell>
          <cell r="S148">
            <v>0</v>
          </cell>
          <cell r="T148">
            <v>0</v>
          </cell>
          <cell r="W148">
            <v>0</v>
          </cell>
          <cell r="X148" t="str">
            <v/>
          </cell>
        </row>
        <row r="149">
          <cell r="C149">
            <v>0</v>
          </cell>
          <cell r="D149">
            <v>0</v>
          </cell>
          <cell r="G149">
            <v>0</v>
          </cell>
          <cell r="H149" t="str">
            <v/>
          </cell>
          <cell r="K149">
            <v>0</v>
          </cell>
          <cell r="L149">
            <v>0</v>
          </cell>
          <cell r="O149">
            <v>0</v>
          </cell>
          <cell r="P149" t="str">
            <v/>
          </cell>
          <cell r="S149" t="str">
            <v>л</v>
          </cell>
          <cell r="T149" t="str">
            <v>Основы компьютерных наук</v>
          </cell>
          <cell r="W149" t="str">
            <v>Криницкий Ю.В.</v>
          </cell>
          <cell r="X149" t="str">
            <v>преподаватель</v>
          </cell>
        </row>
        <row r="150">
          <cell r="C150">
            <v>0</v>
          </cell>
          <cell r="D150">
            <v>0</v>
          </cell>
          <cell r="G150">
            <v>0</v>
          </cell>
          <cell r="H150" t="str">
            <v/>
          </cell>
          <cell r="K150">
            <v>0</v>
          </cell>
          <cell r="L150">
            <v>0</v>
          </cell>
          <cell r="O150">
            <v>0</v>
          </cell>
          <cell r="P150" t="str">
            <v/>
          </cell>
          <cell r="S150" t="str">
            <v>л</v>
          </cell>
          <cell r="T150" t="str">
            <v>Архитектура компьютера и Интернет</v>
          </cell>
          <cell r="W150" t="str">
            <v>Криницкий Ю.В.</v>
          </cell>
          <cell r="X150" t="str">
            <v>преподаватель</v>
          </cell>
        </row>
        <row r="151">
          <cell r="C151">
            <v>0</v>
          </cell>
          <cell r="D151">
            <v>0</v>
          </cell>
          <cell r="G151">
            <v>0</v>
          </cell>
          <cell r="H151" t="str">
            <v/>
          </cell>
          <cell r="K151">
            <v>0</v>
          </cell>
          <cell r="L151">
            <v>0</v>
          </cell>
          <cell r="O151">
            <v>0</v>
          </cell>
          <cell r="P151" t="str">
            <v/>
          </cell>
          <cell r="S151">
            <v>0</v>
          </cell>
          <cell r="T151">
            <v>0</v>
          </cell>
          <cell r="W151">
            <v>0</v>
          </cell>
          <cell r="X151" t="str">
            <v/>
          </cell>
        </row>
        <row r="152">
          <cell r="C152" t="str">
            <v>л</v>
          </cell>
          <cell r="D152" t="str">
            <v>Разработка приложений для мобильных устройств</v>
          </cell>
          <cell r="G152" t="str">
            <v>Алешов Е.В.</v>
          </cell>
          <cell r="H152" t="str">
            <v>преподаватель</v>
          </cell>
          <cell r="K152">
            <v>0</v>
          </cell>
          <cell r="L152">
            <v>0</v>
          </cell>
          <cell r="O152">
            <v>0</v>
          </cell>
          <cell r="P152" t="str">
            <v/>
          </cell>
          <cell r="S152">
            <v>0</v>
          </cell>
          <cell r="T152">
            <v>0</v>
          </cell>
          <cell r="W152">
            <v>0</v>
          </cell>
          <cell r="X152" t="str">
            <v/>
          </cell>
        </row>
        <row r="153">
          <cell r="C153" t="str">
            <v>л</v>
          </cell>
          <cell r="D153" t="str">
            <v>Разработка приложений для мобильных устройств</v>
          </cell>
          <cell r="G153" t="str">
            <v>Алешов Е.В.</v>
          </cell>
          <cell r="H153" t="str">
            <v>преподаватель</v>
          </cell>
          <cell r="K153">
            <v>0</v>
          </cell>
          <cell r="L153">
            <v>0</v>
          </cell>
          <cell r="O153">
            <v>0</v>
          </cell>
          <cell r="P153" t="str">
            <v/>
          </cell>
          <cell r="S153">
            <v>0</v>
          </cell>
          <cell r="T153">
            <v>0</v>
          </cell>
          <cell r="W153">
            <v>0</v>
          </cell>
          <cell r="X153" t="str">
            <v/>
          </cell>
        </row>
        <row r="154">
          <cell r="C154" t="str">
            <v>л</v>
          </cell>
          <cell r="D154" t="str">
            <v>Продвинутые технологии искусственного интеллекта</v>
          </cell>
          <cell r="G154" t="str">
            <v>Алешов В.В.</v>
          </cell>
          <cell r="H154" t="str">
            <v>ст. преподаватель</v>
          </cell>
          <cell r="K154">
            <v>0</v>
          </cell>
          <cell r="L154">
            <v>0</v>
          </cell>
          <cell r="O154">
            <v>0</v>
          </cell>
          <cell r="P154" t="str">
            <v/>
          </cell>
          <cell r="S154">
            <v>0</v>
          </cell>
          <cell r="T154">
            <v>0</v>
          </cell>
          <cell r="W154">
            <v>0</v>
          </cell>
          <cell r="X154" t="str">
            <v/>
          </cell>
        </row>
        <row r="155">
          <cell r="C155" t="str">
            <v>пр</v>
          </cell>
          <cell r="D155" t="str">
            <v>Продвинутые технологии искусственного интеллекта</v>
          </cell>
          <cell r="G155" t="str">
            <v>Алешов В.В.</v>
          </cell>
          <cell r="H155" t="str">
            <v>ст. преподаватель</v>
          </cell>
          <cell r="K155" t="str">
            <v>пр</v>
          </cell>
          <cell r="L155" t="str">
            <v xml:space="preserve"> Управление конфигурацией и сопровождение программного обеспечения</v>
          </cell>
          <cell r="O155" t="str">
            <v>Гуцол Д.В.</v>
          </cell>
          <cell r="P155" t="str">
            <v>ст. преподаватель</v>
          </cell>
          <cell r="S155">
            <v>0</v>
          </cell>
          <cell r="T155">
            <v>0</v>
          </cell>
          <cell r="W155">
            <v>0</v>
          </cell>
          <cell r="X155" t="str">
            <v/>
          </cell>
        </row>
        <row r="156">
          <cell r="C156">
            <v>0</v>
          </cell>
          <cell r="D156">
            <v>0</v>
          </cell>
          <cell r="G156">
            <v>0</v>
          </cell>
          <cell r="H156" t="str">
            <v/>
          </cell>
          <cell r="K156" t="str">
            <v>пр</v>
          </cell>
          <cell r="L156" t="str">
            <v xml:space="preserve"> Управление конфигурацией и сопровождение программного обеспечения</v>
          </cell>
          <cell r="O156" t="str">
            <v>Гуцол Д.В.</v>
          </cell>
          <cell r="P156" t="str">
            <v>ст. преподаватель</v>
          </cell>
          <cell r="S156">
            <v>0</v>
          </cell>
          <cell r="T156">
            <v>0</v>
          </cell>
          <cell r="W156">
            <v>0</v>
          </cell>
          <cell r="X156" t="str">
            <v/>
          </cell>
        </row>
        <row r="157">
          <cell r="C157">
            <v>0</v>
          </cell>
          <cell r="D157">
            <v>0</v>
          </cell>
          <cell r="G157">
            <v>0</v>
          </cell>
          <cell r="H157" t="str">
            <v/>
          </cell>
          <cell r="K157">
            <v>0</v>
          </cell>
          <cell r="L157">
            <v>0</v>
          </cell>
          <cell r="O157">
            <v>0</v>
          </cell>
          <cell r="P157" t="str">
            <v/>
          </cell>
          <cell r="S157">
            <v>0</v>
          </cell>
          <cell r="T157">
            <v>0</v>
          </cell>
          <cell r="W157">
            <v>0</v>
          </cell>
          <cell r="X157" t="str">
            <v/>
          </cell>
        </row>
        <row r="158">
          <cell r="C158">
            <v>0</v>
          </cell>
          <cell r="D158">
            <v>0</v>
          </cell>
          <cell r="G158">
            <v>0</v>
          </cell>
          <cell r="H158" t="str">
            <v/>
          </cell>
          <cell r="K158">
            <v>0</v>
          </cell>
          <cell r="L158">
            <v>0</v>
          </cell>
          <cell r="O158">
            <v>0</v>
          </cell>
          <cell r="P158" t="str">
            <v/>
          </cell>
          <cell r="S158">
            <v>0</v>
          </cell>
          <cell r="T158">
            <v>0</v>
          </cell>
          <cell r="W158">
            <v>0</v>
          </cell>
          <cell r="X158" t="str">
            <v/>
          </cell>
        </row>
        <row r="159">
          <cell r="C159">
            <v>0</v>
          </cell>
          <cell r="D159">
            <v>0</v>
          </cell>
          <cell r="G159">
            <v>0</v>
          </cell>
          <cell r="H159" t="str">
            <v/>
          </cell>
          <cell r="K159">
            <v>0</v>
          </cell>
          <cell r="L159">
            <v>0</v>
          </cell>
          <cell r="O159">
            <v>0</v>
          </cell>
          <cell r="P159" t="str">
            <v/>
          </cell>
          <cell r="S159">
            <v>0</v>
          </cell>
          <cell r="T159">
            <v>0</v>
          </cell>
          <cell r="W159">
            <v>0</v>
          </cell>
          <cell r="X159" t="str">
            <v/>
          </cell>
        </row>
        <row r="160">
          <cell r="C160">
            <v>0</v>
          </cell>
          <cell r="D160">
            <v>0</v>
          </cell>
          <cell r="G160">
            <v>0</v>
          </cell>
          <cell r="H160" t="str">
            <v/>
          </cell>
          <cell r="K160">
            <v>0</v>
          </cell>
          <cell r="L160">
            <v>0</v>
          </cell>
          <cell r="O160">
            <v>0</v>
          </cell>
          <cell r="P160" t="str">
            <v/>
          </cell>
          <cell r="S160">
            <v>0</v>
          </cell>
          <cell r="T160">
            <v>0</v>
          </cell>
          <cell r="W160">
            <v>0</v>
          </cell>
          <cell r="X160" t="str">
            <v/>
          </cell>
        </row>
        <row r="161">
          <cell r="C161" t="str">
            <v>л</v>
          </cell>
          <cell r="D161" t="str">
            <v>Операционные системы семейства Unix / Linux</v>
          </cell>
          <cell r="G161" t="str">
            <v>Криницкий Ю.В.</v>
          </cell>
          <cell r="H161" t="str">
            <v>преподаватель</v>
          </cell>
          <cell r="K161" t="str">
            <v>л</v>
          </cell>
          <cell r="L161" t="str">
            <v>Современные операционные системы и базы данных</v>
          </cell>
          <cell r="O161" t="str">
            <v>Галлини Н.И.</v>
          </cell>
          <cell r="P161" t="str">
            <v>доцент, канд. наук</v>
          </cell>
          <cell r="S161">
            <v>0</v>
          </cell>
          <cell r="T161">
            <v>0</v>
          </cell>
          <cell r="W161">
            <v>0</v>
          </cell>
          <cell r="X161" t="str">
            <v/>
          </cell>
        </row>
        <row r="162">
          <cell r="C162" t="str">
            <v>л</v>
          </cell>
          <cell r="D162" t="str">
            <v>Проектирование человеко-машинного интерфейса</v>
          </cell>
          <cell r="G162" t="str">
            <v>Алешов В.В.</v>
          </cell>
          <cell r="H162" t="str">
            <v>ст. преподаватель</v>
          </cell>
          <cell r="K162" t="str">
            <v>пр</v>
          </cell>
          <cell r="L162" t="str">
            <v>Современные операционные системы и базы данных</v>
          </cell>
          <cell r="O162" t="str">
            <v>Галлини Н.И.</v>
          </cell>
          <cell r="P162" t="str">
            <v>доцент, канд. наук</v>
          </cell>
          <cell r="S162">
            <v>0</v>
          </cell>
          <cell r="T162">
            <v>0</v>
          </cell>
          <cell r="W162">
            <v>0</v>
          </cell>
          <cell r="X162" t="str">
            <v/>
          </cell>
        </row>
        <row r="163">
          <cell r="C163" t="str">
            <v>л</v>
          </cell>
          <cell r="D163" t="str">
            <v>Продвинутые технологии искусственного интеллекта</v>
          </cell>
          <cell r="G163" t="str">
            <v>Алешов В.В.</v>
          </cell>
          <cell r="H163" t="str">
            <v>ст. преподаватель</v>
          </cell>
          <cell r="K163" t="str">
            <v>пр</v>
          </cell>
          <cell r="L163" t="str">
            <v>Экономические аспекты программной инженерии</v>
          </cell>
          <cell r="O163" t="str">
            <v>Самчинская Я.Б.</v>
          </cell>
          <cell r="P163" t="str">
            <v>доцент, канд. наук</v>
          </cell>
          <cell r="S163">
            <v>0</v>
          </cell>
          <cell r="T163">
            <v>0</v>
          </cell>
          <cell r="W163">
            <v>0</v>
          </cell>
          <cell r="X163" t="str">
            <v/>
          </cell>
        </row>
        <row r="164">
          <cell r="C164">
            <v>0</v>
          </cell>
          <cell r="D164">
            <v>0</v>
          </cell>
          <cell r="G164">
            <v>0</v>
          </cell>
          <cell r="H164" t="str">
            <v/>
          </cell>
          <cell r="K164">
            <v>0</v>
          </cell>
          <cell r="L164">
            <v>0</v>
          </cell>
          <cell r="O164">
            <v>0</v>
          </cell>
          <cell r="P164" t="str">
            <v/>
          </cell>
          <cell r="S164">
            <v>0</v>
          </cell>
          <cell r="T164">
            <v>0</v>
          </cell>
          <cell r="W164">
            <v>0</v>
          </cell>
          <cell r="X164" t="str">
            <v/>
          </cell>
        </row>
        <row r="165">
          <cell r="C165">
            <v>0</v>
          </cell>
          <cell r="D165">
            <v>0</v>
          </cell>
          <cell r="G165">
            <v>0</v>
          </cell>
          <cell r="H165" t="str">
            <v/>
          </cell>
          <cell r="K165">
            <v>0</v>
          </cell>
          <cell r="L165">
            <v>0</v>
          </cell>
          <cell r="O165">
            <v>0</v>
          </cell>
          <cell r="P165" t="str">
            <v/>
          </cell>
          <cell r="S165" t="str">
            <v>пр</v>
          </cell>
          <cell r="T165" t="str">
            <v>Математика для программирования</v>
          </cell>
          <cell r="W165" t="str">
            <v>Линник Е.П.</v>
          </cell>
          <cell r="X165" t="str">
            <v>доцент, канд. наук</v>
          </cell>
        </row>
        <row r="166">
          <cell r="C166">
            <v>0</v>
          </cell>
          <cell r="D166">
            <v>0</v>
          </cell>
          <cell r="G166">
            <v>0</v>
          </cell>
          <cell r="H166" t="str">
            <v/>
          </cell>
          <cell r="K166">
            <v>0</v>
          </cell>
          <cell r="L166">
            <v>0</v>
          </cell>
          <cell r="O166">
            <v>0</v>
          </cell>
          <cell r="P166" t="str">
            <v/>
          </cell>
          <cell r="S166" t="str">
            <v>пр</v>
          </cell>
          <cell r="T166" t="str">
            <v>Дискретная математика</v>
          </cell>
          <cell r="W166" t="str">
            <v>Казанцев Ю.А.</v>
          </cell>
          <cell r="X166" t="str">
            <v>ст. преподаватель</v>
          </cell>
        </row>
        <row r="167">
          <cell r="C167">
            <v>0</v>
          </cell>
          <cell r="D167">
            <v>0</v>
          </cell>
          <cell r="G167">
            <v>0</v>
          </cell>
          <cell r="H167" t="str">
            <v/>
          </cell>
          <cell r="K167">
            <v>0</v>
          </cell>
          <cell r="L167">
            <v>0</v>
          </cell>
          <cell r="O167">
            <v>0</v>
          </cell>
          <cell r="P167" t="str">
            <v/>
          </cell>
          <cell r="S167">
            <v>0</v>
          </cell>
          <cell r="T167">
            <v>0</v>
          </cell>
          <cell r="W167">
            <v>0</v>
          </cell>
          <cell r="X167" t="str">
            <v/>
          </cell>
        </row>
        <row r="168">
          <cell r="C168" t="str">
            <v>пр</v>
          </cell>
          <cell r="D168" t="str">
            <v>Проектирование человеко-машинного интерфейса</v>
          </cell>
          <cell r="G168" t="str">
            <v>Алешов В.В.</v>
          </cell>
          <cell r="H168" t="str">
            <v>ст. преподаватель</v>
          </cell>
          <cell r="K168">
            <v>0</v>
          </cell>
          <cell r="L168">
            <v>0</v>
          </cell>
          <cell r="O168">
            <v>0</v>
          </cell>
          <cell r="P168" t="str">
            <v/>
          </cell>
          <cell r="S168">
            <v>0</v>
          </cell>
          <cell r="T168">
            <v>0</v>
          </cell>
          <cell r="W168">
            <v>0</v>
          </cell>
          <cell r="X168" t="str">
            <v/>
          </cell>
        </row>
        <row r="169">
          <cell r="C169" t="str">
            <v>пр</v>
          </cell>
          <cell r="D169" t="str">
            <v>Технологии искусственного интеллекта</v>
          </cell>
          <cell r="G169" t="str">
            <v>Гришин И.Ю.</v>
          </cell>
          <cell r="H169" t="str">
            <v>профессор, д-р наук</v>
          </cell>
          <cell r="K169">
            <v>0</v>
          </cell>
          <cell r="L169">
            <v>0</v>
          </cell>
          <cell r="O169">
            <v>0</v>
          </cell>
          <cell r="P169" t="str">
            <v/>
          </cell>
          <cell r="S169">
            <v>0</v>
          </cell>
          <cell r="T169">
            <v>0</v>
          </cell>
          <cell r="W169">
            <v>0</v>
          </cell>
          <cell r="X169" t="str">
            <v/>
          </cell>
        </row>
        <row r="170">
          <cell r="C170" t="str">
            <v>пр</v>
          </cell>
          <cell r="D170" t="str">
            <v>Взаимодействие с лицами с ОВЗ и с инвалидностью в социальной и профессиональной сферах</v>
          </cell>
          <cell r="G170" t="str">
            <v>Образцова Е.Н.</v>
          </cell>
          <cell r="H170" t="str">
            <v>доцент, канд. наук</v>
          </cell>
          <cell r="K170">
            <v>0</v>
          </cell>
          <cell r="L170">
            <v>0</v>
          </cell>
          <cell r="O170">
            <v>0</v>
          </cell>
          <cell r="P170" t="str">
            <v/>
          </cell>
          <cell r="S170">
            <v>0</v>
          </cell>
          <cell r="T170">
            <v>0</v>
          </cell>
          <cell r="W170">
            <v>0</v>
          </cell>
          <cell r="X170" t="str">
            <v/>
          </cell>
        </row>
        <row r="171">
          <cell r="C171">
            <v>0</v>
          </cell>
          <cell r="D171">
            <v>0</v>
          </cell>
          <cell r="G171">
            <v>0</v>
          </cell>
          <cell r="H171" t="str">
            <v/>
          </cell>
          <cell r="K171" t="str">
            <v>л</v>
          </cell>
          <cell r="L171" t="str">
            <v>Процессы и профессиональная практика программной инженерии</v>
          </cell>
          <cell r="O171" t="str">
            <v>Алешов Е.В.</v>
          </cell>
          <cell r="P171" t="str">
            <v>преподаватель</v>
          </cell>
          <cell r="S171">
            <v>0</v>
          </cell>
          <cell r="T171">
            <v>0</v>
          </cell>
          <cell r="W171">
            <v>0</v>
          </cell>
          <cell r="X171" t="str">
            <v/>
          </cell>
        </row>
        <row r="172">
          <cell r="C172">
            <v>0</v>
          </cell>
          <cell r="D172">
            <v>0</v>
          </cell>
          <cell r="G172">
            <v>0</v>
          </cell>
          <cell r="H172" t="str">
            <v/>
          </cell>
          <cell r="K172" t="str">
            <v>пр</v>
          </cell>
          <cell r="L172" t="str">
            <v>Процессы и профессиональная практика программной инженерии</v>
          </cell>
          <cell r="O172" t="str">
            <v>Алешов Е.В.</v>
          </cell>
          <cell r="P172" t="str">
            <v>преподаватель</v>
          </cell>
          <cell r="S172">
            <v>0</v>
          </cell>
          <cell r="T172">
            <v>0</v>
          </cell>
          <cell r="W172">
            <v>0</v>
          </cell>
          <cell r="X172" t="str">
            <v/>
          </cell>
        </row>
        <row r="173">
          <cell r="C173">
            <v>0</v>
          </cell>
          <cell r="D173">
            <v>0</v>
          </cell>
          <cell r="G173">
            <v>0</v>
          </cell>
          <cell r="H173" t="str">
            <v/>
          </cell>
          <cell r="K173">
            <v>0</v>
          </cell>
          <cell r="L173">
            <v>0</v>
          </cell>
          <cell r="O173">
            <v>0</v>
          </cell>
          <cell r="P173" t="str">
            <v/>
          </cell>
          <cell r="S173">
            <v>0</v>
          </cell>
          <cell r="T173">
            <v>0</v>
          </cell>
          <cell r="W173">
            <v>0</v>
          </cell>
          <cell r="X173" t="str">
            <v/>
          </cell>
        </row>
        <row r="174">
          <cell r="C174">
            <v>0</v>
          </cell>
          <cell r="D174">
            <v>0</v>
          </cell>
          <cell r="G174">
            <v>0</v>
          </cell>
          <cell r="H174" t="str">
            <v/>
          </cell>
          <cell r="K174">
            <v>0</v>
          </cell>
          <cell r="L174">
            <v>0</v>
          </cell>
          <cell r="O174">
            <v>0</v>
          </cell>
          <cell r="P174" t="str">
            <v/>
          </cell>
          <cell r="S174">
            <v>0</v>
          </cell>
          <cell r="T174">
            <v>0</v>
          </cell>
          <cell r="W174">
            <v>0</v>
          </cell>
          <cell r="X174" t="str">
            <v/>
          </cell>
        </row>
        <row r="175">
          <cell r="C175">
            <v>0</v>
          </cell>
          <cell r="D175">
            <v>0</v>
          </cell>
          <cell r="G175">
            <v>0</v>
          </cell>
          <cell r="H175" t="str">
            <v/>
          </cell>
          <cell r="K175">
            <v>0</v>
          </cell>
          <cell r="L175">
            <v>0</v>
          </cell>
          <cell r="O175">
            <v>0</v>
          </cell>
          <cell r="P175" t="str">
            <v/>
          </cell>
          <cell r="S175">
            <v>0</v>
          </cell>
          <cell r="T175">
            <v>0</v>
          </cell>
          <cell r="W175">
            <v>0</v>
          </cell>
          <cell r="X175" t="str">
            <v/>
          </cell>
        </row>
        <row r="176">
          <cell r="C176">
            <v>0</v>
          </cell>
          <cell r="D176">
            <v>0</v>
          </cell>
          <cell r="G176">
            <v>0</v>
          </cell>
          <cell r="H176" t="str">
            <v/>
          </cell>
          <cell r="K176">
            <v>0</v>
          </cell>
          <cell r="L176">
            <v>0</v>
          </cell>
          <cell r="O176">
            <v>0</v>
          </cell>
          <cell r="P176" t="str">
            <v/>
          </cell>
          <cell r="S176">
            <v>0</v>
          </cell>
          <cell r="T176">
            <v>0</v>
          </cell>
          <cell r="W176">
            <v>0</v>
          </cell>
          <cell r="X176" t="str">
            <v/>
          </cell>
        </row>
        <row r="177">
          <cell r="C177">
            <v>0</v>
          </cell>
          <cell r="D177">
            <v>0</v>
          </cell>
          <cell r="G177">
            <v>0</v>
          </cell>
          <cell r="H177" t="str">
            <v/>
          </cell>
          <cell r="K177">
            <v>0</v>
          </cell>
          <cell r="L177">
            <v>0</v>
          </cell>
          <cell r="O177">
            <v>0</v>
          </cell>
          <cell r="P177" t="str">
            <v/>
          </cell>
          <cell r="S177">
            <v>0</v>
          </cell>
          <cell r="T177">
            <v>0</v>
          </cell>
          <cell r="W177">
            <v>0</v>
          </cell>
          <cell r="X177" t="str">
            <v/>
          </cell>
        </row>
        <row r="178">
          <cell r="C178">
            <v>0</v>
          </cell>
          <cell r="D178">
            <v>0</v>
          </cell>
          <cell r="G178">
            <v>0</v>
          </cell>
          <cell r="H178" t="str">
            <v/>
          </cell>
          <cell r="K178">
            <v>0</v>
          </cell>
          <cell r="L178">
            <v>0</v>
          </cell>
          <cell r="O178">
            <v>0</v>
          </cell>
          <cell r="P178" t="str">
            <v/>
          </cell>
          <cell r="S178">
            <v>0</v>
          </cell>
          <cell r="T178">
            <v>0</v>
          </cell>
          <cell r="W178">
            <v>0</v>
          </cell>
          <cell r="X178" t="str">
            <v/>
          </cell>
        </row>
        <row r="179">
          <cell r="C179">
            <v>0</v>
          </cell>
          <cell r="D179">
            <v>0</v>
          </cell>
          <cell r="G179">
            <v>0</v>
          </cell>
          <cell r="H179" t="str">
            <v/>
          </cell>
          <cell r="K179">
            <v>0</v>
          </cell>
          <cell r="L179">
            <v>0</v>
          </cell>
          <cell r="O179">
            <v>0</v>
          </cell>
          <cell r="P179" t="str">
            <v/>
          </cell>
          <cell r="S179">
            <v>0</v>
          </cell>
          <cell r="T179">
            <v>0</v>
          </cell>
          <cell r="W179">
            <v>0</v>
          </cell>
          <cell r="X179" t="str">
            <v/>
          </cell>
        </row>
        <row r="180">
          <cell r="C180">
            <v>0</v>
          </cell>
          <cell r="D180">
            <v>0</v>
          </cell>
          <cell r="G180">
            <v>0</v>
          </cell>
          <cell r="H180" t="str">
            <v/>
          </cell>
          <cell r="K180">
            <v>0</v>
          </cell>
          <cell r="L180">
            <v>0</v>
          </cell>
          <cell r="O180">
            <v>0</v>
          </cell>
          <cell r="P180" t="str">
            <v/>
          </cell>
          <cell r="S180">
            <v>0</v>
          </cell>
          <cell r="T180">
            <v>0</v>
          </cell>
          <cell r="W180">
            <v>0</v>
          </cell>
          <cell r="X180" t="str">
            <v/>
          </cell>
        </row>
        <row r="181">
          <cell r="C181">
            <v>0</v>
          </cell>
          <cell r="D181">
            <v>0</v>
          </cell>
          <cell r="G181">
            <v>0</v>
          </cell>
          <cell r="H181" t="str">
            <v/>
          </cell>
          <cell r="K181">
            <v>0</v>
          </cell>
          <cell r="L181">
            <v>0</v>
          </cell>
          <cell r="O181">
            <v>0</v>
          </cell>
          <cell r="P181" t="str">
            <v/>
          </cell>
          <cell r="S181">
            <v>0</v>
          </cell>
          <cell r="T181">
            <v>0</v>
          </cell>
          <cell r="W181">
            <v>0</v>
          </cell>
          <cell r="X181" t="str">
            <v/>
          </cell>
        </row>
        <row r="182">
          <cell r="C182">
            <v>0</v>
          </cell>
          <cell r="D182">
            <v>0</v>
          </cell>
          <cell r="G182">
            <v>0</v>
          </cell>
          <cell r="H182" t="str">
            <v/>
          </cell>
          <cell r="K182">
            <v>0</v>
          </cell>
          <cell r="L182">
            <v>0</v>
          </cell>
          <cell r="O182">
            <v>0</v>
          </cell>
          <cell r="P182" t="str">
            <v/>
          </cell>
          <cell r="S182">
            <v>0</v>
          </cell>
          <cell r="T182">
            <v>0</v>
          </cell>
          <cell r="W182">
            <v>0</v>
          </cell>
          <cell r="X182" t="str">
            <v/>
          </cell>
        </row>
        <row r="198">
          <cell r="C198">
            <v>0</v>
          </cell>
          <cell r="D198">
            <v>0</v>
          </cell>
          <cell r="G198">
            <v>0</v>
          </cell>
          <cell r="H198" t="str">
            <v/>
          </cell>
          <cell r="K198">
            <v>0</v>
          </cell>
          <cell r="L198">
            <v>0</v>
          </cell>
          <cell r="O198">
            <v>0</v>
          </cell>
          <cell r="P198" t="str">
            <v/>
          </cell>
          <cell r="S198">
            <v>0</v>
          </cell>
          <cell r="T198">
            <v>0</v>
          </cell>
          <cell r="W198">
            <v>0</v>
          </cell>
          <cell r="X198" t="str">
            <v/>
          </cell>
        </row>
        <row r="199">
          <cell r="C199">
            <v>0</v>
          </cell>
          <cell r="D199">
            <v>0</v>
          </cell>
          <cell r="G199">
            <v>0</v>
          </cell>
          <cell r="H199" t="str">
            <v/>
          </cell>
          <cell r="K199">
            <v>0</v>
          </cell>
          <cell r="L199">
            <v>0</v>
          </cell>
          <cell r="O199">
            <v>0</v>
          </cell>
          <cell r="P199" t="str">
            <v/>
          </cell>
          <cell r="S199">
            <v>0</v>
          </cell>
          <cell r="T199">
            <v>0</v>
          </cell>
          <cell r="W199">
            <v>0</v>
          </cell>
          <cell r="X199" t="str">
            <v/>
          </cell>
        </row>
        <row r="200">
          <cell r="C200">
            <v>0</v>
          </cell>
          <cell r="D200">
            <v>0</v>
          </cell>
          <cell r="G200">
            <v>0</v>
          </cell>
          <cell r="H200" t="str">
            <v/>
          </cell>
          <cell r="K200">
            <v>0</v>
          </cell>
          <cell r="L200">
            <v>0</v>
          </cell>
          <cell r="O200">
            <v>0</v>
          </cell>
          <cell r="P200" t="str">
            <v/>
          </cell>
          <cell r="S200">
            <v>0</v>
          </cell>
          <cell r="T200">
            <v>0</v>
          </cell>
          <cell r="W200">
            <v>0</v>
          </cell>
          <cell r="X200" t="str">
            <v/>
          </cell>
        </row>
        <row r="201">
          <cell r="C201">
            <v>0</v>
          </cell>
          <cell r="D201">
            <v>0</v>
          </cell>
          <cell r="G201">
            <v>0</v>
          </cell>
          <cell r="H201" t="str">
            <v/>
          </cell>
          <cell r="K201">
            <v>0</v>
          </cell>
          <cell r="L201">
            <v>0</v>
          </cell>
          <cell r="O201">
            <v>0</v>
          </cell>
          <cell r="P201" t="str">
            <v/>
          </cell>
          <cell r="S201">
            <v>0</v>
          </cell>
          <cell r="T201">
            <v>0</v>
          </cell>
          <cell r="W201">
            <v>0</v>
          </cell>
          <cell r="X201" t="str">
            <v/>
          </cell>
        </row>
        <row r="202">
          <cell r="C202">
            <v>0</v>
          </cell>
          <cell r="D202">
            <v>0</v>
          </cell>
          <cell r="G202">
            <v>0</v>
          </cell>
          <cell r="H202" t="str">
            <v/>
          </cell>
          <cell r="K202">
            <v>0</v>
          </cell>
          <cell r="L202">
            <v>0</v>
          </cell>
          <cell r="O202">
            <v>0</v>
          </cell>
          <cell r="P202" t="str">
            <v/>
          </cell>
          <cell r="S202">
            <v>0</v>
          </cell>
          <cell r="T202">
            <v>0</v>
          </cell>
          <cell r="W202">
            <v>0</v>
          </cell>
          <cell r="X202" t="str">
            <v/>
          </cell>
        </row>
        <row r="203">
          <cell r="C203" t="str">
            <v>л</v>
          </cell>
          <cell r="D203" t="str">
            <v>Программирование</v>
          </cell>
          <cell r="G203" t="str">
            <v>Криницкий Ю.В.</v>
          </cell>
          <cell r="H203" t="str">
            <v>преподаватель</v>
          </cell>
          <cell r="K203" t="str">
            <v>л</v>
          </cell>
          <cell r="L203" t="str">
            <v>Микроэкономика</v>
          </cell>
          <cell r="O203" t="str">
            <v>Самчинская Я.Б.</v>
          </cell>
          <cell r="P203" t="str">
            <v>доцент, канд. наук</v>
          </cell>
          <cell r="S203">
            <v>0</v>
          </cell>
          <cell r="T203">
            <v>0</v>
          </cell>
          <cell r="W203">
            <v>0</v>
          </cell>
          <cell r="X203" t="str">
            <v/>
          </cell>
        </row>
        <row r="204">
          <cell r="C204">
            <v>0</v>
          </cell>
          <cell r="D204">
            <v>0</v>
          </cell>
          <cell r="G204">
            <v>0</v>
          </cell>
          <cell r="H204" t="str">
            <v/>
          </cell>
          <cell r="K204" t="str">
            <v>л</v>
          </cell>
          <cell r="L204" t="str">
            <v>Математический анализ</v>
          </cell>
          <cell r="O204" t="str">
            <v>Линник Е.П.</v>
          </cell>
          <cell r="P204" t="str">
            <v>доцент, канд. наук</v>
          </cell>
          <cell r="S204" t="str">
            <v>пр</v>
          </cell>
          <cell r="T204" t="str">
            <v xml:space="preserve"> Основы военной подготовки</v>
          </cell>
          <cell r="W204" t="str">
            <v>Кулак А.Ф.</v>
          </cell>
          <cell r="X204" t="str">
            <v>преподаватель</v>
          </cell>
        </row>
        <row r="205">
          <cell r="C205">
            <v>0</v>
          </cell>
          <cell r="D205">
            <v>0</v>
          </cell>
          <cell r="G205">
            <v>0</v>
          </cell>
          <cell r="H205" t="str">
            <v/>
          </cell>
          <cell r="K205">
            <v>0</v>
          </cell>
          <cell r="L205">
            <v>0</v>
          </cell>
          <cell r="O205">
            <v>0</v>
          </cell>
          <cell r="P205" t="str">
            <v/>
          </cell>
          <cell r="S205">
            <v>0</v>
          </cell>
          <cell r="T205">
            <v>0</v>
          </cell>
          <cell r="W205">
            <v>0</v>
          </cell>
          <cell r="X205" t="str">
            <v/>
          </cell>
        </row>
        <row r="206">
          <cell r="C206">
            <v>0</v>
          </cell>
          <cell r="D206">
            <v>0</v>
          </cell>
          <cell r="G206">
            <v>0</v>
          </cell>
          <cell r="H206" t="str">
            <v/>
          </cell>
          <cell r="K206">
            <v>0</v>
          </cell>
          <cell r="L206">
            <v>0</v>
          </cell>
          <cell r="O206">
            <v>0</v>
          </cell>
          <cell r="P206" t="str">
            <v/>
          </cell>
          <cell r="S206">
            <v>0</v>
          </cell>
          <cell r="T206">
            <v>0</v>
          </cell>
          <cell r="W206">
            <v>0</v>
          </cell>
          <cell r="X206" t="str">
            <v/>
          </cell>
        </row>
        <row r="207">
          <cell r="C207">
            <v>0</v>
          </cell>
          <cell r="D207">
            <v>0</v>
          </cell>
          <cell r="G207">
            <v>0</v>
          </cell>
          <cell r="H207" t="str">
            <v/>
          </cell>
          <cell r="K207">
            <v>0</v>
          </cell>
          <cell r="L207">
            <v>0</v>
          </cell>
          <cell r="O207">
            <v>0</v>
          </cell>
          <cell r="P207" t="str">
            <v/>
          </cell>
          <cell r="S207">
            <v>0</v>
          </cell>
          <cell r="T207">
            <v>0</v>
          </cell>
          <cell r="W207">
            <v>0</v>
          </cell>
          <cell r="X207" t="str">
            <v/>
          </cell>
        </row>
        <row r="208">
          <cell r="C208">
            <v>0</v>
          </cell>
          <cell r="D208">
            <v>0</v>
          </cell>
          <cell r="G208">
            <v>0</v>
          </cell>
          <cell r="H208" t="str">
            <v/>
          </cell>
          <cell r="K208">
            <v>0</v>
          </cell>
          <cell r="L208">
            <v>0</v>
          </cell>
          <cell r="O208">
            <v>0</v>
          </cell>
          <cell r="P208" t="str">
            <v/>
          </cell>
          <cell r="S208">
            <v>0</v>
          </cell>
          <cell r="T208">
            <v>0</v>
          </cell>
          <cell r="W208">
            <v>0</v>
          </cell>
          <cell r="X208" t="str">
            <v/>
          </cell>
        </row>
        <row r="209">
          <cell r="C209">
            <v>0</v>
          </cell>
          <cell r="D209">
            <v>0</v>
          </cell>
          <cell r="G209">
            <v>0</v>
          </cell>
          <cell r="H209" t="str">
            <v/>
          </cell>
          <cell r="K209">
            <v>0</v>
          </cell>
          <cell r="L209">
            <v>0</v>
          </cell>
          <cell r="O209">
            <v>0</v>
          </cell>
          <cell r="P209" t="str">
            <v/>
          </cell>
          <cell r="S209">
            <v>0</v>
          </cell>
          <cell r="T209">
            <v>0</v>
          </cell>
          <cell r="W209">
            <v>0</v>
          </cell>
          <cell r="X209" t="str">
            <v/>
          </cell>
        </row>
        <row r="210">
          <cell r="C210">
            <v>0</v>
          </cell>
          <cell r="D210">
            <v>0</v>
          </cell>
          <cell r="G210">
            <v>0</v>
          </cell>
          <cell r="H210" t="str">
            <v/>
          </cell>
          <cell r="K210">
            <v>0</v>
          </cell>
          <cell r="L210">
            <v>0</v>
          </cell>
          <cell r="O210">
            <v>0</v>
          </cell>
          <cell r="P210" t="str">
            <v/>
          </cell>
          <cell r="S210">
            <v>0</v>
          </cell>
          <cell r="T210">
            <v>0</v>
          </cell>
          <cell r="W210">
            <v>0</v>
          </cell>
          <cell r="X210" t="str">
            <v/>
          </cell>
        </row>
        <row r="211">
          <cell r="C211">
            <v>0</v>
          </cell>
          <cell r="D211">
            <v>0</v>
          </cell>
          <cell r="G211">
            <v>0</v>
          </cell>
          <cell r="H211" t="str">
            <v/>
          </cell>
          <cell r="K211">
            <v>0</v>
          </cell>
          <cell r="L211">
            <v>0</v>
          </cell>
          <cell r="O211">
            <v>0</v>
          </cell>
          <cell r="P211" t="str">
            <v/>
          </cell>
          <cell r="S211" t="str">
            <v>л</v>
          </cell>
          <cell r="T211" t="str">
            <v>Разработка программного обеспечения, дизайн алгоритмов и аналитика</v>
          </cell>
          <cell r="W211" t="str">
            <v>Алешов Е.В.</v>
          </cell>
          <cell r="X211" t="str">
            <v>преподаватель</v>
          </cell>
        </row>
        <row r="212">
          <cell r="C212" t="str">
            <v>л</v>
          </cell>
          <cell r="D212" t="str">
            <v>Математический анализ</v>
          </cell>
          <cell r="G212" t="str">
            <v>Линник Е.П.</v>
          </cell>
          <cell r="H212" t="str">
            <v>доцент, канд. наук</v>
          </cell>
          <cell r="K212" t="str">
            <v>л</v>
          </cell>
          <cell r="L212" t="str">
            <v>Основы предпринимательства</v>
          </cell>
          <cell r="O212" t="str">
            <v>Илюшина О.Н.</v>
          </cell>
          <cell r="P212" t="str">
            <v>доцент, канд. наук</v>
          </cell>
          <cell r="S212" t="str">
            <v>л</v>
          </cell>
          <cell r="T212" t="str">
            <v>Компьютерная безопасность</v>
          </cell>
          <cell r="W212" t="str">
            <v>Алешов Е.В.</v>
          </cell>
          <cell r="X212" t="str">
            <v>преподаватель</v>
          </cell>
        </row>
        <row r="213">
          <cell r="C213">
            <v>0</v>
          </cell>
          <cell r="D213">
            <v>0</v>
          </cell>
          <cell r="G213">
            <v>0</v>
          </cell>
          <cell r="H213" t="str">
            <v/>
          </cell>
          <cell r="K213">
            <v>0</v>
          </cell>
          <cell r="L213">
            <v>0</v>
          </cell>
          <cell r="O213">
            <v>0</v>
          </cell>
          <cell r="P213" t="str">
            <v/>
          </cell>
          <cell r="S213">
            <v>0</v>
          </cell>
          <cell r="T213">
            <v>0</v>
          </cell>
          <cell r="W213">
            <v>0</v>
          </cell>
          <cell r="X213" t="str">
            <v/>
          </cell>
        </row>
        <row r="214">
          <cell r="C214">
            <v>0</v>
          </cell>
          <cell r="D214">
            <v>0</v>
          </cell>
          <cell r="G214">
            <v>0</v>
          </cell>
          <cell r="H214" t="str">
            <v/>
          </cell>
          <cell r="K214">
            <v>0</v>
          </cell>
          <cell r="L214">
            <v>0</v>
          </cell>
          <cell r="O214">
            <v>0</v>
          </cell>
          <cell r="P214" t="str">
            <v/>
          </cell>
          <cell r="S214">
            <v>0</v>
          </cell>
          <cell r="T214">
            <v>0</v>
          </cell>
          <cell r="W214">
            <v>0</v>
          </cell>
          <cell r="X214" t="str">
            <v/>
          </cell>
        </row>
        <row r="215">
          <cell r="C215">
            <v>0</v>
          </cell>
          <cell r="D215">
            <v>0</v>
          </cell>
          <cell r="G215">
            <v>0</v>
          </cell>
          <cell r="H215" t="str">
            <v/>
          </cell>
          <cell r="K215">
            <v>0</v>
          </cell>
          <cell r="L215">
            <v>0</v>
          </cell>
          <cell r="O215">
            <v>0</v>
          </cell>
          <cell r="P215" t="str">
            <v/>
          </cell>
          <cell r="S215">
            <v>0</v>
          </cell>
          <cell r="T215">
            <v>0</v>
          </cell>
          <cell r="W215">
            <v>0</v>
          </cell>
          <cell r="X215" t="str">
            <v/>
          </cell>
        </row>
        <row r="216">
          <cell r="C216">
            <v>0</v>
          </cell>
          <cell r="D216">
            <v>0</v>
          </cell>
          <cell r="G216">
            <v>0</v>
          </cell>
          <cell r="H216" t="str">
            <v/>
          </cell>
          <cell r="K216">
            <v>0</v>
          </cell>
          <cell r="L216">
            <v>0</v>
          </cell>
          <cell r="O216">
            <v>0</v>
          </cell>
          <cell r="P216" t="str">
            <v/>
          </cell>
          <cell r="S216">
            <v>0</v>
          </cell>
          <cell r="T216">
            <v>0</v>
          </cell>
          <cell r="W216">
            <v>0</v>
          </cell>
          <cell r="X216" t="str">
            <v/>
          </cell>
        </row>
        <row r="217">
          <cell r="C217">
            <v>0</v>
          </cell>
          <cell r="D217">
            <v>0</v>
          </cell>
          <cell r="G217">
            <v>0</v>
          </cell>
          <cell r="H217" t="str">
            <v/>
          </cell>
          <cell r="K217">
            <v>0</v>
          </cell>
          <cell r="L217">
            <v>0</v>
          </cell>
          <cell r="O217">
            <v>0</v>
          </cell>
          <cell r="P217" t="str">
            <v/>
          </cell>
          <cell r="S217">
            <v>0</v>
          </cell>
          <cell r="T217">
            <v>0</v>
          </cell>
          <cell r="W217">
            <v>0</v>
          </cell>
          <cell r="X217" t="str">
            <v/>
          </cell>
        </row>
        <row r="218">
          <cell r="C218">
            <v>0</v>
          </cell>
          <cell r="D218">
            <v>0</v>
          </cell>
          <cell r="G218">
            <v>0</v>
          </cell>
          <cell r="H218" t="str">
            <v/>
          </cell>
          <cell r="K218">
            <v>0</v>
          </cell>
          <cell r="L218">
            <v>0</v>
          </cell>
          <cell r="O218">
            <v>0</v>
          </cell>
          <cell r="P218" t="str">
            <v/>
          </cell>
          <cell r="S218">
            <v>0</v>
          </cell>
          <cell r="T218">
            <v>0</v>
          </cell>
          <cell r="W218">
            <v>0</v>
          </cell>
          <cell r="X218" t="str">
            <v/>
          </cell>
        </row>
        <row r="219">
          <cell r="C219" t="str">
            <v>л</v>
          </cell>
          <cell r="D219" t="str">
            <v>Геометрия</v>
          </cell>
          <cell r="G219" t="str">
            <v>Казанцев Ю.А.</v>
          </cell>
          <cell r="H219" t="str">
            <v>ст. преподаватель</v>
          </cell>
          <cell r="K219" t="str">
            <v>л</v>
          </cell>
          <cell r="L219" t="str">
            <v>Деньги, кредит, банки</v>
          </cell>
          <cell r="O219" t="str">
            <v>Самчинская Я.Б.</v>
          </cell>
          <cell r="P219" t="str">
            <v>доцент, канд. наук</v>
          </cell>
          <cell r="S219">
            <v>0</v>
          </cell>
          <cell r="T219">
            <v>0</v>
          </cell>
          <cell r="W219">
            <v>0</v>
          </cell>
          <cell r="X219" t="str">
            <v/>
          </cell>
        </row>
        <row r="220">
          <cell r="C220" t="str">
            <v>л</v>
          </cell>
          <cell r="D220" t="str">
            <v>Алгебра</v>
          </cell>
          <cell r="G220" t="str">
            <v>Овчинникова М.В.</v>
          </cell>
          <cell r="H220" t="str">
            <v>доцент, канд. наук</v>
          </cell>
          <cell r="K220" t="str">
            <v>л</v>
          </cell>
          <cell r="L220" t="str">
            <v>Геометрия</v>
          </cell>
          <cell r="O220" t="str">
            <v>Казанцев Ю.А.</v>
          </cell>
          <cell r="P220" t="str">
            <v>ст. преподаватель</v>
          </cell>
          <cell r="S220">
            <v>0</v>
          </cell>
          <cell r="T220">
            <v>0</v>
          </cell>
          <cell r="W220">
            <v>0</v>
          </cell>
          <cell r="X220" t="str">
            <v/>
          </cell>
        </row>
        <row r="221">
          <cell r="C221">
            <v>0</v>
          </cell>
          <cell r="D221">
            <v>0</v>
          </cell>
          <cell r="G221">
            <v>0</v>
          </cell>
          <cell r="H221" t="str">
            <v/>
          </cell>
          <cell r="K221">
            <v>0</v>
          </cell>
          <cell r="L221">
            <v>0</v>
          </cell>
          <cell r="O221">
            <v>0</v>
          </cell>
          <cell r="P221" t="str">
            <v/>
          </cell>
          <cell r="S221">
            <v>0</v>
          </cell>
          <cell r="T221">
            <v>0</v>
          </cell>
          <cell r="W221">
            <v>0</v>
          </cell>
          <cell r="X221" t="str">
            <v/>
          </cell>
        </row>
        <row r="222">
          <cell r="C222">
            <v>0</v>
          </cell>
          <cell r="D222">
            <v>0</v>
          </cell>
          <cell r="G222">
            <v>0</v>
          </cell>
          <cell r="H222" t="str">
            <v/>
          </cell>
          <cell r="K222">
            <v>0</v>
          </cell>
          <cell r="L222">
            <v>0</v>
          </cell>
          <cell r="O222">
            <v>0</v>
          </cell>
          <cell r="P222" t="str">
            <v/>
          </cell>
          <cell r="S222">
            <v>0</v>
          </cell>
          <cell r="T222">
            <v>0</v>
          </cell>
          <cell r="W222">
            <v>0</v>
          </cell>
          <cell r="X222" t="str">
            <v/>
          </cell>
        </row>
        <row r="223">
          <cell r="C223">
            <v>0</v>
          </cell>
          <cell r="D223">
            <v>0</v>
          </cell>
          <cell r="G223">
            <v>0</v>
          </cell>
          <cell r="H223" t="str">
            <v/>
          </cell>
          <cell r="K223">
            <v>0</v>
          </cell>
          <cell r="L223">
            <v>0</v>
          </cell>
          <cell r="O223">
            <v>0</v>
          </cell>
          <cell r="P223" t="str">
            <v/>
          </cell>
          <cell r="S223">
            <v>0</v>
          </cell>
          <cell r="T223">
            <v>0</v>
          </cell>
          <cell r="W223">
            <v>0</v>
          </cell>
          <cell r="X223" t="str">
            <v/>
          </cell>
        </row>
        <row r="224">
          <cell r="C224">
            <v>0</v>
          </cell>
          <cell r="D224">
            <v>0</v>
          </cell>
          <cell r="G224">
            <v>0</v>
          </cell>
          <cell r="H224" t="str">
            <v/>
          </cell>
          <cell r="K224">
            <v>0</v>
          </cell>
          <cell r="L224">
            <v>0</v>
          </cell>
          <cell r="O224">
            <v>0</v>
          </cell>
          <cell r="P224" t="str">
            <v/>
          </cell>
          <cell r="S224">
            <v>0</v>
          </cell>
          <cell r="T224">
            <v>0</v>
          </cell>
          <cell r="W224">
            <v>0</v>
          </cell>
          <cell r="X224" t="str">
            <v/>
          </cell>
        </row>
        <row r="225">
          <cell r="C225">
            <v>0</v>
          </cell>
          <cell r="D225">
            <v>0</v>
          </cell>
          <cell r="G225">
            <v>0</v>
          </cell>
          <cell r="H225" t="str">
            <v/>
          </cell>
          <cell r="K225">
            <v>0</v>
          </cell>
          <cell r="L225">
            <v>0</v>
          </cell>
          <cell r="O225">
            <v>0</v>
          </cell>
          <cell r="P225" t="str">
            <v/>
          </cell>
          <cell r="S225">
            <v>0</v>
          </cell>
          <cell r="T225">
            <v>0</v>
          </cell>
          <cell r="W225">
            <v>0</v>
          </cell>
          <cell r="X225" t="str">
            <v/>
          </cell>
        </row>
        <row r="226">
          <cell r="C226">
            <v>0</v>
          </cell>
          <cell r="D226">
            <v>0</v>
          </cell>
          <cell r="G226">
            <v>0</v>
          </cell>
          <cell r="H226" t="str">
            <v/>
          </cell>
          <cell r="K226">
            <v>0</v>
          </cell>
          <cell r="L226">
            <v>0</v>
          </cell>
          <cell r="O226">
            <v>0</v>
          </cell>
          <cell r="P226" t="str">
            <v/>
          </cell>
          <cell r="S226">
            <v>0</v>
          </cell>
          <cell r="T226">
            <v>0</v>
          </cell>
          <cell r="W226">
            <v>0</v>
          </cell>
          <cell r="X226" t="str">
            <v/>
          </cell>
        </row>
        <row r="227">
          <cell r="C227">
            <v>0</v>
          </cell>
          <cell r="D227">
            <v>0</v>
          </cell>
          <cell r="G227">
            <v>0</v>
          </cell>
          <cell r="H227" t="str">
            <v/>
          </cell>
          <cell r="K227" t="str">
            <v>л</v>
          </cell>
          <cell r="L227" t="str">
            <v>Экономика фирмы</v>
          </cell>
          <cell r="O227" t="str">
            <v>Самчинская Я.Б.</v>
          </cell>
          <cell r="P227" t="str">
            <v>доцент, канд. наук</v>
          </cell>
          <cell r="S227" t="str">
            <v>пр</v>
          </cell>
          <cell r="T227" t="str">
            <v>Разработка программного обеспечения, дизайн алгоритмов и аналитика</v>
          </cell>
          <cell r="W227" t="str">
            <v>Алешов Е.В.</v>
          </cell>
          <cell r="X227" t="str">
            <v>преподаватель</v>
          </cell>
        </row>
        <row r="228">
          <cell r="C228" t="str">
            <v>пр</v>
          </cell>
          <cell r="D228" t="str">
            <v>Информационные системы</v>
          </cell>
          <cell r="G228" t="str">
            <v>Казак А.Н.</v>
          </cell>
          <cell r="H228" t="str">
            <v>доцент, канд. наук</v>
          </cell>
          <cell r="K228" t="str">
            <v>л</v>
          </cell>
          <cell r="L228" t="str">
            <v>Программирование</v>
          </cell>
          <cell r="O228" t="str">
            <v>Криницкий Ю.В.</v>
          </cell>
          <cell r="P228" t="str">
            <v>преподаватель</v>
          </cell>
          <cell r="S228" t="str">
            <v>пр</v>
          </cell>
          <cell r="T228" t="str">
            <v>Компьютерная безопасность</v>
          </cell>
          <cell r="W228" t="str">
            <v>Алешов Е.В.</v>
          </cell>
          <cell r="X228" t="str">
            <v>преподаватель</v>
          </cell>
        </row>
        <row r="229">
          <cell r="C229">
            <v>0</v>
          </cell>
          <cell r="D229">
            <v>0</v>
          </cell>
          <cell r="G229">
            <v>0</v>
          </cell>
          <cell r="H229" t="str">
            <v/>
          </cell>
          <cell r="K229">
            <v>0</v>
          </cell>
          <cell r="L229">
            <v>0</v>
          </cell>
          <cell r="O229">
            <v>0</v>
          </cell>
          <cell r="P229" t="str">
            <v/>
          </cell>
          <cell r="S229">
            <v>0</v>
          </cell>
          <cell r="T229">
            <v>0</v>
          </cell>
          <cell r="W229">
            <v>0</v>
          </cell>
          <cell r="X229" t="str">
            <v/>
          </cell>
        </row>
        <row r="230">
          <cell r="C230">
            <v>0</v>
          </cell>
          <cell r="D230">
            <v>0</v>
          </cell>
          <cell r="G230">
            <v>0</v>
          </cell>
          <cell r="H230" t="str">
            <v/>
          </cell>
          <cell r="K230">
            <v>0</v>
          </cell>
          <cell r="L230">
            <v>0</v>
          </cell>
          <cell r="O230">
            <v>0</v>
          </cell>
          <cell r="P230" t="str">
            <v/>
          </cell>
          <cell r="S230">
            <v>0</v>
          </cell>
          <cell r="T230">
            <v>0</v>
          </cell>
          <cell r="W230">
            <v>0</v>
          </cell>
          <cell r="X230" t="str">
            <v/>
          </cell>
        </row>
        <row r="231">
          <cell r="C231">
            <v>0</v>
          </cell>
          <cell r="D231">
            <v>0</v>
          </cell>
          <cell r="G231">
            <v>0</v>
          </cell>
          <cell r="H231" t="str">
            <v/>
          </cell>
          <cell r="K231">
            <v>0</v>
          </cell>
          <cell r="L231">
            <v>0</v>
          </cell>
          <cell r="O231">
            <v>0</v>
          </cell>
          <cell r="P231" t="str">
            <v/>
          </cell>
          <cell r="S231">
            <v>0</v>
          </cell>
          <cell r="T231">
            <v>0</v>
          </cell>
          <cell r="W231">
            <v>0</v>
          </cell>
          <cell r="X231" t="str">
            <v/>
          </cell>
        </row>
        <row r="232">
          <cell r="C232">
            <v>0</v>
          </cell>
          <cell r="D232">
            <v>0</v>
          </cell>
          <cell r="G232">
            <v>0</v>
          </cell>
          <cell r="H232" t="str">
            <v/>
          </cell>
          <cell r="K232">
            <v>0</v>
          </cell>
          <cell r="L232">
            <v>0</v>
          </cell>
          <cell r="O232">
            <v>0</v>
          </cell>
          <cell r="P232" t="str">
            <v/>
          </cell>
          <cell r="S232">
            <v>0</v>
          </cell>
          <cell r="T232">
            <v>0</v>
          </cell>
          <cell r="W232">
            <v>0</v>
          </cell>
          <cell r="X232" t="str">
            <v/>
          </cell>
        </row>
        <row r="233">
          <cell r="C233">
            <v>0</v>
          </cell>
          <cell r="D233">
            <v>0</v>
          </cell>
          <cell r="G233">
            <v>0</v>
          </cell>
          <cell r="H233" t="str">
            <v/>
          </cell>
          <cell r="K233">
            <v>0</v>
          </cell>
          <cell r="L233">
            <v>0</v>
          </cell>
          <cell r="O233">
            <v>0</v>
          </cell>
          <cell r="P233" t="str">
            <v/>
          </cell>
          <cell r="S233">
            <v>0</v>
          </cell>
          <cell r="T233">
            <v>0</v>
          </cell>
          <cell r="W233">
            <v>0</v>
          </cell>
          <cell r="X233" t="str">
            <v/>
          </cell>
        </row>
        <row r="234">
          <cell r="C234">
            <v>0</v>
          </cell>
          <cell r="D234">
            <v>0</v>
          </cell>
          <cell r="G234">
            <v>0</v>
          </cell>
          <cell r="H234" t="str">
            <v/>
          </cell>
          <cell r="K234">
            <v>0</v>
          </cell>
          <cell r="L234">
            <v>0</v>
          </cell>
          <cell r="O234">
            <v>0</v>
          </cell>
          <cell r="P234" t="str">
            <v/>
          </cell>
          <cell r="S234">
            <v>0</v>
          </cell>
          <cell r="T234">
            <v>0</v>
          </cell>
          <cell r="W234">
            <v>0</v>
          </cell>
          <cell r="X234" t="str">
            <v/>
          </cell>
        </row>
        <row r="235">
          <cell r="C235">
            <v>0</v>
          </cell>
          <cell r="D235">
            <v>0</v>
          </cell>
          <cell r="G235">
            <v>0</v>
          </cell>
          <cell r="H235" t="str">
            <v/>
          </cell>
          <cell r="K235">
            <v>0</v>
          </cell>
          <cell r="L235">
            <v>0</v>
          </cell>
          <cell r="O235">
            <v>0</v>
          </cell>
          <cell r="P235" t="str">
            <v/>
          </cell>
          <cell r="S235">
            <v>0</v>
          </cell>
          <cell r="T235">
            <v>0</v>
          </cell>
          <cell r="W235">
            <v>0</v>
          </cell>
          <cell r="X235" t="str">
            <v/>
          </cell>
        </row>
        <row r="236">
          <cell r="C236">
            <v>0</v>
          </cell>
          <cell r="D236">
            <v>0</v>
          </cell>
          <cell r="G236">
            <v>0</v>
          </cell>
          <cell r="H236" t="str">
            <v/>
          </cell>
          <cell r="K236">
            <v>0</v>
          </cell>
          <cell r="L236">
            <v>0</v>
          </cell>
          <cell r="O236">
            <v>0</v>
          </cell>
          <cell r="P236" t="str">
            <v/>
          </cell>
          <cell r="S236" t="str">
            <v>пр</v>
          </cell>
          <cell r="T236" t="str">
            <v>Управление ИТ-проектами и гибкая методология</v>
          </cell>
          <cell r="W236" t="str">
            <v>Гришин И.Ю.</v>
          </cell>
          <cell r="X236" t="str">
            <v>профессор, д-р наук</v>
          </cell>
        </row>
        <row r="237">
          <cell r="C237">
            <v>0</v>
          </cell>
          <cell r="D237">
            <v>0</v>
          </cell>
          <cell r="G237">
            <v>0</v>
          </cell>
          <cell r="H237" t="str">
            <v/>
          </cell>
          <cell r="K237">
            <v>0</v>
          </cell>
          <cell r="L237">
            <v>0</v>
          </cell>
          <cell r="O237">
            <v>0</v>
          </cell>
          <cell r="P237" t="str">
            <v/>
          </cell>
          <cell r="S237">
            <v>0</v>
          </cell>
          <cell r="T237">
            <v>0</v>
          </cell>
          <cell r="W237">
            <v>0</v>
          </cell>
          <cell r="X237" t="str">
            <v/>
          </cell>
        </row>
        <row r="238">
          <cell r="C238">
            <v>0</v>
          </cell>
          <cell r="D238">
            <v>0</v>
          </cell>
          <cell r="G238">
            <v>0</v>
          </cell>
          <cell r="H238" t="str">
            <v/>
          </cell>
          <cell r="K238">
            <v>0</v>
          </cell>
          <cell r="L238">
            <v>0</v>
          </cell>
          <cell r="O238">
            <v>0</v>
          </cell>
          <cell r="P238" t="str">
            <v/>
          </cell>
          <cell r="S238">
            <v>0</v>
          </cell>
          <cell r="T238">
            <v>0</v>
          </cell>
          <cell r="W238">
            <v>0</v>
          </cell>
          <cell r="X238" t="str">
            <v/>
          </cell>
        </row>
        <row r="239">
          <cell r="C239">
            <v>0</v>
          </cell>
          <cell r="D239">
            <v>0</v>
          </cell>
          <cell r="G239">
            <v>0</v>
          </cell>
          <cell r="H239" t="str">
            <v/>
          </cell>
          <cell r="K239">
            <v>0</v>
          </cell>
          <cell r="L239">
            <v>0</v>
          </cell>
          <cell r="O239">
            <v>0</v>
          </cell>
          <cell r="P239" t="str">
            <v/>
          </cell>
          <cell r="S239">
            <v>0</v>
          </cell>
          <cell r="T239">
            <v>0</v>
          </cell>
          <cell r="W239">
            <v>0</v>
          </cell>
          <cell r="X239" t="str">
            <v/>
          </cell>
        </row>
        <row r="240">
          <cell r="C240">
            <v>0</v>
          </cell>
          <cell r="D240">
            <v>0</v>
          </cell>
          <cell r="G240">
            <v>0</v>
          </cell>
          <cell r="H240" t="str">
            <v/>
          </cell>
          <cell r="K240">
            <v>0</v>
          </cell>
          <cell r="L240">
            <v>0</v>
          </cell>
          <cell r="O240">
            <v>0</v>
          </cell>
          <cell r="P240" t="str">
            <v/>
          </cell>
          <cell r="S240">
            <v>0</v>
          </cell>
          <cell r="T240">
            <v>0</v>
          </cell>
          <cell r="W240">
            <v>0</v>
          </cell>
          <cell r="X240" t="str">
            <v/>
          </cell>
        </row>
        <row r="241">
          <cell r="C241">
            <v>0</v>
          </cell>
          <cell r="D241">
            <v>0</v>
          </cell>
          <cell r="G241">
            <v>0</v>
          </cell>
          <cell r="H241" t="str">
            <v/>
          </cell>
          <cell r="K241">
            <v>0</v>
          </cell>
          <cell r="L241">
            <v>0</v>
          </cell>
          <cell r="O241">
            <v>0</v>
          </cell>
          <cell r="P241" t="str">
            <v/>
          </cell>
          <cell r="S241">
            <v>0</v>
          </cell>
          <cell r="T241">
            <v>0</v>
          </cell>
          <cell r="W241">
            <v>0</v>
          </cell>
          <cell r="X241" t="str">
            <v/>
          </cell>
        </row>
        <row r="242">
          <cell r="C242">
            <v>0</v>
          </cell>
          <cell r="D242">
            <v>0</v>
          </cell>
          <cell r="G242">
            <v>0</v>
          </cell>
          <cell r="H242" t="str">
            <v/>
          </cell>
          <cell r="K242">
            <v>0</v>
          </cell>
          <cell r="L242">
            <v>0</v>
          </cell>
          <cell r="O242">
            <v>0</v>
          </cell>
          <cell r="P242" t="str">
            <v/>
          </cell>
          <cell r="S242">
            <v>0</v>
          </cell>
          <cell r="T242">
            <v>0</v>
          </cell>
          <cell r="W242">
            <v>0</v>
          </cell>
          <cell r="X242" t="str">
            <v/>
          </cell>
        </row>
        <row r="243">
          <cell r="C243">
            <v>0</v>
          </cell>
          <cell r="D243">
            <v>0</v>
          </cell>
          <cell r="G243">
            <v>0</v>
          </cell>
          <cell r="H243" t="str">
            <v/>
          </cell>
          <cell r="K243">
            <v>0</v>
          </cell>
          <cell r="L243">
            <v>0</v>
          </cell>
          <cell r="O243">
            <v>0</v>
          </cell>
          <cell r="P243" t="str">
            <v/>
          </cell>
          <cell r="S243">
            <v>0</v>
          </cell>
          <cell r="T243">
            <v>0</v>
          </cell>
          <cell r="W243">
            <v>0</v>
          </cell>
          <cell r="X243" t="str">
            <v/>
          </cell>
        </row>
        <row r="244">
          <cell r="C244">
            <v>0</v>
          </cell>
          <cell r="D244">
            <v>0</v>
          </cell>
          <cell r="G244">
            <v>0</v>
          </cell>
          <cell r="H244" t="str">
            <v/>
          </cell>
          <cell r="K244">
            <v>0</v>
          </cell>
          <cell r="L244">
            <v>0</v>
          </cell>
          <cell r="O244">
            <v>0</v>
          </cell>
          <cell r="P244" t="str">
            <v/>
          </cell>
          <cell r="S244">
            <v>0</v>
          </cell>
          <cell r="T244">
            <v>0</v>
          </cell>
          <cell r="W244">
            <v>0</v>
          </cell>
          <cell r="X244" t="str">
            <v/>
          </cell>
        </row>
        <row r="260">
          <cell r="C260">
            <v>0</v>
          </cell>
          <cell r="D260">
            <v>0</v>
          </cell>
          <cell r="G260">
            <v>0</v>
          </cell>
          <cell r="H260" t="str">
            <v/>
          </cell>
          <cell r="K260">
            <v>0</v>
          </cell>
          <cell r="L260">
            <v>0</v>
          </cell>
          <cell r="O260">
            <v>0</v>
          </cell>
          <cell r="P260" t="str">
            <v/>
          </cell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C261">
            <v>0</v>
          </cell>
          <cell r="D261">
            <v>0</v>
          </cell>
          <cell r="G261">
            <v>0</v>
          </cell>
          <cell r="H261" t="str">
            <v/>
          </cell>
          <cell r="K261">
            <v>0</v>
          </cell>
          <cell r="L261">
            <v>0</v>
          </cell>
          <cell r="O261">
            <v>0</v>
          </cell>
          <cell r="P261" t="str">
            <v/>
          </cell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C262">
            <v>0</v>
          </cell>
          <cell r="D262">
            <v>0</v>
          </cell>
          <cell r="G262">
            <v>0</v>
          </cell>
          <cell r="H262" t="str">
            <v/>
          </cell>
          <cell r="K262">
            <v>0</v>
          </cell>
          <cell r="L262">
            <v>0</v>
          </cell>
          <cell r="O262">
            <v>0</v>
          </cell>
          <cell r="P262" t="str">
            <v/>
          </cell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C263">
            <v>0</v>
          </cell>
          <cell r="D263">
            <v>0</v>
          </cell>
          <cell r="G263">
            <v>0</v>
          </cell>
          <cell r="H263" t="str">
            <v/>
          </cell>
          <cell r="K263">
            <v>0</v>
          </cell>
          <cell r="L263">
            <v>0</v>
          </cell>
          <cell r="O263">
            <v>0</v>
          </cell>
          <cell r="P263" t="str">
            <v/>
          </cell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C264">
            <v>0</v>
          </cell>
          <cell r="D264">
            <v>0</v>
          </cell>
          <cell r="G264">
            <v>0</v>
          </cell>
          <cell r="H264" t="str">
            <v/>
          </cell>
          <cell r="K264">
            <v>0</v>
          </cell>
          <cell r="L264">
            <v>0</v>
          </cell>
          <cell r="O264">
            <v>0</v>
          </cell>
          <cell r="P264" t="str">
            <v/>
          </cell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C265" t="str">
            <v>пр</v>
          </cell>
          <cell r="D265" t="str">
            <v xml:space="preserve"> Методы исследовательской/проектной деятельности</v>
          </cell>
          <cell r="G265" t="str">
            <v>Казанцев Ю.А.</v>
          </cell>
          <cell r="H265" t="str">
            <v>ст. преподаватель</v>
          </cell>
          <cell r="K265" t="str">
            <v>пр</v>
          </cell>
          <cell r="L265" t="str">
            <v xml:space="preserve"> Методы исследовательской/проектной деятельности</v>
          </cell>
          <cell r="O265" t="str">
            <v>Казанцев Ю.А.</v>
          </cell>
          <cell r="P265" t="str">
            <v>ст. преподаватель</v>
          </cell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C266" t="str">
            <v>пр</v>
          </cell>
          <cell r="D266" t="str">
            <v xml:space="preserve"> Основы военной подготовки</v>
          </cell>
          <cell r="G266" t="str">
            <v>Кулак А.Ф.</v>
          </cell>
          <cell r="H266" t="str">
            <v>преподаватель</v>
          </cell>
          <cell r="K266" t="str">
            <v>пр</v>
          </cell>
          <cell r="L266" t="str">
            <v xml:space="preserve"> Основы военной подготовки</v>
          </cell>
          <cell r="O266" t="str">
            <v>Кулак А.Ф.</v>
          </cell>
          <cell r="P266" t="str">
            <v>преподаватель</v>
          </cell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C267">
            <v>0</v>
          </cell>
          <cell r="D267">
            <v>0</v>
          </cell>
          <cell r="G267">
            <v>0</v>
          </cell>
          <cell r="H267" t="str">
            <v/>
          </cell>
          <cell r="K267">
            <v>0</v>
          </cell>
          <cell r="L267">
            <v>0</v>
          </cell>
          <cell r="O267">
            <v>0</v>
          </cell>
          <cell r="P267" t="str">
            <v/>
          </cell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C268">
            <v>0</v>
          </cell>
          <cell r="D268">
            <v>0</v>
          </cell>
          <cell r="G268">
            <v>0</v>
          </cell>
          <cell r="H268" t="str">
            <v/>
          </cell>
          <cell r="K268">
            <v>0</v>
          </cell>
          <cell r="L268">
            <v>0</v>
          </cell>
          <cell r="O268">
            <v>0</v>
          </cell>
          <cell r="P268" t="str">
            <v/>
          </cell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C269">
            <v>0</v>
          </cell>
          <cell r="D269">
            <v>0</v>
          </cell>
          <cell r="G269">
            <v>0</v>
          </cell>
          <cell r="H269" t="str">
            <v/>
          </cell>
          <cell r="K269">
            <v>0</v>
          </cell>
          <cell r="L269">
            <v>0</v>
          </cell>
          <cell r="O269">
            <v>0</v>
          </cell>
          <cell r="P269" t="str">
            <v/>
          </cell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C270">
            <v>0</v>
          </cell>
          <cell r="D270">
            <v>0</v>
          </cell>
          <cell r="G270">
            <v>0</v>
          </cell>
          <cell r="H270" t="str">
            <v/>
          </cell>
          <cell r="K270">
            <v>0</v>
          </cell>
          <cell r="L270">
            <v>0</v>
          </cell>
          <cell r="O270">
            <v>0</v>
          </cell>
          <cell r="P270" t="str">
            <v/>
          </cell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C271">
            <v>0</v>
          </cell>
          <cell r="D271">
            <v>0</v>
          </cell>
          <cell r="G271">
            <v>0</v>
          </cell>
          <cell r="H271" t="str">
            <v/>
          </cell>
          <cell r="K271">
            <v>0</v>
          </cell>
          <cell r="L271">
            <v>0</v>
          </cell>
          <cell r="O271">
            <v>0</v>
          </cell>
          <cell r="P271" t="str">
            <v/>
          </cell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C272">
            <v>0</v>
          </cell>
          <cell r="D272">
            <v>0</v>
          </cell>
          <cell r="G272">
            <v>0</v>
          </cell>
          <cell r="H272" t="str">
            <v/>
          </cell>
          <cell r="K272">
            <v>0</v>
          </cell>
          <cell r="L272">
            <v>0</v>
          </cell>
          <cell r="O272">
            <v>0</v>
          </cell>
          <cell r="P272" t="str">
            <v/>
          </cell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C273">
            <v>0</v>
          </cell>
          <cell r="D273">
            <v>0</v>
          </cell>
          <cell r="G273">
            <v>0</v>
          </cell>
          <cell r="H273" t="str">
            <v/>
          </cell>
          <cell r="K273" t="str">
            <v>пр</v>
          </cell>
          <cell r="L273" t="str">
            <v>Психолого-педагогические основы обучения
математике</v>
          </cell>
          <cell r="O273" t="str">
            <v>Казанцев Ю.А.</v>
          </cell>
          <cell r="P273" t="str">
            <v>ст. преподаватель</v>
          </cell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C274" t="str">
            <v>пр</v>
          </cell>
          <cell r="D274" t="str">
            <v xml:space="preserve"> Основы государственной политики в сфере межэтнических и межконфессиональных отношений</v>
          </cell>
          <cell r="G274" t="str">
            <v>Бекиров С.Н.</v>
          </cell>
          <cell r="H274" t="str">
            <v>доцент, канд. наук</v>
          </cell>
          <cell r="K274" t="str">
            <v>пр</v>
          </cell>
          <cell r="L274" t="str">
            <v xml:space="preserve"> Основы государственной политики в сфере межэтнических и межконфессиональных отношений</v>
          </cell>
          <cell r="O274" t="str">
            <v>Бекиров С.Н.</v>
          </cell>
          <cell r="P274" t="str">
            <v>доцент, канд. наук</v>
          </cell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C275">
            <v>0</v>
          </cell>
          <cell r="D275">
            <v>0</v>
          </cell>
          <cell r="G275">
            <v>0</v>
          </cell>
          <cell r="H275" t="str">
            <v/>
          </cell>
          <cell r="K275">
            <v>0</v>
          </cell>
          <cell r="L275">
            <v>0</v>
          </cell>
          <cell r="O275">
            <v>0</v>
          </cell>
          <cell r="P275" t="str">
            <v/>
          </cell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C276">
            <v>0</v>
          </cell>
          <cell r="D276">
            <v>0</v>
          </cell>
          <cell r="G276">
            <v>0</v>
          </cell>
          <cell r="H276" t="str">
            <v/>
          </cell>
          <cell r="K276">
            <v>0</v>
          </cell>
          <cell r="L276">
            <v>0</v>
          </cell>
          <cell r="O276">
            <v>0</v>
          </cell>
          <cell r="P276" t="str">
            <v/>
          </cell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C277">
            <v>0</v>
          </cell>
          <cell r="D277">
            <v>0</v>
          </cell>
          <cell r="G277">
            <v>0</v>
          </cell>
          <cell r="H277" t="str">
            <v/>
          </cell>
          <cell r="K277">
            <v>0</v>
          </cell>
          <cell r="L277">
            <v>0</v>
          </cell>
          <cell r="O277">
            <v>0</v>
          </cell>
          <cell r="P277" t="str">
            <v/>
          </cell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C278">
            <v>0</v>
          </cell>
          <cell r="D278">
            <v>0</v>
          </cell>
          <cell r="G278">
            <v>0</v>
          </cell>
          <cell r="H278" t="str">
            <v/>
          </cell>
          <cell r="K278">
            <v>0</v>
          </cell>
          <cell r="L278">
            <v>0</v>
          </cell>
          <cell r="O278">
            <v>0</v>
          </cell>
          <cell r="P278" t="str">
            <v/>
          </cell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C279">
            <v>0</v>
          </cell>
          <cell r="D279">
            <v>0</v>
          </cell>
          <cell r="G279">
            <v>0</v>
          </cell>
          <cell r="H279" t="str">
            <v/>
          </cell>
          <cell r="K279">
            <v>0</v>
          </cell>
          <cell r="L279">
            <v>0</v>
          </cell>
          <cell r="O279">
            <v>0</v>
          </cell>
          <cell r="P279" t="str">
            <v/>
          </cell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C280">
            <v>0</v>
          </cell>
          <cell r="D280">
            <v>0</v>
          </cell>
          <cell r="G280">
            <v>0</v>
          </cell>
          <cell r="H280" t="str">
            <v/>
          </cell>
          <cell r="K280">
            <v>0</v>
          </cell>
          <cell r="L280">
            <v>0</v>
          </cell>
          <cell r="O280">
            <v>0</v>
          </cell>
          <cell r="P280" t="str">
            <v/>
          </cell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C281">
            <v>0</v>
          </cell>
          <cell r="D281">
            <v>0</v>
          </cell>
          <cell r="G281">
            <v>0</v>
          </cell>
          <cell r="H281" t="str">
            <v/>
          </cell>
          <cell r="K281">
            <v>0</v>
          </cell>
          <cell r="L281">
            <v>0</v>
          </cell>
          <cell r="O281">
            <v>0</v>
          </cell>
          <cell r="P281" t="str">
            <v/>
          </cell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C282" t="str">
            <v>пр</v>
          </cell>
          <cell r="D282" t="str">
            <v xml:space="preserve"> Педагогика</v>
          </cell>
          <cell r="G282" t="str">
            <v>Кобзева Е.В.</v>
          </cell>
          <cell r="H282" t="str">
            <v>преподаватель</v>
          </cell>
          <cell r="K282" t="str">
            <v>пр</v>
          </cell>
          <cell r="L282" t="str">
            <v xml:space="preserve"> Педагогика</v>
          </cell>
          <cell r="O282" t="str">
            <v>Кобзева Е.В.</v>
          </cell>
          <cell r="P282" t="str">
            <v>преподаватель</v>
          </cell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C283">
            <v>0</v>
          </cell>
          <cell r="D283">
            <v>0</v>
          </cell>
          <cell r="G283">
            <v>0</v>
          </cell>
          <cell r="H283" t="str">
            <v/>
          </cell>
          <cell r="K283">
            <v>0</v>
          </cell>
          <cell r="L283">
            <v>0</v>
          </cell>
          <cell r="O283">
            <v>0</v>
          </cell>
          <cell r="P283" t="str">
            <v/>
          </cell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C284">
            <v>0</v>
          </cell>
          <cell r="D284">
            <v>0</v>
          </cell>
          <cell r="G284">
            <v>0</v>
          </cell>
          <cell r="H284" t="str">
            <v/>
          </cell>
          <cell r="K284">
            <v>0</v>
          </cell>
          <cell r="L284">
            <v>0</v>
          </cell>
          <cell r="O284">
            <v>0</v>
          </cell>
          <cell r="P284" t="str">
            <v/>
          </cell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C285">
            <v>0</v>
          </cell>
          <cell r="D285">
            <v>0</v>
          </cell>
          <cell r="G285">
            <v>0</v>
          </cell>
          <cell r="H285" t="str">
            <v/>
          </cell>
          <cell r="K285">
            <v>0</v>
          </cell>
          <cell r="L285">
            <v>0</v>
          </cell>
          <cell r="O285">
            <v>0</v>
          </cell>
          <cell r="P285" t="str">
            <v/>
          </cell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C286">
            <v>0</v>
          </cell>
          <cell r="D286">
            <v>0</v>
          </cell>
          <cell r="G286">
            <v>0</v>
          </cell>
          <cell r="H286" t="str">
            <v/>
          </cell>
          <cell r="K286">
            <v>0</v>
          </cell>
          <cell r="L286">
            <v>0</v>
          </cell>
          <cell r="O286">
            <v>0</v>
          </cell>
          <cell r="P286" t="str">
            <v/>
          </cell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C287">
            <v>0</v>
          </cell>
          <cell r="D287">
            <v>0</v>
          </cell>
          <cell r="G287">
            <v>0</v>
          </cell>
          <cell r="H287" t="str">
            <v/>
          </cell>
          <cell r="K287">
            <v>0</v>
          </cell>
          <cell r="L287">
            <v>0</v>
          </cell>
          <cell r="O287">
            <v>0</v>
          </cell>
          <cell r="P287" t="str">
            <v/>
          </cell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C288">
            <v>0</v>
          </cell>
          <cell r="D288">
            <v>0</v>
          </cell>
          <cell r="G288">
            <v>0</v>
          </cell>
          <cell r="H288" t="str">
            <v/>
          </cell>
          <cell r="K288">
            <v>0</v>
          </cell>
          <cell r="L288">
            <v>0</v>
          </cell>
          <cell r="O288">
            <v>0</v>
          </cell>
          <cell r="P288" t="str">
            <v/>
          </cell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C289">
            <v>0</v>
          </cell>
          <cell r="D289">
            <v>0</v>
          </cell>
          <cell r="G289">
            <v>0</v>
          </cell>
          <cell r="H289" t="str">
            <v/>
          </cell>
          <cell r="K289" t="str">
            <v>пр</v>
          </cell>
          <cell r="L289" t="str">
            <v>Дискретная математика</v>
          </cell>
          <cell r="O289" t="str">
            <v>Казанцев Ю.А.</v>
          </cell>
          <cell r="P289" t="str">
            <v>ст. преподаватель</v>
          </cell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C290" t="str">
            <v>пр</v>
          </cell>
          <cell r="D290" t="str">
            <v xml:space="preserve"> Основы государственной политики в сфере межэтнических и межконфессиональных отношений</v>
          </cell>
          <cell r="G290" t="str">
            <v>Бекиров С.Н.</v>
          </cell>
          <cell r="H290" t="str">
            <v>доцент, канд. наук</v>
          </cell>
          <cell r="K290" t="str">
            <v>пр</v>
          </cell>
          <cell r="L290" t="str">
            <v xml:space="preserve"> Основы государственной политики в сфере межэтнических и межконфессиональных отношений</v>
          </cell>
          <cell r="O290" t="str">
            <v>Бекиров С.Н.</v>
          </cell>
          <cell r="P290" t="str">
            <v>доцент, канд. наук</v>
          </cell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C291">
            <v>0</v>
          </cell>
          <cell r="D291">
            <v>0</v>
          </cell>
          <cell r="G291">
            <v>0</v>
          </cell>
          <cell r="H291" t="str">
            <v/>
          </cell>
          <cell r="K291">
            <v>0</v>
          </cell>
          <cell r="L291">
            <v>0</v>
          </cell>
          <cell r="O291">
            <v>0</v>
          </cell>
          <cell r="P291" t="str">
            <v/>
          </cell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C292">
            <v>0</v>
          </cell>
          <cell r="D292">
            <v>0</v>
          </cell>
          <cell r="G292">
            <v>0</v>
          </cell>
          <cell r="H292" t="str">
            <v/>
          </cell>
          <cell r="K292">
            <v>0</v>
          </cell>
          <cell r="L292">
            <v>0</v>
          </cell>
          <cell r="O292">
            <v>0</v>
          </cell>
          <cell r="P292" t="str">
            <v/>
          </cell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C293">
            <v>0</v>
          </cell>
          <cell r="D293">
            <v>0</v>
          </cell>
          <cell r="G293">
            <v>0</v>
          </cell>
          <cell r="H293" t="str">
            <v/>
          </cell>
          <cell r="K293">
            <v>0</v>
          </cell>
          <cell r="L293">
            <v>0</v>
          </cell>
          <cell r="O293">
            <v>0</v>
          </cell>
          <cell r="P293" t="str">
            <v/>
          </cell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C294">
            <v>0</v>
          </cell>
          <cell r="D294">
            <v>0</v>
          </cell>
          <cell r="G294">
            <v>0</v>
          </cell>
          <cell r="H294" t="str">
            <v/>
          </cell>
          <cell r="K294">
            <v>0</v>
          </cell>
          <cell r="L294">
            <v>0</v>
          </cell>
          <cell r="O294">
            <v>0</v>
          </cell>
          <cell r="P294" t="str">
            <v/>
          </cell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C295">
            <v>0</v>
          </cell>
          <cell r="D295">
            <v>0</v>
          </cell>
          <cell r="G295">
            <v>0</v>
          </cell>
          <cell r="H295" t="str">
            <v/>
          </cell>
          <cell r="K295">
            <v>0</v>
          </cell>
          <cell r="L295">
            <v>0</v>
          </cell>
          <cell r="O295">
            <v>0</v>
          </cell>
          <cell r="P295" t="str">
            <v/>
          </cell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C296">
            <v>0</v>
          </cell>
          <cell r="D296">
            <v>0</v>
          </cell>
          <cell r="G296">
            <v>0</v>
          </cell>
          <cell r="H296" t="str">
            <v/>
          </cell>
          <cell r="K296">
            <v>0</v>
          </cell>
          <cell r="L296">
            <v>0</v>
          </cell>
          <cell r="O296">
            <v>0</v>
          </cell>
          <cell r="P296" t="str">
            <v/>
          </cell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C297" t="str">
            <v>пр</v>
          </cell>
          <cell r="D297" t="str">
            <v xml:space="preserve"> Технология и организация воспитательных практик (классное руководство)</v>
          </cell>
          <cell r="G297" t="str">
            <v>Макарчук Н.В.</v>
          </cell>
          <cell r="H297" t="str">
            <v>преподаватель</v>
          </cell>
          <cell r="K297" t="str">
            <v>пр</v>
          </cell>
          <cell r="L297" t="str">
            <v xml:space="preserve"> Технология и организация воспитательных практик (классное руководство)</v>
          </cell>
          <cell r="O297" t="str">
            <v>Макарчук Н.В.</v>
          </cell>
          <cell r="P297" t="str">
            <v>преподаватель</v>
          </cell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C298">
            <v>0</v>
          </cell>
          <cell r="D298">
            <v>0</v>
          </cell>
          <cell r="G298">
            <v>0</v>
          </cell>
          <cell r="H298" t="str">
            <v/>
          </cell>
          <cell r="K298">
            <v>0</v>
          </cell>
          <cell r="L298">
            <v>0</v>
          </cell>
          <cell r="O298">
            <v>0</v>
          </cell>
          <cell r="P298" t="str">
            <v/>
          </cell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C299">
            <v>0</v>
          </cell>
          <cell r="D299">
            <v>0</v>
          </cell>
          <cell r="G299">
            <v>0</v>
          </cell>
          <cell r="H299" t="str">
            <v/>
          </cell>
          <cell r="K299">
            <v>0</v>
          </cell>
          <cell r="L299">
            <v>0</v>
          </cell>
          <cell r="O299">
            <v>0</v>
          </cell>
          <cell r="P299" t="str">
            <v/>
          </cell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C300">
            <v>0</v>
          </cell>
          <cell r="D300">
            <v>0</v>
          </cell>
          <cell r="G300">
            <v>0</v>
          </cell>
          <cell r="H300" t="str">
            <v/>
          </cell>
          <cell r="K300">
            <v>0</v>
          </cell>
          <cell r="L300">
            <v>0</v>
          </cell>
          <cell r="O300">
            <v>0</v>
          </cell>
          <cell r="P300" t="str">
            <v/>
          </cell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C301">
            <v>0</v>
          </cell>
          <cell r="D301">
            <v>0</v>
          </cell>
          <cell r="G301">
            <v>0</v>
          </cell>
          <cell r="H301" t="str">
            <v/>
          </cell>
          <cell r="K301">
            <v>0</v>
          </cell>
          <cell r="L301">
            <v>0</v>
          </cell>
          <cell r="O301">
            <v>0</v>
          </cell>
          <cell r="P301" t="str">
            <v/>
          </cell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C302">
            <v>0</v>
          </cell>
          <cell r="D302">
            <v>0</v>
          </cell>
          <cell r="G302">
            <v>0</v>
          </cell>
          <cell r="H302" t="str">
            <v/>
          </cell>
          <cell r="K302">
            <v>0</v>
          </cell>
          <cell r="L302">
            <v>0</v>
          </cell>
          <cell r="O302">
            <v>0</v>
          </cell>
          <cell r="P302" t="str">
            <v/>
          </cell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C303">
            <v>0</v>
          </cell>
          <cell r="D303">
            <v>0</v>
          </cell>
          <cell r="G303">
            <v>0</v>
          </cell>
          <cell r="H303" t="str">
            <v/>
          </cell>
          <cell r="K303">
            <v>0</v>
          </cell>
          <cell r="L303">
            <v>0</v>
          </cell>
          <cell r="O303">
            <v>0</v>
          </cell>
          <cell r="P303" t="str">
            <v/>
          </cell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C304">
            <v>0</v>
          </cell>
          <cell r="D304">
            <v>0</v>
          </cell>
          <cell r="G304">
            <v>0</v>
          </cell>
          <cell r="H304" t="str">
            <v/>
          </cell>
          <cell r="K304">
            <v>0</v>
          </cell>
          <cell r="L304">
            <v>0</v>
          </cell>
          <cell r="O304">
            <v>0</v>
          </cell>
          <cell r="P304" t="str">
            <v/>
          </cell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C305">
            <v>0</v>
          </cell>
          <cell r="D305">
            <v>0</v>
          </cell>
          <cell r="G305">
            <v>0</v>
          </cell>
          <cell r="H305" t="str">
            <v/>
          </cell>
          <cell r="K305">
            <v>0</v>
          </cell>
          <cell r="L305">
            <v>0</v>
          </cell>
          <cell r="O305">
            <v>0</v>
          </cell>
          <cell r="P305" t="str">
            <v/>
          </cell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C306">
            <v>0</v>
          </cell>
          <cell r="D306">
            <v>0</v>
          </cell>
          <cell r="G306">
            <v>0</v>
          </cell>
          <cell r="H306" t="str">
            <v/>
          </cell>
          <cell r="K306">
            <v>0</v>
          </cell>
          <cell r="L306">
            <v>0</v>
          </cell>
          <cell r="O306">
            <v>0</v>
          </cell>
          <cell r="P306" t="str">
            <v/>
          </cell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Ноябрь"/>
      <sheetName val="ауд"/>
      <sheetName val="КАБИНЕТЫ"/>
      <sheetName val="РО"/>
      <sheetName val="препод"/>
      <sheetName val="10нед"/>
      <sheetName val="11нед"/>
      <sheetName val="12нед"/>
      <sheetName val="13нед"/>
      <sheetName val="5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S59">
            <v>0</v>
          </cell>
          <cell r="T59">
            <v>0</v>
          </cell>
          <cell r="W59">
            <v>0</v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Декабрь"/>
      <sheetName val="ауд"/>
      <sheetName val="КАБИНЕТЫ"/>
      <sheetName val="РО"/>
      <sheetName val="препод"/>
      <sheetName val="14нед"/>
      <sheetName val="15нед"/>
      <sheetName val="16нед"/>
      <sheetName val="17нед"/>
      <sheetName val="18нед"/>
      <sheetName val="часы"/>
      <sheetName val="Лист2"/>
      <sheetName val="Лист6"/>
      <sheetName val="Лист7"/>
      <sheetName val="Лист5"/>
      <sheetName val="Лист4"/>
      <sheetName val="Лист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  <row r="307">
          <cell r="S307">
            <v>0</v>
          </cell>
          <cell r="T307">
            <v>0</v>
          </cell>
          <cell r="W307">
            <v>0</v>
          </cell>
          <cell r="X307" t="str">
            <v/>
          </cell>
        </row>
      </sheetData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  <cell r="S59">
            <v>0</v>
          </cell>
          <cell r="T59">
            <v>0</v>
          </cell>
          <cell r="W59">
            <v>0</v>
          </cell>
          <cell r="X59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1"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  <row r="183">
          <cell r="S183">
            <v>0</v>
          </cell>
          <cell r="T183">
            <v>0</v>
          </cell>
          <cell r="W183">
            <v>0</v>
          </cell>
          <cell r="X183" t="str">
            <v/>
          </cell>
        </row>
        <row r="260">
          <cell r="S260">
            <v>0</v>
          </cell>
          <cell r="T260">
            <v>0</v>
          </cell>
          <cell r="W260">
            <v>0</v>
          </cell>
          <cell r="X260" t="str">
            <v/>
          </cell>
        </row>
        <row r="261">
          <cell r="S261">
            <v>0</v>
          </cell>
          <cell r="T261">
            <v>0</v>
          </cell>
          <cell r="W261">
            <v>0</v>
          </cell>
          <cell r="X261" t="str">
            <v/>
          </cell>
        </row>
        <row r="262">
          <cell r="S262">
            <v>0</v>
          </cell>
          <cell r="T262">
            <v>0</v>
          </cell>
          <cell r="W262">
            <v>0</v>
          </cell>
          <cell r="X262" t="str">
            <v/>
          </cell>
        </row>
        <row r="263">
          <cell r="S263">
            <v>0</v>
          </cell>
          <cell r="T263">
            <v>0</v>
          </cell>
          <cell r="W263">
            <v>0</v>
          </cell>
          <cell r="X263" t="str">
            <v/>
          </cell>
        </row>
        <row r="264">
          <cell r="S264">
            <v>0</v>
          </cell>
          <cell r="T264">
            <v>0</v>
          </cell>
          <cell r="W264">
            <v>0</v>
          </cell>
          <cell r="X264" t="str">
            <v/>
          </cell>
        </row>
        <row r="265">
          <cell r="S265">
            <v>0</v>
          </cell>
          <cell r="T265">
            <v>0</v>
          </cell>
          <cell r="W265">
            <v>0</v>
          </cell>
          <cell r="X265" t="str">
            <v/>
          </cell>
        </row>
        <row r="266">
          <cell r="S266">
            <v>0</v>
          </cell>
          <cell r="T266">
            <v>0</v>
          </cell>
          <cell r="W266">
            <v>0</v>
          </cell>
          <cell r="X266" t="str">
            <v/>
          </cell>
        </row>
        <row r="267">
          <cell r="S267">
            <v>0</v>
          </cell>
          <cell r="T267">
            <v>0</v>
          </cell>
          <cell r="W267">
            <v>0</v>
          </cell>
          <cell r="X267" t="str">
            <v/>
          </cell>
        </row>
        <row r="268">
          <cell r="S268">
            <v>0</v>
          </cell>
          <cell r="T268">
            <v>0</v>
          </cell>
          <cell r="W268">
            <v>0</v>
          </cell>
          <cell r="X268" t="str">
            <v/>
          </cell>
        </row>
        <row r="269">
          <cell r="S269">
            <v>0</v>
          </cell>
          <cell r="T269">
            <v>0</v>
          </cell>
          <cell r="W269">
            <v>0</v>
          </cell>
          <cell r="X269" t="str">
            <v/>
          </cell>
        </row>
        <row r="270">
          <cell r="S270">
            <v>0</v>
          </cell>
          <cell r="T270">
            <v>0</v>
          </cell>
          <cell r="W270">
            <v>0</v>
          </cell>
          <cell r="X270" t="str">
            <v/>
          </cell>
        </row>
        <row r="271">
          <cell r="S271">
            <v>0</v>
          </cell>
          <cell r="T271">
            <v>0</v>
          </cell>
          <cell r="W271">
            <v>0</v>
          </cell>
          <cell r="X271" t="str">
            <v/>
          </cell>
        </row>
        <row r="272">
          <cell r="S272">
            <v>0</v>
          </cell>
          <cell r="T272">
            <v>0</v>
          </cell>
          <cell r="W272">
            <v>0</v>
          </cell>
          <cell r="X272" t="str">
            <v/>
          </cell>
        </row>
        <row r="273">
          <cell r="S273">
            <v>0</v>
          </cell>
          <cell r="T273">
            <v>0</v>
          </cell>
          <cell r="W273">
            <v>0</v>
          </cell>
          <cell r="X273" t="str">
            <v/>
          </cell>
        </row>
        <row r="274">
          <cell r="S274">
            <v>0</v>
          </cell>
          <cell r="T274">
            <v>0</v>
          </cell>
          <cell r="W274">
            <v>0</v>
          </cell>
          <cell r="X274" t="str">
            <v/>
          </cell>
        </row>
        <row r="275">
          <cell r="S275">
            <v>0</v>
          </cell>
          <cell r="T275">
            <v>0</v>
          </cell>
          <cell r="W275">
            <v>0</v>
          </cell>
          <cell r="X275" t="str">
            <v/>
          </cell>
        </row>
        <row r="276">
          <cell r="S276">
            <v>0</v>
          </cell>
          <cell r="T276">
            <v>0</v>
          </cell>
          <cell r="W276">
            <v>0</v>
          </cell>
          <cell r="X276" t="str">
            <v/>
          </cell>
        </row>
        <row r="277">
          <cell r="S277">
            <v>0</v>
          </cell>
          <cell r="T277">
            <v>0</v>
          </cell>
          <cell r="W277">
            <v>0</v>
          </cell>
          <cell r="X277" t="str">
            <v/>
          </cell>
        </row>
        <row r="278">
          <cell r="S278">
            <v>0</v>
          </cell>
          <cell r="T278">
            <v>0</v>
          </cell>
          <cell r="W278">
            <v>0</v>
          </cell>
          <cell r="X278" t="str">
            <v/>
          </cell>
        </row>
        <row r="279">
          <cell r="S279">
            <v>0</v>
          </cell>
          <cell r="T279">
            <v>0</v>
          </cell>
          <cell r="W279">
            <v>0</v>
          </cell>
          <cell r="X279" t="str">
            <v/>
          </cell>
        </row>
        <row r="280">
          <cell r="S280">
            <v>0</v>
          </cell>
          <cell r="T280">
            <v>0</v>
          </cell>
          <cell r="W280">
            <v>0</v>
          </cell>
          <cell r="X280" t="str">
            <v/>
          </cell>
        </row>
        <row r="281">
          <cell r="S281">
            <v>0</v>
          </cell>
          <cell r="T281">
            <v>0</v>
          </cell>
          <cell r="W281">
            <v>0</v>
          </cell>
          <cell r="X281" t="str">
            <v/>
          </cell>
        </row>
        <row r="282">
          <cell r="S282">
            <v>0</v>
          </cell>
          <cell r="T282">
            <v>0</v>
          </cell>
          <cell r="W282">
            <v>0</v>
          </cell>
          <cell r="X282" t="str">
            <v/>
          </cell>
        </row>
        <row r="283">
          <cell r="S283">
            <v>0</v>
          </cell>
          <cell r="T283">
            <v>0</v>
          </cell>
          <cell r="W283">
            <v>0</v>
          </cell>
          <cell r="X283" t="str">
            <v/>
          </cell>
        </row>
        <row r="284">
          <cell r="S284">
            <v>0</v>
          </cell>
          <cell r="T284">
            <v>0</v>
          </cell>
          <cell r="W284">
            <v>0</v>
          </cell>
          <cell r="X284" t="str">
            <v/>
          </cell>
        </row>
        <row r="285">
          <cell r="S285">
            <v>0</v>
          </cell>
          <cell r="T285">
            <v>0</v>
          </cell>
          <cell r="W285">
            <v>0</v>
          </cell>
          <cell r="X285" t="str">
            <v/>
          </cell>
        </row>
        <row r="286">
          <cell r="S286">
            <v>0</v>
          </cell>
          <cell r="T286">
            <v>0</v>
          </cell>
          <cell r="W286">
            <v>0</v>
          </cell>
          <cell r="X286" t="str">
            <v/>
          </cell>
        </row>
        <row r="287">
          <cell r="S287">
            <v>0</v>
          </cell>
          <cell r="T287">
            <v>0</v>
          </cell>
          <cell r="W287">
            <v>0</v>
          </cell>
          <cell r="X287" t="str">
            <v/>
          </cell>
        </row>
        <row r="288">
          <cell r="S288">
            <v>0</v>
          </cell>
          <cell r="T288">
            <v>0</v>
          </cell>
          <cell r="W288">
            <v>0</v>
          </cell>
          <cell r="X288" t="str">
            <v/>
          </cell>
        </row>
        <row r="289">
          <cell r="S289">
            <v>0</v>
          </cell>
          <cell r="T289">
            <v>0</v>
          </cell>
          <cell r="W289">
            <v>0</v>
          </cell>
          <cell r="X289" t="str">
            <v/>
          </cell>
        </row>
        <row r="290">
          <cell r="S290">
            <v>0</v>
          </cell>
          <cell r="T290">
            <v>0</v>
          </cell>
          <cell r="W290">
            <v>0</v>
          </cell>
          <cell r="X290" t="str">
            <v/>
          </cell>
        </row>
        <row r="291">
          <cell r="S291">
            <v>0</v>
          </cell>
          <cell r="T291">
            <v>0</v>
          </cell>
          <cell r="W291">
            <v>0</v>
          </cell>
          <cell r="X291" t="str">
            <v/>
          </cell>
        </row>
        <row r="292">
          <cell r="S292">
            <v>0</v>
          </cell>
          <cell r="T292">
            <v>0</v>
          </cell>
          <cell r="W292">
            <v>0</v>
          </cell>
          <cell r="X292" t="str">
            <v/>
          </cell>
        </row>
        <row r="293">
          <cell r="S293">
            <v>0</v>
          </cell>
          <cell r="T293">
            <v>0</v>
          </cell>
          <cell r="W293">
            <v>0</v>
          </cell>
          <cell r="X293" t="str">
            <v/>
          </cell>
        </row>
        <row r="294">
          <cell r="S294">
            <v>0</v>
          </cell>
          <cell r="T294">
            <v>0</v>
          </cell>
          <cell r="W294">
            <v>0</v>
          </cell>
          <cell r="X294" t="str">
            <v/>
          </cell>
        </row>
        <row r="295">
          <cell r="S295">
            <v>0</v>
          </cell>
          <cell r="T295">
            <v>0</v>
          </cell>
          <cell r="W295">
            <v>0</v>
          </cell>
          <cell r="X295" t="str">
            <v/>
          </cell>
        </row>
        <row r="296">
          <cell r="S296">
            <v>0</v>
          </cell>
          <cell r="T296">
            <v>0</v>
          </cell>
          <cell r="W296">
            <v>0</v>
          </cell>
          <cell r="X296" t="str">
            <v/>
          </cell>
        </row>
        <row r="297">
          <cell r="S297">
            <v>0</v>
          </cell>
          <cell r="T297">
            <v>0</v>
          </cell>
          <cell r="W297">
            <v>0</v>
          </cell>
          <cell r="X297" t="str">
            <v/>
          </cell>
        </row>
        <row r="298">
          <cell r="S298">
            <v>0</v>
          </cell>
          <cell r="T298">
            <v>0</v>
          </cell>
          <cell r="W298">
            <v>0</v>
          </cell>
          <cell r="X298" t="str">
            <v/>
          </cell>
        </row>
        <row r="299">
          <cell r="S299">
            <v>0</v>
          </cell>
          <cell r="T299">
            <v>0</v>
          </cell>
          <cell r="W299">
            <v>0</v>
          </cell>
          <cell r="X299" t="str">
            <v/>
          </cell>
        </row>
        <row r="300">
          <cell r="S300">
            <v>0</v>
          </cell>
          <cell r="T300">
            <v>0</v>
          </cell>
          <cell r="W300">
            <v>0</v>
          </cell>
          <cell r="X300" t="str">
            <v/>
          </cell>
        </row>
        <row r="301">
          <cell r="S301">
            <v>0</v>
          </cell>
          <cell r="T301">
            <v>0</v>
          </cell>
          <cell r="W301">
            <v>0</v>
          </cell>
          <cell r="X301" t="str">
            <v/>
          </cell>
        </row>
        <row r="302">
          <cell r="S302">
            <v>0</v>
          </cell>
          <cell r="T302">
            <v>0</v>
          </cell>
          <cell r="W302">
            <v>0</v>
          </cell>
          <cell r="X302" t="str">
            <v/>
          </cell>
        </row>
        <row r="303">
          <cell r="S303">
            <v>0</v>
          </cell>
          <cell r="T303">
            <v>0</v>
          </cell>
          <cell r="W303">
            <v>0</v>
          </cell>
          <cell r="X303" t="str">
            <v/>
          </cell>
        </row>
        <row r="304">
          <cell r="S304">
            <v>0</v>
          </cell>
          <cell r="T304">
            <v>0</v>
          </cell>
          <cell r="W304">
            <v>0</v>
          </cell>
          <cell r="X304" t="str">
            <v/>
          </cell>
        </row>
        <row r="305">
          <cell r="S305">
            <v>0</v>
          </cell>
          <cell r="T305">
            <v>0</v>
          </cell>
          <cell r="W305">
            <v>0</v>
          </cell>
          <cell r="X305" t="str">
            <v/>
          </cell>
        </row>
        <row r="306">
          <cell r="S306">
            <v>0</v>
          </cell>
          <cell r="T306">
            <v>0</v>
          </cell>
          <cell r="W306">
            <v>0</v>
          </cell>
          <cell r="X306" t="str">
            <v/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"/>
      <sheetName val="календарь"/>
      <sheetName val="Р_Январь"/>
      <sheetName val="ауд"/>
      <sheetName val="КАБИНЕТЫ"/>
      <sheetName val="РО"/>
      <sheetName val="препод"/>
      <sheetName val="1нед"/>
      <sheetName val="20нед"/>
      <sheetName val="21нед"/>
      <sheetName val="22нед"/>
      <sheetName val="5нед"/>
      <sheetName val="часы"/>
      <sheetName val="Лист2"/>
      <sheetName val="Лист3"/>
      <sheetName val="Лист4"/>
      <sheetName val="Лист5"/>
      <sheetName val="Лист6"/>
      <sheetName val="Лист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</sheetData>
      <sheetData sheetId="9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0">
        <row r="12">
          <cell r="C12">
            <v>0</v>
          </cell>
          <cell r="D12">
            <v>0</v>
          </cell>
          <cell r="G12">
            <v>0</v>
          </cell>
          <cell r="H12" t="str">
            <v/>
          </cell>
        </row>
        <row r="13">
          <cell r="C13">
            <v>0</v>
          </cell>
          <cell r="D13">
            <v>0</v>
          </cell>
          <cell r="G13">
            <v>0</v>
          </cell>
          <cell r="H13" t="str">
            <v/>
          </cell>
        </row>
        <row r="14">
          <cell r="C14">
            <v>0</v>
          </cell>
          <cell r="D14">
            <v>0</v>
          </cell>
          <cell r="G14">
            <v>0</v>
          </cell>
          <cell r="H14" t="str">
            <v/>
          </cell>
        </row>
        <row r="15">
          <cell r="C15">
            <v>0</v>
          </cell>
          <cell r="D15">
            <v>0</v>
          </cell>
          <cell r="G15">
            <v>0</v>
          </cell>
          <cell r="H15" t="str">
            <v/>
          </cell>
        </row>
        <row r="16">
          <cell r="C16">
            <v>0</v>
          </cell>
          <cell r="D16">
            <v>0</v>
          </cell>
          <cell r="G16">
            <v>0</v>
          </cell>
          <cell r="H16" t="str">
            <v/>
          </cell>
        </row>
        <row r="17">
          <cell r="C17">
            <v>0</v>
          </cell>
          <cell r="D17">
            <v>0</v>
          </cell>
          <cell r="G17">
            <v>0</v>
          </cell>
          <cell r="H17" t="str">
            <v/>
          </cell>
        </row>
        <row r="18">
          <cell r="C18">
            <v>0</v>
          </cell>
          <cell r="D18">
            <v>0</v>
          </cell>
          <cell r="G18">
            <v>0</v>
          </cell>
          <cell r="H18" t="str">
            <v/>
          </cell>
        </row>
        <row r="19">
          <cell r="C19">
            <v>0</v>
          </cell>
          <cell r="D19">
            <v>0</v>
          </cell>
          <cell r="G19">
            <v>0</v>
          </cell>
          <cell r="H19" t="str">
            <v/>
          </cell>
        </row>
        <row r="20">
          <cell r="C20">
            <v>0</v>
          </cell>
          <cell r="D20">
            <v>0</v>
          </cell>
          <cell r="G20">
            <v>0</v>
          </cell>
          <cell r="H20" t="str">
            <v/>
          </cell>
        </row>
        <row r="21">
          <cell r="C21">
            <v>0</v>
          </cell>
          <cell r="D21">
            <v>0</v>
          </cell>
          <cell r="G21">
            <v>0</v>
          </cell>
          <cell r="H21" t="str">
            <v/>
          </cell>
        </row>
        <row r="22">
          <cell r="C22">
            <v>0</v>
          </cell>
          <cell r="D22">
            <v>0</v>
          </cell>
          <cell r="G22">
            <v>0</v>
          </cell>
          <cell r="H22" t="str">
            <v/>
          </cell>
        </row>
        <row r="23">
          <cell r="C23">
            <v>0</v>
          </cell>
          <cell r="D23">
            <v>0</v>
          </cell>
          <cell r="G23">
            <v>0</v>
          </cell>
          <cell r="H23" t="str">
            <v/>
          </cell>
        </row>
        <row r="24">
          <cell r="C24">
            <v>0</v>
          </cell>
          <cell r="D24">
            <v>0</v>
          </cell>
          <cell r="G24">
            <v>0</v>
          </cell>
          <cell r="H24" t="str">
            <v/>
          </cell>
        </row>
        <row r="25">
          <cell r="C25">
            <v>0</v>
          </cell>
          <cell r="D25">
            <v>0</v>
          </cell>
          <cell r="G25">
            <v>0</v>
          </cell>
          <cell r="H25" t="str">
            <v/>
          </cell>
        </row>
        <row r="26">
          <cell r="C26">
            <v>0</v>
          </cell>
          <cell r="D26">
            <v>0</v>
          </cell>
          <cell r="G26">
            <v>0</v>
          </cell>
          <cell r="H26" t="str">
            <v/>
          </cell>
        </row>
        <row r="27">
          <cell r="C27">
            <v>0</v>
          </cell>
          <cell r="D27">
            <v>0</v>
          </cell>
          <cell r="G27">
            <v>0</v>
          </cell>
          <cell r="H27" t="str">
            <v/>
          </cell>
        </row>
        <row r="28">
          <cell r="C28">
            <v>0</v>
          </cell>
          <cell r="D28">
            <v>0</v>
          </cell>
          <cell r="G28">
            <v>0</v>
          </cell>
          <cell r="H28" t="str">
            <v/>
          </cell>
        </row>
        <row r="29">
          <cell r="C29">
            <v>0</v>
          </cell>
          <cell r="D29">
            <v>0</v>
          </cell>
          <cell r="G29">
            <v>0</v>
          </cell>
          <cell r="H29" t="str">
            <v/>
          </cell>
        </row>
        <row r="30">
          <cell r="C30">
            <v>0</v>
          </cell>
          <cell r="D30">
            <v>0</v>
          </cell>
          <cell r="G30">
            <v>0</v>
          </cell>
          <cell r="H30" t="str">
            <v/>
          </cell>
        </row>
        <row r="31">
          <cell r="C31">
            <v>0</v>
          </cell>
          <cell r="D31">
            <v>0</v>
          </cell>
          <cell r="G31">
            <v>0</v>
          </cell>
          <cell r="H31" t="str">
            <v/>
          </cell>
        </row>
        <row r="32">
          <cell r="C32">
            <v>0</v>
          </cell>
          <cell r="D32">
            <v>0</v>
          </cell>
          <cell r="G32">
            <v>0</v>
          </cell>
          <cell r="H32" t="str">
            <v/>
          </cell>
        </row>
        <row r="33">
          <cell r="C33">
            <v>0</v>
          </cell>
          <cell r="D33">
            <v>0</v>
          </cell>
          <cell r="G33">
            <v>0</v>
          </cell>
          <cell r="H33" t="str">
            <v/>
          </cell>
        </row>
        <row r="34">
          <cell r="C34">
            <v>0</v>
          </cell>
          <cell r="D34">
            <v>0</v>
          </cell>
          <cell r="G34">
            <v>0</v>
          </cell>
          <cell r="H34" t="str">
            <v/>
          </cell>
        </row>
        <row r="35">
          <cell r="C35">
            <v>0</v>
          </cell>
          <cell r="D35">
            <v>0</v>
          </cell>
          <cell r="G35">
            <v>0</v>
          </cell>
          <cell r="H35" t="str">
            <v/>
          </cell>
        </row>
        <row r="36">
          <cell r="C36">
            <v>0</v>
          </cell>
          <cell r="D36">
            <v>0</v>
          </cell>
          <cell r="G36">
            <v>0</v>
          </cell>
          <cell r="H36" t="str">
            <v/>
          </cell>
        </row>
        <row r="37">
          <cell r="C37">
            <v>0</v>
          </cell>
          <cell r="D37">
            <v>0</v>
          </cell>
          <cell r="G37">
            <v>0</v>
          </cell>
          <cell r="H37" t="str">
            <v/>
          </cell>
        </row>
        <row r="38">
          <cell r="C38">
            <v>0</v>
          </cell>
          <cell r="D38">
            <v>0</v>
          </cell>
          <cell r="G38">
            <v>0</v>
          </cell>
          <cell r="H38" t="str">
            <v/>
          </cell>
        </row>
        <row r="39">
          <cell r="C39">
            <v>0</v>
          </cell>
          <cell r="D39">
            <v>0</v>
          </cell>
          <cell r="G39">
            <v>0</v>
          </cell>
          <cell r="H39" t="str">
            <v/>
          </cell>
        </row>
        <row r="40">
          <cell r="C40">
            <v>0</v>
          </cell>
          <cell r="D40">
            <v>0</v>
          </cell>
          <cell r="G40">
            <v>0</v>
          </cell>
          <cell r="H40" t="str">
            <v/>
          </cell>
        </row>
        <row r="41">
          <cell r="C41">
            <v>0</v>
          </cell>
          <cell r="D41">
            <v>0</v>
          </cell>
          <cell r="G41">
            <v>0</v>
          </cell>
          <cell r="H41" t="str">
            <v/>
          </cell>
        </row>
        <row r="42">
          <cell r="C42">
            <v>0</v>
          </cell>
          <cell r="D42">
            <v>0</v>
          </cell>
          <cell r="G42">
            <v>0</v>
          </cell>
          <cell r="H42" t="str">
            <v/>
          </cell>
        </row>
        <row r="43">
          <cell r="C43">
            <v>0</v>
          </cell>
          <cell r="D43">
            <v>0</v>
          </cell>
          <cell r="G43">
            <v>0</v>
          </cell>
          <cell r="H43" t="str">
            <v/>
          </cell>
        </row>
        <row r="44">
          <cell r="C44">
            <v>0</v>
          </cell>
          <cell r="D44">
            <v>0</v>
          </cell>
          <cell r="G44">
            <v>0</v>
          </cell>
          <cell r="H44" t="str">
            <v/>
          </cell>
        </row>
        <row r="45">
          <cell r="C45">
            <v>0</v>
          </cell>
          <cell r="D45">
            <v>0</v>
          </cell>
          <cell r="G45">
            <v>0</v>
          </cell>
          <cell r="H45" t="str">
            <v/>
          </cell>
        </row>
        <row r="46">
          <cell r="C46">
            <v>0</v>
          </cell>
          <cell r="D46">
            <v>0</v>
          </cell>
          <cell r="G46">
            <v>0</v>
          </cell>
          <cell r="H46" t="str">
            <v/>
          </cell>
        </row>
        <row r="47">
          <cell r="C47">
            <v>0</v>
          </cell>
          <cell r="D47">
            <v>0</v>
          </cell>
          <cell r="G47">
            <v>0</v>
          </cell>
          <cell r="H47" t="str">
            <v/>
          </cell>
        </row>
        <row r="48">
          <cell r="C48">
            <v>0</v>
          </cell>
          <cell r="D48">
            <v>0</v>
          </cell>
          <cell r="G48">
            <v>0</v>
          </cell>
          <cell r="H48" t="str">
            <v/>
          </cell>
        </row>
        <row r="49">
          <cell r="C49">
            <v>0</v>
          </cell>
          <cell r="D49">
            <v>0</v>
          </cell>
          <cell r="G49">
            <v>0</v>
          </cell>
          <cell r="H49" t="str">
            <v/>
          </cell>
        </row>
        <row r="50">
          <cell r="C50">
            <v>0</v>
          </cell>
          <cell r="D50">
            <v>0</v>
          </cell>
          <cell r="G50">
            <v>0</v>
          </cell>
          <cell r="H50" t="str">
            <v/>
          </cell>
        </row>
        <row r="51">
          <cell r="C51">
            <v>0</v>
          </cell>
          <cell r="D51">
            <v>0</v>
          </cell>
          <cell r="G51">
            <v>0</v>
          </cell>
          <cell r="H51" t="str">
            <v/>
          </cell>
        </row>
        <row r="52">
          <cell r="C52">
            <v>0</v>
          </cell>
          <cell r="D52">
            <v>0</v>
          </cell>
          <cell r="G52">
            <v>0</v>
          </cell>
          <cell r="H52" t="str">
            <v/>
          </cell>
        </row>
        <row r="53">
          <cell r="C53">
            <v>0</v>
          </cell>
          <cell r="D53">
            <v>0</v>
          </cell>
          <cell r="G53">
            <v>0</v>
          </cell>
          <cell r="H53" t="str">
            <v/>
          </cell>
        </row>
        <row r="54">
          <cell r="C54">
            <v>0</v>
          </cell>
          <cell r="D54">
            <v>0</v>
          </cell>
          <cell r="G54">
            <v>0</v>
          </cell>
          <cell r="H54" t="str">
            <v/>
          </cell>
        </row>
        <row r="55">
          <cell r="C55">
            <v>0</v>
          </cell>
          <cell r="D55">
            <v>0</v>
          </cell>
          <cell r="G55">
            <v>0</v>
          </cell>
          <cell r="H55" t="str">
            <v/>
          </cell>
        </row>
        <row r="56">
          <cell r="C56">
            <v>0</v>
          </cell>
          <cell r="D56">
            <v>0</v>
          </cell>
          <cell r="G56">
            <v>0</v>
          </cell>
          <cell r="H56" t="str">
            <v/>
          </cell>
        </row>
        <row r="57">
          <cell r="C57">
            <v>0</v>
          </cell>
          <cell r="D57">
            <v>0</v>
          </cell>
          <cell r="G57">
            <v>0</v>
          </cell>
          <cell r="H57" t="str">
            <v/>
          </cell>
        </row>
        <row r="58">
          <cell r="C58">
            <v>0</v>
          </cell>
          <cell r="D58">
            <v>0</v>
          </cell>
          <cell r="G58">
            <v>0</v>
          </cell>
          <cell r="H58" t="str">
            <v/>
          </cell>
        </row>
        <row r="59">
          <cell r="C59">
            <v>0</v>
          </cell>
          <cell r="D59">
            <v>0</v>
          </cell>
          <cell r="G59">
            <v>0</v>
          </cell>
          <cell r="H59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PF9p4nxFpYkpyJZDiJCXITBLRp8ioqfTBXE3wfeJlHs" TargetMode="External"/><Relationship Id="rId13" Type="http://schemas.openxmlformats.org/officeDocument/2006/relationships/hyperlink" Target="https://max.ru/join/PF9p4nxFpYkpyJZDiJCXITBLRp8ioqfTBXE3wfeJlHs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PF9p4nxFpYkpyJZDiJCXITBLRp8ioqfTBXE3wfeJlHs" TargetMode="External"/><Relationship Id="rId12" Type="http://schemas.openxmlformats.org/officeDocument/2006/relationships/hyperlink" Target="https://max.ru/join/PF9p4nxFpYkpyJZDiJCXITBLRp8ioqfTBXE3wfeJlHs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printerSettings" Target="../printerSettings/printerSettings2.bin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PF9p4nxFpYkpyJZDiJCXITBLRp8ioqfTBXE3wfeJlHs" TargetMode="External"/><Relationship Id="rId11" Type="http://schemas.openxmlformats.org/officeDocument/2006/relationships/hyperlink" Target="https://max.ru/join/PF9p4nxFpYkpyJZDiJCXITBLRp8ioqfTBXE3wfeJlHs" TargetMode="External"/><Relationship Id="rId5" Type="http://schemas.openxmlformats.org/officeDocument/2006/relationships/hyperlink" Target="https://max.ru/join/PF9p4nxFpYkpyJZDiJCXITBLRp8ioqfTBXE3wfeJlHs" TargetMode="External"/><Relationship Id="rId15" Type="http://schemas.openxmlformats.org/officeDocument/2006/relationships/hyperlink" Target="https://max.ru/join/0MiRK0GUpSTCrtKMGu5ke9BatSupdkYkm3PEezrq5xw" TargetMode="External"/><Relationship Id="rId10" Type="http://schemas.openxmlformats.org/officeDocument/2006/relationships/hyperlink" Target="https://max.ru/join/PF9p4nxFpYkpyJZDiJCXITBLRp8ioqfTBXE3wfeJlHs" TargetMode="External"/><Relationship Id="rId4" Type="http://schemas.openxmlformats.org/officeDocument/2006/relationships/hyperlink" Target="https://max.ru/join/PF9p4nxFpYkpyJZDiJCXITBLRp8ioqfTBXE3wfeJlHs" TargetMode="External"/><Relationship Id="rId9" Type="http://schemas.openxmlformats.org/officeDocument/2006/relationships/hyperlink" Target="https://max.ru/join/PF9p4nxFpYkpyJZDiJCXITBLRp8ioqfTBXE3wfeJlHs" TargetMode="External"/><Relationship Id="rId14" Type="http://schemas.openxmlformats.org/officeDocument/2006/relationships/hyperlink" Target="https://max.ru/join/PF9p4nxFpYkpyJZDiJCXITBLRp8ioqfTBXE3wfeJlHs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OH6fDuRVjPmIa0jo8bkpQ88VaCOt5qUj0lgw60QfR6E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RrwhTNjGuc3DgsCx989HtQjNPhbdkA4EOwQlUrySmIY" TargetMode="External"/><Relationship Id="rId17" Type="http://schemas.openxmlformats.org/officeDocument/2006/relationships/hyperlink" Target="https://max.ru/join/OH6fDuRVjPmIa0jo8bkpQ88VaCOt5qUj0lgw60QfR6E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OH6fDuRVjPmIa0jo8bkpQ88VaCOt5qUj0lgw60QfR6E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otW8lgS1PqJ5ZhmtKc1Abb8BfYMXnmtaMD7qcLUGCxg" TargetMode="External"/><Relationship Id="rId5" Type="http://schemas.openxmlformats.org/officeDocument/2006/relationships/hyperlink" Target="https://max.ru/join/NU2edX9oXun4G550gjffmEH6rRcZcTV_m4i8V_Iscos" TargetMode="External"/><Relationship Id="rId15" Type="http://schemas.openxmlformats.org/officeDocument/2006/relationships/hyperlink" Target="https://max.ru/join/OH6fDuRVjPmIa0jo8bkpQ88VaCOt5qUj0lgw60QfR6E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OH6fDuRVjPmIa0jo8bkpQ88VaCOt5qUj0lgw60QfR6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otW8lgS1PqJ5ZhmtKc1Abb8BfYMXnmtaMD7qcLUGCxg" TargetMode="External"/><Relationship Id="rId13" Type="http://schemas.openxmlformats.org/officeDocument/2006/relationships/hyperlink" Target="https://max.ru/join/TCEatH6Avl8o9m9sQTggJgcSrdIkaHPRw7RIzgXKilo" TargetMode="External"/><Relationship Id="rId18" Type="http://schemas.openxmlformats.org/officeDocument/2006/relationships/hyperlink" Target="https://max.ru/join/TCEatH6Avl8o9m9sQTggJgcSrdIkaHPRw7RIzgXKilo" TargetMode="External"/><Relationship Id="rId3" Type="http://schemas.openxmlformats.org/officeDocument/2006/relationships/hyperlink" Target="https://max.ru/join/QktsjGaw5ToZMymwQv4u7TZ1a5jhx2Meh1Xg11Ht-o8" TargetMode="External"/><Relationship Id="rId7" Type="http://schemas.openxmlformats.org/officeDocument/2006/relationships/hyperlink" Target="https://max.ru/join/otW8lgS1PqJ5ZhmtKc1Abb8BfYMXnmtaMD7qcLUGCxg" TargetMode="External"/><Relationship Id="rId12" Type="http://schemas.openxmlformats.org/officeDocument/2006/relationships/hyperlink" Target="https://max.ru/join/NU2edX9oXun4G550gjffmEH6rRcZcTV_m4i8V_Iscos" TargetMode="External"/><Relationship Id="rId17" Type="http://schemas.openxmlformats.org/officeDocument/2006/relationships/hyperlink" Target="https://max.ru/join/TCEatH6Avl8o9m9sQTggJgcSrdIkaHPRw7RIzgXKilo" TargetMode="External"/><Relationship Id="rId2" Type="http://schemas.openxmlformats.org/officeDocument/2006/relationships/hyperlink" Target="https://max.ru/join/UK1-XZ_XTqTQMkUzITZ-AvDWmTQjDawZvR5fkupR8eE" TargetMode="External"/><Relationship Id="rId16" Type="http://schemas.openxmlformats.org/officeDocument/2006/relationships/hyperlink" Target="https://max.ru/join/TCEatH6Avl8o9m9sQTggJgcSrdIkaHPRw7RIzgXKilo" TargetMode="External"/><Relationship Id="rId1" Type="http://schemas.openxmlformats.org/officeDocument/2006/relationships/hyperlink" Target="https://max.ru/join/o85unk1KbqCN1-IxGCSAqfdKA8ikJBwHtOsEG2C_ftA" TargetMode="External"/><Relationship Id="rId6" Type="http://schemas.openxmlformats.org/officeDocument/2006/relationships/hyperlink" Target="https://max.ru/join/otW8lgS1PqJ5ZhmtKc1Abb8BfYMXnmtaMD7qcLUGCxg" TargetMode="External"/><Relationship Id="rId11" Type="http://schemas.openxmlformats.org/officeDocument/2006/relationships/hyperlink" Target="https://max.ru/join/RrwhTNjGuc3DgsCx989HtQjNPhbdkA4EOwQlUrySmIY" TargetMode="External"/><Relationship Id="rId5" Type="http://schemas.openxmlformats.org/officeDocument/2006/relationships/hyperlink" Target="https://max.ru/join/otW8lgS1PqJ5ZhmtKc1Abb8BfYMXnmtaMD7qcLUGCxg" TargetMode="External"/><Relationship Id="rId15" Type="http://schemas.openxmlformats.org/officeDocument/2006/relationships/hyperlink" Target="https://max.ru/join/TCEatH6Avl8o9m9sQTggJgcSrdIkaHPRw7RIzgXKilo" TargetMode="External"/><Relationship Id="rId10" Type="http://schemas.openxmlformats.org/officeDocument/2006/relationships/hyperlink" Target="https://max.ru/join/otW8lgS1PqJ5ZhmtKc1Abb8BfYMXnmtaMD7qcLUGCxg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max.ru/join/0MiRK0GUpSTCrtKMGu5ke9BatSupdkYkm3PEezrq5xw" TargetMode="External"/><Relationship Id="rId9" Type="http://schemas.openxmlformats.org/officeDocument/2006/relationships/hyperlink" Target="https://max.ru/join/otW8lgS1PqJ5ZhmtKc1Abb8BfYMXnmtaMD7qcLUGCxg" TargetMode="External"/><Relationship Id="rId14" Type="http://schemas.openxmlformats.org/officeDocument/2006/relationships/hyperlink" Target="https://max.ru/join/TCEatH6Avl8o9m9sQTggJgcSrdIkaHPRw7RIzgXKilo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4mCFDUjZkVK8UuftVSt2q9QOKz6Cf_Jp6XFsId-Pa_Y" TargetMode="External"/><Relationship Id="rId2" Type="http://schemas.openxmlformats.org/officeDocument/2006/relationships/hyperlink" Target="https://max.ru/join/HrLKTRdTWGgXDgkuZo5FTj-f0KVF4vF-lNNZ0Bt6Dlk" TargetMode="External"/><Relationship Id="rId1" Type="http://schemas.openxmlformats.org/officeDocument/2006/relationships/hyperlink" Target="https://max.ru/join/rbLpJ5ax_sNm7y2cvgCMyBOUSIrOjgoKAtn_bNJ6fGo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max.ru/join/4mCFDUjZkVK8UuftVSt2q9QOKz6Cf_Jp6XFsId-Pa_Y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831brpfUKBZ45r5lLawJQ4x_fudzUfMZk87zumhD3l4" TargetMode="External"/><Relationship Id="rId2" Type="http://schemas.openxmlformats.org/officeDocument/2006/relationships/hyperlink" Target="https://max.ru/join/831brpfUKBZ45r5lLawJQ4x_fudzUfMZk87zumhD3l4" TargetMode="External"/><Relationship Id="rId1" Type="http://schemas.openxmlformats.org/officeDocument/2006/relationships/hyperlink" Target="https://max.ru/join/JliUDf7xjuRKGpBay-DL6RCwrYm2Hzj4E__hjp6UgOQ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max.ru/join/831brpfUKBZ45r5lLawJQ4x_fudzUfMZk87zumhD3l4" TargetMode="External"/><Relationship Id="rId4" Type="http://schemas.openxmlformats.org/officeDocument/2006/relationships/hyperlink" Target="https://max.ru/join/831brpfUKBZ45r5lLawJQ4x_fudzUfMZk87zumhD3l4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HWJDG1wxuQDCiC0TUN5E66zyt7VXJqMWtv_aHX-fd1o" TargetMode="External"/><Relationship Id="rId2" Type="http://schemas.openxmlformats.org/officeDocument/2006/relationships/hyperlink" Target="https://max.ru/join/HWJDG1wxuQDCiC0TUN5E66zyt7VXJqMWtv_aHX-fd1o" TargetMode="External"/><Relationship Id="rId1" Type="http://schemas.openxmlformats.org/officeDocument/2006/relationships/hyperlink" Target="https://max.ru/join/HWJDG1wxuQDCiC0TUN5E66zyt7VXJqMWtv_aHX-fd1o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max.ru/join/M7wDISGvmShFMnRwwNWABqv4bmIdPah2zAI1ryedWA4" TargetMode="External"/><Relationship Id="rId1" Type="http://schemas.openxmlformats.org/officeDocument/2006/relationships/hyperlink" Target="https://max.ru/join/M7wDISGvmShFMnRwwNWABqv4bmIdPah2zAI1ryedWA4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WiSqTQR9vhIixu_9tEOVcte-zLq3xD0Pr4wEaSuQ8L8" TargetMode="External"/><Relationship Id="rId5" Type="http://schemas.openxmlformats.org/officeDocument/2006/relationships/hyperlink" Target="https://max.ru/join/WiSqTQR9vhIixu_9tEOVcte-zLq3xD0Pr4wEaSuQ8L8" TargetMode="External"/><Relationship Id="rId4" Type="http://schemas.openxmlformats.org/officeDocument/2006/relationships/hyperlink" Target="https://max.ru/join/F2rHatjyRcQw2TG_ocvg-KtDcxEZHt6IW5wcYLC4iuw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alUL1AavbikkBK8Wox0H5Gqk0GpaAW3WoZ_oaAjx88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83qviP_NZQNUREKHhLZDjtaG-cPRrU7VmIRLd2eydTs" TargetMode="External"/><Relationship Id="rId5" Type="http://schemas.openxmlformats.org/officeDocument/2006/relationships/hyperlink" Target="https://max.ru/join/ZQI6UYw-Ll6800VmJaLdI-Md1s6hKqFaVeuR5NmzeXM" TargetMode="External"/><Relationship Id="rId10" Type="http://schemas.openxmlformats.org/officeDocument/2006/relationships/printerSettings" Target="../printerSettings/printerSettings10.bin"/><Relationship Id="rId4" Type="http://schemas.openxmlformats.org/officeDocument/2006/relationships/hyperlink" Target="https://max.ru/join/g6zvD6fUKPmI5Ues4pjwwIXB0fZghlWb7Uaeuix-jUQ" TargetMode="External"/><Relationship Id="rId9" Type="http://schemas.openxmlformats.org/officeDocument/2006/relationships/hyperlink" Target="https://max.ru/join/8alUL1AavbikkBK8Wox0H5Gqk0GpaAW3WoZ_oaAjx88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83qviP_NZQNUREKHhLZDjtaG-cPRrU7VmIRLd2eydTs" TargetMode="External"/><Relationship Id="rId3" Type="http://schemas.openxmlformats.org/officeDocument/2006/relationships/hyperlink" Target="https://max.ru/join/F2rHatjyRcQw2TG_ocvg-KtDcxEZHt6IW5wcYLC4iuw" TargetMode="External"/><Relationship Id="rId7" Type="http://schemas.openxmlformats.org/officeDocument/2006/relationships/hyperlink" Target="https://max.ru/join/83qviP_NZQNUREKHhLZDjtaG-cPRrU7VmIRLd2eydTs" TargetMode="External"/><Relationship Id="rId2" Type="http://schemas.openxmlformats.org/officeDocument/2006/relationships/hyperlink" Target="https://max.ru/join/lLG9wFTsslIHYpmiSC-XFj3ChsNqu9JFSujMK928YAg" TargetMode="External"/><Relationship Id="rId1" Type="http://schemas.openxmlformats.org/officeDocument/2006/relationships/hyperlink" Target="https://max.ru/join/O7ELSE3mnUXAMkjL9zkW6akpHRr_OV1RfDfgb1E6BKA" TargetMode="External"/><Relationship Id="rId6" Type="http://schemas.openxmlformats.org/officeDocument/2006/relationships/hyperlink" Target="https://max.ru/join/ZQI6UYw-Ll6800VmJaLdI-Md1s6hKqFaVeuR5NmzeX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https://max.ru/join/g6zvD6fUKPmI5Ues4pjwwIXB0fZghlWb7Uaeuix-jUQ" TargetMode="External"/><Relationship Id="rId10" Type="http://schemas.openxmlformats.org/officeDocument/2006/relationships/hyperlink" Target="https://max.ru/join/DN-Al3Hn8BwzumxU2F0z1ZrdkkOKrJJlr2N-X5z2j-A" TargetMode="External"/><Relationship Id="rId4" Type="http://schemas.openxmlformats.org/officeDocument/2006/relationships/hyperlink" Target="https://max.ru/join/F2rHatjyRcQw2TG_ocvg-KtDcxEZHt6IW5wcYLC4iuw" TargetMode="External"/><Relationship Id="rId9" Type="http://schemas.openxmlformats.org/officeDocument/2006/relationships/hyperlink" Target="https://max.ru/join/DN-Al3Hn8BwzumxU2F0z1ZrdkkOKrJJlr2N-X5z2j-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max.ru/join/ABawVbim1pHAjVVmFjM7O45ddZZYKAUsl0XF3_xyIvw" TargetMode="External"/><Relationship Id="rId2" Type="http://schemas.openxmlformats.org/officeDocument/2006/relationships/hyperlink" Target="https://max.ru/join/xVfUag6N_YqTK2FYY9dw1yr1OX0njFL0kEBUFOsnrKU" TargetMode="External"/><Relationship Id="rId1" Type="http://schemas.openxmlformats.org/officeDocument/2006/relationships/hyperlink" Target="https://max.ru/join/VKkXfhUzxKeyFQk25Ym4SroS_8HJFubEzr_pkrxHHAs" TargetMode="Externa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https://max.ru/join/ABawVbim1pHAjVVmFjM7O45ddZZYKAUsl0XF3_xyIvw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CuOdXmdZWK47DPyk2yukbmbFfy3zg-be-Oob6Blusek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CuOdXmdZWK47DPyk2yukbmbFfy3zg-be-Oob6Blusek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CuOdXmdZWK47DPyk2yukbmbFfy3zg-be-Oob6Blusek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CuOdXmdZWK47DPyk2yukbmbFfy3zg-be-Oob6Blusek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xVfUag6N_YqTK2FYY9dw1yr1OX0njFL0kEBUFOsnrKU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max.ru/join/vVDI4UrM3eCAidVGjy4YDG7oZq_cJEJtK2NywT5ISAk" TargetMode="External"/><Relationship Id="rId13" Type="http://schemas.openxmlformats.org/officeDocument/2006/relationships/hyperlink" Target="https://max.ru/join/pcqQ76hVH1VM62gdvJpdTUt6hv6a-FL0jPDOixrw4dg" TargetMode="External"/><Relationship Id="rId3" Type="http://schemas.openxmlformats.org/officeDocument/2006/relationships/hyperlink" Target="https://max.ru/join/6P4CDIXdiW5socNdup_FdA5kKEfDh7JWkzXGBNPsMNM" TargetMode="External"/><Relationship Id="rId7" Type="http://schemas.openxmlformats.org/officeDocument/2006/relationships/hyperlink" Target="https://max.ru/join/vVDI4UrM3eCAidVGjy4YDG7oZq_cJEJtK2NywT5ISAk" TargetMode="External"/><Relationship Id="rId12" Type="http://schemas.openxmlformats.org/officeDocument/2006/relationships/hyperlink" Target="https://max.ru/join/pcqQ76hVH1VM62gdvJpdTUt6hv6a-FL0jPDOixrw4dg" TargetMode="External"/><Relationship Id="rId2" Type="http://schemas.openxmlformats.org/officeDocument/2006/relationships/hyperlink" Target="https://max.ru/join/v5Bjqd2wcIy4RnbDXh61Rk5L54rh3fI1wPxGBjBk2rc" TargetMode="External"/><Relationship Id="rId1" Type="http://schemas.openxmlformats.org/officeDocument/2006/relationships/hyperlink" Target="https://max.ru/join/VKkXfhUzxKeyFQk25Ym4SroS_8HJFubEzr_pkrxHHAs" TargetMode="External"/><Relationship Id="rId6" Type="http://schemas.openxmlformats.org/officeDocument/2006/relationships/hyperlink" Target="https://max.ru/join/vVDI4UrM3eCAidVGjy4YDG7oZq_cJEJtK2NywT5ISAk" TargetMode="External"/><Relationship Id="rId11" Type="http://schemas.openxmlformats.org/officeDocument/2006/relationships/hyperlink" Target="https://max.ru/join/pcqQ76hVH1VM62gdvJpdTUt6hv6a-FL0jPDOixrw4dg" TargetMode="External"/><Relationship Id="rId5" Type="http://schemas.openxmlformats.org/officeDocument/2006/relationships/hyperlink" Target="https://max.ru/join/15pEPVrIDANjN-ex11uXS0z2QQcAQkpN7qeJUhIOK40" TargetMode="External"/><Relationship Id="rId10" Type="http://schemas.openxmlformats.org/officeDocument/2006/relationships/hyperlink" Target="https://max.ru/join/xVfUag6N_YqTK2FYY9dw1yr1OX0njFL0kEBUFOsnrKU" TargetMode="External"/><Relationship Id="rId4" Type="http://schemas.openxmlformats.org/officeDocument/2006/relationships/hyperlink" Target="https://max.ru/join/Okan5Ed5VxVxXuMyIaDwQXtM9Y66v263YO3R7j43k14" TargetMode="External"/><Relationship Id="rId9" Type="http://schemas.openxmlformats.org/officeDocument/2006/relationships/hyperlink" Target="https://max.ru/join/vVDI4UrM3eCAidVGjy4YDG7oZq_cJEJtK2NywT5ISAk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00"/>
  <sheetViews>
    <sheetView view="pageBreakPreview" zoomScale="50" zoomScaleNormal="55" zoomScaleSheetLayoutView="50" workbookViewId="0">
      <selection activeCell="G9" sqref="G9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8.7109375" customWidth="1"/>
    <col min="19" max="19" width="31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</f>
        <v>00</v>
      </c>
      <c r="F7" s="7"/>
      <c r="G7" s="7">
        <f>'[1]1нед'!$D$10</f>
        <v>0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00</v>
      </c>
      <c r="N7" s="7"/>
      <c r="O7" s="7">
        <f>G7</f>
        <v>0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3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0" t="s">
        <v>15</v>
      </c>
      <c r="S11" s="50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'[1]1нед'!C12</f>
        <v>0</v>
      </c>
      <c r="E12" s="19">
        <f>'[1]1нед'!D12</f>
        <v>0</v>
      </c>
      <c r="F12" s="17">
        <f>'[1]1нед'!G12</f>
        <v>0</v>
      </c>
      <c r="G12" s="18" t="str">
        <f>'[1]1нед'!H12</f>
        <v/>
      </c>
      <c r="H12" s="56" t="str">
        <f>HYPERLINK(VLOOKUP(E12,$R$12:$S$332,2,FALSE))</f>
        <v/>
      </c>
      <c r="I12" s="70">
        <v>46272</v>
      </c>
      <c r="J12" s="87" t="s">
        <v>17</v>
      </c>
      <c r="K12" s="14" t="s">
        <v>18</v>
      </c>
      <c r="L12" s="16">
        <f>'[1]2нед'!C12</f>
        <v>0</v>
      </c>
      <c r="M12" s="19">
        <f>'[1]2нед'!D12</f>
        <v>0</v>
      </c>
      <c r="N12" s="17">
        <f>'[1]2нед'!G12</f>
        <v>0</v>
      </c>
      <c r="O12" s="18" t="str">
        <f>'[1]2нед'!H12</f>
        <v/>
      </c>
      <c r="P12" s="56" t="str">
        <f>HYPERLINK(VLOOKUP(M12,$R$12:$S$332,2,FALSE))</f>
        <v/>
      </c>
      <c r="R12" s="51">
        <f>[2]Уч.План!B12</f>
        <v>0</v>
      </c>
      <c r="S12" s="52"/>
    </row>
    <row r="13" spans="1:19" ht="31.5" x14ac:dyDescent="0.2">
      <c r="A13" s="82"/>
      <c r="B13" s="85"/>
      <c r="C13" s="14" t="s">
        <v>19</v>
      </c>
      <c r="D13" s="20">
        <f>'[1]1нед'!C13</f>
        <v>0</v>
      </c>
      <c r="E13" s="23">
        <f>'[1]1нед'!D13</f>
        <v>0</v>
      </c>
      <c r="F13" s="21">
        <f>'[1]1нед'!G13</f>
        <v>0</v>
      </c>
      <c r="G13" s="22" t="str">
        <f>'[1]1нед'!H13</f>
        <v/>
      </c>
      <c r="H13" s="57" t="str">
        <f t="shared" ref="H13:H59" si="1">HYPERLINK(VLOOKUP(E13,$R$12:$S$332,2,FALSE))</f>
        <v/>
      </c>
      <c r="I13" s="71"/>
      <c r="J13" s="88"/>
      <c r="K13" s="14" t="s">
        <v>19</v>
      </c>
      <c r="L13" s="20">
        <f>'[1]2нед'!C13</f>
        <v>0</v>
      </c>
      <c r="M13" s="23">
        <f>'[1]2нед'!D13</f>
        <v>0</v>
      </c>
      <c r="N13" s="21">
        <f>'[1]2нед'!G13</f>
        <v>0</v>
      </c>
      <c r="O13" s="22" t="str">
        <f>'[1]2нед'!H13</f>
        <v/>
      </c>
      <c r="P13" s="57" t="str">
        <f t="shared" ref="P13:P58" si="2">HYPERLINK(VLOOKUP(M13,$R$12:$S$332,2,FALSE))</f>
        <v/>
      </c>
      <c r="R13" s="51">
        <f>[2]Уч.План!B13</f>
        <v>0</v>
      </c>
      <c r="S13" s="51"/>
    </row>
    <row r="14" spans="1:19" ht="31.5" x14ac:dyDescent="0.2">
      <c r="A14" s="82"/>
      <c r="B14" s="85"/>
      <c r="C14" s="14" t="s">
        <v>20</v>
      </c>
      <c r="D14" s="20">
        <f>'[1]1нед'!C14</f>
        <v>0</v>
      </c>
      <c r="E14" s="23">
        <f>'[1]1нед'!D14</f>
        <v>0</v>
      </c>
      <c r="F14" s="21">
        <f>'[1]1нед'!G14</f>
        <v>0</v>
      </c>
      <c r="G14" s="22" t="str">
        <f>'[1]1нед'!H14</f>
        <v/>
      </c>
      <c r="H14" s="57" t="str">
        <f t="shared" si="1"/>
        <v/>
      </c>
      <c r="I14" s="71"/>
      <c r="J14" s="88"/>
      <c r="K14" s="14" t="s">
        <v>20</v>
      </c>
      <c r="L14" s="20">
        <f>'[1]2нед'!C14</f>
        <v>0</v>
      </c>
      <c r="M14" s="23">
        <f>'[1]2нед'!D14</f>
        <v>0</v>
      </c>
      <c r="N14" s="21">
        <f>'[1]2нед'!G14</f>
        <v>0</v>
      </c>
      <c r="O14" s="22" t="str">
        <f>'[1]2нед'!H14</f>
        <v/>
      </c>
      <c r="P14" s="57" t="str">
        <f t="shared" si="2"/>
        <v/>
      </c>
      <c r="R14" s="51">
        <f>[2]Уч.План!B14</f>
        <v>0</v>
      </c>
      <c r="S14" s="51"/>
    </row>
    <row r="15" spans="1:19" ht="31.5" x14ac:dyDescent="0.2">
      <c r="A15" s="82"/>
      <c r="B15" s="85"/>
      <c r="C15" s="14" t="s">
        <v>21</v>
      </c>
      <c r="D15" s="20">
        <f>'[1]1нед'!C15</f>
        <v>0</v>
      </c>
      <c r="E15" s="23">
        <f>'[1]1нед'!D15</f>
        <v>0</v>
      </c>
      <c r="F15" s="21">
        <f>'[1]1нед'!G15</f>
        <v>0</v>
      </c>
      <c r="G15" s="22" t="str">
        <f>'[1]1нед'!H15</f>
        <v/>
      </c>
      <c r="H15" s="57" t="str">
        <f t="shared" si="1"/>
        <v/>
      </c>
      <c r="I15" s="71"/>
      <c r="J15" s="88"/>
      <c r="K15" s="14" t="s">
        <v>21</v>
      </c>
      <c r="L15" s="20">
        <f>'[1]2нед'!C15</f>
        <v>0</v>
      </c>
      <c r="M15" s="23">
        <f>'[1]2нед'!D15</f>
        <v>0</v>
      </c>
      <c r="N15" s="21">
        <f>'[1]2нед'!G15</f>
        <v>0</v>
      </c>
      <c r="O15" s="22" t="str">
        <f>'[1]2нед'!H15</f>
        <v/>
      </c>
      <c r="P15" s="57" t="str">
        <f t="shared" si="2"/>
        <v/>
      </c>
      <c r="R15" s="51">
        <f>[2]Уч.План!B15</f>
        <v>0</v>
      </c>
      <c r="S15" s="51"/>
    </row>
    <row r="16" spans="1:19" ht="31.5" x14ac:dyDescent="0.2">
      <c r="A16" s="82"/>
      <c r="B16" s="85"/>
      <c r="C16" s="14" t="s">
        <v>22</v>
      </c>
      <c r="D16" s="20">
        <f>'[1]1нед'!C16</f>
        <v>0</v>
      </c>
      <c r="E16" s="23">
        <f>'[1]1нед'!D16</f>
        <v>0</v>
      </c>
      <c r="F16" s="21">
        <f>'[1]1нед'!G16</f>
        <v>0</v>
      </c>
      <c r="G16" s="22" t="str">
        <f>'[1]1нед'!H16</f>
        <v/>
      </c>
      <c r="H16" s="57" t="str">
        <f t="shared" si="1"/>
        <v/>
      </c>
      <c r="I16" s="71"/>
      <c r="J16" s="88"/>
      <c r="K16" s="14" t="s">
        <v>22</v>
      </c>
      <c r="L16" s="20">
        <f>'[1]2нед'!C16</f>
        <v>0</v>
      </c>
      <c r="M16" s="23">
        <f>'[1]2нед'!D16</f>
        <v>0</v>
      </c>
      <c r="N16" s="21">
        <f>'[1]2нед'!G16</f>
        <v>0</v>
      </c>
      <c r="O16" s="22" t="str">
        <f>'[1]2нед'!H16</f>
        <v/>
      </c>
      <c r="P16" s="57" t="str">
        <f t="shared" si="2"/>
        <v/>
      </c>
      <c r="R16" s="51">
        <f>[2]Уч.План!B16</f>
        <v>0</v>
      </c>
      <c r="S16" s="51"/>
    </row>
    <row r="17" spans="1:19" ht="31.5" x14ac:dyDescent="0.2">
      <c r="A17" s="82"/>
      <c r="B17" s="85"/>
      <c r="C17" s="14" t="s">
        <v>23</v>
      </c>
      <c r="D17" s="20">
        <f>'[1]1нед'!C17</f>
        <v>0</v>
      </c>
      <c r="E17" s="23">
        <f>'[1]1нед'!D17</f>
        <v>0</v>
      </c>
      <c r="F17" s="21">
        <f>'[1]1нед'!G17</f>
        <v>0</v>
      </c>
      <c r="G17" s="22" t="str">
        <f>'[1]1нед'!H17</f>
        <v/>
      </c>
      <c r="H17" s="55" t="str">
        <f t="shared" si="1"/>
        <v/>
      </c>
      <c r="I17" s="71"/>
      <c r="J17" s="88"/>
      <c r="K17" s="14" t="s">
        <v>23</v>
      </c>
      <c r="L17" s="20">
        <f>'[1]2нед'!C17</f>
        <v>0</v>
      </c>
      <c r="M17" s="23">
        <f>'[1]2нед'!D17</f>
        <v>0</v>
      </c>
      <c r="N17" s="21">
        <f>'[1]2нед'!G17</f>
        <v>0</v>
      </c>
      <c r="O17" s="22" t="str">
        <f>'[1]2нед'!H17</f>
        <v/>
      </c>
      <c r="P17" s="55" t="str">
        <f t="shared" si="2"/>
        <v/>
      </c>
      <c r="R17" s="51">
        <f>[2]Уч.План!B17</f>
        <v>0</v>
      </c>
      <c r="S17" s="51"/>
    </row>
    <row r="18" spans="1:19" ht="32.25" thickBot="1" x14ac:dyDescent="0.25">
      <c r="A18" s="82"/>
      <c r="B18" s="85"/>
      <c r="C18" s="14" t="s">
        <v>24</v>
      </c>
      <c r="D18" s="20">
        <f>'[1]1нед'!C18</f>
        <v>0</v>
      </c>
      <c r="E18" s="23">
        <f>'[1]1нед'!D18</f>
        <v>0</v>
      </c>
      <c r="F18" s="21">
        <f>'[1]1нед'!G18</f>
        <v>0</v>
      </c>
      <c r="G18" s="22" t="str">
        <f>'[1]1нед'!H18</f>
        <v/>
      </c>
      <c r="H18" s="55" t="str">
        <f t="shared" si="1"/>
        <v/>
      </c>
      <c r="I18" s="71"/>
      <c r="J18" s="88"/>
      <c r="K18" s="14" t="s">
        <v>24</v>
      </c>
      <c r="L18" s="20">
        <f>'[1]2нед'!C18</f>
        <v>0</v>
      </c>
      <c r="M18" s="23">
        <f>'[1]2нед'!D18</f>
        <v>0</v>
      </c>
      <c r="N18" s="21">
        <f>'[1]2нед'!G18</f>
        <v>0</v>
      </c>
      <c r="O18" s="22" t="str">
        <f>'[1]2нед'!H18</f>
        <v/>
      </c>
      <c r="P18" s="55" t="str">
        <f t="shared" si="2"/>
        <v/>
      </c>
      <c r="R18" s="51">
        <f>[2]Уч.План!B18</f>
        <v>0</v>
      </c>
      <c r="S18" s="51"/>
    </row>
    <row r="19" spans="1:19" ht="18.399999999999999" hidden="1" customHeight="1" thickBot="1" x14ac:dyDescent="0.25">
      <c r="A19" s="83"/>
      <c r="B19" s="86"/>
      <c r="C19" s="15"/>
      <c r="D19" s="24">
        <f>'[1]1нед'!C19</f>
        <v>0</v>
      </c>
      <c r="E19" s="25">
        <f>'[1]1нед'!D19</f>
        <v>0</v>
      </c>
      <c r="F19" s="26">
        <f>'[1]1нед'!G19</f>
        <v>0</v>
      </c>
      <c r="G19" s="27" t="str">
        <f>'[1]1нед'!H19</f>
        <v/>
      </c>
      <c r="H19" s="58" t="str">
        <f t="shared" si="1"/>
        <v/>
      </c>
      <c r="I19" s="72"/>
      <c r="J19" s="89"/>
      <c r="K19" s="15"/>
      <c r="L19" s="24">
        <f>'[1]2нед'!C19</f>
        <v>0</v>
      </c>
      <c r="M19" s="25">
        <f>'[1]2нед'!D19</f>
        <v>0</v>
      </c>
      <c r="N19" s="26">
        <f>'[1]2нед'!G19</f>
        <v>0</v>
      </c>
      <c r="O19" s="27" t="str">
        <f>'[1]2нед'!H19</f>
        <v/>
      </c>
      <c r="P19" s="58" t="str">
        <f t="shared" si="2"/>
        <v/>
      </c>
      <c r="R19" s="51">
        <f>[2]Уч.План!B19</f>
        <v>0</v>
      </c>
      <c r="S19" s="51"/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</f>
        <v>0</v>
      </c>
      <c r="E20" s="19">
        <f>'[1]1нед'!D20</f>
        <v>0</v>
      </c>
      <c r="F20" s="17">
        <f>'[1]1нед'!G20</f>
        <v>0</v>
      </c>
      <c r="G20" s="18" t="str">
        <f>'[1]1нед'!H20</f>
        <v/>
      </c>
      <c r="H20" s="56" t="str">
        <f t="shared" si="1"/>
        <v/>
      </c>
      <c r="I20" s="70">
        <v>46273</v>
      </c>
      <c r="J20" s="87" t="s">
        <v>25</v>
      </c>
      <c r="K20" s="29" t="s">
        <v>18</v>
      </c>
      <c r="L20" s="16">
        <f>'[1]2нед'!C20</f>
        <v>0</v>
      </c>
      <c r="M20" s="19">
        <f>'[1]2нед'!D20</f>
        <v>0</v>
      </c>
      <c r="N20" s="17">
        <f>'[1]2нед'!G20</f>
        <v>0</v>
      </c>
      <c r="O20" s="18" t="str">
        <f>'[1]2нед'!H20</f>
        <v/>
      </c>
      <c r="P20" s="56" t="str">
        <f t="shared" si="2"/>
        <v/>
      </c>
      <c r="R20" s="51">
        <f>[2]Уч.План!B20</f>
        <v>0</v>
      </c>
      <c r="S20" s="51"/>
    </row>
    <row r="21" spans="1:19" ht="31.5" x14ac:dyDescent="0.2">
      <c r="A21" s="82"/>
      <c r="B21" s="85"/>
      <c r="C21" s="14" t="s">
        <v>19</v>
      </c>
      <c r="D21" s="20">
        <f>'[1]1нед'!C21</f>
        <v>0</v>
      </c>
      <c r="E21" s="23">
        <f>'[1]1нед'!D21</f>
        <v>0</v>
      </c>
      <c r="F21" s="21">
        <f>'[1]1нед'!G21</f>
        <v>0</v>
      </c>
      <c r="G21" s="22" t="str">
        <f>'[1]1нед'!H21</f>
        <v/>
      </c>
      <c r="H21" s="57" t="str">
        <f t="shared" si="1"/>
        <v/>
      </c>
      <c r="I21" s="71"/>
      <c r="J21" s="88"/>
      <c r="K21" s="14" t="s">
        <v>19</v>
      </c>
      <c r="L21" s="20">
        <f>'[1]2нед'!C21</f>
        <v>0</v>
      </c>
      <c r="M21" s="23">
        <f>'[1]2нед'!D21</f>
        <v>0</v>
      </c>
      <c r="N21" s="21">
        <f>'[1]2нед'!G21</f>
        <v>0</v>
      </c>
      <c r="O21" s="22" t="str">
        <f>'[1]2нед'!H21</f>
        <v/>
      </c>
      <c r="P21" s="57" t="str">
        <f t="shared" si="2"/>
        <v/>
      </c>
      <c r="R21" s="51">
        <f>[2]Уч.План!B21</f>
        <v>0</v>
      </c>
      <c r="S21" s="51"/>
    </row>
    <row r="22" spans="1:19" ht="31.5" x14ac:dyDescent="0.2">
      <c r="A22" s="82"/>
      <c r="B22" s="85"/>
      <c r="C22" s="14" t="s">
        <v>20</v>
      </c>
      <c r="D22" s="20">
        <f>'[1]1нед'!C22</f>
        <v>0</v>
      </c>
      <c r="E22" s="23">
        <f>'[1]1нед'!D22</f>
        <v>0</v>
      </c>
      <c r="F22" s="21">
        <f>'[1]1нед'!G22</f>
        <v>0</v>
      </c>
      <c r="G22" s="22" t="str">
        <f>'[1]1нед'!H22</f>
        <v/>
      </c>
      <c r="H22" s="57" t="str">
        <f t="shared" si="1"/>
        <v/>
      </c>
      <c r="I22" s="71"/>
      <c r="J22" s="88"/>
      <c r="K22" s="14" t="s">
        <v>20</v>
      </c>
      <c r="L22" s="20">
        <f>'[1]2нед'!C22</f>
        <v>0</v>
      </c>
      <c r="M22" s="23">
        <f>'[1]2нед'!D22</f>
        <v>0</v>
      </c>
      <c r="N22" s="21">
        <f>'[1]2нед'!G22</f>
        <v>0</v>
      </c>
      <c r="O22" s="22" t="str">
        <f>'[1]2нед'!H22</f>
        <v/>
      </c>
      <c r="P22" s="57" t="str">
        <f t="shared" si="2"/>
        <v/>
      </c>
      <c r="R22" s="51">
        <f>[2]Уч.План!B22</f>
        <v>0</v>
      </c>
      <c r="S22" s="51"/>
    </row>
    <row r="23" spans="1:19" ht="31.5" x14ac:dyDescent="0.2">
      <c r="A23" s="82"/>
      <c r="B23" s="85"/>
      <c r="C23" s="14" t="s">
        <v>21</v>
      </c>
      <c r="D23" s="20">
        <f>'[1]1нед'!C23</f>
        <v>0</v>
      </c>
      <c r="E23" s="23">
        <f>'[1]1нед'!D23</f>
        <v>0</v>
      </c>
      <c r="F23" s="21">
        <f>'[1]1нед'!G23</f>
        <v>0</v>
      </c>
      <c r="G23" s="22" t="str">
        <f>'[1]1нед'!H23</f>
        <v/>
      </c>
      <c r="H23" s="57" t="str">
        <f t="shared" si="1"/>
        <v/>
      </c>
      <c r="I23" s="71"/>
      <c r="J23" s="88"/>
      <c r="K23" s="14" t="s">
        <v>21</v>
      </c>
      <c r="L23" s="20">
        <f>'[1]2нед'!C23</f>
        <v>0</v>
      </c>
      <c r="M23" s="23">
        <f>'[1]2нед'!D23</f>
        <v>0</v>
      </c>
      <c r="N23" s="21">
        <f>'[1]2нед'!G23</f>
        <v>0</v>
      </c>
      <c r="O23" s="22" t="str">
        <f>'[1]2нед'!H23</f>
        <v/>
      </c>
      <c r="P23" s="57" t="str">
        <f t="shared" si="2"/>
        <v/>
      </c>
      <c r="R23" s="51">
        <f>[2]Уч.План!B23</f>
        <v>0</v>
      </c>
      <c r="S23" s="51"/>
    </row>
    <row r="24" spans="1:19" ht="31.5" x14ac:dyDescent="0.2">
      <c r="A24" s="82"/>
      <c r="B24" s="85"/>
      <c r="C24" s="14" t="s">
        <v>22</v>
      </c>
      <c r="D24" s="20">
        <f>'[1]1нед'!C24</f>
        <v>0</v>
      </c>
      <c r="E24" s="23">
        <f>'[1]1нед'!D24</f>
        <v>0</v>
      </c>
      <c r="F24" s="21">
        <f>'[1]1нед'!G24</f>
        <v>0</v>
      </c>
      <c r="G24" s="22" t="str">
        <f>'[1]1нед'!H24</f>
        <v/>
      </c>
      <c r="H24" s="57" t="str">
        <f t="shared" si="1"/>
        <v/>
      </c>
      <c r="I24" s="71"/>
      <c r="J24" s="88"/>
      <c r="K24" s="14" t="s">
        <v>22</v>
      </c>
      <c r="L24" s="20">
        <f>'[1]2нед'!C24</f>
        <v>0</v>
      </c>
      <c r="M24" s="23">
        <f>'[1]2нед'!D24</f>
        <v>0</v>
      </c>
      <c r="N24" s="21">
        <f>'[1]2нед'!G24</f>
        <v>0</v>
      </c>
      <c r="O24" s="22" t="str">
        <f>'[1]2нед'!H24</f>
        <v/>
      </c>
      <c r="P24" s="57" t="str">
        <f t="shared" si="2"/>
        <v/>
      </c>
      <c r="R24" s="51">
        <f>[2]Уч.План!B24</f>
        <v>0</v>
      </c>
      <c r="S24" s="51"/>
    </row>
    <row r="25" spans="1:19" ht="31.5" x14ac:dyDescent="0.2">
      <c r="A25" s="82"/>
      <c r="B25" s="85"/>
      <c r="C25" s="14" t="s">
        <v>23</v>
      </c>
      <c r="D25" s="20">
        <f>'[1]1нед'!C25</f>
        <v>0</v>
      </c>
      <c r="E25" s="23">
        <f>'[1]1нед'!D25</f>
        <v>0</v>
      </c>
      <c r="F25" s="21">
        <f>'[1]1нед'!G25</f>
        <v>0</v>
      </c>
      <c r="G25" s="22" t="str">
        <f>'[1]1нед'!H25</f>
        <v/>
      </c>
      <c r="H25" s="57" t="str">
        <f t="shared" si="1"/>
        <v/>
      </c>
      <c r="I25" s="71"/>
      <c r="J25" s="88"/>
      <c r="K25" s="14" t="s">
        <v>23</v>
      </c>
      <c r="L25" s="20">
        <f>'[1]2нед'!C25</f>
        <v>0</v>
      </c>
      <c r="M25" s="23">
        <f>'[1]2нед'!D25</f>
        <v>0</v>
      </c>
      <c r="N25" s="21">
        <f>'[1]2нед'!G25</f>
        <v>0</v>
      </c>
      <c r="O25" s="22" t="str">
        <f>'[1]2нед'!H25</f>
        <v/>
      </c>
      <c r="P25" s="57" t="str">
        <f t="shared" si="2"/>
        <v/>
      </c>
      <c r="R25" s="51">
        <f>[2]Уч.План!B25</f>
        <v>0</v>
      </c>
      <c r="S25" s="51"/>
    </row>
    <row r="26" spans="1:19" ht="32.25" thickBot="1" x14ac:dyDescent="0.25">
      <c r="A26" s="82"/>
      <c r="B26" s="85"/>
      <c r="C26" s="14" t="s">
        <v>24</v>
      </c>
      <c r="D26" s="20">
        <f>'[1]1нед'!C26</f>
        <v>0</v>
      </c>
      <c r="E26" s="23">
        <f>'[1]1нед'!D26</f>
        <v>0</v>
      </c>
      <c r="F26" s="21">
        <f>'[1]1нед'!G26</f>
        <v>0</v>
      </c>
      <c r="G26" s="22" t="str">
        <f>'[1]1нед'!H26</f>
        <v/>
      </c>
      <c r="H26" s="57" t="str">
        <f t="shared" si="1"/>
        <v/>
      </c>
      <c r="I26" s="71"/>
      <c r="J26" s="88"/>
      <c r="K26" s="14" t="s">
        <v>24</v>
      </c>
      <c r="L26" s="20">
        <f>'[1]2нед'!C26</f>
        <v>0</v>
      </c>
      <c r="M26" s="23">
        <f>'[1]2нед'!D26</f>
        <v>0</v>
      </c>
      <c r="N26" s="21">
        <f>'[1]2нед'!G26</f>
        <v>0</v>
      </c>
      <c r="O26" s="22" t="str">
        <f>'[1]2нед'!H26</f>
        <v/>
      </c>
      <c r="P26" s="57" t="str">
        <f t="shared" si="2"/>
        <v/>
      </c>
      <c r="R26" s="51"/>
      <c r="S26" s="51"/>
    </row>
    <row r="27" spans="1:19" ht="18.399999999999999" hidden="1" customHeight="1" thickBot="1" x14ac:dyDescent="0.25">
      <c r="A27" s="83"/>
      <c r="B27" s="86"/>
      <c r="C27" s="15"/>
      <c r="D27" s="24">
        <f>'[1]1нед'!C27</f>
        <v>0</v>
      </c>
      <c r="E27" s="25">
        <f>'[1]1нед'!D27</f>
        <v>0</v>
      </c>
      <c r="F27" s="26">
        <f>'[1]1нед'!G27</f>
        <v>0</v>
      </c>
      <c r="G27" s="27" t="str">
        <f>'[1]1нед'!H27</f>
        <v/>
      </c>
      <c r="H27" s="58" t="str">
        <f t="shared" si="1"/>
        <v/>
      </c>
      <c r="I27" s="72"/>
      <c r="J27" s="89"/>
      <c r="K27" s="15"/>
      <c r="L27" s="24">
        <f>'[1]2нед'!C27</f>
        <v>0</v>
      </c>
      <c r="M27" s="25">
        <f>'[1]2нед'!D27</f>
        <v>0</v>
      </c>
      <c r="N27" s="26">
        <f>'[1]2нед'!G27</f>
        <v>0</v>
      </c>
      <c r="O27" s="27" t="str">
        <f>'[1]2нед'!H27</f>
        <v/>
      </c>
      <c r="P27" s="58" t="str">
        <f t="shared" si="2"/>
        <v/>
      </c>
      <c r="R27" s="51"/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'[1]1нед'!C28</f>
        <v>0</v>
      </c>
      <c r="E28" s="19">
        <f>'[1]1нед'!D28</f>
        <v>0</v>
      </c>
      <c r="F28" s="17">
        <f>'[1]1нед'!G28</f>
        <v>0</v>
      </c>
      <c r="G28" s="18" t="str">
        <f>'[1]1нед'!H28</f>
        <v/>
      </c>
      <c r="H28" s="56" t="str">
        <f t="shared" si="1"/>
        <v/>
      </c>
      <c r="I28" s="70">
        <v>46274</v>
      </c>
      <c r="J28" s="73" t="s">
        <v>26</v>
      </c>
      <c r="K28" s="29" t="s">
        <v>18</v>
      </c>
      <c r="L28" s="16">
        <f>'[1]2нед'!C28</f>
        <v>0</v>
      </c>
      <c r="M28" s="19">
        <f>'[1]2нед'!D28</f>
        <v>0</v>
      </c>
      <c r="N28" s="17">
        <f>'[1]2нед'!G28</f>
        <v>0</v>
      </c>
      <c r="O28" s="18" t="str">
        <f>'[1]2нед'!H28</f>
        <v/>
      </c>
      <c r="P28" s="56" t="str">
        <f t="shared" si="2"/>
        <v/>
      </c>
      <c r="R28" s="51"/>
      <c r="S28" s="51"/>
    </row>
    <row r="29" spans="1:19" ht="31.5" x14ac:dyDescent="0.2">
      <c r="A29" s="82"/>
      <c r="B29" s="68"/>
      <c r="C29" s="14" t="s">
        <v>19</v>
      </c>
      <c r="D29" s="20">
        <f>'[1]1нед'!C29</f>
        <v>0</v>
      </c>
      <c r="E29" s="23">
        <f>'[1]1нед'!D29</f>
        <v>0</v>
      </c>
      <c r="F29" s="21">
        <f>'[1]1нед'!G29</f>
        <v>0</v>
      </c>
      <c r="G29" s="22" t="str">
        <f>'[1]1нед'!H29</f>
        <v/>
      </c>
      <c r="H29" s="57" t="str">
        <f t="shared" si="1"/>
        <v/>
      </c>
      <c r="I29" s="71"/>
      <c r="J29" s="74"/>
      <c r="K29" s="14" t="s">
        <v>19</v>
      </c>
      <c r="L29" s="20">
        <f>'[1]2нед'!C29</f>
        <v>0</v>
      </c>
      <c r="M29" s="23">
        <f>'[1]2нед'!D29</f>
        <v>0</v>
      </c>
      <c r="N29" s="21">
        <f>'[1]2нед'!G29</f>
        <v>0</v>
      </c>
      <c r="O29" s="22" t="str">
        <f>'[1]2нед'!H29</f>
        <v/>
      </c>
      <c r="P29" s="57" t="str">
        <f t="shared" si="2"/>
        <v/>
      </c>
      <c r="R29" s="51"/>
      <c r="S29" s="51"/>
    </row>
    <row r="30" spans="1:19" ht="31.5" x14ac:dyDescent="0.2">
      <c r="A30" s="82"/>
      <c r="B30" s="68"/>
      <c r="C30" s="14" t="s">
        <v>20</v>
      </c>
      <c r="D30" s="20">
        <f>'[1]1нед'!C30</f>
        <v>0</v>
      </c>
      <c r="E30" s="23">
        <f>'[1]1нед'!D30</f>
        <v>0</v>
      </c>
      <c r="F30" s="21">
        <f>'[1]1нед'!G30</f>
        <v>0</v>
      </c>
      <c r="G30" s="22" t="str">
        <f>'[1]1нед'!H30</f>
        <v/>
      </c>
      <c r="H30" s="57" t="str">
        <f t="shared" si="1"/>
        <v/>
      </c>
      <c r="I30" s="71"/>
      <c r="J30" s="74"/>
      <c r="K30" s="14" t="s">
        <v>20</v>
      </c>
      <c r="L30" s="20">
        <f>'[1]2нед'!C30</f>
        <v>0</v>
      </c>
      <c r="M30" s="23">
        <f>'[1]2нед'!D30</f>
        <v>0</v>
      </c>
      <c r="N30" s="21">
        <f>'[1]2нед'!G30</f>
        <v>0</v>
      </c>
      <c r="O30" s="22" t="str">
        <f>'[1]2нед'!H30</f>
        <v/>
      </c>
      <c r="P30" s="57" t="str">
        <f t="shared" si="2"/>
        <v/>
      </c>
      <c r="R30" s="51"/>
      <c r="S30" s="51"/>
    </row>
    <row r="31" spans="1:19" ht="31.5" x14ac:dyDescent="0.2">
      <c r="A31" s="82"/>
      <c r="B31" s="68"/>
      <c r="C31" s="14" t="s">
        <v>21</v>
      </c>
      <c r="D31" s="20">
        <f>'[1]1нед'!C31</f>
        <v>0</v>
      </c>
      <c r="E31" s="23">
        <f>'[1]1нед'!D31</f>
        <v>0</v>
      </c>
      <c r="F31" s="21">
        <f>'[1]1нед'!G31</f>
        <v>0</v>
      </c>
      <c r="G31" s="22" t="str">
        <f>'[1]1нед'!H31</f>
        <v/>
      </c>
      <c r="H31" s="57" t="str">
        <f t="shared" si="1"/>
        <v/>
      </c>
      <c r="I31" s="71"/>
      <c r="J31" s="74"/>
      <c r="K31" s="14" t="s">
        <v>21</v>
      </c>
      <c r="L31" s="20">
        <f>'[1]2нед'!C31</f>
        <v>0</v>
      </c>
      <c r="M31" s="23">
        <f>'[1]2нед'!D31</f>
        <v>0</v>
      </c>
      <c r="N31" s="21">
        <f>'[1]2нед'!G31</f>
        <v>0</v>
      </c>
      <c r="O31" s="22" t="str">
        <f>'[1]2нед'!H31</f>
        <v/>
      </c>
      <c r="P31" s="57" t="str">
        <f t="shared" si="2"/>
        <v/>
      </c>
      <c r="R31" s="51"/>
      <c r="S31" s="51"/>
    </row>
    <row r="32" spans="1:19" ht="31.5" x14ac:dyDescent="0.2">
      <c r="A32" s="82"/>
      <c r="B32" s="68"/>
      <c r="C32" s="14" t="s">
        <v>22</v>
      </c>
      <c r="D32" s="20">
        <f>'[1]1нед'!C32</f>
        <v>0</v>
      </c>
      <c r="E32" s="23">
        <f>'[1]1нед'!D32</f>
        <v>0</v>
      </c>
      <c r="F32" s="21">
        <f>'[1]1нед'!G32</f>
        <v>0</v>
      </c>
      <c r="G32" s="22" t="str">
        <f>'[1]1нед'!H32</f>
        <v/>
      </c>
      <c r="H32" s="57" t="str">
        <f t="shared" si="1"/>
        <v/>
      </c>
      <c r="I32" s="71"/>
      <c r="J32" s="74"/>
      <c r="K32" s="14" t="s">
        <v>22</v>
      </c>
      <c r="L32" s="20">
        <f>'[1]2нед'!C32</f>
        <v>0</v>
      </c>
      <c r="M32" s="23">
        <f>'[1]2нед'!D32</f>
        <v>0</v>
      </c>
      <c r="N32" s="21">
        <f>'[1]2нед'!G32</f>
        <v>0</v>
      </c>
      <c r="O32" s="22" t="str">
        <f>'[1]2нед'!H32</f>
        <v/>
      </c>
      <c r="P32" s="57" t="str">
        <f t="shared" si="2"/>
        <v/>
      </c>
    </row>
    <row r="33" spans="1:16" ht="31.5" x14ac:dyDescent="0.2">
      <c r="A33" s="82"/>
      <c r="B33" s="68"/>
      <c r="C33" s="14" t="s">
        <v>23</v>
      </c>
      <c r="D33" s="20">
        <f>'[1]1нед'!C33</f>
        <v>0</v>
      </c>
      <c r="E33" s="23">
        <f>'[1]1нед'!D33</f>
        <v>0</v>
      </c>
      <c r="F33" s="21">
        <f>'[1]1нед'!G33</f>
        <v>0</v>
      </c>
      <c r="G33" s="22" t="str">
        <f>'[1]1нед'!H33</f>
        <v/>
      </c>
      <c r="H33" s="55" t="str">
        <f t="shared" si="1"/>
        <v/>
      </c>
      <c r="I33" s="71"/>
      <c r="J33" s="74"/>
      <c r="K33" s="14" t="s">
        <v>23</v>
      </c>
      <c r="L33" s="20">
        <f>'[1]2нед'!C33</f>
        <v>0</v>
      </c>
      <c r="M33" s="23">
        <f>'[1]2нед'!D33</f>
        <v>0</v>
      </c>
      <c r="N33" s="21">
        <f>'[1]2нед'!G33</f>
        <v>0</v>
      </c>
      <c r="O33" s="22" t="str">
        <f>'[1]2нед'!H33</f>
        <v/>
      </c>
      <c r="P33" s="55" t="str">
        <f t="shared" si="2"/>
        <v/>
      </c>
    </row>
    <row r="34" spans="1:16" ht="32.25" thickBot="1" x14ac:dyDescent="0.25">
      <c r="A34" s="82"/>
      <c r="B34" s="68"/>
      <c r="C34" s="14" t="s">
        <v>24</v>
      </c>
      <c r="D34" s="20">
        <f>'[1]1нед'!C34</f>
        <v>0</v>
      </c>
      <c r="E34" s="23">
        <f>'[1]1нед'!D34</f>
        <v>0</v>
      </c>
      <c r="F34" s="21">
        <f>'[1]1нед'!G34</f>
        <v>0</v>
      </c>
      <c r="G34" s="22" t="str">
        <f>'[1]1нед'!H34</f>
        <v/>
      </c>
      <c r="H34" s="55" t="str">
        <f t="shared" si="1"/>
        <v/>
      </c>
      <c r="I34" s="71"/>
      <c r="J34" s="74"/>
      <c r="K34" s="14" t="s">
        <v>24</v>
      </c>
      <c r="L34" s="20">
        <f>'[1]2нед'!C34</f>
        <v>0</v>
      </c>
      <c r="M34" s="23">
        <f>'[1]2нед'!D34</f>
        <v>0</v>
      </c>
      <c r="N34" s="21">
        <f>'[1]2нед'!G34</f>
        <v>0</v>
      </c>
      <c r="O34" s="22" t="str">
        <f>'[1]2нед'!H34</f>
        <v/>
      </c>
      <c r="P34" s="55" t="str">
        <f t="shared" si="2"/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'[1]1нед'!C35</f>
        <v>0</v>
      </c>
      <c r="E35" s="25">
        <f>'[1]1нед'!D35</f>
        <v>0</v>
      </c>
      <c r="F35" s="26">
        <f>'[1]1нед'!G35</f>
        <v>0</v>
      </c>
      <c r="G35" s="27" t="str">
        <f>'[1]1нед'!H35</f>
        <v/>
      </c>
      <c r="H35" s="58" t="str">
        <f t="shared" si="1"/>
        <v/>
      </c>
      <c r="I35" s="72"/>
      <c r="J35" s="75"/>
      <c r="K35" s="15"/>
      <c r="L35" s="24">
        <f>'[1]2нед'!C35</f>
        <v>0</v>
      </c>
      <c r="M35" s="25">
        <f>'[1]2нед'!D35</f>
        <v>0</v>
      </c>
      <c r="N35" s="26">
        <f>'[1]2нед'!G35</f>
        <v>0</v>
      </c>
      <c r="O35" s="27" t="str">
        <f>'[1]2нед'!H35</f>
        <v/>
      </c>
      <c r="P35" s="58" t="str">
        <f t="shared" si="2"/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'[1]1нед'!C36</f>
        <v>0</v>
      </c>
      <c r="E36" s="19">
        <f>'[1]1нед'!D36</f>
        <v>0</v>
      </c>
      <c r="F36" s="17">
        <f>'[1]1нед'!G36</f>
        <v>0</v>
      </c>
      <c r="G36" s="18" t="str">
        <f>'[1]1нед'!H36</f>
        <v/>
      </c>
      <c r="H36" s="56" t="str">
        <f t="shared" si="1"/>
        <v/>
      </c>
      <c r="I36" s="70">
        <v>46275</v>
      </c>
      <c r="J36" s="87" t="s">
        <v>27</v>
      </c>
      <c r="K36" s="29" t="s">
        <v>18</v>
      </c>
      <c r="L36" s="16">
        <f>'[1]2нед'!C36</f>
        <v>0</v>
      </c>
      <c r="M36" s="19">
        <f>'[1]2нед'!D36</f>
        <v>0</v>
      </c>
      <c r="N36" s="17">
        <f>'[1]2нед'!G36</f>
        <v>0</v>
      </c>
      <c r="O36" s="18" t="str">
        <f>'[1]2нед'!H36</f>
        <v/>
      </c>
      <c r="P36" s="56" t="str">
        <f t="shared" si="2"/>
        <v/>
      </c>
    </row>
    <row r="37" spans="1:16" ht="31.5" x14ac:dyDescent="0.2">
      <c r="A37" s="82"/>
      <c r="B37" s="85"/>
      <c r="C37" s="14" t="s">
        <v>19</v>
      </c>
      <c r="D37" s="20">
        <f>'[1]1нед'!C37</f>
        <v>0</v>
      </c>
      <c r="E37" s="23">
        <f>'[1]1нед'!D37</f>
        <v>0</v>
      </c>
      <c r="F37" s="21">
        <f>'[1]1нед'!G37</f>
        <v>0</v>
      </c>
      <c r="G37" s="22" t="str">
        <f>'[1]1нед'!H37</f>
        <v/>
      </c>
      <c r="H37" s="57" t="str">
        <f t="shared" si="1"/>
        <v/>
      </c>
      <c r="I37" s="71"/>
      <c r="J37" s="88"/>
      <c r="K37" s="14" t="s">
        <v>19</v>
      </c>
      <c r="L37" s="20">
        <f>'[1]2нед'!C37</f>
        <v>0</v>
      </c>
      <c r="M37" s="23">
        <f>'[1]2нед'!D37</f>
        <v>0</v>
      </c>
      <c r="N37" s="21">
        <f>'[1]2нед'!G37</f>
        <v>0</v>
      </c>
      <c r="O37" s="22" t="str">
        <f>'[1]2нед'!H37</f>
        <v/>
      </c>
      <c r="P37" s="57" t="str">
        <f t="shared" si="2"/>
        <v/>
      </c>
    </row>
    <row r="38" spans="1:16" ht="31.5" x14ac:dyDescent="0.2">
      <c r="A38" s="82"/>
      <c r="B38" s="85"/>
      <c r="C38" s="14" t="s">
        <v>20</v>
      </c>
      <c r="D38" s="20">
        <f>'[1]1нед'!C38</f>
        <v>0</v>
      </c>
      <c r="E38" s="23">
        <f>'[1]1нед'!D38</f>
        <v>0</v>
      </c>
      <c r="F38" s="21">
        <f>'[1]1нед'!G38</f>
        <v>0</v>
      </c>
      <c r="G38" s="22" t="str">
        <f>'[1]1нед'!H38</f>
        <v/>
      </c>
      <c r="H38" s="57" t="str">
        <f t="shared" si="1"/>
        <v/>
      </c>
      <c r="I38" s="71"/>
      <c r="J38" s="88"/>
      <c r="K38" s="14" t="s">
        <v>20</v>
      </c>
      <c r="L38" s="20">
        <f>'[1]2нед'!C38</f>
        <v>0</v>
      </c>
      <c r="M38" s="23">
        <f>'[1]2нед'!D38</f>
        <v>0</v>
      </c>
      <c r="N38" s="21">
        <f>'[1]2нед'!G38</f>
        <v>0</v>
      </c>
      <c r="O38" s="22" t="str">
        <f>'[1]2нед'!H38</f>
        <v/>
      </c>
      <c r="P38" s="57" t="str">
        <f t="shared" si="2"/>
        <v/>
      </c>
    </row>
    <row r="39" spans="1:16" ht="31.5" x14ac:dyDescent="0.2">
      <c r="A39" s="82"/>
      <c r="B39" s="85"/>
      <c r="C39" s="14" t="s">
        <v>21</v>
      </c>
      <c r="D39" s="20">
        <f>'[1]1нед'!C39</f>
        <v>0</v>
      </c>
      <c r="E39" s="23">
        <f>'[1]1нед'!D39</f>
        <v>0</v>
      </c>
      <c r="F39" s="21">
        <f>'[1]1нед'!G39</f>
        <v>0</v>
      </c>
      <c r="G39" s="22" t="str">
        <f>'[1]1нед'!H39</f>
        <v/>
      </c>
      <c r="H39" s="57" t="str">
        <f t="shared" si="1"/>
        <v/>
      </c>
      <c r="I39" s="71"/>
      <c r="J39" s="88"/>
      <c r="K39" s="14" t="s">
        <v>21</v>
      </c>
      <c r="L39" s="20">
        <f>'[1]2нед'!C39</f>
        <v>0</v>
      </c>
      <c r="M39" s="23">
        <f>'[1]2нед'!D39</f>
        <v>0</v>
      </c>
      <c r="N39" s="21">
        <f>'[1]2нед'!G39</f>
        <v>0</v>
      </c>
      <c r="O39" s="22" t="str">
        <f>'[1]2нед'!H39</f>
        <v/>
      </c>
      <c r="P39" s="57" t="str">
        <f t="shared" si="2"/>
        <v/>
      </c>
    </row>
    <row r="40" spans="1:16" ht="31.5" x14ac:dyDescent="0.2">
      <c r="A40" s="82"/>
      <c r="B40" s="85"/>
      <c r="C40" s="14" t="s">
        <v>22</v>
      </c>
      <c r="D40" s="20">
        <f>'[1]1нед'!C40</f>
        <v>0</v>
      </c>
      <c r="E40" s="23">
        <f>'[1]1нед'!D40</f>
        <v>0</v>
      </c>
      <c r="F40" s="21">
        <f>'[1]1нед'!G40</f>
        <v>0</v>
      </c>
      <c r="G40" s="22" t="str">
        <f>'[1]1нед'!H40</f>
        <v/>
      </c>
      <c r="H40" s="57" t="str">
        <f t="shared" si="1"/>
        <v/>
      </c>
      <c r="I40" s="71"/>
      <c r="J40" s="88"/>
      <c r="K40" s="14" t="s">
        <v>22</v>
      </c>
      <c r="L40" s="20">
        <f>'[1]2нед'!C40</f>
        <v>0</v>
      </c>
      <c r="M40" s="23">
        <f>'[1]2нед'!D40</f>
        <v>0</v>
      </c>
      <c r="N40" s="21">
        <f>'[1]2нед'!G40</f>
        <v>0</v>
      </c>
      <c r="O40" s="22" t="str">
        <f>'[1]2нед'!H40</f>
        <v/>
      </c>
      <c r="P40" s="57" t="str">
        <f t="shared" si="2"/>
        <v/>
      </c>
    </row>
    <row r="41" spans="1:16" ht="31.5" x14ac:dyDescent="0.2">
      <c r="A41" s="82"/>
      <c r="B41" s="85"/>
      <c r="C41" s="14" t="s">
        <v>23</v>
      </c>
      <c r="D41" s="20">
        <f>'[1]1нед'!C41</f>
        <v>0</v>
      </c>
      <c r="E41" s="23">
        <f>'[1]1нед'!D41</f>
        <v>0</v>
      </c>
      <c r="F41" s="21">
        <f>'[1]1нед'!G41</f>
        <v>0</v>
      </c>
      <c r="G41" s="22" t="str">
        <f>'[1]1нед'!H41</f>
        <v/>
      </c>
      <c r="H41" s="55" t="str">
        <f t="shared" si="1"/>
        <v/>
      </c>
      <c r="I41" s="71"/>
      <c r="J41" s="88"/>
      <c r="K41" s="14" t="s">
        <v>23</v>
      </c>
      <c r="L41" s="20">
        <f>'[1]2нед'!C41</f>
        <v>0</v>
      </c>
      <c r="M41" s="23">
        <f>'[1]2нед'!D41</f>
        <v>0</v>
      </c>
      <c r="N41" s="21">
        <f>'[1]2нед'!G41</f>
        <v>0</v>
      </c>
      <c r="O41" s="22" t="str">
        <f>'[1]2нед'!H41</f>
        <v/>
      </c>
      <c r="P41" s="55" t="str">
        <f t="shared" si="2"/>
        <v/>
      </c>
    </row>
    <row r="42" spans="1:16" ht="32.25" thickBot="1" x14ac:dyDescent="0.25">
      <c r="A42" s="82"/>
      <c r="B42" s="85"/>
      <c r="C42" s="14" t="s">
        <v>24</v>
      </c>
      <c r="D42" s="20">
        <f>'[1]1нед'!C42</f>
        <v>0</v>
      </c>
      <c r="E42" s="23">
        <f>'[1]1нед'!D42</f>
        <v>0</v>
      </c>
      <c r="F42" s="21">
        <f>'[1]1нед'!G42</f>
        <v>0</v>
      </c>
      <c r="G42" s="22" t="str">
        <f>'[1]1нед'!H42</f>
        <v/>
      </c>
      <c r="H42" s="55" t="str">
        <f t="shared" si="1"/>
        <v/>
      </c>
      <c r="I42" s="71"/>
      <c r="J42" s="88"/>
      <c r="K42" s="14" t="s">
        <v>24</v>
      </c>
      <c r="L42" s="20">
        <f>'[1]2нед'!C42</f>
        <v>0</v>
      </c>
      <c r="M42" s="23">
        <f>'[1]2нед'!D42</f>
        <v>0</v>
      </c>
      <c r="N42" s="21">
        <f>'[1]2нед'!G42</f>
        <v>0</v>
      </c>
      <c r="O42" s="22" t="str">
        <f>'[1]2нед'!H42</f>
        <v/>
      </c>
      <c r="P42" s="55" t="str">
        <f t="shared" si="2"/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'[1]1нед'!C43</f>
        <v>0</v>
      </c>
      <c r="E43" s="25">
        <f>'[1]1нед'!D43</f>
        <v>0</v>
      </c>
      <c r="F43" s="26">
        <f>'[1]1нед'!G43</f>
        <v>0</v>
      </c>
      <c r="G43" s="27" t="str">
        <f>'[1]1нед'!H43</f>
        <v/>
      </c>
      <c r="H43" s="58" t="str">
        <f t="shared" si="1"/>
        <v/>
      </c>
      <c r="I43" s="72"/>
      <c r="J43" s="89"/>
      <c r="K43" s="15"/>
      <c r="L43" s="24">
        <f>'[1]2нед'!C43</f>
        <v>0</v>
      </c>
      <c r="M43" s="25">
        <f>'[1]2нед'!D43</f>
        <v>0</v>
      </c>
      <c r="N43" s="26">
        <f>'[1]2нед'!G43</f>
        <v>0</v>
      </c>
      <c r="O43" s="27" t="str">
        <f>'[1]2нед'!H43</f>
        <v/>
      </c>
      <c r="P43" s="58" t="str">
        <f t="shared" si="2"/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'[1]1нед'!C44</f>
        <v>0</v>
      </c>
      <c r="E44" s="19">
        <f>'[1]1нед'!D44</f>
        <v>0</v>
      </c>
      <c r="F44" s="17">
        <f>'[1]1нед'!G44</f>
        <v>0</v>
      </c>
      <c r="G44" s="18" t="str">
        <f>'[1]1нед'!H44</f>
        <v/>
      </c>
      <c r="H44" s="56" t="str">
        <f t="shared" si="1"/>
        <v/>
      </c>
      <c r="I44" s="70">
        <v>46276</v>
      </c>
      <c r="J44" s="87" t="s">
        <v>28</v>
      </c>
      <c r="K44" s="29" t="s">
        <v>18</v>
      </c>
      <c r="L44" s="16">
        <f>'[1]2нед'!C44</f>
        <v>0</v>
      </c>
      <c r="M44" s="19">
        <f>'[1]2нед'!D44</f>
        <v>0</v>
      </c>
      <c r="N44" s="17">
        <f>'[1]2нед'!G44</f>
        <v>0</v>
      </c>
      <c r="O44" s="18" t="str">
        <f>'[1]2нед'!H44</f>
        <v/>
      </c>
      <c r="P44" s="56" t="str">
        <f t="shared" si="2"/>
        <v/>
      </c>
    </row>
    <row r="45" spans="1:16" ht="31.5" x14ac:dyDescent="0.2">
      <c r="A45" s="82"/>
      <c r="B45" s="85"/>
      <c r="C45" s="14" t="s">
        <v>19</v>
      </c>
      <c r="D45" s="20">
        <f>'[1]1нед'!C45</f>
        <v>0</v>
      </c>
      <c r="E45" s="23">
        <f>'[1]1нед'!D45</f>
        <v>0</v>
      </c>
      <c r="F45" s="21">
        <f>'[1]1нед'!G45</f>
        <v>0</v>
      </c>
      <c r="G45" s="22" t="str">
        <f>'[1]1нед'!H45</f>
        <v/>
      </c>
      <c r="H45" s="57" t="str">
        <f t="shared" si="1"/>
        <v/>
      </c>
      <c r="I45" s="71"/>
      <c r="J45" s="88"/>
      <c r="K45" s="14" t="s">
        <v>19</v>
      </c>
      <c r="L45" s="20">
        <f>'[1]2нед'!C45</f>
        <v>0</v>
      </c>
      <c r="M45" s="23">
        <f>'[1]2нед'!D45</f>
        <v>0</v>
      </c>
      <c r="N45" s="21">
        <f>'[1]2нед'!G45</f>
        <v>0</v>
      </c>
      <c r="O45" s="22" t="str">
        <f>'[1]2нед'!H45</f>
        <v/>
      </c>
      <c r="P45" s="57" t="str">
        <f t="shared" si="2"/>
        <v/>
      </c>
    </row>
    <row r="46" spans="1:16" ht="31.5" x14ac:dyDescent="0.2">
      <c r="A46" s="82"/>
      <c r="B46" s="85"/>
      <c r="C46" s="14" t="s">
        <v>20</v>
      </c>
      <c r="D46" s="20">
        <f>'[1]1нед'!C46</f>
        <v>0</v>
      </c>
      <c r="E46" s="23">
        <f>'[1]1нед'!D46</f>
        <v>0</v>
      </c>
      <c r="F46" s="21">
        <f>'[1]1нед'!G46</f>
        <v>0</v>
      </c>
      <c r="G46" s="22" t="str">
        <f>'[1]1нед'!H46</f>
        <v/>
      </c>
      <c r="H46" s="57" t="str">
        <f t="shared" si="1"/>
        <v/>
      </c>
      <c r="I46" s="71"/>
      <c r="J46" s="88"/>
      <c r="K46" s="14" t="s">
        <v>20</v>
      </c>
      <c r="L46" s="20">
        <f>'[1]2нед'!C46</f>
        <v>0</v>
      </c>
      <c r="M46" s="23">
        <f>'[1]2нед'!D46</f>
        <v>0</v>
      </c>
      <c r="N46" s="21">
        <f>'[1]2нед'!G46</f>
        <v>0</v>
      </c>
      <c r="O46" s="22" t="str">
        <f>'[1]2нед'!H46</f>
        <v/>
      </c>
      <c r="P46" s="57" t="str">
        <f t="shared" si="2"/>
        <v/>
      </c>
    </row>
    <row r="47" spans="1:16" ht="31.5" x14ac:dyDescent="0.2">
      <c r="A47" s="82"/>
      <c r="B47" s="85"/>
      <c r="C47" s="14" t="s">
        <v>21</v>
      </c>
      <c r="D47" s="20">
        <f>'[1]1нед'!C47</f>
        <v>0</v>
      </c>
      <c r="E47" s="23">
        <f>'[1]1нед'!D47</f>
        <v>0</v>
      </c>
      <c r="F47" s="21">
        <f>'[1]1нед'!G47</f>
        <v>0</v>
      </c>
      <c r="G47" s="22" t="str">
        <f>'[1]1нед'!H47</f>
        <v/>
      </c>
      <c r="H47" s="57" t="str">
        <f t="shared" si="1"/>
        <v/>
      </c>
      <c r="I47" s="71"/>
      <c r="J47" s="88"/>
      <c r="K47" s="14" t="s">
        <v>21</v>
      </c>
      <c r="L47" s="20">
        <f>'[1]2нед'!C47</f>
        <v>0</v>
      </c>
      <c r="M47" s="23">
        <f>'[1]2нед'!D47</f>
        <v>0</v>
      </c>
      <c r="N47" s="21">
        <f>'[1]2нед'!G47</f>
        <v>0</v>
      </c>
      <c r="O47" s="22" t="str">
        <f>'[1]2нед'!H47</f>
        <v/>
      </c>
      <c r="P47" s="57" t="str">
        <f t="shared" si="2"/>
        <v/>
      </c>
    </row>
    <row r="48" spans="1:16" ht="31.5" x14ac:dyDescent="0.2">
      <c r="A48" s="82"/>
      <c r="B48" s="85"/>
      <c r="C48" s="14" t="s">
        <v>22</v>
      </c>
      <c r="D48" s="20">
        <f>'[1]1нед'!C48</f>
        <v>0</v>
      </c>
      <c r="E48" s="23">
        <f>'[1]1нед'!D48</f>
        <v>0</v>
      </c>
      <c r="F48" s="21">
        <f>'[1]1нед'!G48</f>
        <v>0</v>
      </c>
      <c r="G48" s="22" t="str">
        <f>'[1]1нед'!H48</f>
        <v/>
      </c>
      <c r="H48" s="57" t="str">
        <f t="shared" si="1"/>
        <v/>
      </c>
      <c r="I48" s="71"/>
      <c r="J48" s="88"/>
      <c r="K48" s="14" t="s">
        <v>22</v>
      </c>
      <c r="L48" s="20">
        <f>'[1]2нед'!C48</f>
        <v>0</v>
      </c>
      <c r="M48" s="23">
        <f>'[1]2нед'!D48</f>
        <v>0</v>
      </c>
      <c r="N48" s="21">
        <f>'[1]2нед'!G48</f>
        <v>0</v>
      </c>
      <c r="O48" s="22" t="str">
        <f>'[1]2нед'!H48</f>
        <v/>
      </c>
      <c r="P48" s="57" t="str">
        <f t="shared" si="2"/>
        <v/>
      </c>
    </row>
    <row r="49" spans="1:16" ht="31.5" x14ac:dyDescent="0.2">
      <c r="A49" s="82"/>
      <c r="B49" s="85"/>
      <c r="C49" s="14" t="s">
        <v>23</v>
      </c>
      <c r="D49" s="20">
        <f>'[1]1нед'!C49</f>
        <v>0</v>
      </c>
      <c r="E49" s="23">
        <f>'[1]1нед'!D49</f>
        <v>0</v>
      </c>
      <c r="F49" s="21">
        <f>'[1]1нед'!G49</f>
        <v>0</v>
      </c>
      <c r="G49" s="22" t="str">
        <f>'[1]1нед'!H49</f>
        <v/>
      </c>
      <c r="H49" s="57" t="str">
        <f t="shared" si="1"/>
        <v/>
      </c>
      <c r="I49" s="71"/>
      <c r="J49" s="88"/>
      <c r="K49" s="14" t="s">
        <v>23</v>
      </c>
      <c r="L49" s="20">
        <f>'[1]2нед'!C49</f>
        <v>0</v>
      </c>
      <c r="M49" s="23">
        <f>'[1]2нед'!D49</f>
        <v>0</v>
      </c>
      <c r="N49" s="21">
        <f>'[1]2нед'!G49</f>
        <v>0</v>
      </c>
      <c r="O49" s="22" t="str">
        <f>'[1]2нед'!H49</f>
        <v/>
      </c>
      <c r="P49" s="57" t="str">
        <f t="shared" si="2"/>
        <v/>
      </c>
    </row>
    <row r="50" spans="1:16" ht="32.25" thickBot="1" x14ac:dyDescent="0.25">
      <c r="A50" s="82"/>
      <c r="B50" s="85"/>
      <c r="C50" s="14" t="s">
        <v>24</v>
      </c>
      <c r="D50" s="20">
        <f>'[1]1нед'!C50</f>
        <v>0</v>
      </c>
      <c r="E50" s="23">
        <f>'[1]1нед'!D50</f>
        <v>0</v>
      </c>
      <c r="F50" s="21">
        <f>'[1]1нед'!G50</f>
        <v>0</v>
      </c>
      <c r="G50" s="22" t="str">
        <f>'[1]1нед'!H50</f>
        <v/>
      </c>
      <c r="H50" s="57" t="str">
        <f t="shared" si="1"/>
        <v/>
      </c>
      <c r="I50" s="71"/>
      <c r="J50" s="88"/>
      <c r="K50" s="14" t="s">
        <v>24</v>
      </c>
      <c r="L50" s="20">
        <f>'[1]2нед'!C50</f>
        <v>0</v>
      </c>
      <c r="M50" s="23">
        <f>'[1]2нед'!D50</f>
        <v>0</v>
      </c>
      <c r="N50" s="21">
        <f>'[1]2нед'!G50</f>
        <v>0</v>
      </c>
      <c r="O50" s="22" t="str">
        <f>'[1]2нед'!H50</f>
        <v/>
      </c>
      <c r="P50" s="57" t="str">
        <f t="shared" si="2"/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'[1]1нед'!C51</f>
        <v>0</v>
      </c>
      <c r="E51" s="25">
        <f>'[1]1нед'!D51</f>
        <v>0</v>
      </c>
      <c r="F51" s="26">
        <f>'[1]1нед'!G51</f>
        <v>0</v>
      </c>
      <c r="G51" s="27" t="str">
        <f>'[1]1нед'!H51</f>
        <v/>
      </c>
      <c r="H51" s="58" t="str">
        <f t="shared" si="1"/>
        <v/>
      </c>
      <c r="I51" s="72"/>
      <c r="J51" s="89"/>
      <c r="K51" s="15"/>
      <c r="L51" s="24">
        <f>'[1]2нед'!C51</f>
        <v>0</v>
      </c>
      <c r="M51" s="25">
        <f>'[1]2нед'!D51</f>
        <v>0</v>
      </c>
      <c r="N51" s="26">
        <f>'[1]2нед'!G51</f>
        <v>0</v>
      </c>
      <c r="O51" s="27" t="str">
        <f>'[1]2нед'!H51</f>
        <v/>
      </c>
      <c r="P51" s="58" t="str">
        <f t="shared" si="2"/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'[1]1нед'!C52</f>
        <v>0</v>
      </c>
      <c r="E52" s="19">
        <f>'[1]1нед'!D52</f>
        <v>0</v>
      </c>
      <c r="F52" s="17">
        <f>'[1]1нед'!G52</f>
        <v>0</v>
      </c>
      <c r="G52" s="18" t="str">
        <f>'[1]1нед'!H52</f>
        <v/>
      </c>
      <c r="H52" s="56" t="str">
        <f t="shared" si="1"/>
        <v/>
      </c>
      <c r="I52" s="70">
        <v>46277</v>
      </c>
      <c r="J52" s="87" t="s">
        <v>29</v>
      </c>
      <c r="K52" s="29" t="s">
        <v>18</v>
      </c>
      <c r="L52" s="16">
        <f>'[1]2нед'!C52</f>
        <v>0</v>
      </c>
      <c r="M52" s="19">
        <f>'[1]2нед'!D52</f>
        <v>0</v>
      </c>
      <c r="N52" s="17">
        <f>'[1]2нед'!G52</f>
        <v>0</v>
      </c>
      <c r="O52" s="18" t="str">
        <f>'[1]2нед'!H52</f>
        <v/>
      </c>
      <c r="P52" s="56" t="str">
        <f t="shared" si="2"/>
        <v/>
      </c>
    </row>
    <row r="53" spans="1:16" ht="31.5" x14ac:dyDescent="0.2">
      <c r="A53" s="82"/>
      <c r="B53" s="85"/>
      <c r="C53" s="14" t="s">
        <v>19</v>
      </c>
      <c r="D53" s="20">
        <f>'[1]1нед'!C53</f>
        <v>0</v>
      </c>
      <c r="E53" s="23">
        <f>'[1]1нед'!D53</f>
        <v>0</v>
      </c>
      <c r="F53" s="21">
        <f>'[1]1нед'!G53</f>
        <v>0</v>
      </c>
      <c r="G53" s="22" t="str">
        <f>'[1]1нед'!H53</f>
        <v/>
      </c>
      <c r="H53" s="57" t="str">
        <f t="shared" si="1"/>
        <v/>
      </c>
      <c r="I53" s="71"/>
      <c r="J53" s="88"/>
      <c r="K53" s="14" t="s">
        <v>19</v>
      </c>
      <c r="L53" s="20">
        <f>'[1]2нед'!C53</f>
        <v>0</v>
      </c>
      <c r="M53" s="23">
        <f>'[1]2нед'!D53</f>
        <v>0</v>
      </c>
      <c r="N53" s="21">
        <f>'[1]2нед'!G53</f>
        <v>0</v>
      </c>
      <c r="O53" s="22" t="str">
        <f>'[1]2нед'!H53</f>
        <v/>
      </c>
      <c r="P53" s="57" t="str">
        <f t="shared" si="2"/>
        <v/>
      </c>
    </row>
    <row r="54" spans="1:16" ht="31.5" x14ac:dyDescent="0.2">
      <c r="A54" s="82"/>
      <c r="B54" s="85"/>
      <c r="C54" s="14" t="s">
        <v>20</v>
      </c>
      <c r="D54" s="20">
        <f>'[1]1нед'!C54</f>
        <v>0</v>
      </c>
      <c r="E54" s="23">
        <f>'[1]1нед'!D54</f>
        <v>0</v>
      </c>
      <c r="F54" s="21">
        <f>'[1]1нед'!G54</f>
        <v>0</v>
      </c>
      <c r="G54" s="22" t="str">
        <f>'[1]1нед'!H54</f>
        <v/>
      </c>
      <c r="H54" s="57" t="str">
        <f t="shared" si="1"/>
        <v/>
      </c>
      <c r="I54" s="71"/>
      <c r="J54" s="88"/>
      <c r="K54" s="14" t="s">
        <v>20</v>
      </c>
      <c r="L54" s="20">
        <f>'[1]2нед'!C54</f>
        <v>0</v>
      </c>
      <c r="M54" s="23">
        <f>'[1]2нед'!D54</f>
        <v>0</v>
      </c>
      <c r="N54" s="21">
        <f>'[1]2нед'!G54</f>
        <v>0</v>
      </c>
      <c r="O54" s="22" t="str">
        <f>'[1]2нед'!H54</f>
        <v/>
      </c>
      <c r="P54" s="57" t="str">
        <f t="shared" si="2"/>
        <v/>
      </c>
    </row>
    <row r="55" spans="1:16" ht="31.5" x14ac:dyDescent="0.2">
      <c r="A55" s="82"/>
      <c r="B55" s="85"/>
      <c r="C55" s="14" t="s">
        <v>21</v>
      </c>
      <c r="D55" s="20">
        <f>'[1]1нед'!C55</f>
        <v>0</v>
      </c>
      <c r="E55" s="23">
        <f>'[1]1нед'!D55</f>
        <v>0</v>
      </c>
      <c r="F55" s="21">
        <f>'[1]1нед'!G55</f>
        <v>0</v>
      </c>
      <c r="G55" s="22" t="str">
        <f>'[1]1нед'!H55</f>
        <v/>
      </c>
      <c r="H55" s="57" t="str">
        <f t="shared" si="1"/>
        <v/>
      </c>
      <c r="I55" s="71"/>
      <c r="J55" s="88"/>
      <c r="K55" s="14" t="s">
        <v>21</v>
      </c>
      <c r="L55" s="20">
        <f>'[1]2нед'!C55</f>
        <v>0</v>
      </c>
      <c r="M55" s="23">
        <f>'[1]2нед'!D55</f>
        <v>0</v>
      </c>
      <c r="N55" s="21">
        <f>'[1]2нед'!G55</f>
        <v>0</v>
      </c>
      <c r="O55" s="22" t="str">
        <f>'[1]2нед'!H55</f>
        <v/>
      </c>
      <c r="P55" s="57" t="str">
        <f t="shared" si="2"/>
        <v/>
      </c>
    </row>
    <row r="56" spans="1:16" ht="31.5" x14ac:dyDescent="0.2">
      <c r="A56" s="82"/>
      <c r="B56" s="85"/>
      <c r="C56" s="14" t="s">
        <v>22</v>
      </c>
      <c r="D56" s="20">
        <f>'[1]1нед'!C56</f>
        <v>0</v>
      </c>
      <c r="E56" s="23">
        <f>'[1]1нед'!D56</f>
        <v>0</v>
      </c>
      <c r="F56" s="21">
        <f>'[1]1нед'!G56</f>
        <v>0</v>
      </c>
      <c r="G56" s="22" t="str">
        <f>'[1]1нед'!H56</f>
        <v/>
      </c>
      <c r="H56" s="57" t="str">
        <f t="shared" si="1"/>
        <v/>
      </c>
      <c r="I56" s="71"/>
      <c r="J56" s="88"/>
      <c r="K56" s="14" t="s">
        <v>22</v>
      </c>
      <c r="L56" s="20">
        <f>'[1]2нед'!C56</f>
        <v>0</v>
      </c>
      <c r="M56" s="23">
        <f>'[1]2нед'!D56</f>
        <v>0</v>
      </c>
      <c r="N56" s="21">
        <f>'[1]2нед'!G56</f>
        <v>0</v>
      </c>
      <c r="O56" s="22" t="str">
        <f>'[1]2нед'!H56</f>
        <v/>
      </c>
      <c r="P56" s="57" t="str">
        <f t="shared" si="2"/>
        <v/>
      </c>
    </row>
    <row r="57" spans="1:16" ht="31.5" x14ac:dyDescent="0.2">
      <c r="A57" s="82"/>
      <c r="B57" s="85"/>
      <c r="C57" s="14" t="s">
        <v>23</v>
      </c>
      <c r="D57" s="20">
        <f>'[1]1нед'!C57</f>
        <v>0</v>
      </c>
      <c r="E57" s="23">
        <f>'[1]1нед'!D57</f>
        <v>0</v>
      </c>
      <c r="F57" s="21">
        <f>'[1]1нед'!G57</f>
        <v>0</v>
      </c>
      <c r="G57" s="22" t="str">
        <f>'[1]1нед'!H57</f>
        <v/>
      </c>
      <c r="H57" s="57" t="str">
        <f t="shared" si="1"/>
        <v/>
      </c>
      <c r="I57" s="71"/>
      <c r="J57" s="88"/>
      <c r="K57" s="14" t="s">
        <v>23</v>
      </c>
      <c r="L57" s="20">
        <f>'[1]2нед'!C57</f>
        <v>0</v>
      </c>
      <c r="M57" s="23">
        <f>'[1]2нед'!D57</f>
        <v>0</v>
      </c>
      <c r="N57" s="21">
        <f>'[1]2нед'!G57</f>
        <v>0</v>
      </c>
      <c r="O57" s="22" t="str">
        <f>'[1]2нед'!H57</f>
        <v/>
      </c>
      <c r="P57" s="57" t="str">
        <f t="shared" si="2"/>
        <v/>
      </c>
    </row>
    <row r="58" spans="1:16" ht="32.25" thickBot="1" x14ac:dyDescent="0.25">
      <c r="A58" s="82"/>
      <c r="B58" s="85"/>
      <c r="C58" s="14" t="s">
        <v>24</v>
      </c>
      <c r="D58" s="20">
        <f>'[1]1нед'!C58</f>
        <v>0</v>
      </c>
      <c r="E58" s="23">
        <f>'[1]1нед'!D58</f>
        <v>0</v>
      </c>
      <c r="F58" s="21">
        <f>'[1]1нед'!G58</f>
        <v>0</v>
      </c>
      <c r="G58" s="22" t="str">
        <f>'[1]1нед'!H58</f>
        <v/>
      </c>
      <c r="H58" s="57" t="str">
        <f t="shared" si="1"/>
        <v/>
      </c>
      <c r="I58" s="71"/>
      <c r="J58" s="88"/>
      <c r="K58" s="14" t="s">
        <v>24</v>
      </c>
      <c r="L58" s="20">
        <f>'[1]2нед'!C58</f>
        <v>0</v>
      </c>
      <c r="M58" s="23">
        <f>'[1]2нед'!D58</f>
        <v>0</v>
      </c>
      <c r="N58" s="21">
        <f>'[1]2нед'!G58</f>
        <v>0</v>
      </c>
      <c r="O58" s="22" t="str">
        <f>'[1]2нед'!H58</f>
        <v/>
      </c>
      <c r="P58" s="57" t="str">
        <f t="shared" si="2"/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 t="shared" si="1"/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00</v>
      </c>
      <c r="F67" s="7"/>
      <c r="G67" s="7">
        <f>G7</f>
        <v>0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00</v>
      </c>
      <c r="N67" s="7"/>
      <c r="O67" s="7">
        <f>G7</f>
        <v>0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'[1]3нед'!C12</f>
        <v>0</v>
      </c>
      <c r="E72" s="19">
        <f>'[1]3нед'!D12</f>
        <v>0</v>
      </c>
      <c r="F72" s="17">
        <f>'[1]3нед'!G12</f>
        <v>0</v>
      </c>
      <c r="G72" s="18" t="str">
        <f>'[1]3нед'!H12</f>
        <v/>
      </c>
      <c r="H72" s="56" t="str">
        <f>HYPERLINK(VLOOKUP(E72,$R$12:$S$332,2,FALSE))</f>
        <v/>
      </c>
      <c r="I72" s="70">
        <v>46286</v>
      </c>
      <c r="J72" s="87" t="s">
        <v>17</v>
      </c>
      <c r="K72" s="14" t="s">
        <v>18</v>
      </c>
      <c r="L72" s="16">
        <f>'[1]4нед'!C12</f>
        <v>0</v>
      </c>
      <c r="M72" s="19">
        <f>'[1]4нед'!D12</f>
        <v>0</v>
      </c>
      <c r="N72" s="17">
        <f>'[1]4нед'!G12</f>
        <v>0</v>
      </c>
      <c r="O72" s="18" t="str">
        <f>'[1]4нед'!H12</f>
        <v/>
      </c>
      <c r="P72" s="56" t="str">
        <f>HYPERLINK(VLOOKUP(M72,$R$12:$S$332,2,FALSE))</f>
        <v/>
      </c>
    </row>
    <row r="73" spans="1:16" ht="31.5" x14ac:dyDescent="0.2">
      <c r="A73" s="82"/>
      <c r="B73" s="85"/>
      <c r="C73" s="14" t="s">
        <v>19</v>
      </c>
      <c r="D73" s="20">
        <f>'[1]3нед'!C13</f>
        <v>0</v>
      </c>
      <c r="E73" s="23">
        <f>'[1]3нед'!D13</f>
        <v>0</v>
      </c>
      <c r="F73" s="21">
        <f>'[1]3нед'!G13</f>
        <v>0</v>
      </c>
      <c r="G73" s="22" t="str">
        <f>'[1]3нед'!H13</f>
        <v/>
      </c>
      <c r="H73" s="57" t="str">
        <f t="shared" ref="H73:H118" si="3">HYPERLINK(VLOOKUP(E73,$R$12:$S$332,2,FALSE))</f>
        <v/>
      </c>
      <c r="I73" s="71"/>
      <c r="J73" s="88"/>
      <c r="K73" s="14" t="s">
        <v>19</v>
      </c>
      <c r="L73" s="20">
        <f>'[1]4нед'!C13</f>
        <v>0</v>
      </c>
      <c r="M73" s="23">
        <f>'[1]4нед'!D13</f>
        <v>0</v>
      </c>
      <c r="N73" s="21">
        <f>'[1]4нед'!G13</f>
        <v>0</v>
      </c>
      <c r="O73" s="22" t="str">
        <f>'[1]4нед'!H13</f>
        <v/>
      </c>
      <c r="P73" s="57" t="str">
        <f t="shared" ref="P73:P118" si="4">HYPERLINK(VLOOKUP(M73,$R$12:$S$332,2,FALSE))</f>
        <v/>
      </c>
    </row>
    <row r="74" spans="1:16" ht="31.5" x14ac:dyDescent="0.2">
      <c r="A74" s="82"/>
      <c r="B74" s="85"/>
      <c r="C74" s="14" t="s">
        <v>20</v>
      </c>
      <c r="D74" s="20">
        <f>'[1]3нед'!C14</f>
        <v>0</v>
      </c>
      <c r="E74" s="23">
        <f>'[1]3нед'!D14</f>
        <v>0</v>
      </c>
      <c r="F74" s="21">
        <f>'[1]3нед'!G14</f>
        <v>0</v>
      </c>
      <c r="G74" s="22" t="str">
        <f>'[1]3нед'!H14</f>
        <v/>
      </c>
      <c r="H74" s="57" t="str">
        <f t="shared" si="3"/>
        <v/>
      </c>
      <c r="I74" s="71"/>
      <c r="J74" s="88"/>
      <c r="K74" s="14" t="s">
        <v>20</v>
      </c>
      <c r="L74" s="20">
        <f>'[1]4нед'!C14</f>
        <v>0</v>
      </c>
      <c r="M74" s="23">
        <f>'[1]4нед'!D14</f>
        <v>0</v>
      </c>
      <c r="N74" s="21">
        <f>'[1]4нед'!G14</f>
        <v>0</v>
      </c>
      <c r="O74" s="22" t="str">
        <f>'[1]4нед'!H14</f>
        <v/>
      </c>
      <c r="P74" s="57" t="str">
        <f t="shared" si="4"/>
        <v/>
      </c>
    </row>
    <row r="75" spans="1:16" ht="31.5" x14ac:dyDescent="0.2">
      <c r="A75" s="82"/>
      <c r="B75" s="85"/>
      <c r="C75" s="14" t="s">
        <v>21</v>
      </c>
      <c r="D75" s="20">
        <f>'[1]3нед'!C15</f>
        <v>0</v>
      </c>
      <c r="E75" s="23">
        <f>'[1]3нед'!D15</f>
        <v>0</v>
      </c>
      <c r="F75" s="21">
        <f>'[1]3нед'!G15</f>
        <v>0</v>
      </c>
      <c r="G75" s="22" t="str">
        <f>'[1]3нед'!H15</f>
        <v/>
      </c>
      <c r="H75" s="57" t="str">
        <f t="shared" si="3"/>
        <v/>
      </c>
      <c r="I75" s="71"/>
      <c r="J75" s="88"/>
      <c r="K75" s="14" t="s">
        <v>21</v>
      </c>
      <c r="L75" s="20">
        <f>'[1]4нед'!C15</f>
        <v>0</v>
      </c>
      <c r="M75" s="23">
        <f>'[1]4нед'!D15</f>
        <v>0</v>
      </c>
      <c r="N75" s="21">
        <f>'[1]4нед'!G15</f>
        <v>0</v>
      </c>
      <c r="O75" s="22" t="str">
        <f>'[1]4нед'!H15</f>
        <v/>
      </c>
      <c r="P75" s="57" t="str">
        <f t="shared" si="4"/>
        <v/>
      </c>
    </row>
    <row r="76" spans="1:16" ht="31.5" x14ac:dyDescent="0.2">
      <c r="A76" s="82"/>
      <c r="B76" s="85"/>
      <c r="C76" s="14" t="s">
        <v>22</v>
      </c>
      <c r="D76" s="20">
        <f>'[1]3нед'!C16</f>
        <v>0</v>
      </c>
      <c r="E76" s="23">
        <f>'[1]3нед'!D16</f>
        <v>0</v>
      </c>
      <c r="F76" s="21">
        <f>'[1]3нед'!G16</f>
        <v>0</v>
      </c>
      <c r="G76" s="22" t="str">
        <f>'[1]3нед'!H16</f>
        <v/>
      </c>
      <c r="H76" s="57" t="str">
        <f t="shared" si="3"/>
        <v/>
      </c>
      <c r="I76" s="71"/>
      <c r="J76" s="88"/>
      <c r="K76" s="14" t="s">
        <v>22</v>
      </c>
      <c r="L76" s="20">
        <f>'[1]4нед'!C16</f>
        <v>0</v>
      </c>
      <c r="M76" s="23">
        <f>'[1]4нед'!D16</f>
        <v>0</v>
      </c>
      <c r="N76" s="21">
        <f>'[1]4нед'!G16</f>
        <v>0</v>
      </c>
      <c r="O76" s="22" t="str">
        <f>'[1]4нед'!H16</f>
        <v/>
      </c>
      <c r="P76" s="57" t="str">
        <f t="shared" si="4"/>
        <v/>
      </c>
    </row>
    <row r="77" spans="1:16" ht="31.5" x14ac:dyDescent="0.2">
      <c r="A77" s="82"/>
      <c r="B77" s="85"/>
      <c r="C77" s="14" t="s">
        <v>23</v>
      </c>
      <c r="D77" s="20">
        <f>'[1]3нед'!C17</f>
        <v>0</v>
      </c>
      <c r="E77" s="23">
        <f>'[1]3нед'!D17</f>
        <v>0</v>
      </c>
      <c r="F77" s="21">
        <f>'[1]3нед'!G17</f>
        <v>0</v>
      </c>
      <c r="G77" s="22" t="str">
        <f>'[1]3нед'!H17</f>
        <v/>
      </c>
      <c r="H77" s="55" t="str">
        <f t="shared" si="3"/>
        <v/>
      </c>
      <c r="I77" s="71"/>
      <c r="J77" s="88"/>
      <c r="K77" s="14" t="s">
        <v>23</v>
      </c>
      <c r="L77" s="20">
        <f>'[1]4нед'!C17</f>
        <v>0</v>
      </c>
      <c r="M77" s="23">
        <f>'[1]4нед'!D17</f>
        <v>0</v>
      </c>
      <c r="N77" s="21">
        <f>'[1]4нед'!G17</f>
        <v>0</v>
      </c>
      <c r="O77" s="22" t="str">
        <f>'[1]4нед'!H17</f>
        <v/>
      </c>
      <c r="P77" s="55" t="str">
        <f t="shared" si="4"/>
        <v/>
      </c>
    </row>
    <row r="78" spans="1:16" ht="32.25" thickBot="1" x14ac:dyDescent="0.25">
      <c r="A78" s="82"/>
      <c r="B78" s="85"/>
      <c r="C78" s="14" t="s">
        <v>24</v>
      </c>
      <c r="D78" s="20">
        <f>'[1]3нед'!C18</f>
        <v>0</v>
      </c>
      <c r="E78" s="23">
        <f>'[1]3нед'!D18</f>
        <v>0</v>
      </c>
      <c r="F78" s="21">
        <f>'[1]3нед'!G18</f>
        <v>0</v>
      </c>
      <c r="G78" s="22" t="str">
        <f>'[1]3нед'!H18</f>
        <v/>
      </c>
      <c r="H78" s="55" t="str">
        <f t="shared" si="3"/>
        <v/>
      </c>
      <c r="I78" s="71"/>
      <c r="J78" s="88"/>
      <c r="K78" s="14" t="s">
        <v>24</v>
      </c>
      <c r="L78" s="20">
        <f>'[1]4нед'!C18</f>
        <v>0</v>
      </c>
      <c r="M78" s="23">
        <f>'[1]4нед'!D18</f>
        <v>0</v>
      </c>
      <c r="N78" s="21">
        <f>'[1]4нед'!G18</f>
        <v>0</v>
      </c>
      <c r="O78" s="22" t="str">
        <f>'[1]4нед'!H18</f>
        <v/>
      </c>
      <c r="P78" s="55" t="str">
        <f t="shared" si="4"/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'[1]3нед'!C19</f>
        <v>0</v>
      </c>
      <c r="E79" s="25">
        <f>'[1]3нед'!D19</f>
        <v>0</v>
      </c>
      <c r="F79" s="26">
        <f>'[1]3нед'!G19</f>
        <v>0</v>
      </c>
      <c r="G79" s="27" t="str">
        <f>'[1]3нед'!H19</f>
        <v/>
      </c>
      <c r="H79" s="58" t="str">
        <f t="shared" si="3"/>
        <v/>
      </c>
      <c r="I79" s="72"/>
      <c r="J79" s="89"/>
      <c r="K79" s="15"/>
      <c r="L79" s="24">
        <f>'[1]4нед'!C19</f>
        <v>0</v>
      </c>
      <c r="M79" s="25">
        <f>'[1]4нед'!D19</f>
        <v>0</v>
      </c>
      <c r="N79" s="26">
        <f>'[1]4нед'!G19</f>
        <v>0</v>
      </c>
      <c r="O79" s="27" t="str">
        <f>'[1]4нед'!H19</f>
        <v/>
      </c>
      <c r="P79" s="58" t="str">
        <f t="shared" si="4"/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</f>
        <v>0</v>
      </c>
      <c r="E80" s="19">
        <f>'[1]3нед'!D20</f>
        <v>0</v>
      </c>
      <c r="F80" s="17">
        <f>'[1]3нед'!G20</f>
        <v>0</v>
      </c>
      <c r="G80" s="18" t="str">
        <f>'[1]3нед'!H20</f>
        <v/>
      </c>
      <c r="H80" s="56" t="str">
        <f t="shared" si="3"/>
        <v/>
      </c>
      <c r="I80" s="70">
        <v>46287</v>
      </c>
      <c r="J80" s="87" t="s">
        <v>25</v>
      </c>
      <c r="K80" s="29" t="s">
        <v>18</v>
      </c>
      <c r="L80" s="16">
        <f>'[1]4нед'!C20</f>
        <v>0</v>
      </c>
      <c r="M80" s="19">
        <f>'[1]4нед'!D20</f>
        <v>0</v>
      </c>
      <c r="N80" s="17">
        <f>'[1]4нед'!G20</f>
        <v>0</v>
      </c>
      <c r="O80" s="18" t="str">
        <f>'[1]4нед'!H20</f>
        <v/>
      </c>
      <c r="P80" s="56" t="str">
        <f t="shared" si="4"/>
        <v/>
      </c>
    </row>
    <row r="81" spans="1:16" ht="31.5" x14ac:dyDescent="0.2">
      <c r="A81" s="82"/>
      <c r="B81" s="85"/>
      <c r="C81" s="14" t="s">
        <v>19</v>
      </c>
      <c r="D81" s="20">
        <f>'[1]3нед'!C21</f>
        <v>0</v>
      </c>
      <c r="E81" s="23">
        <f>'[1]3нед'!D21</f>
        <v>0</v>
      </c>
      <c r="F81" s="21">
        <f>'[1]3нед'!G21</f>
        <v>0</v>
      </c>
      <c r="G81" s="22" t="str">
        <f>'[1]3нед'!H21</f>
        <v/>
      </c>
      <c r="H81" s="57" t="str">
        <f t="shared" si="3"/>
        <v/>
      </c>
      <c r="I81" s="71"/>
      <c r="J81" s="88"/>
      <c r="K81" s="14" t="s">
        <v>19</v>
      </c>
      <c r="L81" s="20">
        <f>'[1]4нед'!C21</f>
        <v>0</v>
      </c>
      <c r="M81" s="23">
        <f>'[1]4нед'!D21</f>
        <v>0</v>
      </c>
      <c r="N81" s="21">
        <f>'[1]4нед'!G21</f>
        <v>0</v>
      </c>
      <c r="O81" s="22" t="str">
        <f>'[1]4нед'!H21</f>
        <v/>
      </c>
      <c r="P81" s="57" t="str">
        <f t="shared" si="4"/>
        <v/>
      </c>
    </row>
    <row r="82" spans="1:16" ht="31.5" x14ac:dyDescent="0.2">
      <c r="A82" s="82"/>
      <c r="B82" s="85"/>
      <c r="C82" s="14" t="s">
        <v>20</v>
      </c>
      <c r="D82" s="20">
        <f>'[1]3нед'!C22</f>
        <v>0</v>
      </c>
      <c r="E82" s="23">
        <f>'[1]3нед'!D22</f>
        <v>0</v>
      </c>
      <c r="F82" s="21">
        <f>'[1]3нед'!G22</f>
        <v>0</v>
      </c>
      <c r="G82" s="22" t="str">
        <f>'[1]3нед'!H22</f>
        <v/>
      </c>
      <c r="H82" s="57" t="str">
        <f t="shared" si="3"/>
        <v/>
      </c>
      <c r="I82" s="71"/>
      <c r="J82" s="88"/>
      <c r="K82" s="14" t="s">
        <v>20</v>
      </c>
      <c r="L82" s="20">
        <f>'[1]4нед'!C22</f>
        <v>0</v>
      </c>
      <c r="M82" s="23">
        <f>'[1]4нед'!D22</f>
        <v>0</v>
      </c>
      <c r="N82" s="21">
        <f>'[1]4нед'!G22</f>
        <v>0</v>
      </c>
      <c r="O82" s="22" t="str">
        <f>'[1]4нед'!H22</f>
        <v/>
      </c>
      <c r="P82" s="57" t="str">
        <f t="shared" si="4"/>
        <v/>
      </c>
    </row>
    <row r="83" spans="1:16" ht="31.5" x14ac:dyDescent="0.2">
      <c r="A83" s="82"/>
      <c r="B83" s="85"/>
      <c r="C83" s="14" t="s">
        <v>21</v>
      </c>
      <c r="D83" s="20">
        <f>'[1]3нед'!C23</f>
        <v>0</v>
      </c>
      <c r="E83" s="23">
        <f>'[1]3нед'!D23</f>
        <v>0</v>
      </c>
      <c r="F83" s="21">
        <f>'[1]3нед'!G23</f>
        <v>0</v>
      </c>
      <c r="G83" s="22" t="str">
        <f>'[1]3нед'!H23</f>
        <v/>
      </c>
      <c r="H83" s="57" t="str">
        <f t="shared" si="3"/>
        <v/>
      </c>
      <c r="I83" s="71"/>
      <c r="J83" s="88"/>
      <c r="K83" s="14" t="s">
        <v>21</v>
      </c>
      <c r="L83" s="20">
        <f>'[1]4нед'!C23</f>
        <v>0</v>
      </c>
      <c r="M83" s="23">
        <f>'[1]4нед'!D23</f>
        <v>0</v>
      </c>
      <c r="N83" s="21">
        <f>'[1]4нед'!G23</f>
        <v>0</v>
      </c>
      <c r="O83" s="22" t="str">
        <f>'[1]4нед'!H23</f>
        <v/>
      </c>
      <c r="P83" s="57" t="str">
        <f t="shared" si="4"/>
        <v/>
      </c>
    </row>
    <row r="84" spans="1:16" ht="31.5" x14ac:dyDescent="0.2">
      <c r="A84" s="82"/>
      <c r="B84" s="85"/>
      <c r="C84" s="14" t="s">
        <v>22</v>
      </c>
      <c r="D84" s="20">
        <f>'[1]3нед'!C24</f>
        <v>0</v>
      </c>
      <c r="E84" s="23">
        <f>'[1]3нед'!D24</f>
        <v>0</v>
      </c>
      <c r="F84" s="21">
        <f>'[1]3нед'!G24</f>
        <v>0</v>
      </c>
      <c r="G84" s="22" t="str">
        <f>'[1]3нед'!H24</f>
        <v/>
      </c>
      <c r="H84" s="57" t="str">
        <f t="shared" si="3"/>
        <v/>
      </c>
      <c r="I84" s="71"/>
      <c r="J84" s="88"/>
      <c r="K84" s="14" t="s">
        <v>22</v>
      </c>
      <c r="L84" s="20">
        <f>'[1]4нед'!C24</f>
        <v>0</v>
      </c>
      <c r="M84" s="23">
        <f>'[1]4нед'!D24</f>
        <v>0</v>
      </c>
      <c r="N84" s="21">
        <f>'[1]4нед'!G24</f>
        <v>0</v>
      </c>
      <c r="O84" s="22" t="str">
        <f>'[1]4нед'!H24</f>
        <v/>
      </c>
      <c r="P84" s="57" t="str">
        <f t="shared" si="4"/>
        <v/>
      </c>
    </row>
    <row r="85" spans="1:16" ht="31.5" x14ac:dyDescent="0.2">
      <c r="A85" s="82"/>
      <c r="B85" s="85"/>
      <c r="C85" s="14" t="s">
        <v>23</v>
      </c>
      <c r="D85" s="20">
        <f>'[1]3нед'!C25</f>
        <v>0</v>
      </c>
      <c r="E85" s="23">
        <f>'[1]3нед'!D25</f>
        <v>0</v>
      </c>
      <c r="F85" s="21">
        <f>'[1]3нед'!G25</f>
        <v>0</v>
      </c>
      <c r="G85" s="22" t="str">
        <f>'[1]3нед'!H25</f>
        <v/>
      </c>
      <c r="H85" s="57" t="str">
        <f t="shared" si="3"/>
        <v/>
      </c>
      <c r="I85" s="71"/>
      <c r="J85" s="88"/>
      <c r="K85" s="14" t="s">
        <v>23</v>
      </c>
      <c r="L85" s="20">
        <f>'[1]4нед'!C25</f>
        <v>0</v>
      </c>
      <c r="M85" s="23">
        <f>'[1]4нед'!D25</f>
        <v>0</v>
      </c>
      <c r="N85" s="21">
        <f>'[1]4нед'!G25</f>
        <v>0</v>
      </c>
      <c r="O85" s="22" t="str">
        <f>'[1]4нед'!H25</f>
        <v/>
      </c>
      <c r="P85" s="57" t="str">
        <f t="shared" si="4"/>
        <v/>
      </c>
    </row>
    <row r="86" spans="1:16" ht="32.25" thickBot="1" x14ac:dyDescent="0.25">
      <c r="A86" s="82"/>
      <c r="B86" s="85"/>
      <c r="C86" s="14" t="s">
        <v>24</v>
      </c>
      <c r="D86" s="20">
        <f>'[1]3нед'!C26</f>
        <v>0</v>
      </c>
      <c r="E86" s="23">
        <f>'[1]3нед'!D26</f>
        <v>0</v>
      </c>
      <c r="F86" s="21">
        <f>'[1]3нед'!G26</f>
        <v>0</v>
      </c>
      <c r="G86" s="22" t="str">
        <f>'[1]3нед'!H26</f>
        <v/>
      </c>
      <c r="H86" s="57" t="str">
        <f t="shared" si="3"/>
        <v/>
      </c>
      <c r="I86" s="71"/>
      <c r="J86" s="88"/>
      <c r="K86" s="14" t="s">
        <v>24</v>
      </c>
      <c r="L86" s="20">
        <f>'[1]4нед'!C26</f>
        <v>0</v>
      </c>
      <c r="M86" s="23">
        <f>'[1]4нед'!D26</f>
        <v>0</v>
      </c>
      <c r="N86" s="21">
        <f>'[1]4нед'!G26</f>
        <v>0</v>
      </c>
      <c r="O86" s="22" t="str">
        <f>'[1]4нед'!H26</f>
        <v/>
      </c>
      <c r="P86" s="57" t="str">
        <f t="shared" si="4"/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'[1]3нед'!C27</f>
        <v>0</v>
      </c>
      <c r="E87" s="25">
        <f>'[1]3нед'!D27</f>
        <v>0</v>
      </c>
      <c r="F87" s="26">
        <f>'[1]3нед'!G27</f>
        <v>0</v>
      </c>
      <c r="G87" s="27" t="str">
        <f>'[1]3нед'!H27</f>
        <v/>
      </c>
      <c r="H87" s="58" t="str">
        <f t="shared" si="3"/>
        <v/>
      </c>
      <c r="I87" s="72"/>
      <c r="J87" s="89"/>
      <c r="K87" s="15"/>
      <c r="L87" s="24">
        <f>'[1]4нед'!C27</f>
        <v>0</v>
      </c>
      <c r="M87" s="25">
        <f>'[1]4нед'!D27</f>
        <v>0</v>
      </c>
      <c r="N87" s="26">
        <f>'[1]4нед'!G27</f>
        <v>0</v>
      </c>
      <c r="O87" s="27" t="str">
        <f>'[1]4нед'!H27</f>
        <v/>
      </c>
      <c r="P87" s="58" t="str">
        <f t="shared" si="4"/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'[1]3нед'!C28</f>
        <v>0</v>
      </c>
      <c r="E88" s="19">
        <f>'[1]3нед'!D28</f>
        <v>0</v>
      </c>
      <c r="F88" s="17">
        <f>'[1]3нед'!G28</f>
        <v>0</v>
      </c>
      <c r="G88" s="18" t="str">
        <f>'[1]3нед'!H28</f>
        <v/>
      </c>
      <c r="H88" s="56" t="str">
        <f t="shared" si="3"/>
        <v/>
      </c>
      <c r="I88" s="70">
        <v>46288</v>
      </c>
      <c r="J88" s="73" t="s">
        <v>26</v>
      </c>
      <c r="K88" s="29" t="s">
        <v>18</v>
      </c>
      <c r="L88" s="16">
        <f>'[1]4нед'!C28</f>
        <v>0</v>
      </c>
      <c r="M88" s="19">
        <f>'[1]4нед'!D28</f>
        <v>0</v>
      </c>
      <c r="N88" s="17">
        <f>'[1]4нед'!G28</f>
        <v>0</v>
      </c>
      <c r="O88" s="18" t="str">
        <f>'[1]4нед'!H28</f>
        <v/>
      </c>
      <c r="P88" s="56" t="str">
        <f t="shared" si="4"/>
        <v/>
      </c>
    </row>
    <row r="89" spans="1:16" ht="31.5" x14ac:dyDescent="0.2">
      <c r="A89" s="82"/>
      <c r="B89" s="68"/>
      <c r="C89" s="14" t="s">
        <v>19</v>
      </c>
      <c r="D89" s="20">
        <f>'[1]3нед'!C29</f>
        <v>0</v>
      </c>
      <c r="E89" s="23">
        <f>'[1]3нед'!D29</f>
        <v>0</v>
      </c>
      <c r="F89" s="21">
        <f>'[1]3нед'!G29</f>
        <v>0</v>
      </c>
      <c r="G89" s="22" t="str">
        <f>'[1]3нед'!H29</f>
        <v/>
      </c>
      <c r="H89" s="57" t="str">
        <f t="shared" si="3"/>
        <v/>
      </c>
      <c r="I89" s="71"/>
      <c r="J89" s="74"/>
      <c r="K89" s="14" t="s">
        <v>19</v>
      </c>
      <c r="L89" s="20">
        <f>'[1]4нед'!C29</f>
        <v>0</v>
      </c>
      <c r="M89" s="23">
        <f>'[1]4нед'!D29</f>
        <v>0</v>
      </c>
      <c r="N89" s="21">
        <f>'[1]4нед'!G29</f>
        <v>0</v>
      </c>
      <c r="O89" s="22" t="str">
        <f>'[1]4нед'!H29</f>
        <v/>
      </c>
      <c r="P89" s="57" t="str">
        <f t="shared" si="4"/>
        <v/>
      </c>
    </row>
    <row r="90" spans="1:16" ht="31.5" x14ac:dyDescent="0.2">
      <c r="A90" s="82"/>
      <c r="B90" s="68"/>
      <c r="C90" s="14" t="s">
        <v>20</v>
      </c>
      <c r="D90" s="20">
        <f>'[1]3нед'!C30</f>
        <v>0</v>
      </c>
      <c r="E90" s="23">
        <f>'[1]3нед'!D30</f>
        <v>0</v>
      </c>
      <c r="F90" s="21">
        <f>'[1]3нед'!G30</f>
        <v>0</v>
      </c>
      <c r="G90" s="22" t="str">
        <f>'[1]3нед'!H30</f>
        <v/>
      </c>
      <c r="H90" s="57" t="str">
        <f t="shared" si="3"/>
        <v/>
      </c>
      <c r="I90" s="71"/>
      <c r="J90" s="74"/>
      <c r="K90" s="14" t="s">
        <v>20</v>
      </c>
      <c r="L90" s="20">
        <f>'[1]4нед'!C30</f>
        <v>0</v>
      </c>
      <c r="M90" s="23">
        <f>'[1]4нед'!D30</f>
        <v>0</v>
      </c>
      <c r="N90" s="21">
        <f>'[1]4нед'!G30</f>
        <v>0</v>
      </c>
      <c r="O90" s="22" t="str">
        <f>'[1]4нед'!H30</f>
        <v/>
      </c>
      <c r="P90" s="57" t="str">
        <f t="shared" si="4"/>
        <v/>
      </c>
    </row>
    <row r="91" spans="1:16" ht="31.5" x14ac:dyDescent="0.2">
      <c r="A91" s="82"/>
      <c r="B91" s="68"/>
      <c r="C91" s="14" t="s">
        <v>21</v>
      </c>
      <c r="D91" s="20">
        <f>'[1]3нед'!C31</f>
        <v>0</v>
      </c>
      <c r="E91" s="23">
        <f>'[1]3нед'!D31</f>
        <v>0</v>
      </c>
      <c r="F91" s="21">
        <f>'[1]3нед'!G31</f>
        <v>0</v>
      </c>
      <c r="G91" s="22" t="str">
        <f>'[1]3нед'!H31</f>
        <v/>
      </c>
      <c r="H91" s="57" t="str">
        <f t="shared" si="3"/>
        <v/>
      </c>
      <c r="I91" s="71"/>
      <c r="J91" s="74"/>
      <c r="K91" s="14" t="s">
        <v>21</v>
      </c>
      <c r="L91" s="20">
        <f>'[1]4нед'!C31</f>
        <v>0</v>
      </c>
      <c r="M91" s="23">
        <f>'[1]4нед'!D31</f>
        <v>0</v>
      </c>
      <c r="N91" s="21">
        <f>'[1]4нед'!G31</f>
        <v>0</v>
      </c>
      <c r="O91" s="22" t="str">
        <f>'[1]4нед'!H31</f>
        <v/>
      </c>
      <c r="P91" s="57" t="str">
        <f t="shared" si="4"/>
        <v/>
      </c>
    </row>
    <row r="92" spans="1:16" ht="31.5" x14ac:dyDescent="0.2">
      <c r="A92" s="82"/>
      <c r="B92" s="68"/>
      <c r="C92" s="14" t="s">
        <v>22</v>
      </c>
      <c r="D92" s="20">
        <f>'[1]3нед'!C32</f>
        <v>0</v>
      </c>
      <c r="E92" s="23">
        <f>'[1]3нед'!D32</f>
        <v>0</v>
      </c>
      <c r="F92" s="21">
        <f>'[1]3нед'!G32</f>
        <v>0</v>
      </c>
      <c r="G92" s="22" t="str">
        <f>'[1]3нед'!H32</f>
        <v/>
      </c>
      <c r="H92" s="57" t="str">
        <f t="shared" si="3"/>
        <v/>
      </c>
      <c r="I92" s="71"/>
      <c r="J92" s="74"/>
      <c r="K92" s="14" t="s">
        <v>22</v>
      </c>
      <c r="L92" s="20">
        <f>'[1]4нед'!C32</f>
        <v>0</v>
      </c>
      <c r="M92" s="23">
        <f>'[1]4нед'!D32</f>
        <v>0</v>
      </c>
      <c r="N92" s="21">
        <f>'[1]4нед'!G32</f>
        <v>0</v>
      </c>
      <c r="O92" s="22" t="str">
        <f>'[1]4нед'!H32</f>
        <v/>
      </c>
      <c r="P92" s="57" t="str">
        <f t="shared" si="4"/>
        <v/>
      </c>
    </row>
    <row r="93" spans="1:16" ht="31.5" x14ac:dyDescent="0.2">
      <c r="A93" s="82"/>
      <c r="B93" s="68"/>
      <c r="C93" s="14" t="s">
        <v>23</v>
      </c>
      <c r="D93" s="20">
        <f>'[1]3нед'!C33</f>
        <v>0</v>
      </c>
      <c r="E93" s="23">
        <f>'[1]3нед'!D33</f>
        <v>0</v>
      </c>
      <c r="F93" s="21">
        <f>'[1]3нед'!G33</f>
        <v>0</v>
      </c>
      <c r="G93" s="22" t="str">
        <f>'[1]3нед'!H33</f>
        <v/>
      </c>
      <c r="H93" s="55" t="str">
        <f t="shared" si="3"/>
        <v/>
      </c>
      <c r="I93" s="71"/>
      <c r="J93" s="74"/>
      <c r="K93" s="14" t="s">
        <v>23</v>
      </c>
      <c r="L93" s="20">
        <f>'[1]4нед'!C33</f>
        <v>0</v>
      </c>
      <c r="M93" s="23">
        <f>'[1]4нед'!D33</f>
        <v>0</v>
      </c>
      <c r="N93" s="21">
        <f>'[1]4нед'!G33</f>
        <v>0</v>
      </c>
      <c r="O93" s="22" t="str">
        <f>'[1]4нед'!H33</f>
        <v/>
      </c>
      <c r="P93" s="55" t="str">
        <f t="shared" si="4"/>
        <v/>
      </c>
    </row>
    <row r="94" spans="1:16" ht="32.25" thickBot="1" x14ac:dyDescent="0.25">
      <c r="A94" s="82"/>
      <c r="B94" s="68"/>
      <c r="C94" s="14" t="s">
        <v>24</v>
      </c>
      <c r="D94" s="20">
        <f>'[1]3нед'!C34</f>
        <v>0</v>
      </c>
      <c r="E94" s="23">
        <f>'[1]3нед'!D34</f>
        <v>0</v>
      </c>
      <c r="F94" s="21">
        <f>'[1]3нед'!G34</f>
        <v>0</v>
      </c>
      <c r="G94" s="22" t="str">
        <f>'[1]3нед'!H34</f>
        <v/>
      </c>
      <c r="H94" s="55" t="str">
        <f t="shared" si="3"/>
        <v/>
      </c>
      <c r="I94" s="71"/>
      <c r="J94" s="74"/>
      <c r="K94" s="14" t="s">
        <v>24</v>
      </c>
      <c r="L94" s="20">
        <f>'[1]4нед'!C34</f>
        <v>0</v>
      </c>
      <c r="M94" s="23">
        <f>'[1]4нед'!D34</f>
        <v>0</v>
      </c>
      <c r="N94" s="21">
        <f>'[1]4нед'!G34</f>
        <v>0</v>
      </c>
      <c r="O94" s="22" t="str">
        <f>'[1]4нед'!H34</f>
        <v/>
      </c>
      <c r="P94" s="55" t="str">
        <f t="shared" si="4"/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'[1]3нед'!C35</f>
        <v>0</v>
      </c>
      <c r="E95" s="25">
        <f>'[1]3нед'!D35</f>
        <v>0</v>
      </c>
      <c r="F95" s="26">
        <f>'[1]3нед'!G35</f>
        <v>0</v>
      </c>
      <c r="G95" s="27" t="str">
        <f>'[1]3нед'!H35</f>
        <v/>
      </c>
      <c r="H95" s="58" t="str">
        <f t="shared" si="3"/>
        <v/>
      </c>
      <c r="I95" s="72"/>
      <c r="J95" s="75"/>
      <c r="K95" s="15"/>
      <c r="L95" s="24">
        <f>'[1]4нед'!C35</f>
        <v>0</v>
      </c>
      <c r="M95" s="25">
        <f>'[1]4нед'!D35</f>
        <v>0</v>
      </c>
      <c r="N95" s="26">
        <f>'[1]4нед'!G35</f>
        <v>0</v>
      </c>
      <c r="O95" s="27" t="str">
        <f>'[1]4нед'!H35</f>
        <v/>
      </c>
      <c r="P95" s="58" t="str">
        <f t="shared" si="4"/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'[1]3нед'!C36</f>
        <v>0</v>
      </c>
      <c r="E96" s="19">
        <f>'[1]3нед'!D36</f>
        <v>0</v>
      </c>
      <c r="F96" s="17">
        <f>'[1]3нед'!G36</f>
        <v>0</v>
      </c>
      <c r="G96" s="18" t="str">
        <f>'[1]3нед'!H36</f>
        <v/>
      </c>
      <c r="H96" s="56" t="str">
        <f t="shared" si="3"/>
        <v/>
      </c>
      <c r="I96" s="70">
        <v>46289</v>
      </c>
      <c r="J96" s="87" t="s">
        <v>27</v>
      </c>
      <c r="K96" s="29" t="s">
        <v>18</v>
      </c>
      <c r="L96" s="16">
        <f>'[1]4нед'!C36</f>
        <v>0</v>
      </c>
      <c r="M96" s="19">
        <f>'[1]4нед'!D36</f>
        <v>0</v>
      </c>
      <c r="N96" s="17">
        <f>'[1]4нед'!G36</f>
        <v>0</v>
      </c>
      <c r="O96" s="18" t="str">
        <f>'[1]4нед'!H36</f>
        <v/>
      </c>
      <c r="P96" s="56" t="str">
        <f t="shared" si="4"/>
        <v/>
      </c>
    </row>
    <row r="97" spans="1:16" ht="31.5" x14ac:dyDescent="0.2">
      <c r="A97" s="82"/>
      <c r="B97" s="85"/>
      <c r="C97" s="14" t="s">
        <v>19</v>
      </c>
      <c r="D97" s="20">
        <f>'[1]3нед'!C37</f>
        <v>0</v>
      </c>
      <c r="E97" s="23">
        <f>'[1]3нед'!D37</f>
        <v>0</v>
      </c>
      <c r="F97" s="21">
        <f>'[1]3нед'!G37</f>
        <v>0</v>
      </c>
      <c r="G97" s="22" t="str">
        <f>'[1]3нед'!H37</f>
        <v/>
      </c>
      <c r="H97" s="57" t="str">
        <f t="shared" si="3"/>
        <v/>
      </c>
      <c r="I97" s="71"/>
      <c r="J97" s="88"/>
      <c r="K97" s="14" t="s">
        <v>19</v>
      </c>
      <c r="L97" s="20">
        <f>'[1]4нед'!C37</f>
        <v>0</v>
      </c>
      <c r="M97" s="23">
        <f>'[1]4нед'!D37</f>
        <v>0</v>
      </c>
      <c r="N97" s="21">
        <f>'[1]4нед'!G37</f>
        <v>0</v>
      </c>
      <c r="O97" s="22" t="str">
        <f>'[1]4нед'!H37</f>
        <v/>
      </c>
      <c r="P97" s="57" t="str">
        <f t="shared" si="4"/>
        <v/>
      </c>
    </row>
    <row r="98" spans="1:16" ht="31.5" x14ac:dyDescent="0.2">
      <c r="A98" s="82"/>
      <c r="B98" s="85"/>
      <c r="C98" s="14" t="s">
        <v>20</v>
      </c>
      <c r="D98" s="20">
        <f>'[1]3нед'!C38</f>
        <v>0</v>
      </c>
      <c r="E98" s="23">
        <f>'[1]3нед'!D38</f>
        <v>0</v>
      </c>
      <c r="F98" s="21">
        <f>'[1]3нед'!G38</f>
        <v>0</v>
      </c>
      <c r="G98" s="22" t="str">
        <f>'[1]3нед'!H38</f>
        <v/>
      </c>
      <c r="H98" s="57" t="str">
        <f t="shared" si="3"/>
        <v/>
      </c>
      <c r="I98" s="71"/>
      <c r="J98" s="88"/>
      <c r="K98" s="14" t="s">
        <v>20</v>
      </c>
      <c r="L98" s="20">
        <f>'[1]4нед'!C38</f>
        <v>0</v>
      </c>
      <c r="M98" s="23">
        <f>'[1]4нед'!D38</f>
        <v>0</v>
      </c>
      <c r="N98" s="21">
        <f>'[1]4нед'!G38</f>
        <v>0</v>
      </c>
      <c r="O98" s="22" t="str">
        <f>'[1]4нед'!H38</f>
        <v/>
      </c>
      <c r="P98" s="57" t="str">
        <f t="shared" si="4"/>
        <v/>
      </c>
    </row>
    <row r="99" spans="1:16" ht="31.5" x14ac:dyDescent="0.2">
      <c r="A99" s="82"/>
      <c r="B99" s="85"/>
      <c r="C99" s="14" t="s">
        <v>21</v>
      </c>
      <c r="D99" s="20">
        <f>'[1]3нед'!C39</f>
        <v>0</v>
      </c>
      <c r="E99" s="23">
        <f>'[1]3нед'!D39</f>
        <v>0</v>
      </c>
      <c r="F99" s="21">
        <f>'[1]3нед'!G39</f>
        <v>0</v>
      </c>
      <c r="G99" s="22" t="str">
        <f>'[1]3нед'!H39</f>
        <v/>
      </c>
      <c r="H99" s="57" t="str">
        <f t="shared" si="3"/>
        <v/>
      </c>
      <c r="I99" s="71"/>
      <c r="J99" s="88"/>
      <c r="K99" s="14" t="s">
        <v>21</v>
      </c>
      <c r="L99" s="20">
        <f>'[1]4нед'!C39</f>
        <v>0</v>
      </c>
      <c r="M99" s="23">
        <f>'[1]4нед'!D39</f>
        <v>0</v>
      </c>
      <c r="N99" s="21">
        <f>'[1]4нед'!G39</f>
        <v>0</v>
      </c>
      <c r="O99" s="22" t="str">
        <f>'[1]4нед'!H39</f>
        <v/>
      </c>
      <c r="P99" s="57" t="str">
        <f t="shared" si="4"/>
        <v/>
      </c>
    </row>
    <row r="100" spans="1:16" ht="31.5" x14ac:dyDescent="0.2">
      <c r="A100" s="82"/>
      <c r="B100" s="85"/>
      <c r="C100" s="14" t="s">
        <v>22</v>
      </c>
      <c r="D100" s="20">
        <f>'[1]3нед'!C40</f>
        <v>0</v>
      </c>
      <c r="E100" s="23">
        <f>'[1]3нед'!D40</f>
        <v>0</v>
      </c>
      <c r="F100" s="21">
        <f>'[1]3нед'!G40</f>
        <v>0</v>
      </c>
      <c r="G100" s="22" t="str">
        <f>'[1]3нед'!H40</f>
        <v/>
      </c>
      <c r="H100" s="57" t="str">
        <f t="shared" si="3"/>
        <v/>
      </c>
      <c r="I100" s="71"/>
      <c r="J100" s="88"/>
      <c r="K100" s="14" t="s">
        <v>22</v>
      </c>
      <c r="L100" s="20">
        <f>'[1]4нед'!C40</f>
        <v>0</v>
      </c>
      <c r="M100" s="23">
        <f>'[1]4нед'!D40</f>
        <v>0</v>
      </c>
      <c r="N100" s="21">
        <f>'[1]4нед'!G40</f>
        <v>0</v>
      </c>
      <c r="O100" s="22" t="str">
        <f>'[1]4нед'!H40</f>
        <v/>
      </c>
      <c r="P100" s="57" t="str">
        <f t="shared" si="4"/>
        <v/>
      </c>
    </row>
    <row r="101" spans="1:16" ht="31.5" x14ac:dyDescent="0.2">
      <c r="A101" s="82"/>
      <c r="B101" s="85"/>
      <c r="C101" s="14" t="s">
        <v>23</v>
      </c>
      <c r="D101" s="20">
        <f>'[1]3нед'!C41</f>
        <v>0</v>
      </c>
      <c r="E101" s="23">
        <f>'[1]3нед'!D41</f>
        <v>0</v>
      </c>
      <c r="F101" s="21">
        <f>'[1]3нед'!G41</f>
        <v>0</v>
      </c>
      <c r="G101" s="22" t="str">
        <f>'[1]3нед'!H41</f>
        <v/>
      </c>
      <c r="H101" s="55" t="str">
        <f t="shared" si="3"/>
        <v/>
      </c>
      <c r="I101" s="71"/>
      <c r="J101" s="88"/>
      <c r="K101" s="14" t="s">
        <v>23</v>
      </c>
      <c r="L101" s="20">
        <f>'[1]4нед'!C41</f>
        <v>0</v>
      </c>
      <c r="M101" s="23">
        <f>'[1]4нед'!D41</f>
        <v>0</v>
      </c>
      <c r="N101" s="21">
        <f>'[1]4нед'!G41</f>
        <v>0</v>
      </c>
      <c r="O101" s="22" t="str">
        <f>'[1]4нед'!H41</f>
        <v/>
      </c>
      <c r="P101" s="55" t="str">
        <f t="shared" si="4"/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'[1]3нед'!C42</f>
        <v>0</v>
      </c>
      <c r="E102" s="23">
        <f>'[1]3нед'!D42</f>
        <v>0</v>
      </c>
      <c r="F102" s="21">
        <f>'[1]3нед'!G42</f>
        <v>0</v>
      </c>
      <c r="G102" s="22" t="str">
        <f>'[1]3нед'!H42</f>
        <v/>
      </c>
      <c r="H102" s="55" t="str">
        <f t="shared" si="3"/>
        <v/>
      </c>
      <c r="I102" s="71"/>
      <c r="J102" s="88"/>
      <c r="K102" s="14" t="s">
        <v>24</v>
      </c>
      <c r="L102" s="20">
        <f>'[1]4нед'!C42</f>
        <v>0</v>
      </c>
      <c r="M102" s="23">
        <f>'[1]4нед'!D42</f>
        <v>0</v>
      </c>
      <c r="N102" s="21">
        <f>'[1]4нед'!G42</f>
        <v>0</v>
      </c>
      <c r="O102" s="22" t="str">
        <f>'[1]4нед'!H42</f>
        <v/>
      </c>
      <c r="P102" s="55" t="str">
        <f t="shared" si="4"/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'[1]3нед'!C43</f>
        <v>0</v>
      </c>
      <c r="E103" s="25">
        <f>'[1]3нед'!D43</f>
        <v>0</v>
      </c>
      <c r="F103" s="26">
        <f>'[1]3нед'!G43</f>
        <v>0</v>
      </c>
      <c r="G103" s="27" t="str">
        <f>'[1]3нед'!H43</f>
        <v/>
      </c>
      <c r="H103" s="58" t="str">
        <f t="shared" si="3"/>
        <v/>
      </c>
      <c r="I103" s="72"/>
      <c r="J103" s="89"/>
      <c r="K103" s="15"/>
      <c r="L103" s="24">
        <f>'[1]4нед'!C43</f>
        <v>0</v>
      </c>
      <c r="M103" s="25">
        <f>'[1]4нед'!D43</f>
        <v>0</v>
      </c>
      <c r="N103" s="26">
        <f>'[1]4нед'!G43</f>
        <v>0</v>
      </c>
      <c r="O103" s="27" t="str">
        <f>'[1]4нед'!H43</f>
        <v/>
      </c>
      <c r="P103" s="58" t="str">
        <f t="shared" si="4"/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'[1]3нед'!C44</f>
        <v>0</v>
      </c>
      <c r="E104" s="19">
        <f>'[1]3нед'!D44</f>
        <v>0</v>
      </c>
      <c r="F104" s="17">
        <f>'[1]3нед'!G44</f>
        <v>0</v>
      </c>
      <c r="G104" s="18" t="str">
        <f>'[1]3нед'!H44</f>
        <v/>
      </c>
      <c r="H104" s="56" t="str">
        <f t="shared" si="3"/>
        <v/>
      </c>
      <c r="I104" s="70">
        <v>46290</v>
      </c>
      <c r="J104" s="87" t="s">
        <v>28</v>
      </c>
      <c r="K104" s="29" t="s">
        <v>18</v>
      </c>
      <c r="L104" s="16">
        <f>'[1]4нед'!C44</f>
        <v>0</v>
      </c>
      <c r="M104" s="19">
        <f>'[1]4нед'!D44</f>
        <v>0</v>
      </c>
      <c r="N104" s="17">
        <f>'[1]4нед'!G44</f>
        <v>0</v>
      </c>
      <c r="O104" s="18" t="str">
        <f>'[1]4нед'!H44</f>
        <v/>
      </c>
      <c r="P104" s="56" t="str">
        <f t="shared" si="4"/>
        <v/>
      </c>
    </row>
    <row r="105" spans="1:16" ht="31.5" x14ac:dyDescent="0.2">
      <c r="A105" s="82"/>
      <c r="B105" s="85"/>
      <c r="C105" s="14" t="s">
        <v>19</v>
      </c>
      <c r="D105" s="20">
        <f>'[1]3нед'!C45</f>
        <v>0</v>
      </c>
      <c r="E105" s="23">
        <f>'[1]3нед'!D45</f>
        <v>0</v>
      </c>
      <c r="F105" s="21">
        <f>'[1]3нед'!G45</f>
        <v>0</v>
      </c>
      <c r="G105" s="22" t="str">
        <f>'[1]3нед'!H45</f>
        <v/>
      </c>
      <c r="H105" s="57" t="str">
        <f t="shared" si="3"/>
        <v/>
      </c>
      <c r="I105" s="71"/>
      <c r="J105" s="88"/>
      <c r="K105" s="14" t="s">
        <v>19</v>
      </c>
      <c r="L105" s="20">
        <f>'[1]4нед'!C45</f>
        <v>0</v>
      </c>
      <c r="M105" s="23">
        <f>'[1]4нед'!D45</f>
        <v>0</v>
      </c>
      <c r="N105" s="21">
        <f>'[1]4нед'!G45</f>
        <v>0</v>
      </c>
      <c r="O105" s="22" t="str">
        <f>'[1]4нед'!H45</f>
        <v/>
      </c>
      <c r="P105" s="57" t="str">
        <f t="shared" si="4"/>
        <v/>
      </c>
    </row>
    <row r="106" spans="1:16" ht="31.5" x14ac:dyDescent="0.2">
      <c r="A106" s="82"/>
      <c r="B106" s="85"/>
      <c r="C106" s="14" t="s">
        <v>20</v>
      </c>
      <c r="D106" s="20">
        <f>'[1]3нед'!C46</f>
        <v>0</v>
      </c>
      <c r="E106" s="23">
        <f>'[1]3нед'!D46</f>
        <v>0</v>
      </c>
      <c r="F106" s="21">
        <f>'[1]3нед'!G46</f>
        <v>0</v>
      </c>
      <c r="G106" s="22" t="str">
        <f>'[1]3нед'!H46</f>
        <v/>
      </c>
      <c r="H106" s="57" t="str">
        <f t="shared" si="3"/>
        <v/>
      </c>
      <c r="I106" s="71"/>
      <c r="J106" s="88"/>
      <c r="K106" s="14" t="s">
        <v>20</v>
      </c>
      <c r="L106" s="20">
        <f>'[1]4нед'!C46</f>
        <v>0</v>
      </c>
      <c r="M106" s="23">
        <f>'[1]4нед'!D46</f>
        <v>0</v>
      </c>
      <c r="N106" s="21">
        <f>'[1]4нед'!G46</f>
        <v>0</v>
      </c>
      <c r="O106" s="22" t="str">
        <f>'[1]4нед'!H46</f>
        <v/>
      </c>
      <c r="P106" s="57" t="str">
        <f t="shared" si="4"/>
        <v/>
      </c>
    </row>
    <row r="107" spans="1:16" ht="31.5" x14ac:dyDescent="0.2">
      <c r="A107" s="82"/>
      <c r="B107" s="85"/>
      <c r="C107" s="14" t="s">
        <v>21</v>
      </c>
      <c r="D107" s="20">
        <f>'[1]3нед'!C47</f>
        <v>0</v>
      </c>
      <c r="E107" s="23">
        <f>'[1]3нед'!D47</f>
        <v>0</v>
      </c>
      <c r="F107" s="21">
        <f>'[1]3нед'!G47</f>
        <v>0</v>
      </c>
      <c r="G107" s="22" t="str">
        <f>'[1]3нед'!H47</f>
        <v/>
      </c>
      <c r="H107" s="57" t="str">
        <f t="shared" si="3"/>
        <v/>
      </c>
      <c r="I107" s="71"/>
      <c r="J107" s="88"/>
      <c r="K107" s="14" t="s">
        <v>21</v>
      </c>
      <c r="L107" s="20">
        <f>'[1]4нед'!C47</f>
        <v>0</v>
      </c>
      <c r="M107" s="23">
        <f>'[1]4нед'!D47</f>
        <v>0</v>
      </c>
      <c r="N107" s="21">
        <f>'[1]4нед'!G47</f>
        <v>0</v>
      </c>
      <c r="O107" s="22" t="str">
        <f>'[1]4нед'!H47</f>
        <v/>
      </c>
      <c r="P107" s="57" t="str">
        <f t="shared" si="4"/>
        <v/>
      </c>
    </row>
    <row r="108" spans="1:16" ht="31.5" x14ac:dyDescent="0.2">
      <c r="A108" s="82"/>
      <c r="B108" s="85"/>
      <c r="C108" s="14" t="s">
        <v>22</v>
      </c>
      <c r="D108" s="20">
        <f>'[1]3нед'!C48</f>
        <v>0</v>
      </c>
      <c r="E108" s="23">
        <f>'[1]3нед'!D48</f>
        <v>0</v>
      </c>
      <c r="F108" s="21">
        <f>'[1]3нед'!G48</f>
        <v>0</v>
      </c>
      <c r="G108" s="22" t="str">
        <f>'[1]3нед'!H48</f>
        <v/>
      </c>
      <c r="H108" s="57" t="str">
        <f t="shared" si="3"/>
        <v/>
      </c>
      <c r="I108" s="71"/>
      <c r="J108" s="88"/>
      <c r="K108" s="14" t="s">
        <v>22</v>
      </c>
      <c r="L108" s="20">
        <f>'[1]4нед'!C48</f>
        <v>0</v>
      </c>
      <c r="M108" s="23">
        <f>'[1]4нед'!D48</f>
        <v>0</v>
      </c>
      <c r="N108" s="21">
        <f>'[1]4нед'!G48</f>
        <v>0</v>
      </c>
      <c r="O108" s="22" t="str">
        <f>'[1]4нед'!H48</f>
        <v/>
      </c>
      <c r="P108" s="57" t="str">
        <f t="shared" si="4"/>
        <v/>
      </c>
    </row>
    <row r="109" spans="1:16" ht="35.85" customHeight="1" x14ac:dyDescent="0.2">
      <c r="A109" s="82"/>
      <c r="B109" s="85"/>
      <c r="C109" s="14" t="s">
        <v>23</v>
      </c>
      <c r="D109" s="20">
        <f>'[1]3нед'!C49</f>
        <v>0</v>
      </c>
      <c r="E109" s="23">
        <f>'[1]3нед'!D49</f>
        <v>0</v>
      </c>
      <c r="F109" s="21">
        <f>'[1]3нед'!G49</f>
        <v>0</v>
      </c>
      <c r="G109" s="22" t="str">
        <f>'[1]3нед'!H49</f>
        <v/>
      </c>
      <c r="H109" s="57" t="str">
        <f t="shared" si="3"/>
        <v/>
      </c>
      <c r="I109" s="71"/>
      <c r="J109" s="88"/>
      <c r="K109" s="14" t="s">
        <v>23</v>
      </c>
      <c r="L109" s="20">
        <f>'[1]4нед'!C49</f>
        <v>0</v>
      </c>
      <c r="M109" s="23">
        <f>'[1]4нед'!D49</f>
        <v>0</v>
      </c>
      <c r="N109" s="21">
        <f>'[1]4нед'!G49</f>
        <v>0</v>
      </c>
      <c r="O109" s="22" t="str">
        <f>'[1]4нед'!H49</f>
        <v/>
      </c>
      <c r="P109" s="57" t="str">
        <f t="shared" si="4"/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'[1]3нед'!C50</f>
        <v>0</v>
      </c>
      <c r="E110" s="23">
        <f>'[1]3нед'!D50</f>
        <v>0</v>
      </c>
      <c r="F110" s="21">
        <f>'[1]3нед'!G50</f>
        <v>0</v>
      </c>
      <c r="G110" s="22" t="str">
        <f>'[1]3нед'!H50</f>
        <v/>
      </c>
      <c r="H110" s="57" t="str">
        <f t="shared" si="3"/>
        <v/>
      </c>
      <c r="I110" s="71"/>
      <c r="J110" s="88"/>
      <c r="K110" s="14" t="s">
        <v>24</v>
      </c>
      <c r="L110" s="20">
        <f>'[1]4нед'!C50</f>
        <v>0</v>
      </c>
      <c r="M110" s="23">
        <f>'[1]4нед'!D50</f>
        <v>0</v>
      </c>
      <c r="N110" s="21">
        <f>'[1]4нед'!G50</f>
        <v>0</v>
      </c>
      <c r="O110" s="22" t="str">
        <f>'[1]4нед'!H50</f>
        <v/>
      </c>
      <c r="P110" s="57" t="str">
        <f t="shared" si="4"/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'[1]3нед'!C51</f>
        <v>0</v>
      </c>
      <c r="E111" s="25">
        <f>'[1]3нед'!D51</f>
        <v>0</v>
      </c>
      <c r="F111" s="26">
        <f>'[1]3нед'!G51</f>
        <v>0</v>
      </c>
      <c r="G111" s="27" t="str">
        <f>'[1]3нед'!H51</f>
        <v/>
      </c>
      <c r="H111" s="58" t="str">
        <f t="shared" si="3"/>
        <v/>
      </c>
      <c r="I111" s="72"/>
      <c r="J111" s="89"/>
      <c r="K111" s="15"/>
      <c r="L111" s="24">
        <f>'[1]4нед'!C51</f>
        <v>0</v>
      </c>
      <c r="M111" s="25">
        <f>'[1]4нед'!D51</f>
        <v>0</v>
      </c>
      <c r="N111" s="26">
        <f>'[1]4нед'!G51</f>
        <v>0</v>
      </c>
      <c r="O111" s="27" t="str">
        <f>'[1]4нед'!H51</f>
        <v/>
      </c>
      <c r="P111" s="58" t="str">
        <f t="shared" si="4"/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'[1]3нед'!C52</f>
        <v>0</v>
      </c>
      <c r="E112" s="19">
        <f>'[1]3нед'!D52</f>
        <v>0</v>
      </c>
      <c r="F112" s="17">
        <f>'[1]3нед'!G52</f>
        <v>0</v>
      </c>
      <c r="G112" s="18" t="str">
        <f>'[1]3нед'!H52</f>
        <v/>
      </c>
      <c r="H112" s="56" t="str">
        <f t="shared" si="3"/>
        <v/>
      </c>
      <c r="I112" s="70">
        <v>46291</v>
      </c>
      <c r="J112" s="87" t="s">
        <v>29</v>
      </c>
      <c r="K112" s="29" t="s">
        <v>18</v>
      </c>
      <c r="L112" s="16">
        <f>'[1]4нед'!C52</f>
        <v>0</v>
      </c>
      <c r="M112" s="19">
        <f>'[1]4нед'!D52</f>
        <v>0</v>
      </c>
      <c r="N112" s="17">
        <f>'[1]4нед'!G52</f>
        <v>0</v>
      </c>
      <c r="O112" s="18" t="str">
        <f>'[1]4нед'!H52</f>
        <v/>
      </c>
      <c r="P112" s="56" t="str">
        <f t="shared" si="4"/>
        <v/>
      </c>
    </row>
    <row r="113" spans="1:16" ht="31.5" x14ac:dyDescent="0.2">
      <c r="A113" s="82"/>
      <c r="B113" s="85"/>
      <c r="C113" s="14" t="s">
        <v>19</v>
      </c>
      <c r="D113" s="20">
        <f>'[1]3нед'!C53</f>
        <v>0</v>
      </c>
      <c r="E113" s="23">
        <f>'[1]3нед'!D53</f>
        <v>0</v>
      </c>
      <c r="F113" s="21">
        <f>'[1]3нед'!G53</f>
        <v>0</v>
      </c>
      <c r="G113" s="22" t="str">
        <f>'[1]3нед'!H53</f>
        <v/>
      </c>
      <c r="H113" s="57" t="str">
        <f t="shared" si="3"/>
        <v/>
      </c>
      <c r="I113" s="71"/>
      <c r="J113" s="88"/>
      <c r="K113" s="14" t="s">
        <v>19</v>
      </c>
      <c r="L113" s="20">
        <f>'[1]4нед'!C53</f>
        <v>0</v>
      </c>
      <c r="M113" s="23">
        <f>'[1]4нед'!D53</f>
        <v>0</v>
      </c>
      <c r="N113" s="21">
        <f>'[1]4нед'!G53</f>
        <v>0</v>
      </c>
      <c r="O113" s="22" t="str">
        <f>'[1]4нед'!H53</f>
        <v/>
      </c>
      <c r="P113" s="57" t="str">
        <f t="shared" si="4"/>
        <v/>
      </c>
    </row>
    <row r="114" spans="1:16" ht="31.5" x14ac:dyDescent="0.2">
      <c r="A114" s="82"/>
      <c r="B114" s="85"/>
      <c r="C114" s="14" t="s">
        <v>20</v>
      </c>
      <c r="D114" s="20">
        <f>'[1]3нед'!C54</f>
        <v>0</v>
      </c>
      <c r="E114" s="23">
        <f>'[1]3нед'!D54</f>
        <v>0</v>
      </c>
      <c r="F114" s="21">
        <f>'[1]3нед'!G54</f>
        <v>0</v>
      </c>
      <c r="G114" s="22" t="str">
        <f>'[1]3нед'!H54</f>
        <v/>
      </c>
      <c r="H114" s="57" t="str">
        <f t="shared" si="3"/>
        <v/>
      </c>
      <c r="I114" s="71"/>
      <c r="J114" s="88"/>
      <c r="K114" s="14" t="s">
        <v>20</v>
      </c>
      <c r="L114" s="20">
        <f>'[1]4нед'!C54</f>
        <v>0</v>
      </c>
      <c r="M114" s="23">
        <f>'[1]4нед'!D54</f>
        <v>0</v>
      </c>
      <c r="N114" s="21">
        <f>'[1]4нед'!G54</f>
        <v>0</v>
      </c>
      <c r="O114" s="22" t="str">
        <f>'[1]4нед'!H54</f>
        <v/>
      </c>
      <c r="P114" s="57" t="str">
        <f t="shared" si="4"/>
        <v/>
      </c>
    </row>
    <row r="115" spans="1:16" ht="31.5" x14ac:dyDescent="0.2">
      <c r="A115" s="82"/>
      <c r="B115" s="85"/>
      <c r="C115" s="14" t="s">
        <v>21</v>
      </c>
      <c r="D115" s="20">
        <f>'[1]3нед'!C55</f>
        <v>0</v>
      </c>
      <c r="E115" s="23">
        <f>'[1]3нед'!D55</f>
        <v>0</v>
      </c>
      <c r="F115" s="21">
        <f>'[1]3нед'!G55</f>
        <v>0</v>
      </c>
      <c r="G115" s="22" t="str">
        <f>'[1]3нед'!H55</f>
        <v/>
      </c>
      <c r="H115" s="57" t="str">
        <f t="shared" si="3"/>
        <v/>
      </c>
      <c r="I115" s="71"/>
      <c r="J115" s="88"/>
      <c r="K115" s="14" t="s">
        <v>21</v>
      </c>
      <c r="L115" s="20">
        <f>'[1]4нед'!C55</f>
        <v>0</v>
      </c>
      <c r="M115" s="23">
        <f>'[1]4нед'!D55</f>
        <v>0</v>
      </c>
      <c r="N115" s="21">
        <f>'[1]4нед'!G55</f>
        <v>0</v>
      </c>
      <c r="O115" s="22" t="str">
        <f>'[1]4нед'!H55</f>
        <v/>
      </c>
      <c r="P115" s="57" t="str">
        <f t="shared" si="4"/>
        <v/>
      </c>
    </row>
    <row r="116" spans="1:16" ht="31.5" x14ac:dyDescent="0.2">
      <c r="A116" s="82"/>
      <c r="B116" s="85"/>
      <c r="C116" s="14" t="s">
        <v>22</v>
      </c>
      <c r="D116" s="20">
        <f>'[1]3нед'!C56</f>
        <v>0</v>
      </c>
      <c r="E116" s="23">
        <f>'[1]3нед'!D56</f>
        <v>0</v>
      </c>
      <c r="F116" s="21">
        <f>'[1]3нед'!G56</f>
        <v>0</v>
      </c>
      <c r="G116" s="22" t="str">
        <f>'[1]3нед'!H56</f>
        <v/>
      </c>
      <c r="H116" s="57" t="str">
        <f t="shared" si="3"/>
        <v/>
      </c>
      <c r="I116" s="71"/>
      <c r="J116" s="88"/>
      <c r="K116" s="14" t="s">
        <v>22</v>
      </c>
      <c r="L116" s="20">
        <f>'[1]4нед'!C56</f>
        <v>0</v>
      </c>
      <c r="M116" s="23">
        <f>'[1]4нед'!D56</f>
        <v>0</v>
      </c>
      <c r="N116" s="21">
        <f>'[1]4нед'!G56</f>
        <v>0</v>
      </c>
      <c r="O116" s="22" t="str">
        <f>'[1]4нед'!H56</f>
        <v/>
      </c>
      <c r="P116" s="57" t="str">
        <f t="shared" si="4"/>
        <v/>
      </c>
    </row>
    <row r="117" spans="1:16" ht="31.5" x14ac:dyDescent="0.2">
      <c r="A117" s="82"/>
      <c r="B117" s="85"/>
      <c r="C117" s="14" t="s">
        <v>23</v>
      </c>
      <c r="D117" s="20">
        <f>'[1]3нед'!C57</f>
        <v>0</v>
      </c>
      <c r="E117" s="23">
        <f>'[1]3нед'!D57</f>
        <v>0</v>
      </c>
      <c r="F117" s="21">
        <f>'[1]3нед'!G57</f>
        <v>0</v>
      </c>
      <c r="G117" s="22" t="str">
        <f>'[1]3нед'!H57</f>
        <v/>
      </c>
      <c r="H117" s="57" t="str">
        <f t="shared" si="3"/>
        <v/>
      </c>
      <c r="I117" s="71"/>
      <c r="J117" s="88"/>
      <c r="K117" s="14" t="s">
        <v>23</v>
      </c>
      <c r="L117" s="20">
        <f>'[1]4нед'!C57</f>
        <v>0</v>
      </c>
      <c r="M117" s="23">
        <f>'[1]4нед'!D57</f>
        <v>0</v>
      </c>
      <c r="N117" s="21">
        <f>'[1]4нед'!G57</f>
        <v>0</v>
      </c>
      <c r="O117" s="22" t="str">
        <f>'[1]4нед'!H57</f>
        <v/>
      </c>
      <c r="P117" s="57" t="str">
        <f t="shared" si="4"/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'[1]3нед'!C58</f>
        <v>0</v>
      </c>
      <c r="E118" s="23">
        <f>'[1]3нед'!D58</f>
        <v>0</v>
      </c>
      <c r="F118" s="21">
        <f>'[1]3нед'!G58</f>
        <v>0</v>
      </c>
      <c r="G118" s="22" t="str">
        <f>'[1]3нед'!H58</f>
        <v/>
      </c>
      <c r="H118" s="57" t="str">
        <f t="shared" si="3"/>
        <v/>
      </c>
      <c r="I118" s="71"/>
      <c r="J118" s="88"/>
      <c r="K118" s="14" t="s">
        <v>24</v>
      </c>
      <c r="L118" s="20">
        <f>'[1]4нед'!C58</f>
        <v>0</v>
      </c>
      <c r="M118" s="23">
        <f>'[1]4нед'!D58</f>
        <v>0</v>
      </c>
      <c r="N118" s="21">
        <f>'[1]4нед'!G58</f>
        <v>0</v>
      </c>
      <c r="O118" s="22" t="str">
        <f>'[1]4нед'!H58</f>
        <v/>
      </c>
      <c r="P118" s="57" t="str">
        <f t="shared" si="4"/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00</v>
      </c>
      <c r="F127" s="7"/>
      <c r="G127" s="7">
        <f>G7</f>
        <v>0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00</v>
      </c>
      <c r="N127" s="7"/>
      <c r="O127" s="7">
        <f>G7</f>
        <v>0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5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'[3]5нед'!C12</f>
        <v>0</v>
      </c>
      <c r="E132" s="19">
        <f>'[3]5нед'!D12</f>
        <v>0</v>
      </c>
      <c r="F132" s="17">
        <f>'[3]5нед'!G12</f>
        <v>0</v>
      </c>
      <c r="G132" s="18" t="str">
        <f>'[3]5нед'!H12</f>
        <v/>
      </c>
      <c r="H132" s="56" t="str">
        <f>HYPERLINK(VLOOKUP(E132,$R$12:$S$332,2,FALSE))</f>
        <v/>
      </c>
      <c r="I132" s="70">
        <v>46300</v>
      </c>
      <c r="J132" s="87" t="s">
        <v>17</v>
      </c>
      <c r="K132" s="14" t="s">
        <v>18</v>
      </c>
      <c r="L132" s="16">
        <f>'[3]6нед'!C12</f>
        <v>0</v>
      </c>
      <c r="M132" s="19">
        <f>'[3]6нед'!D12</f>
        <v>0</v>
      </c>
      <c r="N132" s="17">
        <f>'[3]6нед'!G12</f>
        <v>0</v>
      </c>
      <c r="O132" s="18" t="str">
        <f>'[3]6нед'!H12</f>
        <v/>
      </c>
      <c r="P132" s="56" t="str">
        <f>HYPERLINK(VLOOKUP(M132,$R$12:$S$332,2,FALSE))</f>
        <v/>
      </c>
    </row>
    <row r="133" spans="1:16" ht="31.5" x14ac:dyDescent="0.2">
      <c r="A133" s="82"/>
      <c r="B133" s="85"/>
      <c r="C133" s="14" t="s">
        <v>19</v>
      </c>
      <c r="D133" s="20">
        <f>'[3]5нед'!C13</f>
        <v>0</v>
      </c>
      <c r="E133" s="23">
        <f>'[3]5нед'!D13</f>
        <v>0</v>
      </c>
      <c r="F133" s="21">
        <f>'[3]5нед'!G13</f>
        <v>0</v>
      </c>
      <c r="G133" s="22" t="str">
        <f>'[3]5нед'!H13</f>
        <v/>
      </c>
      <c r="H133" s="57" t="str">
        <f t="shared" ref="H133:H178" si="6">HYPERLINK(VLOOKUP(E133,$R$12:$S$332,2,FALSE))</f>
        <v/>
      </c>
      <c r="I133" s="71"/>
      <c r="J133" s="88"/>
      <c r="K133" s="14" t="s">
        <v>19</v>
      </c>
      <c r="L133" s="20">
        <f>'[3]6нед'!C13</f>
        <v>0</v>
      </c>
      <c r="M133" s="23">
        <f>'[3]6нед'!D13</f>
        <v>0</v>
      </c>
      <c r="N133" s="21">
        <f>'[3]6нед'!G13</f>
        <v>0</v>
      </c>
      <c r="O133" s="22" t="str">
        <f>'[3]6нед'!H13</f>
        <v/>
      </c>
      <c r="P133" s="57" t="str">
        <f t="shared" ref="P133:P178" si="7">HYPERLINK(VLOOKUP(M133,$R$12:$S$332,2,FALSE))</f>
        <v/>
      </c>
    </row>
    <row r="134" spans="1:16" ht="31.5" x14ac:dyDescent="0.2">
      <c r="A134" s="82"/>
      <c r="B134" s="85"/>
      <c r="C134" s="14" t="s">
        <v>20</v>
      </c>
      <c r="D134" s="20">
        <f>'[3]5нед'!C14</f>
        <v>0</v>
      </c>
      <c r="E134" s="23">
        <f>'[3]5нед'!D14</f>
        <v>0</v>
      </c>
      <c r="F134" s="21">
        <f>'[3]5нед'!G14</f>
        <v>0</v>
      </c>
      <c r="G134" s="22" t="str">
        <f>'[3]5нед'!H14</f>
        <v/>
      </c>
      <c r="H134" s="57" t="str">
        <f t="shared" si="6"/>
        <v/>
      </c>
      <c r="I134" s="71"/>
      <c r="J134" s="88"/>
      <c r="K134" s="14" t="s">
        <v>20</v>
      </c>
      <c r="L134" s="20">
        <f>'[3]6нед'!C14</f>
        <v>0</v>
      </c>
      <c r="M134" s="23">
        <f>'[3]6нед'!D14</f>
        <v>0</v>
      </c>
      <c r="N134" s="21">
        <f>'[3]6нед'!G14</f>
        <v>0</v>
      </c>
      <c r="O134" s="22" t="str">
        <f>'[3]6нед'!H14</f>
        <v/>
      </c>
      <c r="P134" s="57" t="str">
        <f t="shared" si="7"/>
        <v/>
      </c>
    </row>
    <row r="135" spans="1:16" ht="31.5" x14ac:dyDescent="0.2">
      <c r="A135" s="82"/>
      <c r="B135" s="85"/>
      <c r="C135" s="14" t="s">
        <v>21</v>
      </c>
      <c r="D135" s="20">
        <f>'[3]5нед'!C15</f>
        <v>0</v>
      </c>
      <c r="E135" s="23">
        <f>'[3]5нед'!D15</f>
        <v>0</v>
      </c>
      <c r="F135" s="21">
        <f>'[3]5нед'!G15</f>
        <v>0</v>
      </c>
      <c r="G135" s="22" t="str">
        <f>'[3]5нед'!H15</f>
        <v/>
      </c>
      <c r="H135" s="57" t="str">
        <f t="shared" si="6"/>
        <v/>
      </c>
      <c r="I135" s="71"/>
      <c r="J135" s="88"/>
      <c r="K135" s="14" t="s">
        <v>21</v>
      </c>
      <c r="L135" s="20">
        <f>'[3]6нед'!C15</f>
        <v>0</v>
      </c>
      <c r="M135" s="23">
        <f>'[3]6нед'!D15</f>
        <v>0</v>
      </c>
      <c r="N135" s="21">
        <f>'[3]6нед'!G15</f>
        <v>0</v>
      </c>
      <c r="O135" s="22" t="str">
        <f>'[3]6нед'!H15</f>
        <v/>
      </c>
      <c r="P135" s="57" t="str">
        <f t="shared" si="7"/>
        <v/>
      </c>
    </row>
    <row r="136" spans="1:16" ht="31.5" x14ac:dyDescent="0.2">
      <c r="A136" s="82"/>
      <c r="B136" s="85"/>
      <c r="C136" s="14" t="s">
        <v>22</v>
      </c>
      <c r="D136" s="20">
        <f>'[3]5нед'!C16</f>
        <v>0</v>
      </c>
      <c r="E136" s="23">
        <f>'[3]5нед'!D16</f>
        <v>0</v>
      </c>
      <c r="F136" s="21">
        <f>'[3]5нед'!G16</f>
        <v>0</v>
      </c>
      <c r="G136" s="22" t="str">
        <f>'[3]5нед'!H16</f>
        <v/>
      </c>
      <c r="H136" s="57" t="str">
        <f t="shared" si="6"/>
        <v/>
      </c>
      <c r="I136" s="71"/>
      <c r="J136" s="88"/>
      <c r="K136" s="14" t="s">
        <v>22</v>
      </c>
      <c r="L136" s="20">
        <f>'[3]6нед'!C16</f>
        <v>0</v>
      </c>
      <c r="M136" s="23">
        <f>'[3]6нед'!D16</f>
        <v>0</v>
      </c>
      <c r="N136" s="21">
        <f>'[3]6нед'!G16</f>
        <v>0</v>
      </c>
      <c r="O136" s="22" t="str">
        <f>'[3]6нед'!H16</f>
        <v/>
      </c>
      <c r="P136" s="57" t="str">
        <f t="shared" si="7"/>
        <v/>
      </c>
    </row>
    <row r="137" spans="1:16" ht="31.5" x14ac:dyDescent="0.2">
      <c r="A137" s="82"/>
      <c r="B137" s="85"/>
      <c r="C137" s="14" t="s">
        <v>23</v>
      </c>
      <c r="D137" s="20">
        <f>'[3]5нед'!C17</f>
        <v>0</v>
      </c>
      <c r="E137" s="23">
        <f>'[3]5нед'!D17</f>
        <v>0</v>
      </c>
      <c r="F137" s="21">
        <f>'[3]5нед'!G17</f>
        <v>0</v>
      </c>
      <c r="G137" s="22" t="str">
        <f>'[3]5нед'!H17</f>
        <v/>
      </c>
      <c r="H137" s="55" t="str">
        <f t="shared" si="6"/>
        <v/>
      </c>
      <c r="I137" s="71"/>
      <c r="J137" s="88"/>
      <c r="K137" s="14" t="s">
        <v>23</v>
      </c>
      <c r="L137" s="20">
        <f>'[3]6нед'!C17</f>
        <v>0</v>
      </c>
      <c r="M137" s="23">
        <f>'[3]6нед'!D17</f>
        <v>0</v>
      </c>
      <c r="N137" s="21">
        <f>'[3]6нед'!G17</f>
        <v>0</v>
      </c>
      <c r="O137" s="22" t="str">
        <f>'[3]6нед'!H17</f>
        <v/>
      </c>
      <c r="P137" s="55" t="str">
        <f t="shared" si="7"/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'[3]5нед'!C18</f>
        <v>0</v>
      </c>
      <c r="E138" s="23">
        <f>'[3]5нед'!D18</f>
        <v>0</v>
      </c>
      <c r="F138" s="21">
        <f>'[3]5нед'!G18</f>
        <v>0</v>
      </c>
      <c r="G138" s="22" t="str">
        <f>'[3]5нед'!H18</f>
        <v/>
      </c>
      <c r="H138" s="55" t="str">
        <f t="shared" si="6"/>
        <v/>
      </c>
      <c r="I138" s="71"/>
      <c r="J138" s="88"/>
      <c r="K138" s="14" t="s">
        <v>24</v>
      </c>
      <c r="L138" s="20">
        <f>'[3]6нед'!C18</f>
        <v>0</v>
      </c>
      <c r="M138" s="23">
        <f>'[3]6нед'!D18</f>
        <v>0</v>
      </c>
      <c r="N138" s="21">
        <f>'[3]6нед'!G18</f>
        <v>0</v>
      </c>
      <c r="O138" s="22" t="str">
        <f>'[3]6нед'!H18</f>
        <v/>
      </c>
      <c r="P138" s="55" t="str">
        <f t="shared" si="7"/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'[3]5нед'!C19</f>
        <v>0</v>
      </c>
      <c r="E139" s="25">
        <f>'[3]5нед'!D19</f>
        <v>0</v>
      </c>
      <c r="F139" s="26">
        <f>'[3]5нед'!G19</f>
        <v>0</v>
      </c>
      <c r="G139" s="27" t="str">
        <f>'[3]5нед'!H19</f>
        <v/>
      </c>
      <c r="H139" s="58" t="str">
        <f t="shared" si="6"/>
        <v/>
      </c>
      <c r="I139" s="72"/>
      <c r="J139" s="89"/>
      <c r="K139" s="15"/>
      <c r="L139" s="24">
        <f>'[3]6нед'!C19</f>
        <v>0</v>
      </c>
      <c r="M139" s="25">
        <f>'[3]6нед'!D19</f>
        <v>0</v>
      </c>
      <c r="N139" s="26">
        <f>'[3]6нед'!G19</f>
        <v>0</v>
      </c>
      <c r="O139" s="27" t="str">
        <f>'[3]6нед'!H19</f>
        <v/>
      </c>
      <c r="P139" s="58" t="str">
        <f t="shared" si="7"/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</f>
        <v>0</v>
      </c>
      <c r="E140" s="19">
        <f>'[3]5нед'!D20</f>
        <v>0</v>
      </c>
      <c r="F140" s="17">
        <f>'[3]5нед'!G20</f>
        <v>0</v>
      </c>
      <c r="G140" s="18" t="str">
        <f>'[3]5нед'!H20</f>
        <v/>
      </c>
      <c r="H140" s="56" t="str">
        <f t="shared" si="6"/>
        <v/>
      </c>
      <c r="I140" s="70">
        <v>46301</v>
      </c>
      <c r="J140" s="87" t="s">
        <v>25</v>
      </c>
      <c r="K140" s="29" t="s">
        <v>18</v>
      </c>
      <c r="L140" s="16">
        <f>'[3]6нед'!C20</f>
        <v>0</v>
      </c>
      <c r="M140" s="19">
        <f>'[3]6нед'!D20</f>
        <v>0</v>
      </c>
      <c r="N140" s="17">
        <f>'[3]6нед'!G20</f>
        <v>0</v>
      </c>
      <c r="O140" s="18" t="str">
        <f>'[3]6нед'!H20</f>
        <v/>
      </c>
      <c r="P140" s="56" t="str">
        <f t="shared" si="7"/>
        <v/>
      </c>
    </row>
    <row r="141" spans="1:16" ht="31.5" x14ac:dyDescent="0.2">
      <c r="A141" s="82"/>
      <c r="B141" s="85"/>
      <c r="C141" s="14" t="s">
        <v>19</v>
      </c>
      <c r="D141" s="20">
        <f>'[3]5нед'!C21</f>
        <v>0</v>
      </c>
      <c r="E141" s="23">
        <f>'[3]5нед'!D21</f>
        <v>0</v>
      </c>
      <c r="F141" s="21">
        <f>'[3]5нед'!G21</f>
        <v>0</v>
      </c>
      <c r="G141" s="22" t="str">
        <f>'[3]5нед'!H21</f>
        <v/>
      </c>
      <c r="H141" s="57" t="str">
        <f t="shared" si="6"/>
        <v/>
      </c>
      <c r="I141" s="71"/>
      <c r="J141" s="88"/>
      <c r="K141" s="14" t="s">
        <v>19</v>
      </c>
      <c r="L141" s="20">
        <f>'[3]6нед'!C21</f>
        <v>0</v>
      </c>
      <c r="M141" s="23">
        <f>'[3]6нед'!D21</f>
        <v>0</v>
      </c>
      <c r="N141" s="21">
        <f>'[3]6нед'!G21</f>
        <v>0</v>
      </c>
      <c r="O141" s="22" t="str">
        <f>'[3]6нед'!H21</f>
        <v/>
      </c>
      <c r="P141" s="57" t="str">
        <f t="shared" si="7"/>
        <v/>
      </c>
    </row>
    <row r="142" spans="1:16" ht="31.5" x14ac:dyDescent="0.2">
      <c r="A142" s="82"/>
      <c r="B142" s="85"/>
      <c r="C142" s="14" t="s">
        <v>20</v>
      </c>
      <c r="D142" s="20">
        <f>'[3]5нед'!C22</f>
        <v>0</v>
      </c>
      <c r="E142" s="23">
        <f>'[3]5нед'!D22</f>
        <v>0</v>
      </c>
      <c r="F142" s="21">
        <f>'[3]5нед'!G22</f>
        <v>0</v>
      </c>
      <c r="G142" s="22" t="str">
        <f>'[3]5нед'!H22</f>
        <v/>
      </c>
      <c r="H142" s="57" t="str">
        <f t="shared" si="6"/>
        <v/>
      </c>
      <c r="I142" s="71"/>
      <c r="J142" s="88"/>
      <c r="K142" s="14" t="s">
        <v>20</v>
      </c>
      <c r="L142" s="20">
        <f>'[3]6нед'!C22</f>
        <v>0</v>
      </c>
      <c r="M142" s="23">
        <f>'[3]6нед'!D22</f>
        <v>0</v>
      </c>
      <c r="N142" s="21">
        <f>'[3]6нед'!G22</f>
        <v>0</v>
      </c>
      <c r="O142" s="22" t="str">
        <f>'[3]6нед'!H22</f>
        <v/>
      </c>
      <c r="P142" s="57" t="str">
        <f t="shared" si="7"/>
        <v/>
      </c>
    </row>
    <row r="143" spans="1:16" ht="31.5" x14ac:dyDescent="0.2">
      <c r="A143" s="82"/>
      <c r="B143" s="85"/>
      <c r="C143" s="14" t="s">
        <v>21</v>
      </c>
      <c r="D143" s="20">
        <f>'[3]5нед'!C23</f>
        <v>0</v>
      </c>
      <c r="E143" s="23">
        <f>'[3]5нед'!D23</f>
        <v>0</v>
      </c>
      <c r="F143" s="21">
        <f>'[3]5нед'!G23</f>
        <v>0</v>
      </c>
      <c r="G143" s="22" t="str">
        <f>'[3]5нед'!H23</f>
        <v/>
      </c>
      <c r="H143" s="57" t="str">
        <f t="shared" si="6"/>
        <v/>
      </c>
      <c r="I143" s="71"/>
      <c r="J143" s="88"/>
      <c r="K143" s="14" t="s">
        <v>21</v>
      </c>
      <c r="L143" s="20">
        <f>'[3]6нед'!C23</f>
        <v>0</v>
      </c>
      <c r="M143" s="23">
        <f>'[3]6нед'!D23</f>
        <v>0</v>
      </c>
      <c r="N143" s="21">
        <f>'[3]6нед'!G23</f>
        <v>0</v>
      </c>
      <c r="O143" s="22" t="str">
        <f>'[3]6нед'!H23</f>
        <v/>
      </c>
      <c r="P143" s="57" t="str">
        <f t="shared" si="7"/>
        <v/>
      </c>
    </row>
    <row r="144" spans="1:16" ht="31.5" x14ac:dyDescent="0.2">
      <c r="A144" s="82"/>
      <c r="B144" s="85"/>
      <c r="C144" s="14" t="s">
        <v>22</v>
      </c>
      <c r="D144" s="20">
        <f>'[3]5нед'!C24</f>
        <v>0</v>
      </c>
      <c r="E144" s="23">
        <f>'[3]5нед'!D24</f>
        <v>0</v>
      </c>
      <c r="F144" s="21">
        <f>'[3]5нед'!G24</f>
        <v>0</v>
      </c>
      <c r="G144" s="22" t="str">
        <f>'[3]5нед'!H24</f>
        <v/>
      </c>
      <c r="H144" s="57" t="str">
        <f t="shared" si="6"/>
        <v/>
      </c>
      <c r="I144" s="71"/>
      <c r="J144" s="88"/>
      <c r="K144" s="14" t="s">
        <v>22</v>
      </c>
      <c r="L144" s="20">
        <f>'[3]6нед'!C24</f>
        <v>0</v>
      </c>
      <c r="M144" s="23">
        <f>'[3]6нед'!D24</f>
        <v>0</v>
      </c>
      <c r="N144" s="21">
        <f>'[3]6нед'!G24</f>
        <v>0</v>
      </c>
      <c r="O144" s="22" t="str">
        <f>'[3]6нед'!H24</f>
        <v/>
      </c>
      <c r="P144" s="57" t="str">
        <f t="shared" si="7"/>
        <v/>
      </c>
    </row>
    <row r="145" spans="1:16" ht="31.5" x14ac:dyDescent="0.2">
      <c r="A145" s="82"/>
      <c r="B145" s="85"/>
      <c r="C145" s="14" t="s">
        <v>23</v>
      </c>
      <c r="D145" s="20">
        <f>'[3]5нед'!C25</f>
        <v>0</v>
      </c>
      <c r="E145" s="23">
        <f>'[3]5нед'!D25</f>
        <v>0</v>
      </c>
      <c r="F145" s="21">
        <f>'[3]5нед'!G25</f>
        <v>0</v>
      </c>
      <c r="G145" s="22" t="str">
        <f>'[3]5нед'!H25</f>
        <v/>
      </c>
      <c r="H145" s="57" t="str">
        <f t="shared" si="6"/>
        <v/>
      </c>
      <c r="I145" s="71"/>
      <c r="J145" s="88"/>
      <c r="K145" s="14" t="s">
        <v>23</v>
      </c>
      <c r="L145" s="20">
        <f>'[3]6нед'!C25</f>
        <v>0</v>
      </c>
      <c r="M145" s="23">
        <f>'[3]6нед'!D25</f>
        <v>0</v>
      </c>
      <c r="N145" s="21">
        <f>'[3]6нед'!G25</f>
        <v>0</v>
      </c>
      <c r="O145" s="22" t="str">
        <f>'[3]6нед'!H25</f>
        <v/>
      </c>
      <c r="P145" s="57" t="str">
        <f t="shared" si="7"/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'[3]5нед'!C26</f>
        <v>0</v>
      </c>
      <c r="E146" s="23">
        <f>'[3]5нед'!D26</f>
        <v>0</v>
      </c>
      <c r="F146" s="21">
        <f>'[3]5нед'!G26</f>
        <v>0</v>
      </c>
      <c r="G146" s="22" t="str">
        <f>'[3]5нед'!H26</f>
        <v/>
      </c>
      <c r="H146" s="57" t="str">
        <f t="shared" si="6"/>
        <v/>
      </c>
      <c r="I146" s="71"/>
      <c r="J146" s="88"/>
      <c r="K146" s="14" t="s">
        <v>24</v>
      </c>
      <c r="L146" s="20">
        <f>'[3]6нед'!C26</f>
        <v>0</v>
      </c>
      <c r="M146" s="23">
        <f>'[3]6нед'!D26</f>
        <v>0</v>
      </c>
      <c r="N146" s="21">
        <f>'[3]6нед'!G26</f>
        <v>0</v>
      </c>
      <c r="O146" s="22" t="str">
        <f>'[3]6нед'!H26</f>
        <v/>
      </c>
      <c r="P146" s="57" t="str">
        <f t="shared" si="7"/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'[3]5нед'!C27</f>
        <v>0</v>
      </c>
      <c r="E147" s="25">
        <f>'[3]5нед'!D27</f>
        <v>0</v>
      </c>
      <c r="F147" s="26">
        <f>'[3]5нед'!G27</f>
        <v>0</v>
      </c>
      <c r="G147" s="27" t="str">
        <f>'[3]5нед'!H27</f>
        <v/>
      </c>
      <c r="H147" s="58" t="str">
        <f t="shared" si="6"/>
        <v/>
      </c>
      <c r="I147" s="72"/>
      <c r="J147" s="89"/>
      <c r="K147" s="15"/>
      <c r="L147" s="24">
        <f>'[3]6нед'!C27</f>
        <v>0</v>
      </c>
      <c r="M147" s="25">
        <f>'[3]6нед'!D27</f>
        <v>0</v>
      </c>
      <c r="N147" s="26">
        <f>'[3]6нед'!G27</f>
        <v>0</v>
      </c>
      <c r="O147" s="27" t="str">
        <f>'[3]6нед'!H27</f>
        <v/>
      </c>
      <c r="P147" s="58" t="str">
        <f t="shared" si="7"/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'[3]5нед'!C28</f>
        <v>0</v>
      </c>
      <c r="E148" s="94" t="s">
        <v>32</v>
      </c>
      <c r="F148" s="17">
        <f>'[3]5нед'!G28</f>
        <v>0</v>
      </c>
      <c r="G148" s="18" t="str">
        <f>'[3]5нед'!H28</f>
        <v/>
      </c>
      <c r="H148" s="56" t="e">
        <f t="shared" si="6"/>
        <v>#N/A</v>
      </c>
      <c r="I148" s="70">
        <v>46302</v>
      </c>
      <c r="J148" s="73" t="s">
        <v>26</v>
      </c>
      <c r="K148" s="29" t="s">
        <v>18</v>
      </c>
      <c r="L148" s="16">
        <f>'[3]6нед'!C28</f>
        <v>0</v>
      </c>
      <c r="M148" s="19">
        <f>'[3]6нед'!D28</f>
        <v>0</v>
      </c>
      <c r="N148" s="17">
        <f>'[3]6нед'!G28</f>
        <v>0</v>
      </c>
      <c r="O148" s="18" t="str">
        <f>'[3]6нед'!H28</f>
        <v/>
      </c>
      <c r="P148" s="56" t="str">
        <f t="shared" si="7"/>
        <v/>
      </c>
    </row>
    <row r="149" spans="1:16" ht="31.5" x14ac:dyDescent="0.2">
      <c r="A149" s="82"/>
      <c r="B149" s="68"/>
      <c r="C149" s="14" t="s">
        <v>19</v>
      </c>
      <c r="D149" s="20">
        <f>'[3]5нед'!C29</f>
        <v>0</v>
      </c>
      <c r="E149" s="95"/>
      <c r="F149" s="21">
        <f>'[3]5нед'!G29</f>
        <v>0</v>
      </c>
      <c r="G149" s="22" t="str">
        <f>'[3]5нед'!H29</f>
        <v/>
      </c>
      <c r="H149" s="57" t="str">
        <f t="shared" si="6"/>
        <v/>
      </c>
      <c r="I149" s="71"/>
      <c r="J149" s="74"/>
      <c r="K149" s="14" t="s">
        <v>19</v>
      </c>
      <c r="L149" s="20">
        <f>'[3]6нед'!C29</f>
        <v>0</v>
      </c>
      <c r="M149" s="23">
        <f>'[3]6нед'!D29</f>
        <v>0</v>
      </c>
      <c r="N149" s="21">
        <f>'[3]6нед'!G29</f>
        <v>0</v>
      </c>
      <c r="O149" s="22" t="str">
        <f>'[3]6нед'!H29</f>
        <v/>
      </c>
      <c r="P149" s="57" t="str">
        <f t="shared" si="7"/>
        <v/>
      </c>
    </row>
    <row r="150" spans="1:16" ht="31.5" x14ac:dyDescent="0.2">
      <c r="A150" s="82"/>
      <c r="B150" s="68"/>
      <c r="C150" s="14" t="s">
        <v>20</v>
      </c>
      <c r="D150" s="20">
        <f>'[3]5нед'!C30</f>
        <v>0</v>
      </c>
      <c r="E150" s="95"/>
      <c r="F150" s="21">
        <f>'[3]5нед'!G30</f>
        <v>0</v>
      </c>
      <c r="G150" s="22" t="str">
        <f>'[3]5нед'!H30</f>
        <v/>
      </c>
      <c r="H150" s="57" t="str">
        <f t="shared" si="6"/>
        <v/>
      </c>
      <c r="I150" s="71"/>
      <c r="J150" s="74"/>
      <c r="K150" s="14" t="s">
        <v>20</v>
      </c>
      <c r="L150" s="20">
        <f>'[3]6нед'!C30</f>
        <v>0</v>
      </c>
      <c r="M150" s="23">
        <f>'[3]6нед'!D30</f>
        <v>0</v>
      </c>
      <c r="N150" s="21">
        <f>'[3]6нед'!G30</f>
        <v>0</v>
      </c>
      <c r="O150" s="22" t="str">
        <f>'[3]6нед'!H30</f>
        <v/>
      </c>
      <c r="P150" s="57" t="str">
        <f t="shared" si="7"/>
        <v/>
      </c>
    </row>
    <row r="151" spans="1:16" ht="31.5" x14ac:dyDescent="0.2">
      <c r="A151" s="82"/>
      <c r="B151" s="68"/>
      <c r="C151" s="14" t="s">
        <v>21</v>
      </c>
      <c r="D151" s="20">
        <f>'[3]5нед'!C31</f>
        <v>0</v>
      </c>
      <c r="E151" s="95"/>
      <c r="F151" s="21">
        <f>'[3]5нед'!G31</f>
        <v>0</v>
      </c>
      <c r="G151" s="22" t="str">
        <f>'[3]5нед'!H31</f>
        <v/>
      </c>
      <c r="H151" s="57" t="str">
        <f t="shared" si="6"/>
        <v/>
      </c>
      <c r="I151" s="71"/>
      <c r="J151" s="74"/>
      <c r="K151" s="14" t="s">
        <v>21</v>
      </c>
      <c r="L151" s="20">
        <f>'[3]6нед'!C31</f>
        <v>0</v>
      </c>
      <c r="M151" s="23">
        <f>'[3]6нед'!D31</f>
        <v>0</v>
      </c>
      <c r="N151" s="21">
        <f>'[3]6нед'!G31</f>
        <v>0</v>
      </c>
      <c r="O151" s="22" t="str">
        <f>'[3]6нед'!H31</f>
        <v/>
      </c>
      <c r="P151" s="57" t="str">
        <f t="shared" si="7"/>
        <v/>
      </c>
    </row>
    <row r="152" spans="1:16" ht="31.5" x14ac:dyDescent="0.2">
      <c r="A152" s="82"/>
      <c r="B152" s="68"/>
      <c r="C152" s="14" t="s">
        <v>22</v>
      </c>
      <c r="D152" s="20">
        <f>'[3]5нед'!C32</f>
        <v>0</v>
      </c>
      <c r="E152" s="95"/>
      <c r="F152" s="21">
        <f>'[3]5нед'!G32</f>
        <v>0</v>
      </c>
      <c r="G152" s="22" t="str">
        <f>'[3]5нед'!H32</f>
        <v/>
      </c>
      <c r="H152" s="57" t="str">
        <f t="shared" si="6"/>
        <v/>
      </c>
      <c r="I152" s="71"/>
      <c r="J152" s="74"/>
      <c r="K152" s="14" t="s">
        <v>22</v>
      </c>
      <c r="L152" s="20">
        <f>'[3]6нед'!C32</f>
        <v>0</v>
      </c>
      <c r="M152" s="23">
        <f>'[3]6нед'!D32</f>
        <v>0</v>
      </c>
      <c r="N152" s="21">
        <f>'[3]6нед'!G32</f>
        <v>0</v>
      </c>
      <c r="O152" s="22" t="str">
        <f>'[3]6нед'!H32</f>
        <v/>
      </c>
      <c r="P152" s="57" t="str">
        <f t="shared" si="7"/>
        <v/>
      </c>
    </row>
    <row r="153" spans="1:16" ht="31.5" x14ac:dyDescent="0.2">
      <c r="A153" s="82"/>
      <c r="B153" s="68"/>
      <c r="C153" s="14" t="s">
        <v>23</v>
      </c>
      <c r="D153" s="20">
        <f>'[3]5нед'!C33</f>
        <v>0</v>
      </c>
      <c r="E153" s="95"/>
      <c r="F153" s="21">
        <f>'[3]5нед'!G33</f>
        <v>0</v>
      </c>
      <c r="G153" s="22" t="str">
        <f>'[3]5нед'!H33</f>
        <v/>
      </c>
      <c r="H153" s="55" t="str">
        <f t="shared" si="6"/>
        <v/>
      </c>
      <c r="I153" s="71"/>
      <c r="J153" s="74"/>
      <c r="K153" s="14" t="s">
        <v>23</v>
      </c>
      <c r="L153" s="20">
        <f>'[3]6нед'!C33</f>
        <v>0</v>
      </c>
      <c r="M153" s="23">
        <f>'[3]6нед'!D33</f>
        <v>0</v>
      </c>
      <c r="N153" s="21">
        <f>'[3]6нед'!G33</f>
        <v>0</v>
      </c>
      <c r="O153" s="22" t="str">
        <f>'[3]6нед'!H33</f>
        <v/>
      </c>
      <c r="P153" s="55" t="str">
        <f t="shared" si="7"/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'[3]5нед'!C34</f>
        <v>0</v>
      </c>
      <c r="E154" s="96"/>
      <c r="F154" s="21">
        <f>'[3]5нед'!G34</f>
        <v>0</v>
      </c>
      <c r="G154" s="22" t="str">
        <f>'[3]5нед'!H34</f>
        <v/>
      </c>
      <c r="H154" s="55" t="str">
        <f t="shared" si="6"/>
        <v/>
      </c>
      <c r="I154" s="71"/>
      <c r="J154" s="74"/>
      <c r="K154" s="14" t="s">
        <v>24</v>
      </c>
      <c r="L154" s="20">
        <f>'[3]6нед'!C34</f>
        <v>0</v>
      </c>
      <c r="M154" s="23">
        <f>'[3]6нед'!D34</f>
        <v>0</v>
      </c>
      <c r="N154" s="21">
        <f>'[3]6нед'!G34</f>
        <v>0</v>
      </c>
      <c r="O154" s="22" t="str">
        <f>'[3]6нед'!H34</f>
        <v/>
      </c>
      <c r="P154" s="55" t="str">
        <f t="shared" si="7"/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'[3]5нед'!C35</f>
        <v>0</v>
      </c>
      <c r="E155" s="25">
        <f>'[3]5нед'!D35</f>
        <v>0</v>
      </c>
      <c r="F155" s="26">
        <f>'[3]5нед'!G35</f>
        <v>0</v>
      </c>
      <c r="G155" s="27" t="str">
        <f>'[3]5нед'!H35</f>
        <v/>
      </c>
      <c r="H155" s="58" t="str">
        <f t="shared" si="6"/>
        <v/>
      </c>
      <c r="I155" s="72"/>
      <c r="J155" s="75"/>
      <c r="K155" s="15"/>
      <c r="L155" s="24">
        <f>'[3]6нед'!C35</f>
        <v>0</v>
      </c>
      <c r="M155" s="25">
        <f>'[3]6нед'!D35</f>
        <v>0</v>
      </c>
      <c r="N155" s="26">
        <f>'[3]6нед'!G35</f>
        <v>0</v>
      </c>
      <c r="O155" s="27" t="str">
        <f>'[3]6нед'!H35</f>
        <v/>
      </c>
      <c r="P155" s="58" t="str">
        <f t="shared" si="7"/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'[3]5нед'!C36</f>
        <v>0</v>
      </c>
      <c r="E156" s="19">
        <f>'[3]5нед'!D36</f>
        <v>0</v>
      </c>
      <c r="F156" s="17">
        <f>'[3]5нед'!G36</f>
        <v>0</v>
      </c>
      <c r="G156" s="18" t="str">
        <f>'[3]5нед'!H36</f>
        <v/>
      </c>
      <c r="H156" s="56" t="str">
        <f t="shared" si="6"/>
        <v/>
      </c>
      <c r="I156" s="70">
        <v>46303</v>
      </c>
      <c r="J156" s="87" t="s">
        <v>27</v>
      </c>
      <c r="K156" s="29" t="s">
        <v>18</v>
      </c>
      <c r="L156" s="16">
        <f>'[3]6нед'!C36</f>
        <v>0</v>
      </c>
      <c r="M156" s="19">
        <f>'[3]6нед'!D36</f>
        <v>0</v>
      </c>
      <c r="N156" s="17">
        <f>'[3]6нед'!G36</f>
        <v>0</v>
      </c>
      <c r="O156" s="18" t="str">
        <f>'[3]6нед'!H36</f>
        <v/>
      </c>
      <c r="P156" s="56" t="str">
        <f t="shared" si="7"/>
        <v/>
      </c>
    </row>
    <row r="157" spans="1:16" ht="31.5" x14ac:dyDescent="0.2">
      <c r="A157" s="82"/>
      <c r="B157" s="85"/>
      <c r="C157" s="14" t="s">
        <v>19</v>
      </c>
      <c r="D157" s="20">
        <f>'[3]5нед'!C37</f>
        <v>0</v>
      </c>
      <c r="E157" s="23">
        <f>'[3]5нед'!D37</f>
        <v>0</v>
      </c>
      <c r="F157" s="21">
        <f>'[3]5нед'!G37</f>
        <v>0</v>
      </c>
      <c r="G157" s="22" t="str">
        <f>'[3]5нед'!H37</f>
        <v/>
      </c>
      <c r="H157" s="57" t="str">
        <f t="shared" si="6"/>
        <v/>
      </c>
      <c r="I157" s="71"/>
      <c r="J157" s="88"/>
      <c r="K157" s="14" t="s">
        <v>19</v>
      </c>
      <c r="L157" s="20">
        <f>'[3]6нед'!C37</f>
        <v>0</v>
      </c>
      <c r="M157" s="23">
        <f>'[3]6нед'!D37</f>
        <v>0</v>
      </c>
      <c r="N157" s="21">
        <f>'[3]6нед'!G37</f>
        <v>0</v>
      </c>
      <c r="O157" s="22" t="str">
        <f>'[3]6нед'!H37</f>
        <v/>
      </c>
      <c r="P157" s="57" t="str">
        <f t="shared" si="7"/>
        <v/>
      </c>
    </row>
    <row r="158" spans="1:16" ht="31.5" x14ac:dyDescent="0.2">
      <c r="A158" s="82"/>
      <c r="B158" s="85"/>
      <c r="C158" s="14" t="s">
        <v>20</v>
      </c>
      <c r="D158" s="20">
        <f>'[3]5нед'!C38</f>
        <v>0</v>
      </c>
      <c r="E158" s="23">
        <f>'[3]5нед'!D38</f>
        <v>0</v>
      </c>
      <c r="F158" s="21">
        <f>'[3]5нед'!G38</f>
        <v>0</v>
      </c>
      <c r="G158" s="22" t="str">
        <f>'[3]5нед'!H38</f>
        <v/>
      </c>
      <c r="H158" s="57" t="str">
        <f t="shared" si="6"/>
        <v/>
      </c>
      <c r="I158" s="71"/>
      <c r="J158" s="88"/>
      <c r="K158" s="14" t="s">
        <v>20</v>
      </c>
      <c r="L158" s="20">
        <f>'[3]6нед'!C38</f>
        <v>0</v>
      </c>
      <c r="M158" s="23">
        <f>'[3]6нед'!D38</f>
        <v>0</v>
      </c>
      <c r="N158" s="21">
        <f>'[3]6нед'!G38</f>
        <v>0</v>
      </c>
      <c r="O158" s="22" t="str">
        <f>'[3]6нед'!H38</f>
        <v/>
      </c>
      <c r="P158" s="57" t="str">
        <f t="shared" si="7"/>
        <v/>
      </c>
    </row>
    <row r="159" spans="1:16" ht="31.5" x14ac:dyDescent="0.2">
      <c r="A159" s="82"/>
      <c r="B159" s="85"/>
      <c r="C159" s="14" t="s">
        <v>21</v>
      </c>
      <c r="D159" s="20">
        <f>'[3]5нед'!C39</f>
        <v>0</v>
      </c>
      <c r="E159" s="23">
        <f>'[3]5нед'!D39</f>
        <v>0</v>
      </c>
      <c r="F159" s="21">
        <f>'[3]5нед'!G39</f>
        <v>0</v>
      </c>
      <c r="G159" s="22" t="str">
        <f>'[3]5нед'!H39</f>
        <v/>
      </c>
      <c r="H159" s="57" t="str">
        <f t="shared" si="6"/>
        <v/>
      </c>
      <c r="I159" s="71"/>
      <c r="J159" s="88"/>
      <c r="K159" s="14" t="s">
        <v>21</v>
      </c>
      <c r="L159" s="20">
        <f>'[3]6нед'!C39</f>
        <v>0</v>
      </c>
      <c r="M159" s="23">
        <f>'[3]6нед'!D39</f>
        <v>0</v>
      </c>
      <c r="N159" s="21">
        <f>'[3]6нед'!G39</f>
        <v>0</v>
      </c>
      <c r="O159" s="22" t="str">
        <f>'[3]6нед'!H39</f>
        <v/>
      </c>
      <c r="P159" s="57" t="str">
        <f t="shared" si="7"/>
        <v/>
      </c>
    </row>
    <row r="160" spans="1:16" ht="31.5" x14ac:dyDescent="0.2">
      <c r="A160" s="82"/>
      <c r="B160" s="85"/>
      <c r="C160" s="14" t="s">
        <v>22</v>
      </c>
      <c r="D160" s="20">
        <f>'[3]5нед'!C40</f>
        <v>0</v>
      </c>
      <c r="E160" s="23">
        <f>'[3]5нед'!D40</f>
        <v>0</v>
      </c>
      <c r="F160" s="21">
        <f>'[3]5нед'!G40</f>
        <v>0</v>
      </c>
      <c r="G160" s="22" t="str">
        <f>'[3]5нед'!H40</f>
        <v/>
      </c>
      <c r="H160" s="57" t="str">
        <f t="shared" si="6"/>
        <v/>
      </c>
      <c r="I160" s="71"/>
      <c r="J160" s="88"/>
      <c r="K160" s="14" t="s">
        <v>22</v>
      </c>
      <c r="L160" s="20">
        <f>'[3]6нед'!C40</f>
        <v>0</v>
      </c>
      <c r="M160" s="23">
        <f>'[3]6нед'!D40</f>
        <v>0</v>
      </c>
      <c r="N160" s="21">
        <f>'[3]6нед'!G40</f>
        <v>0</v>
      </c>
      <c r="O160" s="22" t="str">
        <f>'[3]6нед'!H40</f>
        <v/>
      </c>
      <c r="P160" s="57" t="str">
        <f t="shared" si="7"/>
        <v/>
      </c>
    </row>
    <row r="161" spans="1:16" ht="31.5" x14ac:dyDescent="0.2">
      <c r="A161" s="82"/>
      <c r="B161" s="85"/>
      <c r="C161" s="14" t="s">
        <v>23</v>
      </c>
      <c r="D161" s="20">
        <f>'[3]5нед'!C41</f>
        <v>0</v>
      </c>
      <c r="E161" s="23">
        <f>'[3]5нед'!D41</f>
        <v>0</v>
      </c>
      <c r="F161" s="21">
        <f>'[3]5нед'!G41</f>
        <v>0</v>
      </c>
      <c r="G161" s="22" t="str">
        <f>'[3]5нед'!H41</f>
        <v/>
      </c>
      <c r="H161" s="55" t="str">
        <f t="shared" si="6"/>
        <v/>
      </c>
      <c r="I161" s="71"/>
      <c r="J161" s="88"/>
      <c r="K161" s="14" t="s">
        <v>23</v>
      </c>
      <c r="L161" s="20">
        <f>'[3]6нед'!C41</f>
        <v>0</v>
      </c>
      <c r="M161" s="23">
        <f>'[3]6нед'!D41</f>
        <v>0</v>
      </c>
      <c r="N161" s="21">
        <f>'[3]6нед'!G41</f>
        <v>0</v>
      </c>
      <c r="O161" s="22" t="str">
        <f>'[3]6нед'!H41</f>
        <v/>
      </c>
      <c r="P161" s="55" t="str">
        <f t="shared" si="7"/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'[3]5нед'!C42</f>
        <v>0</v>
      </c>
      <c r="E162" s="23">
        <f>'[3]5нед'!D42</f>
        <v>0</v>
      </c>
      <c r="F162" s="21">
        <f>'[3]5нед'!G42</f>
        <v>0</v>
      </c>
      <c r="G162" s="22" t="str">
        <f>'[3]5нед'!H42</f>
        <v/>
      </c>
      <c r="H162" s="55" t="str">
        <f t="shared" si="6"/>
        <v/>
      </c>
      <c r="I162" s="71"/>
      <c r="J162" s="88"/>
      <c r="K162" s="14" t="s">
        <v>24</v>
      </c>
      <c r="L162" s="20">
        <f>'[3]6нед'!C42</f>
        <v>0</v>
      </c>
      <c r="M162" s="23">
        <f>'[3]6нед'!D42</f>
        <v>0</v>
      </c>
      <c r="N162" s="21">
        <f>'[3]6нед'!G42</f>
        <v>0</v>
      </c>
      <c r="O162" s="22" t="str">
        <f>'[3]6нед'!H42</f>
        <v/>
      </c>
      <c r="P162" s="55" t="str">
        <f t="shared" si="7"/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'[3]5нед'!C43</f>
        <v>0</v>
      </c>
      <c r="E163" s="25">
        <f>'[3]5нед'!D43</f>
        <v>0</v>
      </c>
      <c r="F163" s="26">
        <f>'[3]5нед'!G43</f>
        <v>0</v>
      </c>
      <c r="G163" s="27" t="str">
        <f>'[3]5нед'!H43</f>
        <v/>
      </c>
      <c r="H163" s="58" t="str">
        <f t="shared" si="6"/>
        <v/>
      </c>
      <c r="I163" s="72"/>
      <c r="J163" s="89"/>
      <c r="K163" s="15"/>
      <c r="L163" s="24">
        <f>'[3]6нед'!C43</f>
        <v>0</v>
      </c>
      <c r="M163" s="25">
        <f>'[3]6нед'!D43</f>
        <v>0</v>
      </c>
      <c r="N163" s="26">
        <f>'[3]6нед'!G43</f>
        <v>0</v>
      </c>
      <c r="O163" s="27" t="str">
        <f>'[3]6нед'!H43</f>
        <v/>
      </c>
      <c r="P163" s="58" t="str">
        <f t="shared" si="7"/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'[3]5нед'!C44</f>
        <v>0</v>
      </c>
      <c r="E164" s="19">
        <f>'[3]5нед'!D44</f>
        <v>0</v>
      </c>
      <c r="F164" s="17">
        <f>'[3]5нед'!G44</f>
        <v>0</v>
      </c>
      <c r="G164" s="18" t="str">
        <f>'[3]5нед'!H44</f>
        <v/>
      </c>
      <c r="H164" s="56" t="str">
        <f t="shared" si="6"/>
        <v/>
      </c>
      <c r="I164" s="70">
        <v>46304</v>
      </c>
      <c r="J164" s="87" t="s">
        <v>28</v>
      </c>
      <c r="K164" s="29" t="s">
        <v>18</v>
      </c>
      <c r="L164" s="16">
        <f>'[3]6нед'!C44</f>
        <v>0</v>
      </c>
      <c r="M164" s="19">
        <f>'[3]6нед'!D44</f>
        <v>0</v>
      </c>
      <c r="N164" s="17">
        <f>'[3]6нед'!G44</f>
        <v>0</v>
      </c>
      <c r="O164" s="18" t="str">
        <f>'[3]6нед'!H44</f>
        <v/>
      </c>
      <c r="P164" s="56" t="str">
        <f t="shared" si="7"/>
        <v/>
      </c>
    </row>
    <row r="165" spans="1:16" ht="31.5" x14ac:dyDescent="0.2">
      <c r="A165" s="82"/>
      <c r="B165" s="85"/>
      <c r="C165" s="14" t="s">
        <v>19</v>
      </c>
      <c r="D165" s="20">
        <f>'[3]5нед'!C45</f>
        <v>0</v>
      </c>
      <c r="E165" s="23">
        <f>'[3]5нед'!D45</f>
        <v>0</v>
      </c>
      <c r="F165" s="21">
        <f>'[3]5нед'!G45</f>
        <v>0</v>
      </c>
      <c r="G165" s="22" t="str">
        <f>'[3]5нед'!H45</f>
        <v/>
      </c>
      <c r="H165" s="57" t="str">
        <f t="shared" si="6"/>
        <v/>
      </c>
      <c r="I165" s="71"/>
      <c r="J165" s="88"/>
      <c r="K165" s="14" t="s">
        <v>19</v>
      </c>
      <c r="L165" s="20">
        <f>'[3]6нед'!C45</f>
        <v>0</v>
      </c>
      <c r="M165" s="23">
        <f>'[3]6нед'!D45</f>
        <v>0</v>
      </c>
      <c r="N165" s="21">
        <f>'[3]6нед'!G45</f>
        <v>0</v>
      </c>
      <c r="O165" s="22" t="str">
        <f>'[3]6нед'!H45</f>
        <v/>
      </c>
      <c r="P165" s="57" t="str">
        <f t="shared" si="7"/>
        <v/>
      </c>
    </row>
    <row r="166" spans="1:16" ht="31.5" x14ac:dyDescent="0.2">
      <c r="A166" s="82"/>
      <c r="B166" s="85"/>
      <c r="C166" s="14" t="s">
        <v>20</v>
      </c>
      <c r="D166" s="20">
        <f>'[3]5нед'!C46</f>
        <v>0</v>
      </c>
      <c r="E166" s="23">
        <f>'[3]5нед'!D46</f>
        <v>0</v>
      </c>
      <c r="F166" s="21">
        <f>'[3]5нед'!G46</f>
        <v>0</v>
      </c>
      <c r="G166" s="22" t="str">
        <f>'[3]5нед'!H46</f>
        <v/>
      </c>
      <c r="H166" s="57" t="str">
        <f t="shared" si="6"/>
        <v/>
      </c>
      <c r="I166" s="71"/>
      <c r="J166" s="88"/>
      <c r="K166" s="14" t="s">
        <v>20</v>
      </c>
      <c r="L166" s="20">
        <f>'[3]6нед'!C46</f>
        <v>0</v>
      </c>
      <c r="M166" s="23">
        <f>'[3]6нед'!D46</f>
        <v>0</v>
      </c>
      <c r="N166" s="21">
        <f>'[3]6нед'!G46</f>
        <v>0</v>
      </c>
      <c r="O166" s="22" t="str">
        <f>'[3]6нед'!H46</f>
        <v/>
      </c>
      <c r="P166" s="57" t="str">
        <f t="shared" si="7"/>
        <v/>
      </c>
    </row>
    <row r="167" spans="1:16" ht="31.5" x14ac:dyDescent="0.2">
      <c r="A167" s="82"/>
      <c r="B167" s="85"/>
      <c r="C167" s="14" t="s">
        <v>21</v>
      </c>
      <c r="D167" s="20">
        <f>'[3]5нед'!C47</f>
        <v>0</v>
      </c>
      <c r="E167" s="23">
        <f>'[3]5нед'!D47</f>
        <v>0</v>
      </c>
      <c r="F167" s="21">
        <f>'[3]5нед'!G47</f>
        <v>0</v>
      </c>
      <c r="G167" s="22" t="str">
        <f>'[3]5нед'!H47</f>
        <v/>
      </c>
      <c r="H167" s="57" t="str">
        <f t="shared" si="6"/>
        <v/>
      </c>
      <c r="I167" s="71"/>
      <c r="J167" s="88"/>
      <c r="K167" s="14" t="s">
        <v>21</v>
      </c>
      <c r="L167" s="20">
        <f>'[3]6нед'!C47</f>
        <v>0</v>
      </c>
      <c r="M167" s="23">
        <f>'[3]6нед'!D47</f>
        <v>0</v>
      </c>
      <c r="N167" s="21">
        <f>'[3]6нед'!G47</f>
        <v>0</v>
      </c>
      <c r="O167" s="22" t="str">
        <f>'[3]6нед'!H47</f>
        <v/>
      </c>
      <c r="P167" s="57" t="str">
        <f t="shared" si="7"/>
        <v/>
      </c>
    </row>
    <row r="168" spans="1:16" ht="31.5" x14ac:dyDescent="0.2">
      <c r="A168" s="82"/>
      <c r="B168" s="85"/>
      <c r="C168" s="14" t="s">
        <v>22</v>
      </c>
      <c r="D168" s="20">
        <f>'[3]5нед'!C48</f>
        <v>0</v>
      </c>
      <c r="E168" s="23">
        <f>'[3]5нед'!D48</f>
        <v>0</v>
      </c>
      <c r="F168" s="21">
        <f>'[3]5нед'!G48</f>
        <v>0</v>
      </c>
      <c r="G168" s="22" t="str">
        <f>'[3]5нед'!H48</f>
        <v/>
      </c>
      <c r="H168" s="57" t="str">
        <f t="shared" si="6"/>
        <v/>
      </c>
      <c r="I168" s="71"/>
      <c r="J168" s="88"/>
      <c r="K168" s="14" t="s">
        <v>22</v>
      </c>
      <c r="L168" s="20">
        <f>'[3]6нед'!C48</f>
        <v>0</v>
      </c>
      <c r="M168" s="23">
        <f>'[3]6нед'!D48</f>
        <v>0</v>
      </c>
      <c r="N168" s="21">
        <f>'[3]6нед'!G48</f>
        <v>0</v>
      </c>
      <c r="O168" s="22" t="str">
        <f>'[3]6нед'!H48</f>
        <v/>
      </c>
      <c r="P168" s="57" t="str">
        <f t="shared" si="7"/>
        <v/>
      </c>
    </row>
    <row r="169" spans="1:16" ht="35.85" customHeight="1" x14ac:dyDescent="0.2">
      <c r="A169" s="82"/>
      <c r="B169" s="85"/>
      <c r="C169" s="14" t="s">
        <v>23</v>
      </c>
      <c r="D169" s="20">
        <f>'[3]5нед'!C49</f>
        <v>0</v>
      </c>
      <c r="E169" s="23">
        <f>'[3]5нед'!D49</f>
        <v>0</v>
      </c>
      <c r="F169" s="21">
        <f>'[3]5нед'!G49</f>
        <v>0</v>
      </c>
      <c r="G169" s="22" t="str">
        <f>'[3]5нед'!H49</f>
        <v/>
      </c>
      <c r="H169" s="57" t="str">
        <f t="shared" si="6"/>
        <v/>
      </c>
      <c r="I169" s="71"/>
      <c r="J169" s="88"/>
      <c r="K169" s="14" t="s">
        <v>23</v>
      </c>
      <c r="L169" s="20">
        <f>'[3]6нед'!C49</f>
        <v>0</v>
      </c>
      <c r="M169" s="23">
        <f>'[3]6нед'!D49</f>
        <v>0</v>
      </c>
      <c r="N169" s="21">
        <f>'[3]6нед'!G49</f>
        <v>0</v>
      </c>
      <c r="O169" s="22" t="str">
        <f>'[3]6нед'!H49</f>
        <v/>
      </c>
      <c r="P169" s="57" t="str">
        <f t="shared" si="7"/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'[3]5нед'!C50</f>
        <v>0</v>
      </c>
      <c r="E170" s="23">
        <f>'[3]5нед'!D50</f>
        <v>0</v>
      </c>
      <c r="F170" s="21">
        <f>'[3]5нед'!G50</f>
        <v>0</v>
      </c>
      <c r="G170" s="22" t="str">
        <f>'[3]5нед'!H50</f>
        <v/>
      </c>
      <c r="H170" s="57" t="str">
        <f t="shared" si="6"/>
        <v/>
      </c>
      <c r="I170" s="71"/>
      <c r="J170" s="88"/>
      <c r="K170" s="14" t="s">
        <v>24</v>
      </c>
      <c r="L170" s="20">
        <f>'[3]6нед'!C50</f>
        <v>0</v>
      </c>
      <c r="M170" s="23">
        <f>'[3]6нед'!D50</f>
        <v>0</v>
      </c>
      <c r="N170" s="21">
        <f>'[3]6нед'!G50</f>
        <v>0</v>
      </c>
      <c r="O170" s="22" t="str">
        <f>'[3]6нед'!H50</f>
        <v/>
      </c>
      <c r="P170" s="57" t="str">
        <f t="shared" si="7"/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'[3]5нед'!C51</f>
        <v>0</v>
      </c>
      <c r="E171" s="25">
        <f>'[3]5нед'!D51</f>
        <v>0</v>
      </c>
      <c r="F171" s="26">
        <f>'[3]5нед'!G51</f>
        <v>0</v>
      </c>
      <c r="G171" s="27" t="str">
        <f>'[3]5нед'!H51</f>
        <v/>
      </c>
      <c r="H171" s="58" t="str">
        <f t="shared" si="6"/>
        <v/>
      </c>
      <c r="I171" s="72"/>
      <c r="J171" s="89"/>
      <c r="K171" s="15"/>
      <c r="L171" s="24">
        <f>'[3]6нед'!C51</f>
        <v>0</v>
      </c>
      <c r="M171" s="25">
        <f>'[3]6нед'!D51</f>
        <v>0</v>
      </c>
      <c r="N171" s="26">
        <f>'[3]6нед'!G51</f>
        <v>0</v>
      </c>
      <c r="O171" s="27" t="str">
        <f>'[3]6нед'!H51</f>
        <v/>
      </c>
      <c r="P171" s="58" t="str">
        <f t="shared" si="7"/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'[3]5нед'!C52</f>
        <v>0</v>
      </c>
      <c r="E172" s="19">
        <f>'[3]5нед'!D52</f>
        <v>0</v>
      </c>
      <c r="F172" s="17">
        <f>'[3]5нед'!G52</f>
        <v>0</v>
      </c>
      <c r="G172" s="18" t="str">
        <f>'[3]5нед'!H52</f>
        <v/>
      </c>
      <c r="H172" s="56" t="str">
        <f t="shared" si="6"/>
        <v/>
      </c>
      <c r="I172" s="70">
        <v>46305</v>
      </c>
      <c r="J172" s="87" t="s">
        <v>29</v>
      </c>
      <c r="K172" s="29" t="s">
        <v>18</v>
      </c>
      <c r="L172" s="16">
        <f>'[3]6нед'!C52</f>
        <v>0</v>
      </c>
      <c r="M172" s="19">
        <f>'[3]6нед'!D52</f>
        <v>0</v>
      </c>
      <c r="N172" s="17">
        <f>'[3]6нед'!G52</f>
        <v>0</v>
      </c>
      <c r="O172" s="18" t="str">
        <f>'[3]6нед'!H52</f>
        <v/>
      </c>
      <c r="P172" s="56" t="str">
        <f t="shared" si="7"/>
        <v/>
      </c>
    </row>
    <row r="173" spans="1:16" ht="31.5" x14ac:dyDescent="0.2">
      <c r="A173" s="82"/>
      <c r="B173" s="85"/>
      <c r="C173" s="14" t="s">
        <v>19</v>
      </c>
      <c r="D173" s="20">
        <f>'[3]5нед'!C53</f>
        <v>0</v>
      </c>
      <c r="E173" s="23">
        <f>'[3]5нед'!D53</f>
        <v>0</v>
      </c>
      <c r="F173" s="21">
        <f>'[3]5нед'!G53</f>
        <v>0</v>
      </c>
      <c r="G173" s="22" t="str">
        <f>'[3]5нед'!H53</f>
        <v/>
      </c>
      <c r="H173" s="57" t="str">
        <f t="shared" si="6"/>
        <v/>
      </c>
      <c r="I173" s="71"/>
      <c r="J173" s="88"/>
      <c r="K173" s="14" t="s">
        <v>19</v>
      </c>
      <c r="L173" s="20">
        <f>'[3]6нед'!C53</f>
        <v>0</v>
      </c>
      <c r="M173" s="23">
        <f>'[3]6нед'!D53</f>
        <v>0</v>
      </c>
      <c r="N173" s="21">
        <f>'[3]6нед'!G53</f>
        <v>0</v>
      </c>
      <c r="O173" s="22" t="str">
        <f>'[3]6нед'!H53</f>
        <v/>
      </c>
      <c r="P173" s="57" t="str">
        <f t="shared" si="7"/>
        <v/>
      </c>
    </row>
    <row r="174" spans="1:16" ht="31.5" x14ac:dyDescent="0.2">
      <c r="A174" s="82"/>
      <c r="B174" s="85"/>
      <c r="C174" s="14" t="s">
        <v>20</v>
      </c>
      <c r="D174" s="20">
        <f>'[3]5нед'!C54</f>
        <v>0</v>
      </c>
      <c r="E174" s="23">
        <f>'[3]5нед'!D54</f>
        <v>0</v>
      </c>
      <c r="F174" s="21">
        <f>'[3]5нед'!G54</f>
        <v>0</v>
      </c>
      <c r="G174" s="22" t="str">
        <f>'[3]5нед'!H54</f>
        <v/>
      </c>
      <c r="H174" s="57" t="str">
        <f t="shared" si="6"/>
        <v/>
      </c>
      <c r="I174" s="71"/>
      <c r="J174" s="88"/>
      <c r="K174" s="14" t="s">
        <v>20</v>
      </c>
      <c r="L174" s="20">
        <f>'[3]6нед'!C54</f>
        <v>0</v>
      </c>
      <c r="M174" s="23">
        <f>'[3]6нед'!D54</f>
        <v>0</v>
      </c>
      <c r="N174" s="21">
        <f>'[3]6нед'!G54</f>
        <v>0</v>
      </c>
      <c r="O174" s="22" t="str">
        <f>'[3]6нед'!H54</f>
        <v/>
      </c>
      <c r="P174" s="57" t="str">
        <f t="shared" si="7"/>
        <v/>
      </c>
    </row>
    <row r="175" spans="1:16" ht="31.5" x14ac:dyDescent="0.2">
      <c r="A175" s="82"/>
      <c r="B175" s="85"/>
      <c r="C175" s="14" t="s">
        <v>21</v>
      </c>
      <c r="D175" s="20">
        <f>'[3]5нед'!C55</f>
        <v>0</v>
      </c>
      <c r="E175" s="23">
        <f>'[3]5нед'!D55</f>
        <v>0</v>
      </c>
      <c r="F175" s="21">
        <f>'[3]5нед'!G55</f>
        <v>0</v>
      </c>
      <c r="G175" s="22" t="str">
        <f>'[3]5нед'!H55</f>
        <v/>
      </c>
      <c r="H175" s="57" t="str">
        <f t="shared" si="6"/>
        <v/>
      </c>
      <c r="I175" s="71"/>
      <c r="J175" s="88"/>
      <c r="K175" s="14" t="s">
        <v>21</v>
      </c>
      <c r="L175" s="20">
        <f>'[3]6нед'!C55</f>
        <v>0</v>
      </c>
      <c r="M175" s="23">
        <f>'[3]6нед'!D55</f>
        <v>0</v>
      </c>
      <c r="N175" s="21">
        <f>'[3]6нед'!G55</f>
        <v>0</v>
      </c>
      <c r="O175" s="22" t="str">
        <f>'[3]6нед'!H55</f>
        <v/>
      </c>
      <c r="P175" s="57" t="str">
        <f t="shared" si="7"/>
        <v/>
      </c>
    </row>
    <row r="176" spans="1:16" ht="31.5" x14ac:dyDescent="0.2">
      <c r="A176" s="82"/>
      <c r="B176" s="85"/>
      <c r="C176" s="14" t="s">
        <v>22</v>
      </c>
      <c r="D176" s="20">
        <f>'[3]5нед'!C56</f>
        <v>0</v>
      </c>
      <c r="E176" s="23">
        <f>'[3]5нед'!D56</f>
        <v>0</v>
      </c>
      <c r="F176" s="21">
        <f>'[3]5нед'!G56</f>
        <v>0</v>
      </c>
      <c r="G176" s="22" t="str">
        <f>'[3]5нед'!H56</f>
        <v/>
      </c>
      <c r="H176" s="57" t="str">
        <f t="shared" si="6"/>
        <v/>
      </c>
      <c r="I176" s="71"/>
      <c r="J176" s="88"/>
      <c r="K176" s="14" t="s">
        <v>22</v>
      </c>
      <c r="L176" s="20">
        <f>'[3]6нед'!C56</f>
        <v>0</v>
      </c>
      <c r="M176" s="23">
        <f>'[3]6нед'!D56</f>
        <v>0</v>
      </c>
      <c r="N176" s="21">
        <f>'[3]6нед'!G56</f>
        <v>0</v>
      </c>
      <c r="O176" s="22" t="str">
        <f>'[3]6нед'!H56</f>
        <v/>
      </c>
      <c r="P176" s="57" t="str">
        <f t="shared" si="7"/>
        <v/>
      </c>
    </row>
    <row r="177" spans="1:16" ht="31.5" x14ac:dyDescent="0.2">
      <c r="A177" s="82"/>
      <c r="B177" s="85"/>
      <c r="C177" s="14" t="s">
        <v>23</v>
      </c>
      <c r="D177" s="20">
        <f>'[3]5нед'!C57</f>
        <v>0</v>
      </c>
      <c r="E177" s="23">
        <f>'[3]5нед'!D57</f>
        <v>0</v>
      </c>
      <c r="F177" s="21">
        <f>'[3]5нед'!G57</f>
        <v>0</v>
      </c>
      <c r="G177" s="22" t="str">
        <f>'[3]5нед'!H57</f>
        <v/>
      </c>
      <c r="H177" s="57" t="str">
        <f t="shared" si="6"/>
        <v/>
      </c>
      <c r="I177" s="71"/>
      <c r="J177" s="88"/>
      <c r="K177" s="14" t="s">
        <v>23</v>
      </c>
      <c r="L177" s="20">
        <f>'[3]6нед'!C57</f>
        <v>0</v>
      </c>
      <c r="M177" s="23">
        <f>'[3]6нед'!D57</f>
        <v>0</v>
      </c>
      <c r="N177" s="21">
        <f>'[3]6нед'!G57</f>
        <v>0</v>
      </c>
      <c r="O177" s="22" t="str">
        <f>'[3]6нед'!H57</f>
        <v/>
      </c>
      <c r="P177" s="57" t="str">
        <f t="shared" si="7"/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'[3]5нед'!C58</f>
        <v>0</v>
      </c>
      <c r="E178" s="23">
        <f>'[3]5нед'!D58</f>
        <v>0</v>
      </c>
      <c r="F178" s="21">
        <f>'[3]5нед'!G58</f>
        <v>0</v>
      </c>
      <c r="G178" s="22" t="str">
        <f>'[3]5нед'!H58</f>
        <v/>
      </c>
      <c r="H178" s="57" t="str">
        <f t="shared" si="6"/>
        <v/>
      </c>
      <c r="I178" s="71"/>
      <c r="J178" s="88"/>
      <c r="K178" s="14" t="s">
        <v>24</v>
      </c>
      <c r="L178" s="20">
        <f>'[3]6нед'!C58</f>
        <v>0</v>
      </c>
      <c r="M178" s="23">
        <f>'[3]6нед'!D58</f>
        <v>0</v>
      </c>
      <c r="N178" s="21">
        <f>'[3]6нед'!G58</f>
        <v>0</v>
      </c>
      <c r="O178" s="22" t="str">
        <f>'[3]6нед'!H58</f>
        <v/>
      </c>
      <c r="P178" s="57" t="str">
        <f t="shared" si="7"/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00</v>
      </c>
      <c r="F187" s="7"/>
      <c r="G187" s="7">
        <f>G7</f>
        <v>0</v>
      </c>
      <c r="H187" s="36"/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00</v>
      </c>
      <c r="N187" s="7"/>
      <c r="O187" s="7">
        <f>G7</f>
        <v>0</v>
      </c>
      <c r="P187" s="36"/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1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1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'[3]7нед'!C12</f>
        <v>0</v>
      </c>
      <c r="E192" s="19">
        <f>'[3]7нед'!D12</f>
        <v>0</v>
      </c>
      <c r="F192" s="17">
        <f>'[3]7нед'!G12</f>
        <v>0</v>
      </c>
      <c r="G192" s="18" t="str">
        <f>'[3]7нед'!H12</f>
        <v/>
      </c>
      <c r="H192" s="56" t="str">
        <f>HYPERLINK(VLOOKUP(E192,$R$12:$S$332,2,FALSE))</f>
        <v/>
      </c>
      <c r="I192" s="70">
        <v>46314</v>
      </c>
      <c r="J192" s="87" t="s">
        <v>17</v>
      </c>
      <c r="K192" s="14" t="s">
        <v>18</v>
      </c>
      <c r="L192" s="16">
        <f>'[3]8нед'!C12</f>
        <v>0</v>
      </c>
      <c r="M192" s="19">
        <f>'[3]8нед'!D12</f>
        <v>0</v>
      </c>
      <c r="N192" s="17">
        <f>'[3]8нед'!G12</f>
        <v>0</v>
      </c>
      <c r="O192" s="18" t="str">
        <f>'[3]8нед'!H12</f>
        <v/>
      </c>
      <c r="P192" s="56" t="str">
        <f>HYPERLINK(VLOOKUP(M192,$R$12:$S$332,2,FALSE))</f>
        <v/>
      </c>
    </row>
    <row r="193" spans="1:16" ht="31.5" x14ac:dyDescent="0.2">
      <c r="A193" s="82"/>
      <c r="B193" s="85"/>
      <c r="C193" s="14" t="s">
        <v>19</v>
      </c>
      <c r="D193" s="20">
        <f>'[3]7нед'!C13</f>
        <v>0</v>
      </c>
      <c r="E193" s="23">
        <f>'[3]7нед'!D13</f>
        <v>0</v>
      </c>
      <c r="F193" s="21">
        <f>'[3]7нед'!G13</f>
        <v>0</v>
      </c>
      <c r="G193" s="22" t="str">
        <f>'[3]7нед'!H13</f>
        <v/>
      </c>
      <c r="H193" s="57" t="str">
        <f t="shared" ref="H193:H238" si="8">HYPERLINK(VLOOKUP(E193,$R$12:$S$332,2,FALSE))</f>
        <v/>
      </c>
      <c r="I193" s="71"/>
      <c r="J193" s="88"/>
      <c r="K193" s="14" t="s">
        <v>19</v>
      </c>
      <c r="L193" s="20">
        <f>'[3]8нед'!C13</f>
        <v>0</v>
      </c>
      <c r="M193" s="23">
        <f>'[3]8нед'!D13</f>
        <v>0</v>
      </c>
      <c r="N193" s="21">
        <f>'[3]8нед'!G13</f>
        <v>0</v>
      </c>
      <c r="O193" s="22" t="str">
        <f>'[3]8нед'!H13</f>
        <v/>
      </c>
      <c r="P193" s="57" t="str">
        <f t="shared" ref="P193:P238" si="9">HYPERLINK(VLOOKUP(M193,$R$12:$S$332,2,FALSE))</f>
        <v/>
      </c>
    </row>
    <row r="194" spans="1:16" ht="31.5" x14ac:dyDescent="0.2">
      <c r="A194" s="82"/>
      <c r="B194" s="85"/>
      <c r="C194" s="14" t="s">
        <v>20</v>
      </c>
      <c r="D194" s="20">
        <f>'[3]7нед'!C14</f>
        <v>0</v>
      </c>
      <c r="E194" s="23">
        <f>'[3]7нед'!D14</f>
        <v>0</v>
      </c>
      <c r="F194" s="21">
        <f>'[3]7нед'!G14</f>
        <v>0</v>
      </c>
      <c r="G194" s="22" t="str">
        <f>'[3]7нед'!H14</f>
        <v/>
      </c>
      <c r="H194" s="57" t="str">
        <f t="shared" si="8"/>
        <v/>
      </c>
      <c r="I194" s="71"/>
      <c r="J194" s="88"/>
      <c r="K194" s="14" t="s">
        <v>20</v>
      </c>
      <c r="L194" s="20">
        <f>'[3]8нед'!C14</f>
        <v>0</v>
      </c>
      <c r="M194" s="23">
        <f>'[3]8нед'!D14</f>
        <v>0</v>
      </c>
      <c r="N194" s="21">
        <f>'[3]8нед'!G14</f>
        <v>0</v>
      </c>
      <c r="O194" s="22" t="str">
        <f>'[3]8нед'!H14</f>
        <v/>
      </c>
      <c r="P194" s="57" t="str">
        <f t="shared" si="9"/>
        <v/>
      </c>
    </row>
    <row r="195" spans="1:16" ht="31.5" x14ac:dyDescent="0.2">
      <c r="A195" s="82"/>
      <c r="B195" s="85"/>
      <c r="C195" s="14" t="s">
        <v>21</v>
      </c>
      <c r="D195" s="20">
        <f>'[3]7нед'!C15</f>
        <v>0</v>
      </c>
      <c r="E195" s="23">
        <f>'[3]7нед'!D15</f>
        <v>0</v>
      </c>
      <c r="F195" s="21">
        <f>'[3]7нед'!G15</f>
        <v>0</v>
      </c>
      <c r="G195" s="22" t="str">
        <f>'[3]7нед'!H15</f>
        <v/>
      </c>
      <c r="H195" s="57" t="str">
        <f t="shared" si="8"/>
        <v/>
      </c>
      <c r="I195" s="71"/>
      <c r="J195" s="88"/>
      <c r="K195" s="14" t="s">
        <v>21</v>
      </c>
      <c r="L195" s="20">
        <f>'[3]8нед'!C15</f>
        <v>0</v>
      </c>
      <c r="M195" s="23">
        <f>'[3]8нед'!D15</f>
        <v>0</v>
      </c>
      <c r="N195" s="21">
        <f>'[3]8нед'!G15</f>
        <v>0</v>
      </c>
      <c r="O195" s="22" t="str">
        <f>'[3]8нед'!H15</f>
        <v/>
      </c>
      <c r="P195" s="57" t="str">
        <f t="shared" si="9"/>
        <v/>
      </c>
    </row>
    <row r="196" spans="1:16" ht="31.5" x14ac:dyDescent="0.2">
      <c r="A196" s="82"/>
      <c r="B196" s="85"/>
      <c r="C196" s="14" t="s">
        <v>22</v>
      </c>
      <c r="D196" s="20">
        <f>'[3]7нед'!C16</f>
        <v>0</v>
      </c>
      <c r="E196" s="23">
        <f>'[3]7нед'!D16</f>
        <v>0</v>
      </c>
      <c r="F196" s="21">
        <f>'[3]7нед'!G16</f>
        <v>0</v>
      </c>
      <c r="G196" s="22" t="str">
        <f>'[3]7нед'!H16</f>
        <v/>
      </c>
      <c r="H196" s="57" t="str">
        <f t="shared" si="8"/>
        <v/>
      </c>
      <c r="I196" s="71"/>
      <c r="J196" s="88"/>
      <c r="K196" s="14" t="s">
        <v>22</v>
      </c>
      <c r="L196" s="20">
        <f>'[3]8нед'!C16</f>
        <v>0</v>
      </c>
      <c r="M196" s="23">
        <f>'[3]8нед'!D16</f>
        <v>0</v>
      </c>
      <c r="N196" s="21">
        <f>'[3]8нед'!G16</f>
        <v>0</v>
      </c>
      <c r="O196" s="22" t="str">
        <f>'[3]8нед'!H16</f>
        <v/>
      </c>
      <c r="P196" s="57" t="str">
        <f t="shared" si="9"/>
        <v/>
      </c>
    </row>
    <row r="197" spans="1:16" ht="31.5" x14ac:dyDescent="0.2">
      <c r="A197" s="82"/>
      <c r="B197" s="85"/>
      <c r="C197" s="14" t="s">
        <v>23</v>
      </c>
      <c r="D197" s="20">
        <f>'[3]7нед'!C17</f>
        <v>0</v>
      </c>
      <c r="E197" s="23">
        <f>'[3]7нед'!D17</f>
        <v>0</v>
      </c>
      <c r="F197" s="21">
        <f>'[3]7нед'!G17</f>
        <v>0</v>
      </c>
      <c r="G197" s="22" t="str">
        <f>'[3]7нед'!H17</f>
        <v/>
      </c>
      <c r="H197" s="55" t="str">
        <f t="shared" si="8"/>
        <v/>
      </c>
      <c r="I197" s="71"/>
      <c r="J197" s="88"/>
      <c r="K197" s="14" t="s">
        <v>23</v>
      </c>
      <c r="L197" s="20">
        <f>'[3]8нед'!C17</f>
        <v>0</v>
      </c>
      <c r="M197" s="23">
        <f>'[3]8нед'!D17</f>
        <v>0</v>
      </c>
      <c r="N197" s="21">
        <f>'[3]8нед'!G17</f>
        <v>0</v>
      </c>
      <c r="O197" s="22" t="str">
        <f>'[3]8нед'!H17</f>
        <v/>
      </c>
      <c r="P197" s="55" t="str">
        <f t="shared" si="9"/>
        <v/>
      </c>
    </row>
    <row r="198" spans="1:16" ht="32.25" thickBot="1" x14ac:dyDescent="0.25">
      <c r="A198" s="82"/>
      <c r="B198" s="85"/>
      <c r="C198" s="14" t="s">
        <v>24</v>
      </c>
      <c r="D198" s="20">
        <f>'[3]7нед'!C18</f>
        <v>0</v>
      </c>
      <c r="E198" s="23">
        <f>'[3]7нед'!D18</f>
        <v>0</v>
      </c>
      <c r="F198" s="21">
        <f>'[3]7нед'!G18</f>
        <v>0</v>
      </c>
      <c r="G198" s="22" t="str">
        <f>'[3]7нед'!H18</f>
        <v/>
      </c>
      <c r="H198" s="55" t="str">
        <f t="shared" si="8"/>
        <v/>
      </c>
      <c r="I198" s="71"/>
      <c r="J198" s="88"/>
      <c r="K198" s="14" t="s">
        <v>24</v>
      </c>
      <c r="L198" s="20">
        <f>'[3]8нед'!C18</f>
        <v>0</v>
      </c>
      <c r="M198" s="23">
        <f>'[3]8нед'!D18</f>
        <v>0</v>
      </c>
      <c r="N198" s="21">
        <f>'[3]8нед'!G18</f>
        <v>0</v>
      </c>
      <c r="O198" s="22" t="str">
        <f>'[3]8нед'!H18</f>
        <v/>
      </c>
      <c r="P198" s="55" t="str">
        <f t="shared" si="9"/>
        <v/>
      </c>
    </row>
    <row r="199" spans="1:16" ht="18.399999999999999" hidden="1" customHeight="1" thickBot="1" x14ac:dyDescent="0.25">
      <c r="A199" s="83"/>
      <c r="B199" s="86"/>
      <c r="C199" s="15"/>
      <c r="D199" s="24">
        <f>'[3]7нед'!C19</f>
        <v>0</v>
      </c>
      <c r="E199" s="25">
        <f>'[3]7нед'!D19</f>
        <v>0</v>
      </c>
      <c r="F199" s="26">
        <f>'[3]7нед'!G19</f>
        <v>0</v>
      </c>
      <c r="G199" s="27" t="str">
        <f>'[3]7нед'!H19</f>
        <v/>
      </c>
      <c r="H199" s="58" t="str">
        <f t="shared" si="8"/>
        <v/>
      </c>
      <c r="I199" s="72"/>
      <c r="J199" s="89"/>
      <c r="K199" s="15"/>
      <c r="L199" s="24">
        <f>'[3]8нед'!C19</f>
        <v>0</v>
      </c>
      <c r="M199" s="25">
        <f>'[3]8нед'!D19</f>
        <v>0</v>
      </c>
      <c r="N199" s="26">
        <f>'[3]8нед'!G19</f>
        <v>0</v>
      </c>
      <c r="O199" s="27" t="str">
        <f>'[3]8нед'!H19</f>
        <v/>
      </c>
      <c r="P199" s="58" t="str">
        <f t="shared" si="9"/>
        <v/>
      </c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'[3]7нед'!C20</f>
        <v>0</v>
      </c>
      <c r="E200" s="19">
        <f>'[3]7нед'!D20</f>
        <v>0</v>
      </c>
      <c r="F200" s="17">
        <f>'[3]7нед'!G20</f>
        <v>0</v>
      </c>
      <c r="G200" s="18" t="str">
        <f>'[3]7нед'!H20</f>
        <v/>
      </c>
      <c r="H200" s="56" t="str">
        <f t="shared" si="8"/>
        <v/>
      </c>
      <c r="I200" s="70">
        <v>46315</v>
      </c>
      <c r="J200" s="87" t="s">
        <v>25</v>
      </c>
      <c r="K200" s="29" t="s">
        <v>18</v>
      </c>
      <c r="L200" s="16">
        <f>'[3]8нед'!C20</f>
        <v>0</v>
      </c>
      <c r="M200" s="19">
        <f>'[3]8нед'!D20</f>
        <v>0</v>
      </c>
      <c r="N200" s="17">
        <f>'[3]8нед'!G20</f>
        <v>0</v>
      </c>
      <c r="O200" s="18" t="str">
        <f>'[3]8нед'!H20</f>
        <v/>
      </c>
      <c r="P200" s="56" t="str">
        <f t="shared" si="9"/>
        <v/>
      </c>
    </row>
    <row r="201" spans="1:16" ht="31.5" x14ac:dyDescent="0.2">
      <c r="A201" s="82"/>
      <c r="B201" s="85"/>
      <c r="C201" s="14" t="s">
        <v>19</v>
      </c>
      <c r="D201" s="20">
        <f>'[3]7нед'!C21</f>
        <v>0</v>
      </c>
      <c r="E201" s="23">
        <f>'[3]7нед'!D21</f>
        <v>0</v>
      </c>
      <c r="F201" s="21">
        <f>'[3]7нед'!G21</f>
        <v>0</v>
      </c>
      <c r="G201" s="22" t="str">
        <f>'[3]7нед'!H21</f>
        <v/>
      </c>
      <c r="H201" s="57" t="str">
        <f t="shared" si="8"/>
        <v/>
      </c>
      <c r="I201" s="71"/>
      <c r="J201" s="88"/>
      <c r="K201" s="14" t="s">
        <v>19</v>
      </c>
      <c r="L201" s="20">
        <f>'[3]8нед'!C21</f>
        <v>0</v>
      </c>
      <c r="M201" s="23">
        <f>'[3]8нед'!D21</f>
        <v>0</v>
      </c>
      <c r="N201" s="21">
        <f>'[3]8нед'!G21</f>
        <v>0</v>
      </c>
      <c r="O201" s="22" t="str">
        <f>'[3]8нед'!H21</f>
        <v/>
      </c>
      <c r="P201" s="57" t="str">
        <f t="shared" si="9"/>
        <v/>
      </c>
    </row>
    <row r="202" spans="1:16" ht="31.5" x14ac:dyDescent="0.2">
      <c r="A202" s="82"/>
      <c r="B202" s="85"/>
      <c r="C202" s="14" t="s">
        <v>20</v>
      </c>
      <c r="D202" s="20">
        <f>'[3]7нед'!C22</f>
        <v>0</v>
      </c>
      <c r="E202" s="23">
        <f>'[3]7нед'!D22</f>
        <v>0</v>
      </c>
      <c r="F202" s="21">
        <f>'[3]7нед'!G22</f>
        <v>0</v>
      </c>
      <c r="G202" s="22" t="str">
        <f>'[3]7нед'!H22</f>
        <v/>
      </c>
      <c r="H202" s="57" t="str">
        <f t="shared" si="8"/>
        <v/>
      </c>
      <c r="I202" s="71"/>
      <c r="J202" s="88"/>
      <c r="K202" s="14" t="s">
        <v>20</v>
      </c>
      <c r="L202" s="20">
        <f>'[3]8нед'!C22</f>
        <v>0</v>
      </c>
      <c r="M202" s="23">
        <f>'[3]8нед'!D22</f>
        <v>0</v>
      </c>
      <c r="N202" s="21">
        <f>'[3]8нед'!G22</f>
        <v>0</v>
      </c>
      <c r="O202" s="22" t="str">
        <f>'[3]8нед'!H22</f>
        <v/>
      </c>
      <c r="P202" s="57" t="str">
        <f t="shared" si="9"/>
        <v/>
      </c>
    </row>
    <row r="203" spans="1:16" ht="31.5" x14ac:dyDescent="0.2">
      <c r="A203" s="82"/>
      <c r="B203" s="85"/>
      <c r="C203" s="14" t="s">
        <v>21</v>
      </c>
      <c r="D203" s="20">
        <f>'[3]7нед'!C23</f>
        <v>0</v>
      </c>
      <c r="E203" s="23">
        <f>'[3]7нед'!D23</f>
        <v>0</v>
      </c>
      <c r="F203" s="21">
        <f>'[3]7нед'!G23</f>
        <v>0</v>
      </c>
      <c r="G203" s="22" t="str">
        <f>'[3]7нед'!H23</f>
        <v/>
      </c>
      <c r="H203" s="57" t="str">
        <f t="shared" si="8"/>
        <v/>
      </c>
      <c r="I203" s="71"/>
      <c r="J203" s="88"/>
      <c r="K203" s="14" t="s">
        <v>21</v>
      </c>
      <c r="L203" s="20">
        <f>'[3]8нед'!C23</f>
        <v>0</v>
      </c>
      <c r="M203" s="23">
        <f>'[3]8нед'!D23</f>
        <v>0</v>
      </c>
      <c r="N203" s="21">
        <f>'[3]8нед'!G23</f>
        <v>0</v>
      </c>
      <c r="O203" s="22" t="str">
        <f>'[3]8нед'!H23</f>
        <v/>
      </c>
      <c r="P203" s="57" t="str">
        <f t="shared" si="9"/>
        <v/>
      </c>
    </row>
    <row r="204" spans="1:16" ht="31.5" x14ac:dyDescent="0.2">
      <c r="A204" s="82"/>
      <c r="B204" s="85"/>
      <c r="C204" s="14" t="s">
        <v>22</v>
      </c>
      <c r="D204" s="20">
        <f>'[3]7нед'!C24</f>
        <v>0</v>
      </c>
      <c r="E204" s="23">
        <f>'[3]7нед'!D24</f>
        <v>0</v>
      </c>
      <c r="F204" s="21">
        <f>'[3]7нед'!G24</f>
        <v>0</v>
      </c>
      <c r="G204" s="22" t="str">
        <f>'[3]7нед'!H24</f>
        <v/>
      </c>
      <c r="H204" s="57" t="str">
        <f t="shared" si="8"/>
        <v/>
      </c>
      <c r="I204" s="71"/>
      <c r="J204" s="88"/>
      <c r="K204" s="14" t="s">
        <v>22</v>
      </c>
      <c r="L204" s="20">
        <f>'[3]8нед'!C24</f>
        <v>0</v>
      </c>
      <c r="M204" s="23">
        <f>'[3]8нед'!D24</f>
        <v>0</v>
      </c>
      <c r="N204" s="21">
        <f>'[3]8нед'!G24</f>
        <v>0</v>
      </c>
      <c r="O204" s="22" t="str">
        <f>'[3]8нед'!H24</f>
        <v/>
      </c>
      <c r="P204" s="57" t="str">
        <f t="shared" si="9"/>
        <v/>
      </c>
    </row>
    <row r="205" spans="1:16" ht="31.5" x14ac:dyDescent="0.2">
      <c r="A205" s="82"/>
      <c r="B205" s="85"/>
      <c r="C205" s="14" t="s">
        <v>23</v>
      </c>
      <c r="D205" s="20">
        <f>'[3]7нед'!C25</f>
        <v>0</v>
      </c>
      <c r="E205" s="23">
        <f>'[3]7нед'!D25</f>
        <v>0</v>
      </c>
      <c r="F205" s="21">
        <f>'[3]7нед'!G25</f>
        <v>0</v>
      </c>
      <c r="G205" s="22" t="str">
        <f>'[3]7нед'!H25</f>
        <v/>
      </c>
      <c r="H205" s="57" t="str">
        <f t="shared" si="8"/>
        <v/>
      </c>
      <c r="I205" s="71"/>
      <c r="J205" s="88"/>
      <c r="K205" s="14" t="s">
        <v>23</v>
      </c>
      <c r="L205" s="20">
        <f>'[3]8нед'!C25</f>
        <v>0</v>
      </c>
      <c r="M205" s="23">
        <f>'[3]8нед'!D25</f>
        <v>0</v>
      </c>
      <c r="N205" s="21">
        <f>'[3]8нед'!G25</f>
        <v>0</v>
      </c>
      <c r="O205" s="22" t="str">
        <f>'[3]8нед'!H25</f>
        <v/>
      </c>
      <c r="P205" s="57" t="str">
        <f t="shared" si="9"/>
        <v/>
      </c>
    </row>
    <row r="206" spans="1:16" ht="36.4" customHeight="1" thickBot="1" x14ac:dyDescent="0.25">
      <c r="A206" s="82"/>
      <c r="B206" s="85"/>
      <c r="C206" s="14" t="s">
        <v>24</v>
      </c>
      <c r="D206" s="20">
        <f>'[3]7нед'!C26</f>
        <v>0</v>
      </c>
      <c r="E206" s="23">
        <f>'[3]7нед'!D26</f>
        <v>0</v>
      </c>
      <c r="F206" s="21">
        <f>'[3]7нед'!G26</f>
        <v>0</v>
      </c>
      <c r="G206" s="22" t="str">
        <f>'[3]7нед'!H26</f>
        <v/>
      </c>
      <c r="H206" s="57" t="str">
        <f t="shared" si="8"/>
        <v/>
      </c>
      <c r="I206" s="71"/>
      <c r="J206" s="88"/>
      <c r="K206" s="14" t="s">
        <v>24</v>
      </c>
      <c r="L206" s="20">
        <f>'[3]8нед'!C26</f>
        <v>0</v>
      </c>
      <c r="M206" s="23">
        <f>'[3]8нед'!D26</f>
        <v>0</v>
      </c>
      <c r="N206" s="21">
        <f>'[3]8нед'!G26</f>
        <v>0</v>
      </c>
      <c r="O206" s="22" t="str">
        <f>'[3]8нед'!H26</f>
        <v/>
      </c>
      <c r="P206" s="57" t="str">
        <f t="shared" si="9"/>
        <v/>
      </c>
    </row>
    <row r="207" spans="1:16" ht="18.399999999999999" hidden="1" customHeight="1" thickBot="1" x14ac:dyDescent="0.25">
      <c r="A207" s="83"/>
      <c r="B207" s="86"/>
      <c r="C207" s="15"/>
      <c r="D207" s="24">
        <f>'[3]7нед'!C27</f>
        <v>0</v>
      </c>
      <c r="E207" s="25">
        <f>'[3]7нед'!D27</f>
        <v>0</v>
      </c>
      <c r="F207" s="26">
        <f>'[3]7нед'!G27</f>
        <v>0</v>
      </c>
      <c r="G207" s="27" t="str">
        <f>'[3]7нед'!H27</f>
        <v/>
      </c>
      <c r="H207" s="58" t="str">
        <f t="shared" si="8"/>
        <v/>
      </c>
      <c r="I207" s="72"/>
      <c r="J207" s="89"/>
      <c r="K207" s="15"/>
      <c r="L207" s="24">
        <f>'[3]8нед'!C27</f>
        <v>0</v>
      </c>
      <c r="M207" s="25">
        <f>'[3]8нед'!D27</f>
        <v>0</v>
      </c>
      <c r="N207" s="26">
        <f>'[3]8нед'!G27</f>
        <v>0</v>
      </c>
      <c r="O207" s="27" t="str">
        <f>'[3]8нед'!H27</f>
        <v/>
      </c>
      <c r="P207" s="58" t="str">
        <f t="shared" si="9"/>
        <v/>
      </c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'[3]7нед'!C28</f>
        <v>0</v>
      </c>
      <c r="E208" s="19">
        <f>'[3]7нед'!D28</f>
        <v>0</v>
      </c>
      <c r="F208" s="17">
        <f>'[3]7нед'!G28</f>
        <v>0</v>
      </c>
      <c r="G208" s="18" t="str">
        <f>'[3]7нед'!H28</f>
        <v/>
      </c>
      <c r="H208" s="56" t="str">
        <f t="shared" si="8"/>
        <v/>
      </c>
      <c r="I208" s="70">
        <v>46316</v>
      </c>
      <c r="J208" s="73" t="s">
        <v>26</v>
      </c>
      <c r="K208" s="29" t="s">
        <v>18</v>
      </c>
      <c r="L208" s="16">
        <f>'[3]8нед'!C28</f>
        <v>0</v>
      </c>
      <c r="M208" s="19">
        <f>'[3]8нед'!D28</f>
        <v>0</v>
      </c>
      <c r="N208" s="17">
        <f>'[3]8нед'!G28</f>
        <v>0</v>
      </c>
      <c r="O208" s="18" t="str">
        <f>'[3]8нед'!H28</f>
        <v/>
      </c>
      <c r="P208" s="56" t="str">
        <f t="shared" si="9"/>
        <v/>
      </c>
    </row>
    <row r="209" spans="1:16" ht="31.5" x14ac:dyDescent="0.2">
      <c r="A209" s="82"/>
      <c r="B209" s="68"/>
      <c r="C209" s="14" t="s">
        <v>19</v>
      </c>
      <c r="D209" s="20">
        <f>'[3]7нед'!C29</f>
        <v>0</v>
      </c>
      <c r="E209" s="23">
        <f>'[3]7нед'!D29</f>
        <v>0</v>
      </c>
      <c r="F209" s="21">
        <f>'[3]7нед'!G29</f>
        <v>0</v>
      </c>
      <c r="G209" s="22" t="str">
        <f>'[3]7нед'!H29</f>
        <v/>
      </c>
      <c r="H209" s="57" t="str">
        <f t="shared" si="8"/>
        <v/>
      </c>
      <c r="I209" s="71"/>
      <c r="J209" s="74"/>
      <c r="K209" s="14" t="s">
        <v>19</v>
      </c>
      <c r="L209" s="20">
        <f>'[3]8нед'!C29</f>
        <v>0</v>
      </c>
      <c r="M209" s="23">
        <f>'[3]8нед'!D29</f>
        <v>0</v>
      </c>
      <c r="N209" s="21">
        <f>'[3]8нед'!G29</f>
        <v>0</v>
      </c>
      <c r="O209" s="22" t="str">
        <f>'[3]8нед'!H29</f>
        <v/>
      </c>
      <c r="P209" s="57" t="str">
        <f t="shared" si="9"/>
        <v/>
      </c>
    </row>
    <row r="210" spans="1:16" ht="31.5" x14ac:dyDescent="0.2">
      <c r="A210" s="82"/>
      <c r="B210" s="68"/>
      <c r="C210" s="14" t="s">
        <v>20</v>
      </c>
      <c r="D210" s="20">
        <f>'[3]7нед'!C30</f>
        <v>0</v>
      </c>
      <c r="E210" s="23">
        <f>'[3]7нед'!D30</f>
        <v>0</v>
      </c>
      <c r="F210" s="21">
        <f>'[3]7нед'!G30</f>
        <v>0</v>
      </c>
      <c r="G210" s="22" t="str">
        <f>'[3]7нед'!H30</f>
        <v/>
      </c>
      <c r="H210" s="57" t="str">
        <f t="shared" si="8"/>
        <v/>
      </c>
      <c r="I210" s="71"/>
      <c r="J210" s="74"/>
      <c r="K210" s="14" t="s">
        <v>20</v>
      </c>
      <c r="L210" s="20">
        <f>'[3]8нед'!C30</f>
        <v>0</v>
      </c>
      <c r="M210" s="23">
        <f>'[3]8нед'!D30</f>
        <v>0</v>
      </c>
      <c r="N210" s="21">
        <f>'[3]8нед'!G30</f>
        <v>0</v>
      </c>
      <c r="O210" s="22" t="str">
        <f>'[3]8нед'!H30</f>
        <v/>
      </c>
      <c r="P210" s="57" t="str">
        <f t="shared" si="9"/>
        <v/>
      </c>
    </row>
    <row r="211" spans="1:16" ht="31.5" x14ac:dyDescent="0.2">
      <c r="A211" s="82"/>
      <c r="B211" s="68"/>
      <c r="C211" s="14" t="s">
        <v>21</v>
      </c>
      <c r="D211" s="20">
        <f>'[3]7нед'!C31</f>
        <v>0</v>
      </c>
      <c r="E211" s="23">
        <f>'[3]7нед'!D31</f>
        <v>0</v>
      </c>
      <c r="F211" s="21">
        <f>'[3]7нед'!G31</f>
        <v>0</v>
      </c>
      <c r="G211" s="22" t="str">
        <f>'[3]7нед'!H31</f>
        <v/>
      </c>
      <c r="H211" s="57" t="str">
        <f t="shared" si="8"/>
        <v/>
      </c>
      <c r="I211" s="71"/>
      <c r="J211" s="74"/>
      <c r="K211" s="14" t="s">
        <v>21</v>
      </c>
      <c r="L211" s="20">
        <f>'[3]8нед'!C31</f>
        <v>0</v>
      </c>
      <c r="M211" s="23">
        <f>'[3]8нед'!D31</f>
        <v>0</v>
      </c>
      <c r="N211" s="21">
        <f>'[3]8нед'!G31</f>
        <v>0</v>
      </c>
      <c r="O211" s="22" t="str">
        <f>'[3]8нед'!H31</f>
        <v/>
      </c>
      <c r="P211" s="57" t="str">
        <f t="shared" si="9"/>
        <v/>
      </c>
    </row>
    <row r="212" spans="1:16" ht="31.5" x14ac:dyDescent="0.2">
      <c r="A212" s="82"/>
      <c r="B212" s="68"/>
      <c r="C212" s="14" t="s">
        <v>22</v>
      </c>
      <c r="D212" s="20">
        <f>'[3]7нед'!C32</f>
        <v>0</v>
      </c>
      <c r="E212" s="23">
        <f>'[3]7нед'!D32</f>
        <v>0</v>
      </c>
      <c r="F212" s="21">
        <f>'[3]7нед'!G32</f>
        <v>0</v>
      </c>
      <c r="G212" s="22" t="str">
        <f>'[3]7нед'!H32</f>
        <v/>
      </c>
      <c r="H212" s="57" t="str">
        <f t="shared" si="8"/>
        <v/>
      </c>
      <c r="I212" s="71"/>
      <c r="J212" s="74"/>
      <c r="K212" s="14" t="s">
        <v>22</v>
      </c>
      <c r="L212" s="20">
        <f>'[3]8нед'!C32</f>
        <v>0</v>
      </c>
      <c r="M212" s="23">
        <f>'[3]8нед'!D32</f>
        <v>0</v>
      </c>
      <c r="N212" s="21">
        <f>'[3]8нед'!G32</f>
        <v>0</v>
      </c>
      <c r="O212" s="22" t="str">
        <f>'[3]8нед'!H32</f>
        <v/>
      </c>
      <c r="P212" s="57" t="str">
        <f t="shared" si="9"/>
        <v/>
      </c>
    </row>
    <row r="213" spans="1:16" ht="31.5" x14ac:dyDescent="0.2">
      <c r="A213" s="82"/>
      <c r="B213" s="68"/>
      <c r="C213" s="14" t="s">
        <v>23</v>
      </c>
      <c r="D213" s="20">
        <f>'[3]7нед'!C33</f>
        <v>0</v>
      </c>
      <c r="E213" s="23">
        <f>'[3]7нед'!D33</f>
        <v>0</v>
      </c>
      <c r="F213" s="21">
        <f>'[3]7нед'!G33</f>
        <v>0</v>
      </c>
      <c r="G213" s="22" t="str">
        <f>'[3]7нед'!H33</f>
        <v/>
      </c>
      <c r="H213" s="55" t="str">
        <f t="shared" si="8"/>
        <v/>
      </c>
      <c r="I213" s="71"/>
      <c r="J213" s="74"/>
      <c r="K213" s="14" t="s">
        <v>23</v>
      </c>
      <c r="L213" s="20">
        <f>'[3]8нед'!C33</f>
        <v>0</v>
      </c>
      <c r="M213" s="23">
        <f>'[3]8нед'!D33</f>
        <v>0</v>
      </c>
      <c r="N213" s="21">
        <f>'[3]8нед'!G33</f>
        <v>0</v>
      </c>
      <c r="O213" s="22" t="str">
        <f>'[3]8нед'!H33</f>
        <v/>
      </c>
      <c r="P213" s="55" t="str">
        <f t="shared" si="9"/>
        <v/>
      </c>
    </row>
    <row r="214" spans="1:16" ht="32.25" thickBot="1" x14ac:dyDescent="0.25">
      <c r="A214" s="82"/>
      <c r="B214" s="68"/>
      <c r="C214" s="14" t="s">
        <v>24</v>
      </c>
      <c r="D214" s="20">
        <f>'[3]7нед'!C34</f>
        <v>0</v>
      </c>
      <c r="E214" s="23">
        <f>'[3]7нед'!D34</f>
        <v>0</v>
      </c>
      <c r="F214" s="21">
        <f>'[3]7нед'!G34</f>
        <v>0</v>
      </c>
      <c r="G214" s="22" t="str">
        <f>'[3]7нед'!H34</f>
        <v/>
      </c>
      <c r="H214" s="55" t="str">
        <f t="shared" si="8"/>
        <v/>
      </c>
      <c r="I214" s="71"/>
      <c r="J214" s="74"/>
      <c r="K214" s="14" t="s">
        <v>24</v>
      </c>
      <c r="L214" s="20">
        <f>'[3]8нед'!C34</f>
        <v>0</v>
      </c>
      <c r="M214" s="23">
        <f>'[3]8нед'!D34</f>
        <v>0</v>
      </c>
      <c r="N214" s="21">
        <f>'[3]8нед'!G34</f>
        <v>0</v>
      </c>
      <c r="O214" s="22" t="str">
        <f>'[3]8нед'!H34</f>
        <v/>
      </c>
      <c r="P214" s="55" t="str">
        <f t="shared" si="9"/>
        <v/>
      </c>
    </row>
    <row r="215" spans="1:16" ht="18.399999999999999" hidden="1" customHeight="1" thickBot="1" x14ac:dyDescent="0.25">
      <c r="A215" s="83"/>
      <c r="B215" s="69"/>
      <c r="C215" s="15"/>
      <c r="D215" s="24">
        <f>'[3]7нед'!C35</f>
        <v>0</v>
      </c>
      <c r="E215" s="25">
        <f>'[3]7нед'!D35</f>
        <v>0</v>
      </c>
      <c r="F215" s="26">
        <f>'[3]7нед'!G35</f>
        <v>0</v>
      </c>
      <c r="G215" s="27" t="str">
        <f>'[3]7нед'!H35</f>
        <v/>
      </c>
      <c r="H215" s="58" t="str">
        <f t="shared" si="8"/>
        <v/>
      </c>
      <c r="I215" s="72"/>
      <c r="J215" s="75"/>
      <c r="K215" s="15"/>
      <c r="L215" s="24">
        <f>'[3]8нед'!C35</f>
        <v>0</v>
      </c>
      <c r="M215" s="25">
        <f>'[3]8нед'!D35</f>
        <v>0</v>
      </c>
      <c r="N215" s="26">
        <f>'[3]8нед'!G35</f>
        <v>0</v>
      </c>
      <c r="O215" s="27" t="str">
        <f>'[3]8нед'!H35</f>
        <v/>
      </c>
      <c r="P215" s="58" t="str">
        <f t="shared" si="9"/>
        <v/>
      </c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'[3]7нед'!C36</f>
        <v>0</v>
      </c>
      <c r="E216" s="19">
        <f>'[3]7нед'!D36</f>
        <v>0</v>
      </c>
      <c r="F216" s="17">
        <f>'[3]7нед'!G36</f>
        <v>0</v>
      </c>
      <c r="G216" s="18" t="str">
        <f>'[3]7нед'!H36</f>
        <v/>
      </c>
      <c r="H216" s="56" t="str">
        <f t="shared" si="8"/>
        <v/>
      </c>
      <c r="I216" s="70">
        <v>46317</v>
      </c>
      <c r="J216" s="87" t="s">
        <v>27</v>
      </c>
      <c r="K216" s="29" t="s">
        <v>18</v>
      </c>
      <c r="L216" s="16">
        <f>'[3]8нед'!C36</f>
        <v>0</v>
      </c>
      <c r="M216" s="19">
        <f>'[3]8нед'!D36</f>
        <v>0</v>
      </c>
      <c r="N216" s="17">
        <f>'[3]8нед'!G36</f>
        <v>0</v>
      </c>
      <c r="O216" s="18" t="str">
        <f>'[3]8нед'!H36</f>
        <v/>
      </c>
      <c r="P216" s="56" t="str">
        <f t="shared" si="9"/>
        <v/>
      </c>
    </row>
    <row r="217" spans="1:16" ht="31.5" x14ac:dyDescent="0.2">
      <c r="A217" s="82"/>
      <c r="B217" s="85"/>
      <c r="C217" s="14" t="s">
        <v>19</v>
      </c>
      <c r="D217" s="20">
        <f>'[3]7нед'!C37</f>
        <v>0</v>
      </c>
      <c r="E217" s="23">
        <f>'[3]7нед'!D37</f>
        <v>0</v>
      </c>
      <c r="F217" s="21">
        <f>'[3]7нед'!G37</f>
        <v>0</v>
      </c>
      <c r="G217" s="22" t="str">
        <f>'[3]7нед'!H37</f>
        <v/>
      </c>
      <c r="H217" s="57" t="str">
        <f t="shared" si="8"/>
        <v/>
      </c>
      <c r="I217" s="71"/>
      <c r="J217" s="88"/>
      <c r="K217" s="14" t="s">
        <v>19</v>
      </c>
      <c r="L217" s="20">
        <f>'[3]8нед'!C37</f>
        <v>0</v>
      </c>
      <c r="M217" s="23">
        <f>'[3]8нед'!D37</f>
        <v>0</v>
      </c>
      <c r="N217" s="21">
        <f>'[3]8нед'!G37</f>
        <v>0</v>
      </c>
      <c r="O217" s="22" t="str">
        <f>'[3]8нед'!H37</f>
        <v/>
      </c>
      <c r="P217" s="57" t="str">
        <f t="shared" si="9"/>
        <v/>
      </c>
    </row>
    <row r="218" spans="1:16" ht="31.5" x14ac:dyDescent="0.2">
      <c r="A218" s="82"/>
      <c r="B218" s="85"/>
      <c r="C218" s="14" t="s">
        <v>20</v>
      </c>
      <c r="D218" s="20">
        <f>'[3]7нед'!C38</f>
        <v>0</v>
      </c>
      <c r="E218" s="23">
        <f>'[3]7нед'!D38</f>
        <v>0</v>
      </c>
      <c r="F218" s="21">
        <f>'[3]7нед'!G38</f>
        <v>0</v>
      </c>
      <c r="G218" s="22" t="str">
        <f>'[3]7нед'!H38</f>
        <v/>
      </c>
      <c r="H218" s="57" t="str">
        <f t="shared" si="8"/>
        <v/>
      </c>
      <c r="I218" s="71"/>
      <c r="J218" s="88"/>
      <c r="K218" s="14" t="s">
        <v>20</v>
      </c>
      <c r="L218" s="20">
        <f>'[3]8нед'!C38</f>
        <v>0</v>
      </c>
      <c r="M218" s="23">
        <f>'[3]8нед'!D38</f>
        <v>0</v>
      </c>
      <c r="N218" s="21">
        <f>'[3]8нед'!G38</f>
        <v>0</v>
      </c>
      <c r="O218" s="22" t="str">
        <f>'[3]8нед'!H38</f>
        <v/>
      </c>
      <c r="P218" s="57" t="str">
        <f t="shared" si="9"/>
        <v/>
      </c>
    </row>
    <row r="219" spans="1:16" ht="31.5" x14ac:dyDescent="0.2">
      <c r="A219" s="82"/>
      <c r="B219" s="85"/>
      <c r="C219" s="14" t="s">
        <v>21</v>
      </c>
      <c r="D219" s="20">
        <f>'[3]7нед'!C39</f>
        <v>0</v>
      </c>
      <c r="E219" s="23">
        <f>'[3]7нед'!D39</f>
        <v>0</v>
      </c>
      <c r="F219" s="21">
        <f>'[3]7нед'!G39</f>
        <v>0</v>
      </c>
      <c r="G219" s="22" t="str">
        <f>'[3]7нед'!H39</f>
        <v/>
      </c>
      <c r="H219" s="57" t="str">
        <f t="shared" si="8"/>
        <v/>
      </c>
      <c r="I219" s="71"/>
      <c r="J219" s="88"/>
      <c r="K219" s="14" t="s">
        <v>21</v>
      </c>
      <c r="L219" s="20">
        <f>'[3]8нед'!C39</f>
        <v>0</v>
      </c>
      <c r="M219" s="23">
        <f>'[3]8нед'!D39</f>
        <v>0</v>
      </c>
      <c r="N219" s="21">
        <f>'[3]8нед'!G39</f>
        <v>0</v>
      </c>
      <c r="O219" s="22" t="str">
        <f>'[3]8нед'!H39</f>
        <v/>
      </c>
      <c r="P219" s="57" t="str">
        <f t="shared" si="9"/>
        <v/>
      </c>
    </row>
    <row r="220" spans="1:16" ht="31.5" x14ac:dyDescent="0.2">
      <c r="A220" s="82"/>
      <c r="B220" s="85"/>
      <c r="C220" s="14" t="s">
        <v>22</v>
      </c>
      <c r="D220" s="20">
        <f>'[3]7нед'!C40</f>
        <v>0</v>
      </c>
      <c r="E220" s="23">
        <f>'[3]7нед'!D40</f>
        <v>0</v>
      </c>
      <c r="F220" s="21">
        <f>'[3]7нед'!G40</f>
        <v>0</v>
      </c>
      <c r="G220" s="22" t="str">
        <f>'[3]7нед'!H40</f>
        <v/>
      </c>
      <c r="H220" s="57" t="str">
        <f t="shared" si="8"/>
        <v/>
      </c>
      <c r="I220" s="71"/>
      <c r="J220" s="88"/>
      <c r="K220" s="14" t="s">
        <v>22</v>
      </c>
      <c r="L220" s="20">
        <f>'[3]8нед'!C40</f>
        <v>0</v>
      </c>
      <c r="M220" s="23">
        <f>'[3]8нед'!D40</f>
        <v>0</v>
      </c>
      <c r="N220" s="21">
        <f>'[3]8нед'!G40</f>
        <v>0</v>
      </c>
      <c r="O220" s="22" t="str">
        <f>'[3]8нед'!H40</f>
        <v/>
      </c>
      <c r="P220" s="57" t="str">
        <f t="shared" si="9"/>
        <v/>
      </c>
    </row>
    <row r="221" spans="1:16" ht="31.5" x14ac:dyDescent="0.2">
      <c r="A221" s="82"/>
      <c r="B221" s="85"/>
      <c r="C221" s="14" t="s">
        <v>23</v>
      </c>
      <c r="D221" s="20">
        <f>'[3]7нед'!C41</f>
        <v>0</v>
      </c>
      <c r="E221" s="23">
        <f>'[3]7нед'!D41</f>
        <v>0</v>
      </c>
      <c r="F221" s="21">
        <f>'[3]7нед'!G41</f>
        <v>0</v>
      </c>
      <c r="G221" s="22" t="str">
        <f>'[3]7нед'!H41</f>
        <v/>
      </c>
      <c r="H221" s="55" t="str">
        <f t="shared" si="8"/>
        <v/>
      </c>
      <c r="I221" s="71"/>
      <c r="J221" s="88"/>
      <c r="K221" s="14" t="s">
        <v>23</v>
      </c>
      <c r="L221" s="20">
        <f>'[3]8нед'!C41</f>
        <v>0</v>
      </c>
      <c r="M221" s="23">
        <f>'[3]8нед'!D41</f>
        <v>0</v>
      </c>
      <c r="N221" s="21">
        <f>'[3]8нед'!G41</f>
        <v>0</v>
      </c>
      <c r="O221" s="22" t="str">
        <f>'[3]8нед'!H41</f>
        <v/>
      </c>
      <c r="P221" s="55" t="str">
        <f t="shared" si="9"/>
        <v/>
      </c>
    </row>
    <row r="222" spans="1:16" ht="32.25" thickBot="1" x14ac:dyDescent="0.25">
      <c r="A222" s="82"/>
      <c r="B222" s="85"/>
      <c r="C222" s="14" t="s">
        <v>24</v>
      </c>
      <c r="D222" s="20">
        <f>'[3]7нед'!C42</f>
        <v>0</v>
      </c>
      <c r="E222" s="23">
        <f>'[3]7нед'!D42</f>
        <v>0</v>
      </c>
      <c r="F222" s="21">
        <f>'[3]7нед'!G42</f>
        <v>0</v>
      </c>
      <c r="G222" s="22" t="str">
        <f>'[3]7нед'!H42</f>
        <v/>
      </c>
      <c r="H222" s="55" t="str">
        <f t="shared" si="8"/>
        <v/>
      </c>
      <c r="I222" s="71"/>
      <c r="J222" s="88"/>
      <c r="K222" s="14" t="s">
        <v>24</v>
      </c>
      <c r="L222" s="20">
        <f>'[3]8нед'!C42</f>
        <v>0</v>
      </c>
      <c r="M222" s="23">
        <f>'[3]8нед'!D42</f>
        <v>0</v>
      </c>
      <c r="N222" s="21">
        <f>'[3]8нед'!G42</f>
        <v>0</v>
      </c>
      <c r="O222" s="22" t="str">
        <f>'[3]8нед'!H42</f>
        <v/>
      </c>
      <c r="P222" s="55" t="str">
        <f t="shared" si="9"/>
        <v/>
      </c>
    </row>
    <row r="223" spans="1:16" ht="18.399999999999999" hidden="1" customHeight="1" thickBot="1" x14ac:dyDescent="0.25">
      <c r="A223" s="83"/>
      <c r="B223" s="86"/>
      <c r="C223" s="15"/>
      <c r="D223" s="24">
        <f>'[3]7нед'!C43</f>
        <v>0</v>
      </c>
      <c r="E223" s="25">
        <f>'[3]7нед'!D43</f>
        <v>0</v>
      </c>
      <c r="F223" s="26">
        <f>'[3]7нед'!G43</f>
        <v>0</v>
      </c>
      <c r="G223" s="27" t="str">
        <f>'[3]7нед'!H43</f>
        <v/>
      </c>
      <c r="H223" s="58" t="str">
        <f t="shared" si="8"/>
        <v/>
      </c>
      <c r="I223" s="72"/>
      <c r="J223" s="89"/>
      <c r="K223" s="15"/>
      <c r="L223" s="24">
        <f>'[3]8нед'!C43</f>
        <v>0</v>
      </c>
      <c r="M223" s="25">
        <f>'[3]8нед'!D43</f>
        <v>0</v>
      </c>
      <c r="N223" s="26">
        <f>'[3]8нед'!G43</f>
        <v>0</v>
      </c>
      <c r="O223" s="27" t="str">
        <f>'[3]8нед'!H43</f>
        <v/>
      </c>
      <c r="P223" s="58" t="str">
        <f t="shared" si="9"/>
        <v/>
      </c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'[3]7нед'!C44</f>
        <v>0</v>
      </c>
      <c r="E224" s="19">
        <f>'[3]7нед'!D44</f>
        <v>0</v>
      </c>
      <c r="F224" s="17">
        <f>'[3]7нед'!G44</f>
        <v>0</v>
      </c>
      <c r="G224" s="18" t="str">
        <f>'[3]7нед'!H44</f>
        <v/>
      </c>
      <c r="H224" s="56" t="str">
        <f t="shared" si="8"/>
        <v/>
      </c>
      <c r="I224" s="70">
        <v>46318</v>
      </c>
      <c r="J224" s="87" t="s">
        <v>28</v>
      </c>
      <c r="K224" s="29" t="s">
        <v>18</v>
      </c>
      <c r="L224" s="16">
        <f>'[3]8нед'!C44</f>
        <v>0</v>
      </c>
      <c r="M224" s="19">
        <f>'[3]8нед'!D44</f>
        <v>0</v>
      </c>
      <c r="N224" s="17">
        <f>'[3]8нед'!G44</f>
        <v>0</v>
      </c>
      <c r="O224" s="18" t="str">
        <f>'[3]8нед'!H44</f>
        <v/>
      </c>
      <c r="P224" s="56" t="str">
        <f t="shared" si="9"/>
        <v/>
      </c>
    </row>
    <row r="225" spans="1:16" ht="31.5" x14ac:dyDescent="0.2">
      <c r="A225" s="82"/>
      <c r="B225" s="85"/>
      <c r="C225" s="14" t="s">
        <v>19</v>
      </c>
      <c r="D225" s="20">
        <f>'[3]7нед'!C45</f>
        <v>0</v>
      </c>
      <c r="E225" s="23">
        <f>'[3]7нед'!D45</f>
        <v>0</v>
      </c>
      <c r="F225" s="21">
        <f>'[3]7нед'!G45</f>
        <v>0</v>
      </c>
      <c r="G225" s="22" t="str">
        <f>'[3]7нед'!H45</f>
        <v/>
      </c>
      <c r="H225" s="57" t="str">
        <f t="shared" si="8"/>
        <v/>
      </c>
      <c r="I225" s="71"/>
      <c r="J225" s="88"/>
      <c r="K225" s="14" t="s">
        <v>19</v>
      </c>
      <c r="L225" s="20">
        <f>'[3]8нед'!C45</f>
        <v>0</v>
      </c>
      <c r="M225" s="23">
        <f>'[3]8нед'!D45</f>
        <v>0</v>
      </c>
      <c r="N225" s="21">
        <f>'[3]8нед'!G45</f>
        <v>0</v>
      </c>
      <c r="O225" s="22" t="str">
        <f>'[3]8нед'!H45</f>
        <v/>
      </c>
      <c r="P225" s="57" t="str">
        <f t="shared" si="9"/>
        <v/>
      </c>
    </row>
    <row r="226" spans="1:16" ht="31.5" x14ac:dyDescent="0.2">
      <c r="A226" s="82"/>
      <c r="B226" s="85"/>
      <c r="C226" s="14" t="s">
        <v>20</v>
      </c>
      <c r="D226" s="20">
        <f>'[3]7нед'!C46</f>
        <v>0</v>
      </c>
      <c r="E226" s="23">
        <f>'[3]7нед'!D46</f>
        <v>0</v>
      </c>
      <c r="F226" s="21">
        <f>'[3]7нед'!G46</f>
        <v>0</v>
      </c>
      <c r="G226" s="22" t="str">
        <f>'[3]7нед'!H46</f>
        <v/>
      </c>
      <c r="H226" s="57" t="str">
        <f t="shared" si="8"/>
        <v/>
      </c>
      <c r="I226" s="71"/>
      <c r="J226" s="88"/>
      <c r="K226" s="14" t="s">
        <v>20</v>
      </c>
      <c r="L226" s="20">
        <f>'[3]8нед'!C46</f>
        <v>0</v>
      </c>
      <c r="M226" s="23">
        <f>'[3]8нед'!D46</f>
        <v>0</v>
      </c>
      <c r="N226" s="21">
        <f>'[3]8нед'!G46</f>
        <v>0</v>
      </c>
      <c r="O226" s="22" t="str">
        <f>'[3]8нед'!H46</f>
        <v/>
      </c>
      <c r="P226" s="57" t="str">
        <f t="shared" si="9"/>
        <v/>
      </c>
    </row>
    <row r="227" spans="1:16" ht="31.5" x14ac:dyDescent="0.2">
      <c r="A227" s="82"/>
      <c r="B227" s="85"/>
      <c r="C227" s="14" t="s">
        <v>21</v>
      </c>
      <c r="D227" s="20">
        <f>'[3]7нед'!C47</f>
        <v>0</v>
      </c>
      <c r="E227" s="23">
        <f>'[3]7нед'!D47</f>
        <v>0</v>
      </c>
      <c r="F227" s="21">
        <f>'[3]7нед'!G47</f>
        <v>0</v>
      </c>
      <c r="G227" s="22" t="str">
        <f>'[3]7нед'!H47</f>
        <v/>
      </c>
      <c r="H227" s="57" t="str">
        <f t="shared" si="8"/>
        <v/>
      </c>
      <c r="I227" s="71"/>
      <c r="J227" s="88"/>
      <c r="K227" s="14" t="s">
        <v>21</v>
      </c>
      <c r="L227" s="20">
        <f>'[3]8нед'!C47</f>
        <v>0</v>
      </c>
      <c r="M227" s="23">
        <f>'[3]8нед'!D47</f>
        <v>0</v>
      </c>
      <c r="N227" s="21">
        <f>'[3]8нед'!G47</f>
        <v>0</v>
      </c>
      <c r="O227" s="22" t="str">
        <f>'[3]8нед'!H47</f>
        <v/>
      </c>
      <c r="P227" s="57" t="str">
        <f t="shared" si="9"/>
        <v/>
      </c>
    </row>
    <row r="228" spans="1:16" ht="31.5" x14ac:dyDescent="0.2">
      <c r="A228" s="82"/>
      <c r="B228" s="85"/>
      <c r="C228" s="14" t="s">
        <v>22</v>
      </c>
      <c r="D228" s="20">
        <f>'[3]7нед'!C48</f>
        <v>0</v>
      </c>
      <c r="E228" s="23">
        <f>'[3]7нед'!D48</f>
        <v>0</v>
      </c>
      <c r="F228" s="21">
        <f>'[3]7нед'!G48</f>
        <v>0</v>
      </c>
      <c r="G228" s="22" t="str">
        <f>'[3]7нед'!H48</f>
        <v/>
      </c>
      <c r="H228" s="57" t="str">
        <f t="shared" si="8"/>
        <v/>
      </c>
      <c r="I228" s="71"/>
      <c r="J228" s="88"/>
      <c r="K228" s="14" t="s">
        <v>22</v>
      </c>
      <c r="L228" s="20">
        <f>'[3]8нед'!C48</f>
        <v>0</v>
      </c>
      <c r="M228" s="23">
        <f>'[3]8нед'!D48</f>
        <v>0</v>
      </c>
      <c r="N228" s="21">
        <f>'[3]8нед'!G48</f>
        <v>0</v>
      </c>
      <c r="O228" s="22" t="str">
        <f>'[3]8нед'!H48</f>
        <v/>
      </c>
      <c r="P228" s="57" t="str">
        <f t="shared" si="9"/>
        <v/>
      </c>
    </row>
    <row r="229" spans="1:16" ht="35.85" customHeight="1" x14ac:dyDescent="0.2">
      <c r="A229" s="82"/>
      <c r="B229" s="85"/>
      <c r="C229" s="14" t="s">
        <v>23</v>
      </c>
      <c r="D229" s="20">
        <f>'[3]7нед'!C49</f>
        <v>0</v>
      </c>
      <c r="E229" s="23">
        <f>'[3]7нед'!D49</f>
        <v>0</v>
      </c>
      <c r="F229" s="21">
        <f>'[3]7нед'!G49</f>
        <v>0</v>
      </c>
      <c r="G229" s="22" t="str">
        <f>'[3]7нед'!H49</f>
        <v/>
      </c>
      <c r="H229" s="57" t="str">
        <f t="shared" si="8"/>
        <v/>
      </c>
      <c r="I229" s="71"/>
      <c r="J229" s="88"/>
      <c r="K229" s="14" t="s">
        <v>23</v>
      </c>
      <c r="L229" s="20">
        <f>'[3]8нед'!C49</f>
        <v>0</v>
      </c>
      <c r="M229" s="23">
        <f>'[3]8нед'!D49</f>
        <v>0</v>
      </c>
      <c r="N229" s="21">
        <f>'[3]8нед'!G49</f>
        <v>0</v>
      </c>
      <c r="O229" s="22" t="str">
        <f>'[3]8нед'!H49</f>
        <v/>
      </c>
      <c r="P229" s="57" t="str">
        <f t="shared" si="9"/>
        <v/>
      </c>
    </row>
    <row r="230" spans="1:16" ht="36.4" customHeight="1" thickBot="1" x14ac:dyDescent="0.25">
      <c r="A230" s="82"/>
      <c r="B230" s="85"/>
      <c r="C230" s="14" t="s">
        <v>24</v>
      </c>
      <c r="D230" s="20">
        <f>'[3]7нед'!C50</f>
        <v>0</v>
      </c>
      <c r="E230" s="23">
        <f>'[3]7нед'!D50</f>
        <v>0</v>
      </c>
      <c r="F230" s="21">
        <f>'[3]7нед'!G50</f>
        <v>0</v>
      </c>
      <c r="G230" s="22" t="str">
        <f>'[3]7нед'!H50</f>
        <v/>
      </c>
      <c r="H230" s="57" t="str">
        <f t="shared" si="8"/>
        <v/>
      </c>
      <c r="I230" s="71"/>
      <c r="J230" s="88"/>
      <c r="K230" s="14" t="s">
        <v>24</v>
      </c>
      <c r="L230" s="20">
        <f>'[3]8нед'!C50</f>
        <v>0</v>
      </c>
      <c r="M230" s="23">
        <f>'[3]8нед'!D50</f>
        <v>0</v>
      </c>
      <c r="N230" s="21">
        <f>'[3]8нед'!G50</f>
        <v>0</v>
      </c>
      <c r="O230" s="22" t="str">
        <f>'[3]8нед'!H50</f>
        <v/>
      </c>
      <c r="P230" s="57" t="str">
        <f t="shared" si="9"/>
        <v/>
      </c>
    </row>
    <row r="231" spans="1:16" ht="18.399999999999999" hidden="1" customHeight="1" thickBot="1" x14ac:dyDescent="0.25">
      <c r="A231" s="83"/>
      <c r="B231" s="86"/>
      <c r="C231" s="15"/>
      <c r="D231" s="24">
        <f>'[3]7нед'!C51</f>
        <v>0</v>
      </c>
      <c r="E231" s="25">
        <f>'[3]7нед'!D51</f>
        <v>0</v>
      </c>
      <c r="F231" s="26">
        <f>'[3]7нед'!G51</f>
        <v>0</v>
      </c>
      <c r="G231" s="27" t="str">
        <f>'[3]7нед'!H51</f>
        <v/>
      </c>
      <c r="H231" s="58" t="str">
        <f t="shared" si="8"/>
        <v/>
      </c>
      <c r="I231" s="72"/>
      <c r="J231" s="89"/>
      <c r="K231" s="15"/>
      <c r="L231" s="24">
        <f>'[3]8нед'!C51</f>
        <v>0</v>
      </c>
      <c r="M231" s="25">
        <f>'[3]8нед'!D51</f>
        <v>0</v>
      </c>
      <c r="N231" s="26">
        <f>'[3]8нед'!G51</f>
        <v>0</v>
      </c>
      <c r="O231" s="27" t="str">
        <f>'[3]8нед'!H51</f>
        <v/>
      </c>
      <c r="P231" s="58" t="str">
        <f t="shared" si="9"/>
        <v/>
      </c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'[3]7нед'!C52</f>
        <v>0</v>
      </c>
      <c r="E232" s="19">
        <f>'[3]7нед'!D52</f>
        <v>0</v>
      </c>
      <c r="F232" s="17">
        <f>'[3]7нед'!G52</f>
        <v>0</v>
      </c>
      <c r="G232" s="18" t="str">
        <f>'[3]7нед'!H52</f>
        <v/>
      </c>
      <c r="H232" s="56" t="str">
        <f t="shared" si="8"/>
        <v/>
      </c>
      <c r="I232" s="70">
        <v>46319</v>
      </c>
      <c r="J232" s="87" t="s">
        <v>29</v>
      </c>
      <c r="K232" s="29" t="s">
        <v>18</v>
      </c>
      <c r="L232" s="16">
        <f>'[3]8нед'!C52</f>
        <v>0</v>
      </c>
      <c r="M232" s="19">
        <f>'[3]8нед'!D52</f>
        <v>0</v>
      </c>
      <c r="N232" s="17">
        <f>'[3]8нед'!G52</f>
        <v>0</v>
      </c>
      <c r="O232" s="18" t="str">
        <f>'[3]8нед'!H52</f>
        <v/>
      </c>
      <c r="P232" s="56" t="str">
        <f t="shared" si="9"/>
        <v/>
      </c>
    </row>
    <row r="233" spans="1:16" ht="31.5" x14ac:dyDescent="0.2">
      <c r="A233" s="82"/>
      <c r="B233" s="85"/>
      <c r="C233" s="14" t="s">
        <v>19</v>
      </c>
      <c r="D233" s="20">
        <f>'[3]7нед'!C53</f>
        <v>0</v>
      </c>
      <c r="E233" s="23">
        <f>'[3]7нед'!D53</f>
        <v>0</v>
      </c>
      <c r="F233" s="21">
        <f>'[3]7нед'!G53</f>
        <v>0</v>
      </c>
      <c r="G233" s="22" t="str">
        <f>'[3]7нед'!H53</f>
        <v/>
      </c>
      <c r="H233" s="57" t="str">
        <f t="shared" si="8"/>
        <v/>
      </c>
      <c r="I233" s="71"/>
      <c r="J233" s="88"/>
      <c r="K233" s="14" t="s">
        <v>19</v>
      </c>
      <c r="L233" s="20">
        <f>'[3]8нед'!C53</f>
        <v>0</v>
      </c>
      <c r="M233" s="23">
        <f>'[3]8нед'!D53</f>
        <v>0</v>
      </c>
      <c r="N233" s="21">
        <f>'[3]8нед'!G53</f>
        <v>0</v>
      </c>
      <c r="O233" s="22" t="str">
        <f>'[3]8нед'!H53</f>
        <v/>
      </c>
      <c r="P233" s="57" t="str">
        <f t="shared" si="9"/>
        <v/>
      </c>
    </row>
    <row r="234" spans="1:16" ht="31.5" x14ac:dyDescent="0.2">
      <c r="A234" s="82"/>
      <c r="B234" s="85"/>
      <c r="C234" s="14" t="s">
        <v>20</v>
      </c>
      <c r="D234" s="20">
        <f>'[3]7нед'!C54</f>
        <v>0</v>
      </c>
      <c r="E234" s="23">
        <f>'[3]7нед'!D54</f>
        <v>0</v>
      </c>
      <c r="F234" s="21">
        <f>'[3]7нед'!G54</f>
        <v>0</v>
      </c>
      <c r="G234" s="22" t="str">
        <f>'[3]7нед'!H54</f>
        <v/>
      </c>
      <c r="H234" s="57" t="str">
        <f t="shared" si="8"/>
        <v/>
      </c>
      <c r="I234" s="71"/>
      <c r="J234" s="88"/>
      <c r="K234" s="14" t="s">
        <v>20</v>
      </c>
      <c r="L234" s="20">
        <f>'[3]8нед'!C54</f>
        <v>0</v>
      </c>
      <c r="M234" s="23">
        <f>'[3]8нед'!D54</f>
        <v>0</v>
      </c>
      <c r="N234" s="21">
        <f>'[3]8нед'!G54</f>
        <v>0</v>
      </c>
      <c r="O234" s="22" t="str">
        <f>'[3]8нед'!H54</f>
        <v/>
      </c>
      <c r="P234" s="57" t="str">
        <f t="shared" si="9"/>
        <v/>
      </c>
    </row>
    <row r="235" spans="1:16" ht="31.5" x14ac:dyDescent="0.2">
      <c r="A235" s="82"/>
      <c r="B235" s="85"/>
      <c r="C235" s="14" t="s">
        <v>21</v>
      </c>
      <c r="D235" s="20">
        <f>'[3]7нед'!C55</f>
        <v>0</v>
      </c>
      <c r="E235" s="23">
        <f>'[3]7нед'!D55</f>
        <v>0</v>
      </c>
      <c r="F235" s="21">
        <f>'[3]7нед'!G55</f>
        <v>0</v>
      </c>
      <c r="G235" s="22" t="str">
        <f>'[3]7нед'!H55</f>
        <v/>
      </c>
      <c r="H235" s="57" t="str">
        <f t="shared" si="8"/>
        <v/>
      </c>
      <c r="I235" s="71"/>
      <c r="J235" s="88"/>
      <c r="K235" s="14" t="s">
        <v>21</v>
      </c>
      <c r="L235" s="20">
        <f>'[3]8нед'!C55</f>
        <v>0</v>
      </c>
      <c r="M235" s="23">
        <f>'[3]8нед'!D55</f>
        <v>0</v>
      </c>
      <c r="N235" s="21">
        <f>'[3]8нед'!G55</f>
        <v>0</v>
      </c>
      <c r="O235" s="22" t="str">
        <f>'[3]8нед'!H55</f>
        <v/>
      </c>
      <c r="P235" s="57" t="str">
        <f t="shared" si="9"/>
        <v/>
      </c>
    </row>
    <row r="236" spans="1:16" ht="31.5" x14ac:dyDescent="0.2">
      <c r="A236" s="82"/>
      <c r="B236" s="85"/>
      <c r="C236" s="14" t="s">
        <v>22</v>
      </c>
      <c r="D236" s="20">
        <f>'[3]7нед'!C56</f>
        <v>0</v>
      </c>
      <c r="E236" s="23">
        <f>'[3]7нед'!D56</f>
        <v>0</v>
      </c>
      <c r="F236" s="21">
        <f>'[3]7нед'!G56</f>
        <v>0</v>
      </c>
      <c r="G236" s="22" t="str">
        <f>'[3]7нед'!H56</f>
        <v/>
      </c>
      <c r="H236" s="57" t="str">
        <f t="shared" si="8"/>
        <v/>
      </c>
      <c r="I236" s="71"/>
      <c r="J236" s="88"/>
      <c r="K236" s="14" t="s">
        <v>22</v>
      </c>
      <c r="L236" s="20">
        <f>'[3]8нед'!C56</f>
        <v>0</v>
      </c>
      <c r="M236" s="23">
        <f>'[3]8нед'!D56</f>
        <v>0</v>
      </c>
      <c r="N236" s="21">
        <f>'[3]8нед'!G56</f>
        <v>0</v>
      </c>
      <c r="O236" s="22" t="str">
        <f>'[3]8нед'!H56</f>
        <v/>
      </c>
      <c r="P236" s="57" t="str">
        <f t="shared" si="9"/>
        <v/>
      </c>
    </row>
    <row r="237" spans="1:16" ht="31.5" x14ac:dyDescent="0.2">
      <c r="A237" s="82"/>
      <c r="B237" s="85"/>
      <c r="C237" s="14" t="s">
        <v>23</v>
      </c>
      <c r="D237" s="20">
        <f>'[3]7нед'!C57</f>
        <v>0</v>
      </c>
      <c r="E237" s="23">
        <f>'[3]7нед'!D57</f>
        <v>0</v>
      </c>
      <c r="F237" s="21">
        <f>'[3]7нед'!G57</f>
        <v>0</v>
      </c>
      <c r="G237" s="22" t="str">
        <f>'[3]7нед'!H57</f>
        <v/>
      </c>
      <c r="H237" s="57" t="str">
        <f t="shared" si="8"/>
        <v/>
      </c>
      <c r="I237" s="71"/>
      <c r="J237" s="88"/>
      <c r="K237" s="14" t="s">
        <v>23</v>
      </c>
      <c r="L237" s="20">
        <f>'[3]8нед'!C57</f>
        <v>0</v>
      </c>
      <c r="M237" s="23">
        <f>'[3]8нед'!D57</f>
        <v>0</v>
      </c>
      <c r="N237" s="21">
        <f>'[3]8нед'!G57</f>
        <v>0</v>
      </c>
      <c r="O237" s="22" t="str">
        <f>'[3]8нед'!H57</f>
        <v/>
      </c>
      <c r="P237" s="57" t="str">
        <f t="shared" si="9"/>
        <v/>
      </c>
    </row>
    <row r="238" spans="1:16" ht="32.25" thickBot="1" x14ac:dyDescent="0.25">
      <c r="A238" s="82"/>
      <c r="B238" s="85"/>
      <c r="C238" s="14" t="s">
        <v>24</v>
      </c>
      <c r="D238" s="20">
        <f>'[3]7нед'!C58</f>
        <v>0</v>
      </c>
      <c r="E238" s="23">
        <f>'[3]7нед'!D58</f>
        <v>0</v>
      </c>
      <c r="F238" s="21">
        <f>'[3]7нед'!G58</f>
        <v>0</v>
      </c>
      <c r="G238" s="22" t="str">
        <f>'[3]7нед'!H58</f>
        <v/>
      </c>
      <c r="H238" s="57" t="str">
        <f t="shared" si="8"/>
        <v/>
      </c>
      <c r="I238" s="71"/>
      <c r="J238" s="88"/>
      <c r="K238" s="14" t="s">
        <v>24</v>
      </c>
      <c r="L238" s="20">
        <f>'[3]8нед'!C58</f>
        <v>0</v>
      </c>
      <c r="M238" s="23">
        <f>'[3]8нед'!D58</f>
        <v>0</v>
      </c>
      <c r="N238" s="21">
        <f>'[3]8нед'!G58</f>
        <v>0</v>
      </c>
      <c r="O238" s="22" t="str">
        <f>'[3]8нед'!H58</f>
        <v/>
      </c>
      <c r="P238" s="57" t="str">
        <f t="shared" si="9"/>
        <v/>
      </c>
    </row>
    <row r="239" spans="1:16" ht="18.399999999999999" hidden="1" customHeight="1" thickBot="1" x14ac:dyDescent="0.25">
      <c r="A239" s="83"/>
      <c r="B239" s="86"/>
      <c r="C239" s="15"/>
      <c r="D239" s="24">
        <f>'[3]7нед'!C59</f>
        <v>0</v>
      </c>
      <c r="E239" s="25">
        <f>'[3]7нед'!D59</f>
        <v>0</v>
      </c>
      <c r="F239" s="26">
        <f>'[3]7нед'!G59</f>
        <v>0</v>
      </c>
      <c r="G239" s="27" t="str">
        <f>'[3]7нед'!H59</f>
        <v/>
      </c>
      <c r="H239" s="39"/>
      <c r="I239" s="72"/>
      <c r="J239" s="89"/>
      <c r="K239" s="15"/>
      <c r="L239" s="24">
        <f>'[3]8нед'!C59</f>
        <v>0</v>
      </c>
      <c r="M239" s="25">
        <f>'[3]8нед'!D59</f>
        <v>0</v>
      </c>
      <c r="N239" s="26">
        <f>'[3]8нед'!G59</f>
        <v>0</v>
      </c>
      <c r="O239" s="27" t="str">
        <f>'[3]8нед'!H59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00</v>
      </c>
      <c r="F247" s="7"/>
      <c r="G247" s="7">
        <f>G7</f>
        <v>0</v>
      </c>
      <c r="H247" s="36"/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00</v>
      </c>
      <c r="N247" s="7"/>
      <c r="O247" s="7">
        <f>G7</f>
        <v>0</v>
      </c>
      <c r="P247" s="36"/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10">E8</f>
        <v>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11">E8</f>
        <v>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1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1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'[3]9нед'!C12</f>
        <v>0</v>
      </c>
      <c r="E252" s="19">
        <f>'[3]9нед'!D12</f>
        <v>0</v>
      </c>
      <c r="F252" s="17">
        <f>'[3]9нед'!G12</f>
        <v>0</v>
      </c>
      <c r="G252" s="18" t="str">
        <f>'[3]9нед'!H12</f>
        <v/>
      </c>
      <c r="H252" s="56" t="str">
        <f>HYPERLINK(VLOOKUP(E252,$R$12:$S$332,2,FALSE))</f>
        <v/>
      </c>
      <c r="I252" s="70">
        <v>46328</v>
      </c>
      <c r="J252" s="87" t="s">
        <v>17</v>
      </c>
      <c r="K252" s="14" t="s">
        <v>18</v>
      </c>
      <c r="L252" s="16">
        <f>'[4]10нед'!C12</f>
        <v>0</v>
      </c>
      <c r="M252" s="19">
        <f>'[4]10нед'!D12</f>
        <v>0</v>
      </c>
      <c r="N252" s="17">
        <f>'[4]10нед'!G12</f>
        <v>0</v>
      </c>
      <c r="O252" s="18" t="str">
        <f>'[4]10нед'!H12</f>
        <v/>
      </c>
      <c r="P252" s="56" t="str">
        <f>HYPERLINK(VLOOKUP(M252,$R$12:$S$332,2,FALSE))</f>
        <v/>
      </c>
    </row>
    <row r="253" spans="1:16" ht="31.5" x14ac:dyDescent="0.2">
      <c r="A253" s="82"/>
      <c r="B253" s="85"/>
      <c r="C253" s="14" t="s">
        <v>19</v>
      </c>
      <c r="D253" s="20">
        <f>'[3]9нед'!C13</f>
        <v>0</v>
      </c>
      <c r="E253" s="23">
        <f>'[3]9нед'!D13</f>
        <v>0</v>
      </c>
      <c r="F253" s="21">
        <f>'[3]9нед'!G13</f>
        <v>0</v>
      </c>
      <c r="G253" s="22" t="str">
        <f>'[3]9нед'!H13</f>
        <v/>
      </c>
      <c r="H253" s="57" t="str">
        <f t="shared" ref="H253:H298" si="12">HYPERLINK(VLOOKUP(E253,$R$12:$S$332,2,FALSE))</f>
        <v/>
      </c>
      <c r="I253" s="71"/>
      <c r="J253" s="88"/>
      <c r="K253" s="14" t="s">
        <v>19</v>
      </c>
      <c r="L253" s="20">
        <f>'[4]10нед'!C13</f>
        <v>0</v>
      </c>
      <c r="M253" s="23">
        <f>'[4]10нед'!D13</f>
        <v>0</v>
      </c>
      <c r="N253" s="21">
        <f>'[4]10нед'!G13</f>
        <v>0</v>
      </c>
      <c r="O253" s="22" t="str">
        <f>'[4]10нед'!H13</f>
        <v/>
      </c>
      <c r="P253" s="57" t="str">
        <f t="shared" ref="P253:P298" si="13">HYPERLINK(VLOOKUP(M253,$R$12:$S$332,2,FALSE))</f>
        <v/>
      </c>
    </row>
    <row r="254" spans="1:16" ht="31.5" x14ac:dyDescent="0.2">
      <c r="A254" s="82"/>
      <c r="B254" s="85"/>
      <c r="C254" s="14" t="s">
        <v>20</v>
      </c>
      <c r="D254" s="20">
        <f>'[3]9нед'!C14</f>
        <v>0</v>
      </c>
      <c r="E254" s="23">
        <f>'[3]9нед'!D14</f>
        <v>0</v>
      </c>
      <c r="F254" s="21">
        <f>'[3]9нед'!G14</f>
        <v>0</v>
      </c>
      <c r="G254" s="22" t="str">
        <f>'[3]9нед'!H14</f>
        <v/>
      </c>
      <c r="H254" s="57" t="str">
        <f t="shared" si="12"/>
        <v/>
      </c>
      <c r="I254" s="71"/>
      <c r="J254" s="88"/>
      <c r="K254" s="14" t="s">
        <v>20</v>
      </c>
      <c r="L254" s="20">
        <f>'[4]10нед'!C14</f>
        <v>0</v>
      </c>
      <c r="M254" s="23">
        <f>'[4]10нед'!D14</f>
        <v>0</v>
      </c>
      <c r="N254" s="21">
        <f>'[4]10нед'!G14</f>
        <v>0</v>
      </c>
      <c r="O254" s="22" t="str">
        <f>'[4]10нед'!H14</f>
        <v/>
      </c>
      <c r="P254" s="57" t="str">
        <f t="shared" si="13"/>
        <v/>
      </c>
    </row>
    <row r="255" spans="1:16" ht="31.5" x14ac:dyDescent="0.2">
      <c r="A255" s="82"/>
      <c r="B255" s="85"/>
      <c r="C255" s="14" t="s">
        <v>21</v>
      </c>
      <c r="D255" s="20">
        <f>'[3]9нед'!C15</f>
        <v>0</v>
      </c>
      <c r="E255" s="23">
        <f>'[3]9нед'!D15</f>
        <v>0</v>
      </c>
      <c r="F255" s="21">
        <f>'[3]9нед'!G15</f>
        <v>0</v>
      </c>
      <c r="G255" s="22" t="str">
        <f>'[3]9нед'!H15</f>
        <v/>
      </c>
      <c r="H255" s="57" t="str">
        <f t="shared" si="12"/>
        <v/>
      </c>
      <c r="I255" s="71"/>
      <c r="J255" s="88"/>
      <c r="K255" s="14" t="s">
        <v>21</v>
      </c>
      <c r="L255" s="20">
        <f>'[4]10нед'!C15</f>
        <v>0</v>
      </c>
      <c r="M255" s="23">
        <f>'[4]10нед'!D15</f>
        <v>0</v>
      </c>
      <c r="N255" s="21">
        <f>'[4]10нед'!G15</f>
        <v>0</v>
      </c>
      <c r="O255" s="22" t="str">
        <f>'[4]10нед'!H15</f>
        <v/>
      </c>
      <c r="P255" s="57" t="str">
        <f t="shared" si="13"/>
        <v/>
      </c>
    </row>
    <row r="256" spans="1:16" ht="31.5" x14ac:dyDescent="0.2">
      <c r="A256" s="82"/>
      <c r="B256" s="85"/>
      <c r="C256" s="14" t="s">
        <v>22</v>
      </c>
      <c r="D256" s="20">
        <f>'[3]9нед'!C16</f>
        <v>0</v>
      </c>
      <c r="E256" s="23">
        <f>'[3]9нед'!D16</f>
        <v>0</v>
      </c>
      <c r="F256" s="21">
        <f>'[3]9нед'!G16</f>
        <v>0</v>
      </c>
      <c r="G256" s="22" t="str">
        <f>'[3]9нед'!H16</f>
        <v/>
      </c>
      <c r="H256" s="57" t="str">
        <f t="shared" si="12"/>
        <v/>
      </c>
      <c r="I256" s="71"/>
      <c r="J256" s="88"/>
      <c r="K256" s="14" t="s">
        <v>22</v>
      </c>
      <c r="L256" s="20">
        <f>'[4]10нед'!C16</f>
        <v>0</v>
      </c>
      <c r="M256" s="23">
        <f>'[4]10нед'!D16</f>
        <v>0</v>
      </c>
      <c r="N256" s="21">
        <f>'[4]10нед'!G16</f>
        <v>0</v>
      </c>
      <c r="O256" s="22" t="str">
        <f>'[4]10нед'!H16</f>
        <v/>
      </c>
      <c r="P256" s="57" t="str">
        <f t="shared" si="13"/>
        <v/>
      </c>
    </row>
    <row r="257" spans="1:16" ht="31.5" x14ac:dyDescent="0.2">
      <c r="A257" s="82"/>
      <c r="B257" s="85"/>
      <c r="C257" s="14" t="s">
        <v>23</v>
      </c>
      <c r="D257" s="20">
        <f>'[3]9нед'!C17</f>
        <v>0</v>
      </c>
      <c r="E257" s="23">
        <f>'[3]9нед'!D17</f>
        <v>0</v>
      </c>
      <c r="F257" s="21">
        <f>'[3]9нед'!G17</f>
        <v>0</v>
      </c>
      <c r="G257" s="22" t="str">
        <f>'[3]9нед'!H17</f>
        <v/>
      </c>
      <c r="H257" s="55" t="str">
        <f t="shared" si="12"/>
        <v/>
      </c>
      <c r="I257" s="71"/>
      <c r="J257" s="88"/>
      <c r="K257" s="14" t="s">
        <v>23</v>
      </c>
      <c r="L257" s="20">
        <f>'[4]10нед'!C17</f>
        <v>0</v>
      </c>
      <c r="M257" s="23">
        <f>'[4]10нед'!D17</f>
        <v>0</v>
      </c>
      <c r="N257" s="21">
        <f>'[4]10нед'!G17</f>
        <v>0</v>
      </c>
      <c r="O257" s="22" t="str">
        <f>'[4]10нед'!H17</f>
        <v/>
      </c>
      <c r="P257" s="55" t="str">
        <f t="shared" si="13"/>
        <v/>
      </c>
    </row>
    <row r="258" spans="1:16" ht="32.25" thickBot="1" x14ac:dyDescent="0.25">
      <c r="A258" s="82"/>
      <c r="B258" s="85"/>
      <c r="C258" s="14" t="s">
        <v>24</v>
      </c>
      <c r="D258" s="20">
        <f>'[3]9нед'!C18</f>
        <v>0</v>
      </c>
      <c r="E258" s="23">
        <f>'[3]9нед'!D18</f>
        <v>0</v>
      </c>
      <c r="F258" s="21">
        <f>'[3]9нед'!G18</f>
        <v>0</v>
      </c>
      <c r="G258" s="22" t="str">
        <f>'[3]9нед'!H18</f>
        <v/>
      </c>
      <c r="H258" s="55" t="str">
        <f t="shared" si="12"/>
        <v/>
      </c>
      <c r="I258" s="71"/>
      <c r="J258" s="88"/>
      <c r="K258" s="14" t="s">
        <v>24</v>
      </c>
      <c r="L258" s="20">
        <f>'[4]10нед'!C18</f>
        <v>0</v>
      </c>
      <c r="M258" s="23">
        <f>'[4]10нед'!D18</f>
        <v>0</v>
      </c>
      <c r="N258" s="21">
        <f>'[4]10нед'!G18</f>
        <v>0</v>
      </c>
      <c r="O258" s="22" t="str">
        <f>'[4]10нед'!H18</f>
        <v/>
      </c>
      <c r="P258" s="55" t="str">
        <f t="shared" si="13"/>
        <v/>
      </c>
    </row>
    <row r="259" spans="1:16" ht="18.399999999999999" hidden="1" customHeight="1" thickBot="1" x14ac:dyDescent="0.25">
      <c r="A259" s="83"/>
      <c r="B259" s="86"/>
      <c r="C259" s="15"/>
      <c r="D259" s="24">
        <f>'[3]9нед'!C19</f>
        <v>0</v>
      </c>
      <c r="E259" s="25">
        <f>'[3]9нед'!D19</f>
        <v>0</v>
      </c>
      <c r="F259" s="26">
        <f>'[3]9нед'!G19</f>
        <v>0</v>
      </c>
      <c r="G259" s="27" t="str">
        <f>'[3]9нед'!H19</f>
        <v/>
      </c>
      <c r="H259" s="58" t="str">
        <f t="shared" si="12"/>
        <v/>
      </c>
      <c r="I259" s="72"/>
      <c r="J259" s="89"/>
      <c r="K259" s="15"/>
      <c r="L259" s="24">
        <f>'[4]10нед'!C19</f>
        <v>0</v>
      </c>
      <c r="M259" s="25">
        <f>'[4]10нед'!D19</f>
        <v>0</v>
      </c>
      <c r="N259" s="26">
        <f>'[4]10нед'!G19</f>
        <v>0</v>
      </c>
      <c r="O259" s="27" t="str">
        <f>'[4]10нед'!H19</f>
        <v/>
      </c>
      <c r="P259" s="58" t="str">
        <f t="shared" si="13"/>
        <v/>
      </c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'[3]9нед'!C20</f>
        <v>0</v>
      </c>
      <c r="E260" s="19">
        <f>'[3]9нед'!D20</f>
        <v>0</v>
      </c>
      <c r="F260" s="17">
        <f>'[3]9нед'!G20</f>
        <v>0</v>
      </c>
      <c r="G260" s="18" t="str">
        <f>'[3]9нед'!H20</f>
        <v/>
      </c>
      <c r="H260" s="56" t="str">
        <f t="shared" si="12"/>
        <v/>
      </c>
      <c r="I260" s="70">
        <v>46329</v>
      </c>
      <c r="J260" s="87" t="s">
        <v>25</v>
      </c>
      <c r="K260" s="29" t="s">
        <v>18</v>
      </c>
      <c r="L260" s="16">
        <f>'[4]10нед'!C20</f>
        <v>0</v>
      </c>
      <c r="M260" s="19">
        <f>'[4]10нед'!D20</f>
        <v>0</v>
      </c>
      <c r="N260" s="17">
        <f>'[4]10нед'!G20</f>
        <v>0</v>
      </c>
      <c r="O260" s="18" t="str">
        <f>'[4]10нед'!H20</f>
        <v/>
      </c>
      <c r="P260" s="56" t="str">
        <f t="shared" si="13"/>
        <v/>
      </c>
    </row>
    <row r="261" spans="1:16" ht="31.5" x14ac:dyDescent="0.2">
      <c r="A261" s="82"/>
      <c r="B261" s="85"/>
      <c r="C261" s="14" t="s">
        <v>19</v>
      </c>
      <c r="D261" s="20">
        <f>'[3]9нед'!C21</f>
        <v>0</v>
      </c>
      <c r="E261" s="23">
        <f>'[3]9нед'!D21</f>
        <v>0</v>
      </c>
      <c r="F261" s="21">
        <f>'[3]9нед'!G21</f>
        <v>0</v>
      </c>
      <c r="G261" s="22" t="str">
        <f>'[3]9нед'!H21</f>
        <v/>
      </c>
      <c r="H261" s="57" t="str">
        <f t="shared" si="12"/>
        <v/>
      </c>
      <c r="I261" s="71"/>
      <c r="J261" s="88"/>
      <c r="K261" s="14" t="s">
        <v>19</v>
      </c>
      <c r="L261" s="20">
        <f>'[4]10нед'!C21</f>
        <v>0</v>
      </c>
      <c r="M261" s="23">
        <f>'[4]10нед'!D21</f>
        <v>0</v>
      </c>
      <c r="N261" s="21">
        <f>'[4]10нед'!G21</f>
        <v>0</v>
      </c>
      <c r="O261" s="22" t="str">
        <f>'[4]10нед'!H21</f>
        <v/>
      </c>
      <c r="P261" s="57" t="str">
        <f t="shared" si="13"/>
        <v/>
      </c>
    </row>
    <row r="262" spans="1:16" ht="31.5" x14ac:dyDescent="0.2">
      <c r="A262" s="82"/>
      <c r="B262" s="85"/>
      <c r="C262" s="14" t="s">
        <v>20</v>
      </c>
      <c r="D262" s="20">
        <f>'[3]9нед'!C22</f>
        <v>0</v>
      </c>
      <c r="E262" s="23">
        <f>'[3]9нед'!D22</f>
        <v>0</v>
      </c>
      <c r="F262" s="21">
        <f>'[3]9нед'!G22</f>
        <v>0</v>
      </c>
      <c r="G262" s="22" t="str">
        <f>'[3]9нед'!H22</f>
        <v/>
      </c>
      <c r="H262" s="57" t="str">
        <f t="shared" si="12"/>
        <v/>
      </c>
      <c r="I262" s="71"/>
      <c r="J262" s="88"/>
      <c r="K262" s="14" t="s">
        <v>20</v>
      </c>
      <c r="L262" s="20">
        <f>'[4]10нед'!C22</f>
        <v>0</v>
      </c>
      <c r="M262" s="23">
        <f>'[4]10нед'!D22</f>
        <v>0</v>
      </c>
      <c r="N262" s="21">
        <f>'[4]10нед'!G22</f>
        <v>0</v>
      </c>
      <c r="O262" s="22" t="str">
        <f>'[4]10нед'!H22</f>
        <v/>
      </c>
      <c r="P262" s="57" t="str">
        <f t="shared" si="13"/>
        <v/>
      </c>
    </row>
    <row r="263" spans="1:16" ht="31.5" x14ac:dyDescent="0.2">
      <c r="A263" s="82"/>
      <c r="B263" s="85"/>
      <c r="C263" s="14" t="s">
        <v>21</v>
      </c>
      <c r="D263" s="20">
        <f>'[3]9нед'!C23</f>
        <v>0</v>
      </c>
      <c r="E263" s="23">
        <f>'[3]9нед'!D23</f>
        <v>0</v>
      </c>
      <c r="F263" s="21">
        <f>'[3]9нед'!G23</f>
        <v>0</v>
      </c>
      <c r="G263" s="22" t="str">
        <f>'[3]9нед'!H23</f>
        <v/>
      </c>
      <c r="H263" s="57" t="str">
        <f t="shared" si="12"/>
        <v/>
      </c>
      <c r="I263" s="71"/>
      <c r="J263" s="88"/>
      <c r="K263" s="14" t="s">
        <v>21</v>
      </c>
      <c r="L263" s="20">
        <f>'[4]10нед'!C23</f>
        <v>0</v>
      </c>
      <c r="M263" s="23">
        <f>'[4]10нед'!D23</f>
        <v>0</v>
      </c>
      <c r="N263" s="21">
        <f>'[4]10нед'!G23</f>
        <v>0</v>
      </c>
      <c r="O263" s="22" t="str">
        <f>'[4]10нед'!H23</f>
        <v/>
      </c>
      <c r="P263" s="57" t="str">
        <f t="shared" si="13"/>
        <v/>
      </c>
    </row>
    <row r="264" spans="1:16" ht="31.5" x14ac:dyDescent="0.2">
      <c r="A264" s="82"/>
      <c r="B264" s="85"/>
      <c r="C264" s="14" t="s">
        <v>22</v>
      </c>
      <c r="D264" s="20">
        <f>'[3]9нед'!C24</f>
        <v>0</v>
      </c>
      <c r="E264" s="23">
        <f>'[3]9нед'!D24</f>
        <v>0</v>
      </c>
      <c r="F264" s="21">
        <f>'[3]9нед'!G24</f>
        <v>0</v>
      </c>
      <c r="G264" s="22" t="str">
        <f>'[3]9нед'!H24</f>
        <v/>
      </c>
      <c r="H264" s="57" t="str">
        <f t="shared" si="12"/>
        <v/>
      </c>
      <c r="I264" s="71"/>
      <c r="J264" s="88"/>
      <c r="K264" s="14" t="s">
        <v>22</v>
      </c>
      <c r="L264" s="20">
        <f>'[4]10нед'!C24</f>
        <v>0</v>
      </c>
      <c r="M264" s="23">
        <f>'[4]10нед'!D24</f>
        <v>0</v>
      </c>
      <c r="N264" s="21">
        <f>'[4]10нед'!G24</f>
        <v>0</v>
      </c>
      <c r="O264" s="22" t="str">
        <f>'[4]10нед'!H24</f>
        <v/>
      </c>
      <c r="P264" s="57" t="str">
        <f t="shared" si="13"/>
        <v/>
      </c>
    </row>
    <row r="265" spans="1:16" ht="35.85" customHeight="1" x14ac:dyDescent="0.2">
      <c r="A265" s="82"/>
      <c r="B265" s="85"/>
      <c r="C265" s="14" t="s">
        <v>23</v>
      </c>
      <c r="D265" s="20">
        <f>'[3]9нед'!C25</f>
        <v>0</v>
      </c>
      <c r="E265" s="23">
        <f>'[3]9нед'!D25</f>
        <v>0</v>
      </c>
      <c r="F265" s="21">
        <f>'[3]9нед'!G25</f>
        <v>0</v>
      </c>
      <c r="G265" s="22" t="str">
        <f>'[3]9нед'!H25</f>
        <v/>
      </c>
      <c r="H265" s="57" t="str">
        <f t="shared" si="12"/>
        <v/>
      </c>
      <c r="I265" s="71"/>
      <c r="J265" s="88"/>
      <c r="K265" s="14" t="s">
        <v>23</v>
      </c>
      <c r="L265" s="20">
        <f>'[4]10нед'!C25</f>
        <v>0</v>
      </c>
      <c r="M265" s="23">
        <f>'[4]10нед'!D25</f>
        <v>0</v>
      </c>
      <c r="N265" s="21">
        <f>'[4]10нед'!G25</f>
        <v>0</v>
      </c>
      <c r="O265" s="22" t="str">
        <f>'[4]10нед'!H25</f>
        <v/>
      </c>
      <c r="P265" s="57" t="str">
        <f t="shared" si="13"/>
        <v/>
      </c>
    </row>
    <row r="266" spans="1:16" ht="32.25" thickBot="1" x14ac:dyDescent="0.25">
      <c r="A266" s="82"/>
      <c r="B266" s="85"/>
      <c r="C266" s="14" t="s">
        <v>24</v>
      </c>
      <c r="D266" s="20">
        <f>'[3]9нед'!C26</f>
        <v>0</v>
      </c>
      <c r="E266" s="23">
        <f>'[3]9нед'!D26</f>
        <v>0</v>
      </c>
      <c r="F266" s="21">
        <f>'[3]9нед'!G26</f>
        <v>0</v>
      </c>
      <c r="G266" s="22" t="str">
        <f>'[3]9нед'!H26</f>
        <v/>
      </c>
      <c r="H266" s="57" t="str">
        <f t="shared" si="12"/>
        <v/>
      </c>
      <c r="I266" s="71"/>
      <c r="J266" s="88"/>
      <c r="K266" s="14" t="s">
        <v>24</v>
      </c>
      <c r="L266" s="20">
        <f>'[4]10нед'!C26</f>
        <v>0</v>
      </c>
      <c r="M266" s="23">
        <f>'[4]10нед'!D26</f>
        <v>0</v>
      </c>
      <c r="N266" s="21">
        <f>'[4]10нед'!G26</f>
        <v>0</v>
      </c>
      <c r="O266" s="22" t="str">
        <f>'[4]10нед'!H26</f>
        <v/>
      </c>
      <c r="P266" s="57" t="str">
        <f t="shared" si="13"/>
        <v/>
      </c>
    </row>
    <row r="267" spans="1:16" ht="18.399999999999999" hidden="1" customHeight="1" thickBot="1" x14ac:dyDescent="0.25">
      <c r="A267" s="83"/>
      <c r="B267" s="86"/>
      <c r="C267" s="15"/>
      <c r="D267" s="24">
        <f>'[3]9нед'!C27</f>
        <v>0</v>
      </c>
      <c r="E267" s="25">
        <f>'[3]9нед'!D27</f>
        <v>0</v>
      </c>
      <c r="F267" s="26">
        <f>'[3]9нед'!G27</f>
        <v>0</v>
      </c>
      <c r="G267" s="27" t="str">
        <f>'[3]9нед'!H27</f>
        <v/>
      </c>
      <c r="H267" s="58" t="str">
        <f t="shared" si="12"/>
        <v/>
      </c>
      <c r="I267" s="72"/>
      <c r="J267" s="89"/>
      <c r="K267" s="15"/>
      <c r="L267" s="24">
        <f>'[4]10нед'!C27</f>
        <v>0</v>
      </c>
      <c r="M267" s="25">
        <f>'[4]10нед'!D27</f>
        <v>0</v>
      </c>
      <c r="N267" s="26">
        <f>'[4]10нед'!G27</f>
        <v>0</v>
      </c>
      <c r="O267" s="27" t="str">
        <f>'[4]10нед'!H27</f>
        <v/>
      </c>
      <c r="P267" s="58" t="str">
        <f t="shared" si="13"/>
        <v/>
      </c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'[3]9нед'!C28</f>
        <v>0</v>
      </c>
      <c r="E268" s="19">
        <f>'[3]9нед'!D28</f>
        <v>0</v>
      </c>
      <c r="F268" s="17">
        <f>'[3]9нед'!G28</f>
        <v>0</v>
      </c>
      <c r="G268" s="18" t="str">
        <f>'[3]9нед'!H28</f>
        <v/>
      </c>
      <c r="H268" s="56" t="str">
        <f t="shared" si="12"/>
        <v/>
      </c>
      <c r="I268" s="70">
        <v>46330</v>
      </c>
      <c r="J268" s="73" t="s">
        <v>26</v>
      </c>
      <c r="K268" s="29" t="s">
        <v>18</v>
      </c>
      <c r="L268" s="16">
        <f>'[4]10нед'!C28</f>
        <v>0</v>
      </c>
      <c r="M268" s="19">
        <f>'[4]10нед'!D28</f>
        <v>0</v>
      </c>
      <c r="N268" s="17">
        <f>'[4]10нед'!G28</f>
        <v>0</v>
      </c>
      <c r="O268" s="18" t="str">
        <f>'[4]10нед'!H28</f>
        <v/>
      </c>
      <c r="P268" s="56" t="str">
        <f t="shared" si="13"/>
        <v/>
      </c>
    </row>
    <row r="269" spans="1:16" ht="31.5" x14ac:dyDescent="0.2">
      <c r="A269" s="82"/>
      <c r="B269" s="68"/>
      <c r="C269" s="14" t="s">
        <v>19</v>
      </c>
      <c r="D269" s="20">
        <f>'[3]9нед'!C29</f>
        <v>0</v>
      </c>
      <c r="E269" s="23">
        <f>'[3]9нед'!D29</f>
        <v>0</v>
      </c>
      <c r="F269" s="21">
        <f>'[3]9нед'!G29</f>
        <v>0</v>
      </c>
      <c r="G269" s="22" t="str">
        <f>'[3]9нед'!H29</f>
        <v/>
      </c>
      <c r="H269" s="57" t="str">
        <f t="shared" si="12"/>
        <v/>
      </c>
      <c r="I269" s="71"/>
      <c r="J269" s="74"/>
      <c r="K269" s="14" t="s">
        <v>19</v>
      </c>
      <c r="L269" s="20">
        <f>'[4]10нед'!C29</f>
        <v>0</v>
      </c>
      <c r="M269" s="23">
        <f>'[4]10нед'!D29</f>
        <v>0</v>
      </c>
      <c r="N269" s="21">
        <f>'[4]10нед'!G29</f>
        <v>0</v>
      </c>
      <c r="O269" s="22" t="str">
        <f>'[4]10нед'!H29</f>
        <v/>
      </c>
      <c r="P269" s="57" t="str">
        <f t="shared" si="13"/>
        <v/>
      </c>
    </row>
    <row r="270" spans="1:16" ht="31.5" x14ac:dyDescent="0.2">
      <c r="A270" s="82"/>
      <c r="B270" s="68"/>
      <c r="C270" s="14" t="s">
        <v>20</v>
      </c>
      <c r="D270" s="20">
        <f>'[3]9нед'!C30</f>
        <v>0</v>
      </c>
      <c r="E270" s="23">
        <f>'[3]9нед'!D30</f>
        <v>0</v>
      </c>
      <c r="F270" s="21">
        <f>'[3]9нед'!G30</f>
        <v>0</v>
      </c>
      <c r="G270" s="22" t="str">
        <f>'[3]9нед'!H30</f>
        <v/>
      </c>
      <c r="H270" s="57" t="str">
        <f t="shared" si="12"/>
        <v/>
      </c>
      <c r="I270" s="71"/>
      <c r="J270" s="74"/>
      <c r="K270" s="14" t="s">
        <v>20</v>
      </c>
      <c r="L270" s="20">
        <f>'[4]10нед'!C30</f>
        <v>0</v>
      </c>
      <c r="M270" s="23">
        <f>'[4]10нед'!D30</f>
        <v>0</v>
      </c>
      <c r="N270" s="21">
        <f>'[4]10нед'!G30</f>
        <v>0</v>
      </c>
      <c r="O270" s="22" t="str">
        <f>'[4]10нед'!H30</f>
        <v/>
      </c>
      <c r="P270" s="57" t="str">
        <f t="shared" si="13"/>
        <v/>
      </c>
    </row>
    <row r="271" spans="1:16" ht="31.5" x14ac:dyDescent="0.2">
      <c r="A271" s="82"/>
      <c r="B271" s="68"/>
      <c r="C271" s="14" t="s">
        <v>21</v>
      </c>
      <c r="D271" s="20">
        <f>'[3]9нед'!C31</f>
        <v>0</v>
      </c>
      <c r="E271" s="23">
        <f>'[3]9нед'!D31</f>
        <v>0</v>
      </c>
      <c r="F271" s="21">
        <f>'[3]9нед'!G31</f>
        <v>0</v>
      </c>
      <c r="G271" s="22" t="str">
        <f>'[3]9нед'!H31</f>
        <v/>
      </c>
      <c r="H271" s="57" t="str">
        <f t="shared" si="12"/>
        <v/>
      </c>
      <c r="I271" s="71"/>
      <c r="J271" s="74"/>
      <c r="K271" s="14" t="s">
        <v>21</v>
      </c>
      <c r="L271" s="20">
        <f>'[4]10нед'!C31</f>
        <v>0</v>
      </c>
      <c r="M271" s="23">
        <f>'[4]10нед'!D31</f>
        <v>0</v>
      </c>
      <c r="N271" s="21">
        <f>'[4]10нед'!G31</f>
        <v>0</v>
      </c>
      <c r="O271" s="22" t="str">
        <f>'[4]10нед'!H31</f>
        <v/>
      </c>
      <c r="P271" s="57" t="str">
        <f t="shared" si="13"/>
        <v/>
      </c>
    </row>
    <row r="272" spans="1:16" ht="31.5" x14ac:dyDescent="0.2">
      <c r="A272" s="82"/>
      <c r="B272" s="68"/>
      <c r="C272" s="14" t="s">
        <v>22</v>
      </c>
      <c r="D272" s="20">
        <f>'[3]9нед'!C32</f>
        <v>0</v>
      </c>
      <c r="E272" s="23">
        <f>'[3]9нед'!D32</f>
        <v>0</v>
      </c>
      <c r="F272" s="21">
        <f>'[3]9нед'!G32</f>
        <v>0</v>
      </c>
      <c r="G272" s="22" t="str">
        <f>'[3]9нед'!H32</f>
        <v/>
      </c>
      <c r="H272" s="57" t="str">
        <f t="shared" si="12"/>
        <v/>
      </c>
      <c r="I272" s="71"/>
      <c r="J272" s="74"/>
      <c r="K272" s="14" t="s">
        <v>22</v>
      </c>
      <c r="L272" s="20">
        <f>'[4]10нед'!C32</f>
        <v>0</v>
      </c>
      <c r="M272" s="23">
        <f>'[4]10нед'!D32</f>
        <v>0</v>
      </c>
      <c r="N272" s="21">
        <f>'[4]10нед'!G32</f>
        <v>0</v>
      </c>
      <c r="O272" s="22" t="str">
        <f>'[4]10нед'!H32</f>
        <v/>
      </c>
      <c r="P272" s="57" t="str">
        <f t="shared" si="13"/>
        <v/>
      </c>
    </row>
    <row r="273" spans="1:16" ht="31.5" x14ac:dyDescent="0.2">
      <c r="A273" s="82"/>
      <c r="B273" s="68"/>
      <c r="C273" s="14" t="s">
        <v>23</v>
      </c>
      <c r="D273" s="20">
        <f>'[3]9нед'!C33</f>
        <v>0</v>
      </c>
      <c r="E273" s="23">
        <f>'[3]9нед'!D33</f>
        <v>0</v>
      </c>
      <c r="F273" s="21">
        <f>'[3]9нед'!G33</f>
        <v>0</v>
      </c>
      <c r="G273" s="22" t="str">
        <f>'[3]9нед'!H33</f>
        <v/>
      </c>
      <c r="H273" s="55" t="str">
        <f t="shared" si="12"/>
        <v/>
      </c>
      <c r="I273" s="71"/>
      <c r="J273" s="74"/>
      <c r="K273" s="14" t="s">
        <v>23</v>
      </c>
      <c r="L273" s="20">
        <f>'[4]10нед'!C33</f>
        <v>0</v>
      </c>
      <c r="M273" s="23">
        <f>'[4]10нед'!D33</f>
        <v>0</v>
      </c>
      <c r="N273" s="21">
        <f>'[4]10нед'!G33</f>
        <v>0</v>
      </c>
      <c r="O273" s="22" t="str">
        <f>'[4]10нед'!H33</f>
        <v/>
      </c>
      <c r="P273" s="55" t="str">
        <f t="shared" si="13"/>
        <v/>
      </c>
    </row>
    <row r="274" spans="1:16" ht="32.25" thickBot="1" x14ac:dyDescent="0.25">
      <c r="A274" s="82"/>
      <c r="B274" s="68"/>
      <c r="C274" s="14" t="s">
        <v>24</v>
      </c>
      <c r="D274" s="20">
        <f>'[3]9нед'!C34</f>
        <v>0</v>
      </c>
      <c r="E274" s="23">
        <f>'[3]9нед'!D34</f>
        <v>0</v>
      </c>
      <c r="F274" s="21">
        <f>'[3]9нед'!G34</f>
        <v>0</v>
      </c>
      <c r="G274" s="22" t="str">
        <f>'[3]9нед'!H34</f>
        <v/>
      </c>
      <c r="H274" s="55" t="str">
        <f t="shared" si="12"/>
        <v/>
      </c>
      <c r="I274" s="71"/>
      <c r="J274" s="74"/>
      <c r="K274" s="14" t="s">
        <v>24</v>
      </c>
      <c r="L274" s="20">
        <f>'[4]10нед'!C34</f>
        <v>0</v>
      </c>
      <c r="M274" s="23">
        <f>'[4]10нед'!D34</f>
        <v>0</v>
      </c>
      <c r="N274" s="21">
        <f>'[4]10нед'!G34</f>
        <v>0</v>
      </c>
      <c r="O274" s="22" t="str">
        <f>'[4]10нед'!H34</f>
        <v/>
      </c>
      <c r="P274" s="55" t="str">
        <f t="shared" si="13"/>
        <v/>
      </c>
    </row>
    <row r="275" spans="1:16" ht="18.399999999999999" hidden="1" customHeight="1" thickBot="1" x14ac:dyDescent="0.25">
      <c r="A275" s="83"/>
      <c r="B275" s="69"/>
      <c r="C275" s="15"/>
      <c r="D275" s="24">
        <f>'[3]9нед'!C35</f>
        <v>0</v>
      </c>
      <c r="E275" s="25">
        <f>'[3]9нед'!D35</f>
        <v>0</v>
      </c>
      <c r="F275" s="26">
        <f>'[3]9нед'!G35</f>
        <v>0</v>
      </c>
      <c r="G275" s="27" t="str">
        <f>'[3]9нед'!H35</f>
        <v/>
      </c>
      <c r="H275" s="58" t="str">
        <f t="shared" si="12"/>
        <v/>
      </c>
      <c r="I275" s="72"/>
      <c r="J275" s="75"/>
      <c r="K275" s="15"/>
      <c r="L275" s="24">
        <f>'[4]10нед'!C35</f>
        <v>0</v>
      </c>
      <c r="M275" s="25">
        <f>'[4]10нед'!D35</f>
        <v>0</v>
      </c>
      <c r="N275" s="26">
        <f>'[4]10нед'!G35</f>
        <v>0</v>
      </c>
      <c r="O275" s="27" t="str">
        <f>'[4]10нед'!H35</f>
        <v/>
      </c>
      <c r="P275" s="58" t="str">
        <f t="shared" si="13"/>
        <v/>
      </c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'[3]9нед'!C36</f>
        <v>0</v>
      </c>
      <c r="E276" s="19">
        <f>'[3]9нед'!D36</f>
        <v>0</v>
      </c>
      <c r="F276" s="17">
        <f>'[3]9нед'!G36</f>
        <v>0</v>
      </c>
      <c r="G276" s="18" t="str">
        <f>'[3]9нед'!H36</f>
        <v/>
      </c>
      <c r="H276" s="56" t="str">
        <f t="shared" si="12"/>
        <v/>
      </c>
      <c r="I276" s="70">
        <v>46331</v>
      </c>
      <c r="J276" s="87" t="s">
        <v>27</v>
      </c>
      <c r="K276" s="29" t="s">
        <v>18</v>
      </c>
      <c r="L276" s="16">
        <f>'[4]10нед'!C36</f>
        <v>0</v>
      </c>
      <c r="M276" s="19">
        <f>'[4]10нед'!D36</f>
        <v>0</v>
      </c>
      <c r="N276" s="17">
        <f>'[4]10нед'!G36</f>
        <v>0</v>
      </c>
      <c r="O276" s="18" t="str">
        <f>'[4]10нед'!H36</f>
        <v/>
      </c>
      <c r="P276" s="56" t="str">
        <f t="shared" si="13"/>
        <v/>
      </c>
    </row>
    <row r="277" spans="1:16" ht="31.5" x14ac:dyDescent="0.2">
      <c r="A277" s="82"/>
      <c r="B277" s="85"/>
      <c r="C277" s="14" t="s">
        <v>19</v>
      </c>
      <c r="D277" s="20">
        <f>'[3]9нед'!C37</f>
        <v>0</v>
      </c>
      <c r="E277" s="23">
        <f>'[3]9нед'!D37</f>
        <v>0</v>
      </c>
      <c r="F277" s="21">
        <f>'[3]9нед'!G37</f>
        <v>0</v>
      </c>
      <c r="G277" s="22" t="str">
        <f>'[3]9нед'!H37</f>
        <v/>
      </c>
      <c r="H277" s="57" t="str">
        <f t="shared" si="12"/>
        <v/>
      </c>
      <c r="I277" s="71"/>
      <c r="J277" s="88"/>
      <c r="K277" s="14" t="s">
        <v>19</v>
      </c>
      <c r="L277" s="20">
        <f>'[4]10нед'!C37</f>
        <v>0</v>
      </c>
      <c r="M277" s="23">
        <f>'[4]10нед'!D37</f>
        <v>0</v>
      </c>
      <c r="N277" s="21">
        <f>'[4]10нед'!G37</f>
        <v>0</v>
      </c>
      <c r="O277" s="22" t="str">
        <f>'[4]10нед'!H37</f>
        <v/>
      </c>
      <c r="P277" s="57" t="str">
        <f t="shared" si="13"/>
        <v/>
      </c>
    </row>
    <row r="278" spans="1:16" ht="31.5" x14ac:dyDescent="0.2">
      <c r="A278" s="82"/>
      <c r="B278" s="85"/>
      <c r="C278" s="14" t="s">
        <v>20</v>
      </c>
      <c r="D278" s="20">
        <f>'[3]9нед'!C38</f>
        <v>0</v>
      </c>
      <c r="E278" s="23">
        <f>'[3]9нед'!D38</f>
        <v>0</v>
      </c>
      <c r="F278" s="21">
        <f>'[3]9нед'!G38</f>
        <v>0</v>
      </c>
      <c r="G278" s="22" t="str">
        <f>'[3]9нед'!H38</f>
        <v/>
      </c>
      <c r="H278" s="57" t="str">
        <f t="shared" si="12"/>
        <v/>
      </c>
      <c r="I278" s="71"/>
      <c r="J278" s="88"/>
      <c r="K278" s="14" t="s">
        <v>20</v>
      </c>
      <c r="L278" s="20">
        <f>'[4]10нед'!C38</f>
        <v>0</v>
      </c>
      <c r="M278" s="23">
        <f>'[4]10нед'!D38</f>
        <v>0</v>
      </c>
      <c r="N278" s="21">
        <f>'[4]10нед'!G38</f>
        <v>0</v>
      </c>
      <c r="O278" s="22" t="str">
        <f>'[4]10нед'!H38</f>
        <v/>
      </c>
      <c r="P278" s="57" t="str">
        <f t="shared" si="13"/>
        <v/>
      </c>
    </row>
    <row r="279" spans="1:16" ht="31.5" x14ac:dyDescent="0.2">
      <c r="A279" s="82"/>
      <c r="B279" s="85"/>
      <c r="C279" s="14" t="s">
        <v>21</v>
      </c>
      <c r="D279" s="20">
        <f>'[3]9нед'!C39</f>
        <v>0</v>
      </c>
      <c r="E279" s="23">
        <f>'[3]9нед'!D39</f>
        <v>0</v>
      </c>
      <c r="F279" s="21">
        <f>'[3]9нед'!G39</f>
        <v>0</v>
      </c>
      <c r="G279" s="22" t="str">
        <f>'[3]9нед'!H39</f>
        <v/>
      </c>
      <c r="H279" s="57" t="str">
        <f t="shared" si="12"/>
        <v/>
      </c>
      <c r="I279" s="71"/>
      <c r="J279" s="88"/>
      <c r="K279" s="14" t="s">
        <v>21</v>
      </c>
      <c r="L279" s="20">
        <f>'[4]10нед'!C39</f>
        <v>0</v>
      </c>
      <c r="M279" s="23">
        <f>'[4]10нед'!D39</f>
        <v>0</v>
      </c>
      <c r="N279" s="21">
        <f>'[4]10нед'!G39</f>
        <v>0</v>
      </c>
      <c r="O279" s="22" t="str">
        <f>'[4]10нед'!H39</f>
        <v/>
      </c>
      <c r="P279" s="57" t="str">
        <f t="shared" si="13"/>
        <v/>
      </c>
    </row>
    <row r="280" spans="1:16" ht="31.5" x14ac:dyDescent="0.2">
      <c r="A280" s="82"/>
      <c r="B280" s="85"/>
      <c r="C280" s="14" t="s">
        <v>22</v>
      </c>
      <c r="D280" s="20">
        <f>'[3]9нед'!C40</f>
        <v>0</v>
      </c>
      <c r="E280" s="23">
        <f>'[3]9нед'!D40</f>
        <v>0</v>
      </c>
      <c r="F280" s="21">
        <f>'[3]9нед'!G40</f>
        <v>0</v>
      </c>
      <c r="G280" s="22" t="str">
        <f>'[3]9нед'!H40</f>
        <v/>
      </c>
      <c r="H280" s="57" t="str">
        <f t="shared" si="12"/>
        <v/>
      </c>
      <c r="I280" s="71"/>
      <c r="J280" s="88"/>
      <c r="K280" s="14" t="s">
        <v>22</v>
      </c>
      <c r="L280" s="20">
        <f>'[4]10нед'!C40</f>
        <v>0</v>
      </c>
      <c r="M280" s="23">
        <f>'[4]10нед'!D40</f>
        <v>0</v>
      </c>
      <c r="N280" s="21">
        <f>'[4]10нед'!G40</f>
        <v>0</v>
      </c>
      <c r="O280" s="22" t="str">
        <f>'[4]10нед'!H40</f>
        <v/>
      </c>
      <c r="P280" s="57" t="str">
        <f t="shared" si="13"/>
        <v/>
      </c>
    </row>
    <row r="281" spans="1:16" ht="31.5" x14ac:dyDescent="0.2">
      <c r="A281" s="82"/>
      <c r="B281" s="85"/>
      <c r="C281" s="14" t="s">
        <v>23</v>
      </c>
      <c r="D281" s="20">
        <f>'[3]9нед'!C41</f>
        <v>0</v>
      </c>
      <c r="E281" s="23">
        <f>'[3]9нед'!D41</f>
        <v>0</v>
      </c>
      <c r="F281" s="21">
        <f>'[3]9нед'!G41</f>
        <v>0</v>
      </c>
      <c r="G281" s="22" t="str">
        <f>'[3]9нед'!H41</f>
        <v/>
      </c>
      <c r="H281" s="55" t="str">
        <f t="shared" si="12"/>
        <v/>
      </c>
      <c r="I281" s="71"/>
      <c r="J281" s="88"/>
      <c r="K281" s="14" t="s">
        <v>23</v>
      </c>
      <c r="L281" s="20">
        <f>'[4]10нед'!C41</f>
        <v>0</v>
      </c>
      <c r="M281" s="23">
        <f>'[4]10нед'!D41</f>
        <v>0</v>
      </c>
      <c r="N281" s="21">
        <f>'[4]10нед'!G41</f>
        <v>0</v>
      </c>
      <c r="O281" s="22" t="str">
        <f>'[4]10нед'!H41</f>
        <v/>
      </c>
      <c r="P281" s="55" t="str">
        <f t="shared" si="13"/>
        <v/>
      </c>
    </row>
    <row r="282" spans="1:16" ht="32.25" thickBot="1" x14ac:dyDescent="0.25">
      <c r="A282" s="82"/>
      <c r="B282" s="85"/>
      <c r="C282" s="14" t="s">
        <v>24</v>
      </c>
      <c r="D282" s="20">
        <f>'[3]9нед'!C42</f>
        <v>0</v>
      </c>
      <c r="E282" s="23">
        <f>'[3]9нед'!D42</f>
        <v>0</v>
      </c>
      <c r="F282" s="21">
        <f>'[3]9нед'!G42</f>
        <v>0</v>
      </c>
      <c r="G282" s="22" t="str">
        <f>'[3]9нед'!H42</f>
        <v/>
      </c>
      <c r="H282" s="55" t="str">
        <f t="shared" si="12"/>
        <v/>
      </c>
      <c r="I282" s="71"/>
      <c r="J282" s="88"/>
      <c r="K282" s="14" t="s">
        <v>24</v>
      </c>
      <c r="L282" s="20">
        <f>'[4]10нед'!C42</f>
        <v>0</v>
      </c>
      <c r="M282" s="23">
        <f>'[4]10нед'!D42</f>
        <v>0</v>
      </c>
      <c r="N282" s="21">
        <f>'[4]10нед'!G42</f>
        <v>0</v>
      </c>
      <c r="O282" s="22" t="str">
        <f>'[4]10нед'!H42</f>
        <v/>
      </c>
      <c r="P282" s="55" t="str">
        <f t="shared" si="13"/>
        <v/>
      </c>
    </row>
    <row r="283" spans="1:16" ht="18.399999999999999" hidden="1" customHeight="1" thickBot="1" x14ac:dyDescent="0.25">
      <c r="A283" s="83"/>
      <c r="B283" s="86"/>
      <c r="C283" s="15"/>
      <c r="D283" s="24">
        <f>'[3]9нед'!C43</f>
        <v>0</v>
      </c>
      <c r="E283" s="25">
        <f>'[3]9нед'!D43</f>
        <v>0</v>
      </c>
      <c r="F283" s="26">
        <f>'[3]9нед'!G43</f>
        <v>0</v>
      </c>
      <c r="G283" s="27" t="str">
        <f>'[3]9нед'!H43</f>
        <v/>
      </c>
      <c r="H283" s="58" t="str">
        <f t="shared" si="12"/>
        <v/>
      </c>
      <c r="I283" s="72"/>
      <c r="J283" s="89"/>
      <c r="K283" s="15"/>
      <c r="L283" s="24">
        <f>'[4]10нед'!C43</f>
        <v>0</v>
      </c>
      <c r="M283" s="25">
        <f>'[4]10нед'!D43</f>
        <v>0</v>
      </c>
      <c r="N283" s="26">
        <f>'[4]10нед'!G43</f>
        <v>0</v>
      </c>
      <c r="O283" s="27" t="str">
        <f>'[4]10нед'!H43</f>
        <v/>
      </c>
      <c r="P283" s="58" t="str">
        <f t="shared" si="13"/>
        <v/>
      </c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'[3]9нед'!C44</f>
        <v>0</v>
      </c>
      <c r="E284" s="19">
        <f>'[3]9нед'!D44</f>
        <v>0</v>
      </c>
      <c r="F284" s="17">
        <f>'[3]9нед'!G44</f>
        <v>0</v>
      </c>
      <c r="G284" s="18" t="str">
        <f>'[3]9нед'!H44</f>
        <v/>
      </c>
      <c r="H284" s="56" t="str">
        <f t="shared" si="12"/>
        <v/>
      </c>
      <c r="I284" s="70">
        <v>46332</v>
      </c>
      <c r="J284" s="87" t="s">
        <v>28</v>
      </c>
      <c r="K284" s="29" t="s">
        <v>18</v>
      </c>
      <c r="L284" s="16">
        <f>'[4]10нед'!C44</f>
        <v>0</v>
      </c>
      <c r="M284" s="19">
        <f>'[4]10нед'!D44</f>
        <v>0</v>
      </c>
      <c r="N284" s="17">
        <f>'[4]10нед'!G44</f>
        <v>0</v>
      </c>
      <c r="O284" s="18" t="str">
        <f>'[4]10нед'!H44</f>
        <v/>
      </c>
      <c r="P284" s="56" t="str">
        <f t="shared" si="13"/>
        <v/>
      </c>
    </row>
    <row r="285" spans="1:16" ht="31.5" x14ac:dyDescent="0.2">
      <c r="A285" s="82"/>
      <c r="B285" s="85"/>
      <c r="C285" s="14" t="s">
        <v>19</v>
      </c>
      <c r="D285" s="20">
        <f>'[3]9нед'!C45</f>
        <v>0</v>
      </c>
      <c r="E285" s="23">
        <f>'[3]9нед'!D45</f>
        <v>0</v>
      </c>
      <c r="F285" s="21">
        <f>'[3]9нед'!G45</f>
        <v>0</v>
      </c>
      <c r="G285" s="22" t="str">
        <f>'[3]9нед'!H45</f>
        <v/>
      </c>
      <c r="H285" s="57" t="str">
        <f t="shared" si="12"/>
        <v/>
      </c>
      <c r="I285" s="71"/>
      <c r="J285" s="88"/>
      <c r="K285" s="14" t="s">
        <v>19</v>
      </c>
      <c r="L285" s="20">
        <f>'[4]10нед'!C45</f>
        <v>0</v>
      </c>
      <c r="M285" s="23">
        <f>'[4]10нед'!D45</f>
        <v>0</v>
      </c>
      <c r="N285" s="21">
        <f>'[4]10нед'!G45</f>
        <v>0</v>
      </c>
      <c r="O285" s="22" t="str">
        <f>'[4]10нед'!H45</f>
        <v/>
      </c>
      <c r="P285" s="57" t="str">
        <f t="shared" si="13"/>
        <v/>
      </c>
    </row>
    <row r="286" spans="1:16" ht="31.5" x14ac:dyDescent="0.2">
      <c r="A286" s="82"/>
      <c r="B286" s="85"/>
      <c r="C286" s="14" t="s">
        <v>20</v>
      </c>
      <c r="D286" s="20">
        <f>'[3]9нед'!C46</f>
        <v>0</v>
      </c>
      <c r="E286" s="23">
        <f>'[3]9нед'!D46</f>
        <v>0</v>
      </c>
      <c r="F286" s="21">
        <f>'[3]9нед'!G46</f>
        <v>0</v>
      </c>
      <c r="G286" s="22" t="str">
        <f>'[3]9нед'!H46</f>
        <v/>
      </c>
      <c r="H286" s="57" t="str">
        <f t="shared" si="12"/>
        <v/>
      </c>
      <c r="I286" s="71"/>
      <c r="J286" s="88"/>
      <c r="K286" s="14" t="s">
        <v>20</v>
      </c>
      <c r="L286" s="20">
        <f>'[4]10нед'!C46</f>
        <v>0</v>
      </c>
      <c r="M286" s="23">
        <f>'[4]10нед'!D46</f>
        <v>0</v>
      </c>
      <c r="N286" s="21">
        <f>'[4]10нед'!G46</f>
        <v>0</v>
      </c>
      <c r="O286" s="22" t="str">
        <f>'[4]10нед'!H46</f>
        <v/>
      </c>
      <c r="P286" s="57" t="str">
        <f t="shared" si="13"/>
        <v/>
      </c>
    </row>
    <row r="287" spans="1:16" ht="31.5" x14ac:dyDescent="0.2">
      <c r="A287" s="82"/>
      <c r="B287" s="85"/>
      <c r="C287" s="14" t="s">
        <v>21</v>
      </c>
      <c r="D287" s="20">
        <f>'[3]9нед'!C47</f>
        <v>0</v>
      </c>
      <c r="E287" s="23">
        <f>'[3]9нед'!D47</f>
        <v>0</v>
      </c>
      <c r="F287" s="21">
        <f>'[3]9нед'!G47</f>
        <v>0</v>
      </c>
      <c r="G287" s="22" t="str">
        <f>'[3]9нед'!H47</f>
        <v/>
      </c>
      <c r="H287" s="57" t="str">
        <f t="shared" si="12"/>
        <v/>
      </c>
      <c r="I287" s="71"/>
      <c r="J287" s="88"/>
      <c r="K287" s="14" t="s">
        <v>21</v>
      </c>
      <c r="L287" s="20">
        <f>'[4]10нед'!C47</f>
        <v>0</v>
      </c>
      <c r="M287" s="23">
        <f>'[4]10нед'!D47</f>
        <v>0</v>
      </c>
      <c r="N287" s="21">
        <f>'[4]10нед'!G47</f>
        <v>0</v>
      </c>
      <c r="O287" s="22" t="str">
        <f>'[4]10нед'!H47</f>
        <v/>
      </c>
      <c r="P287" s="57" t="str">
        <f t="shared" si="13"/>
        <v/>
      </c>
    </row>
    <row r="288" spans="1:16" ht="31.5" x14ac:dyDescent="0.2">
      <c r="A288" s="82"/>
      <c r="B288" s="85"/>
      <c r="C288" s="14" t="s">
        <v>22</v>
      </c>
      <c r="D288" s="20">
        <f>'[3]9нед'!C48</f>
        <v>0</v>
      </c>
      <c r="E288" s="23">
        <f>'[3]9нед'!D48</f>
        <v>0</v>
      </c>
      <c r="F288" s="21">
        <f>'[3]9нед'!G48</f>
        <v>0</v>
      </c>
      <c r="G288" s="22" t="str">
        <f>'[3]9нед'!H48</f>
        <v/>
      </c>
      <c r="H288" s="57" t="str">
        <f t="shared" si="12"/>
        <v/>
      </c>
      <c r="I288" s="71"/>
      <c r="J288" s="88"/>
      <c r="K288" s="14" t="s">
        <v>22</v>
      </c>
      <c r="L288" s="20">
        <f>'[4]10нед'!C48</f>
        <v>0</v>
      </c>
      <c r="M288" s="23">
        <f>'[4]10нед'!D48</f>
        <v>0</v>
      </c>
      <c r="N288" s="21">
        <f>'[4]10нед'!G48</f>
        <v>0</v>
      </c>
      <c r="O288" s="22" t="str">
        <f>'[4]10нед'!H48</f>
        <v/>
      </c>
      <c r="P288" s="57" t="str">
        <f t="shared" si="13"/>
        <v/>
      </c>
    </row>
    <row r="289" spans="1:16" ht="35.85" customHeight="1" x14ac:dyDescent="0.2">
      <c r="A289" s="82"/>
      <c r="B289" s="85"/>
      <c r="C289" s="14" t="s">
        <v>23</v>
      </c>
      <c r="D289" s="20">
        <f>'[3]9нед'!C49</f>
        <v>0</v>
      </c>
      <c r="E289" s="23">
        <f>'[3]9нед'!D49</f>
        <v>0</v>
      </c>
      <c r="F289" s="21">
        <f>'[3]9нед'!G49</f>
        <v>0</v>
      </c>
      <c r="G289" s="22" t="str">
        <f>'[3]9нед'!H49</f>
        <v/>
      </c>
      <c r="H289" s="57" t="str">
        <f t="shared" si="12"/>
        <v/>
      </c>
      <c r="I289" s="71"/>
      <c r="J289" s="88"/>
      <c r="K289" s="14" t="s">
        <v>23</v>
      </c>
      <c r="L289" s="20">
        <f>'[4]10нед'!C49</f>
        <v>0</v>
      </c>
      <c r="M289" s="23">
        <f>'[4]10нед'!D49</f>
        <v>0</v>
      </c>
      <c r="N289" s="21">
        <f>'[4]10нед'!G49</f>
        <v>0</v>
      </c>
      <c r="O289" s="22" t="str">
        <f>'[4]10нед'!H49</f>
        <v/>
      </c>
      <c r="P289" s="57" t="str">
        <f t="shared" si="13"/>
        <v/>
      </c>
    </row>
    <row r="290" spans="1:16" ht="36.4" customHeight="1" thickBot="1" x14ac:dyDescent="0.25">
      <c r="A290" s="82"/>
      <c r="B290" s="85"/>
      <c r="C290" s="14" t="s">
        <v>24</v>
      </c>
      <c r="D290" s="20">
        <f>'[3]9нед'!C50</f>
        <v>0</v>
      </c>
      <c r="E290" s="23">
        <f>'[3]9нед'!D50</f>
        <v>0</v>
      </c>
      <c r="F290" s="21">
        <f>'[3]9нед'!G50</f>
        <v>0</v>
      </c>
      <c r="G290" s="22" t="str">
        <f>'[3]9нед'!H50</f>
        <v/>
      </c>
      <c r="H290" s="57" t="str">
        <f t="shared" si="12"/>
        <v/>
      </c>
      <c r="I290" s="71"/>
      <c r="J290" s="88"/>
      <c r="K290" s="14" t="s">
        <v>24</v>
      </c>
      <c r="L290" s="20">
        <f>'[4]10нед'!C50</f>
        <v>0</v>
      </c>
      <c r="M290" s="23">
        <f>'[4]10нед'!D50</f>
        <v>0</v>
      </c>
      <c r="N290" s="21">
        <f>'[4]10нед'!G50</f>
        <v>0</v>
      </c>
      <c r="O290" s="22" t="str">
        <f>'[4]10нед'!H50</f>
        <v/>
      </c>
      <c r="P290" s="57" t="str">
        <f t="shared" si="13"/>
        <v/>
      </c>
    </row>
    <row r="291" spans="1:16" ht="18.399999999999999" hidden="1" customHeight="1" thickBot="1" x14ac:dyDescent="0.25">
      <c r="A291" s="83"/>
      <c r="B291" s="86"/>
      <c r="C291" s="15"/>
      <c r="D291" s="24">
        <f>'[3]9нед'!C51</f>
        <v>0</v>
      </c>
      <c r="E291" s="25">
        <f>'[3]9нед'!D51</f>
        <v>0</v>
      </c>
      <c r="F291" s="26">
        <f>'[3]9нед'!G51</f>
        <v>0</v>
      </c>
      <c r="G291" s="27" t="str">
        <f>'[3]9нед'!H51</f>
        <v/>
      </c>
      <c r="H291" s="58" t="str">
        <f t="shared" si="12"/>
        <v/>
      </c>
      <c r="I291" s="72"/>
      <c r="J291" s="89"/>
      <c r="K291" s="15"/>
      <c r="L291" s="24">
        <f>'[4]10нед'!C51</f>
        <v>0</v>
      </c>
      <c r="M291" s="25">
        <f>'[4]10нед'!D51</f>
        <v>0</v>
      </c>
      <c r="N291" s="26">
        <f>'[4]10нед'!G51</f>
        <v>0</v>
      </c>
      <c r="O291" s="27" t="str">
        <f>'[4]10нед'!H51</f>
        <v/>
      </c>
      <c r="P291" s="58" t="str">
        <f t="shared" si="13"/>
        <v/>
      </c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'[3]9нед'!C52</f>
        <v>0</v>
      </c>
      <c r="E292" s="19">
        <f>'[3]9нед'!D52</f>
        <v>0</v>
      </c>
      <c r="F292" s="17">
        <f>'[3]9нед'!G52</f>
        <v>0</v>
      </c>
      <c r="G292" s="18" t="str">
        <f>'[3]9нед'!H52</f>
        <v/>
      </c>
      <c r="H292" s="56" t="str">
        <f t="shared" si="12"/>
        <v/>
      </c>
      <c r="I292" s="70">
        <v>46333</v>
      </c>
      <c r="J292" s="87" t="s">
        <v>29</v>
      </c>
      <c r="K292" s="29" t="s">
        <v>18</v>
      </c>
      <c r="L292" s="16">
        <f>'[4]10нед'!C52</f>
        <v>0</v>
      </c>
      <c r="M292" s="19">
        <f>'[4]10нед'!D52</f>
        <v>0</v>
      </c>
      <c r="N292" s="17">
        <f>'[4]10нед'!G52</f>
        <v>0</v>
      </c>
      <c r="O292" s="18" t="str">
        <f>'[4]10нед'!H52</f>
        <v/>
      </c>
      <c r="P292" s="56" t="str">
        <f t="shared" si="13"/>
        <v/>
      </c>
    </row>
    <row r="293" spans="1:16" ht="31.5" x14ac:dyDescent="0.2">
      <c r="A293" s="82"/>
      <c r="B293" s="85"/>
      <c r="C293" s="14" t="s">
        <v>19</v>
      </c>
      <c r="D293" s="20">
        <f>'[3]9нед'!C53</f>
        <v>0</v>
      </c>
      <c r="E293" s="23">
        <f>'[3]9нед'!D53</f>
        <v>0</v>
      </c>
      <c r="F293" s="21">
        <f>'[3]9нед'!G53</f>
        <v>0</v>
      </c>
      <c r="G293" s="22" t="str">
        <f>'[3]9нед'!H53</f>
        <v/>
      </c>
      <c r="H293" s="57" t="str">
        <f t="shared" si="12"/>
        <v/>
      </c>
      <c r="I293" s="71"/>
      <c r="J293" s="88"/>
      <c r="K293" s="14" t="s">
        <v>19</v>
      </c>
      <c r="L293" s="20">
        <f>'[4]10нед'!C53</f>
        <v>0</v>
      </c>
      <c r="M293" s="23">
        <f>'[4]10нед'!D53</f>
        <v>0</v>
      </c>
      <c r="N293" s="21">
        <f>'[4]10нед'!G53</f>
        <v>0</v>
      </c>
      <c r="O293" s="22" t="str">
        <f>'[4]10нед'!H53</f>
        <v/>
      </c>
      <c r="P293" s="57" t="str">
        <f t="shared" si="13"/>
        <v/>
      </c>
    </row>
    <row r="294" spans="1:16" ht="31.5" x14ac:dyDescent="0.2">
      <c r="A294" s="82"/>
      <c r="B294" s="85"/>
      <c r="C294" s="14" t="s">
        <v>20</v>
      </c>
      <c r="D294" s="20">
        <f>'[3]9нед'!C54</f>
        <v>0</v>
      </c>
      <c r="E294" s="23">
        <f>'[3]9нед'!D54</f>
        <v>0</v>
      </c>
      <c r="F294" s="21">
        <f>'[3]9нед'!G54</f>
        <v>0</v>
      </c>
      <c r="G294" s="22" t="str">
        <f>'[3]9нед'!H54</f>
        <v/>
      </c>
      <c r="H294" s="57" t="str">
        <f t="shared" si="12"/>
        <v/>
      </c>
      <c r="I294" s="71"/>
      <c r="J294" s="88"/>
      <c r="K294" s="14" t="s">
        <v>20</v>
      </c>
      <c r="L294" s="20">
        <f>'[4]10нед'!C54</f>
        <v>0</v>
      </c>
      <c r="M294" s="23">
        <f>'[4]10нед'!D54</f>
        <v>0</v>
      </c>
      <c r="N294" s="21">
        <f>'[4]10нед'!G54</f>
        <v>0</v>
      </c>
      <c r="O294" s="22" t="str">
        <f>'[4]10нед'!H54</f>
        <v/>
      </c>
      <c r="P294" s="57" t="str">
        <f t="shared" si="13"/>
        <v/>
      </c>
    </row>
    <row r="295" spans="1:16" ht="31.5" x14ac:dyDescent="0.2">
      <c r="A295" s="82"/>
      <c r="B295" s="85"/>
      <c r="C295" s="14" t="s">
        <v>21</v>
      </c>
      <c r="D295" s="20">
        <f>'[3]9нед'!C55</f>
        <v>0</v>
      </c>
      <c r="E295" s="23">
        <f>'[3]9нед'!D55</f>
        <v>0</v>
      </c>
      <c r="F295" s="21">
        <f>'[3]9нед'!G55</f>
        <v>0</v>
      </c>
      <c r="G295" s="22" t="str">
        <f>'[3]9нед'!H55</f>
        <v/>
      </c>
      <c r="H295" s="57" t="str">
        <f t="shared" si="12"/>
        <v/>
      </c>
      <c r="I295" s="71"/>
      <c r="J295" s="88"/>
      <c r="K295" s="14" t="s">
        <v>21</v>
      </c>
      <c r="L295" s="20">
        <f>'[4]10нед'!C55</f>
        <v>0</v>
      </c>
      <c r="M295" s="23">
        <f>'[4]10нед'!D55</f>
        <v>0</v>
      </c>
      <c r="N295" s="21">
        <f>'[4]10нед'!G55</f>
        <v>0</v>
      </c>
      <c r="O295" s="22" t="str">
        <f>'[4]10нед'!H55</f>
        <v/>
      </c>
      <c r="P295" s="57" t="str">
        <f t="shared" si="13"/>
        <v/>
      </c>
    </row>
    <row r="296" spans="1:16" ht="31.5" x14ac:dyDescent="0.2">
      <c r="A296" s="82"/>
      <c r="B296" s="85"/>
      <c r="C296" s="14" t="s">
        <v>22</v>
      </c>
      <c r="D296" s="20">
        <f>'[3]9нед'!C56</f>
        <v>0</v>
      </c>
      <c r="E296" s="23">
        <f>'[3]9нед'!D56</f>
        <v>0</v>
      </c>
      <c r="F296" s="21">
        <f>'[3]9нед'!G56</f>
        <v>0</v>
      </c>
      <c r="G296" s="22" t="str">
        <f>'[3]9нед'!H56</f>
        <v/>
      </c>
      <c r="H296" s="57" t="str">
        <f t="shared" si="12"/>
        <v/>
      </c>
      <c r="I296" s="71"/>
      <c r="J296" s="88"/>
      <c r="K296" s="14" t="s">
        <v>22</v>
      </c>
      <c r="L296" s="20">
        <f>'[4]10нед'!C56</f>
        <v>0</v>
      </c>
      <c r="M296" s="23">
        <f>'[4]10нед'!D56</f>
        <v>0</v>
      </c>
      <c r="N296" s="21">
        <f>'[4]10нед'!G56</f>
        <v>0</v>
      </c>
      <c r="O296" s="22" t="str">
        <f>'[4]10нед'!H56</f>
        <v/>
      </c>
      <c r="P296" s="57" t="str">
        <f t="shared" si="13"/>
        <v/>
      </c>
    </row>
    <row r="297" spans="1:16" ht="31.5" x14ac:dyDescent="0.2">
      <c r="A297" s="82"/>
      <c r="B297" s="85"/>
      <c r="C297" s="14" t="s">
        <v>23</v>
      </c>
      <c r="D297" s="20">
        <f>'[3]9нед'!C57</f>
        <v>0</v>
      </c>
      <c r="E297" s="23">
        <f>'[3]9нед'!D57</f>
        <v>0</v>
      </c>
      <c r="F297" s="21">
        <f>'[3]9нед'!G57</f>
        <v>0</v>
      </c>
      <c r="G297" s="22" t="str">
        <f>'[3]9нед'!H57</f>
        <v/>
      </c>
      <c r="H297" s="57" t="str">
        <f t="shared" si="12"/>
        <v/>
      </c>
      <c r="I297" s="71"/>
      <c r="J297" s="88"/>
      <c r="K297" s="14" t="s">
        <v>23</v>
      </c>
      <c r="L297" s="20">
        <f>'[4]10нед'!C57</f>
        <v>0</v>
      </c>
      <c r="M297" s="23">
        <f>'[4]10нед'!D57</f>
        <v>0</v>
      </c>
      <c r="N297" s="21">
        <f>'[4]10нед'!G57</f>
        <v>0</v>
      </c>
      <c r="O297" s="22" t="str">
        <f>'[4]10нед'!H57</f>
        <v/>
      </c>
      <c r="P297" s="57" t="str">
        <f t="shared" si="13"/>
        <v/>
      </c>
    </row>
    <row r="298" spans="1:16" ht="32.25" thickBot="1" x14ac:dyDescent="0.25">
      <c r="A298" s="82"/>
      <c r="B298" s="85"/>
      <c r="C298" s="14" t="s">
        <v>24</v>
      </c>
      <c r="D298" s="20">
        <f>'[3]9нед'!C58</f>
        <v>0</v>
      </c>
      <c r="E298" s="23">
        <f>'[3]9нед'!D58</f>
        <v>0</v>
      </c>
      <c r="F298" s="21">
        <f>'[3]9нед'!G58</f>
        <v>0</v>
      </c>
      <c r="G298" s="22" t="str">
        <f>'[3]9нед'!H58</f>
        <v/>
      </c>
      <c r="H298" s="57" t="str">
        <f t="shared" si="12"/>
        <v/>
      </c>
      <c r="I298" s="71"/>
      <c r="J298" s="88"/>
      <c r="K298" s="14" t="s">
        <v>24</v>
      </c>
      <c r="L298" s="20">
        <f>'[4]10нед'!C58</f>
        <v>0</v>
      </c>
      <c r="M298" s="23">
        <f>'[4]10нед'!D58</f>
        <v>0</v>
      </c>
      <c r="N298" s="21">
        <f>'[4]10нед'!G58</f>
        <v>0</v>
      </c>
      <c r="O298" s="22" t="str">
        <f>'[4]10нед'!H58</f>
        <v/>
      </c>
      <c r="P298" s="57" t="str">
        <f t="shared" si="13"/>
        <v/>
      </c>
    </row>
    <row r="299" spans="1:16" ht="18.399999999999999" hidden="1" customHeight="1" thickBot="1" x14ac:dyDescent="0.25">
      <c r="A299" s="83"/>
      <c r="B299" s="86"/>
      <c r="C299" s="15"/>
      <c r="D299" s="24">
        <f>'[3]9нед'!C59</f>
        <v>0</v>
      </c>
      <c r="E299" s="25">
        <f>'[3]9нед'!D59</f>
        <v>0</v>
      </c>
      <c r="F299" s="26">
        <f>'[3]9нед'!G59</f>
        <v>0</v>
      </c>
      <c r="G299" s="27" t="str">
        <f>'[3]9нед'!H59</f>
        <v/>
      </c>
      <c r="H299" s="39"/>
      <c r="I299" s="72"/>
      <c r="J299" s="89"/>
      <c r="K299" s="15"/>
      <c r="L299" s="24">
        <f>'[4]10нед'!C59</f>
        <v>0</v>
      </c>
      <c r="M299" s="25">
        <f>'[4]10нед'!D59</f>
        <v>0</v>
      </c>
      <c r="N299" s="26">
        <f>'[4]10нед'!G59</f>
        <v>0</v>
      </c>
      <c r="O299" s="27" t="str">
        <f>'[4]10нед'!H59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00</v>
      </c>
      <c r="F307" s="7"/>
      <c r="G307" s="7">
        <f>G7</f>
        <v>0</v>
      </c>
      <c r="H307" s="36"/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00</v>
      </c>
      <c r="N307" s="7"/>
      <c r="O307" s="7">
        <f>G7</f>
        <v>0</v>
      </c>
      <c r="P307" s="36"/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1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1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'[4]11нед'!C12</f>
        <v>0</v>
      </c>
      <c r="E312" s="19">
        <f>'[4]11нед'!D12</f>
        <v>0</v>
      </c>
      <c r="F312" s="17">
        <f>'[4]11нед'!G12</f>
        <v>0</v>
      </c>
      <c r="G312" s="18" t="str">
        <f>'[4]11нед'!H12</f>
        <v/>
      </c>
      <c r="H312" s="56" t="str">
        <f>HYPERLINK(VLOOKUP(E312,$R$12:$S$332,2,FALSE))</f>
        <v/>
      </c>
      <c r="I312" s="70">
        <v>46342</v>
      </c>
      <c r="J312" s="87" t="s">
        <v>17</v>
      </c>
      <c r="K312" s="14" t="s">
        <v>18</v>
      </c>
      <c r="L312" s="16">
        <f>'[4]12нед'!C12</f>
        <v>0</v>
      </c>
      <c r="M312" s="19">
        <f>'[4]12нед'!D12</f>
        <v>0</v>
      </c>
      <c r="N312" s="17">
        <f>'[4]12нед'!G12</f>
        <v>0</v>
      </c>
      <c r="O312" s="18" t="str">
        <f>'[4]12нед'!H12</f>
        <v/>
      </c>
      <c r="P312" s="56" t="str">
        <f>HYPERLINK(VLOOKUP(M312,$R$12:$S$332,2,FALSE))</f>
        <v/>
      </c>
    </row>
    <row r="313" spans="1:16" ht="31.5" x14ac:dyDescent="0.2">
      <c r="A313" s="82"/>
      <c r="B313" s="85"/>
      <c r="C313" s="14" t="s">
        <v>19</v>
      </c>
      <c r="D313" s="20">
        <f>'[4]11нед'!C13</f>
        <v>0</v>
      </c>
      <c r="E313" s="23">
        <f>'[4]11нед'!D13</f>
        <v>0</v>
      </c>
      <c r="F313" s="21">
        <f>'[4]11нед'!G13</f>
        <v>0</v>
      </c>
      <c r="G313" s="22" t="str">
        <f>'[4]11нед'!H13</f>
        <v/>
      </c>
      <c r="H313" s="57" t="str">
        <f t="shared" ref="H313:H358" si="14">HYPERLINK(VLOOKUP(E313,$R$12:$S$332,2,FALSE))</f>
        <v/>
      </c>
      <c r="I313" s="71"/>
      <c r="J313" s="88"/>
      <c r="K313" s="14" t="s">
        <v>19</v>
      </c>
      <c r="L313" s="20">
        <f>'[4]12нед'!C13</f>
        <v>0</v>
      </c>
      <c r="M313" s="23">
        <f>'[4]12нед'!D13</f>
        <v>0</v>
      </c>
      <c r="N313" s="21">
        <f>'[4]12нед'!G13</f>
        <v>0</v>
      </c>
      <c r="O313" s="22" t="str">
        <f>'[4]12нед'!H13</f>
        <v/>
      </c>
      <c r="P313" s="57" t="str">
        <f t="shared" ref="P313:P358" si="15">HYPERLINK(VLOOKUP(M313,$R$12:$S$332,2,FALSE))</f>
        <v/>
      </c>
    </row>
    <row r="314" spans="1:16" ht="31.5" x14ac:dyDescent="0.2">
      <c r="A314" s="82"/>
      <c r="B314" s="85"/>
      <c r="C314" s="14" t="s">
        <v>20</v>
      </c>
      <c r="D314" s="20">
        <f>'[4]11нед'!C14</f>
        <v>0</v>
      </c>
      <c r="E314" s="23">
        <f>'[4]11нед'!D14</f>
        <v>0</v>
      </c>
      <c r="F314" s="21">
        <f>'[4]11нед'!G14</f>
        <v>0</v>
      </c>
      <c r="G314" s="22" t="str">
        <f>'[4]11нед'!H14</f>
        <v/>
      </c>
      <c r="H314" s="57" t="str">
        <f t="shared" si="14"/>
        <v/>
      </c>
      <c r="I314" s="71"/>
      <c r="J314" s="88"/>
      <c r="K314" s="14" t="s">
        <v>20</v>
      </c>
      <c r="L314" s="20">
        <f>'[4]12нед'!C14</f>
        <v>0</v>
      </c>
      <c r="M314" s="23">
        <f>'[4]12нед'!D14</f>
        <v>0</v>
      </c>
      <c r="N314" s="21">
        <f>'[4]12нед'!G14</f>
        <v>0</v>
      </c>
      <c r="O314" s="22" t="str">
        <f>'[4]12нед'!H14</f>
        <v/>
      </c>
      <c r="P314" s="57" t="str">
        <f t="shared" si="15"/>
        <v/>
      </c>
    </row>
    <row r="315" spans="1:16" ht="31.5" x14ac:dyDescent="0.2">
      <c r="A315" s="82"/>
      <c r="B315" s="85"/>
      <c r="C315" s="14" t="s">
        <v>21</v>
      </c>
      <c r="D315" s="20">
        <f>'[4]11нед'!C15</f>
        <v>0</v>
      </c>
      <c r="E315" s="23">
        <f>'[4]11нед'!D15</f>
        <v>0</v>
      </c>
      <c r="F315" s="21">
        <f>'[4]11нед'!G15</f>
        <v>0</v>
      </c>
      <c r="G315" s="22" t="str">
        <f>'[4]11нед'!H15</f>
        <v/>
      </c>
      <c r="H315" s="57" t="str">
        <f t="shared" si="14"/>
        <v/>
      </c>
      <c r="I315" s="71"/>
      <c r="J315" s="88"/>
      <c r="K315" s="14" t="s">
        <v>21</v>
      </c>
      <c r="L315" s="20">
        <f>'[4]12нед'!C15</f>
        <v>0</v>
      </c>
      <c r="M315" s="23">
        <f>'[4]12нед'!D15</f>
        <v>0</v>
      </c>
      <c r="N315" s="21">
        <f>'[4]12нед'!G15</f>
        <v>0</v>
      </c>
      <c r="O315" s="22" t="str">
        <f>'[4]12нед'!H15</f>
        <v/>
      </c>
      <c r="P315" s="57" t="str">
        <f t="shared" si="15"/>
        <v/>
      </c>
    </row>
    <row r="316" spans="1:16" ht="31.5" x14ac:dyDescent="0.2">
      <c r="A316" s="82"/>
      <c r="B316" s="85"/>
      <c r="C316" s="14" t="s">
        <v>22</v>
      </c>
      <c r="D316" s="20">
        <f>'[4]11нед'!C16</f>
        <v>0</v>
      </c>
      <c r="E316" s="23">
        <f>'[4]11нед'!D16</f>
        <v>0</v>
      </c>
      <c r="F316" s="21">
        <f>'[4]11нед'!G16</f>
        <v>0</v>
      </c>
      <c r="G316" s="22" t="str">
        <f>'[4]11нед'!H16</f>
        <v/>
      </c>
      <c r="H316" s="57" t="str">
        <f t="shared" si="14"/>
        <v/>
      </c>
      <c r="I316" s="71"/>
      <c r="J316" s="88"/>
      <c r="K316" s="14" t="s">
        <v>22</v>
      </c>
      <c r="L316" s="20">
        <f>'[4]12нед'!C16</f>
        <v>0</v>
      </c>
      <c r="M316" s="23">
        <f>'[4]12нед'!D16</f>
        <v>0</v>
      </c>
      <c r="N316" s="21">
        <f>'[4]12нед'!G16</f>
        <v>0</v>
      </c>
      <c r="O316" s="22" t="str">
        <f>'[4]12нед'!H16</f>
        <v/>
      </c>
      <c r="P316" s="57" t="str">
        <f t="shared" si="15"/>
        <v/>
      </c>
    </row>
    <row r="317" spans="1:16" ht="31.5" x14ac:dyDescent="0.2">
      <c r="A317" s="82"/>
      <c r="B317" s="85"/>
      <c r="C317" s="14" t="s">
        <v>23</v>
      </c>
      <c r="D317" s="20">
        <f>'[4]11нед'!C17</f>
        <v>0</v>
      </c>
      <c r="E317" s="23">
        <f>'[4]11нед'!D17</f>
        <v>0</v>
      </c>
      <c r="F317" s="21">
        <f>'[4]11нед'!G17</f>
        <v>0</v>
      </c>
      <c r="G317" s="22" t="str">
        <f>'[4]11нед'!H17</f>
        <v/>
      </c>
      <c r="H317" s="55" t="str">
        <f t="shared" si="14"/>
        <v/>
      </c>
      <c r="I317" s="71"/>
      <c r="J317" s="88"/>
      <c r="K317" s="14" t="s">
        <v>23</v>
      </c>
      <c r="L317" s="20">
        <f>'[4]12нед'!C17</f>
        <v>0</v>
      </c>
      <c r="M317" s="23">
        <f>'[4]12нед'!D17</f>
        <v>0</v>
      </c>
      <c r="N317" s="21">
        <f>'[4]12нед'!G17</f>
        <v>0</v>
      </c>
      <c r="O317" s="22" t="str">
        <f>'[4]12нед'!H17</f>
        <v/>
      </c>
      <c r="P317" s="55" t="str">
        <f t="shared" si="15"/>
        <v/>
      </c>
    </row>
    <row r="318" spans="1:16" ht="32.25" thickBot="1" x14ac:dyDescent="0.25">
      <c r="A318" s="82"/>
      <c r="B318" s="85"/>
      <c r="C318" s="14" t="s">
        <v>24</v>
      </c>
      <c r="D318" s="20">
        <f>'[4]11нед'!C18</f>
        <v>0</v>
      </c>
      <c r="E318" s="23">
        <f>'[4]11нед'!D18</f>
        <v>0</v>
      </c>
      <c r="F318" s="21">
        <f>'[4]11нед'!G18</f>
        <v>0</v>
      </c>
      <c r="G318" s="22" t="str">
        <f>'[4]11нед'!H18</f>
        <v/>
      </c>
      <c r="H318" s="55" t="str">
        <f t="shared" si="14"/>
        <v/>
      </c>
      <c r="I318" s="71"/>
      <c r="J318" s="88"/>
      <c r="K318" s="14" t="s">
        <v>24</v>
      </c>
      <c r="L318" s="20">
        <f>'[4]12нед'!C18</f>
        <v>0</v>
      </c>
      <c r="M318" s="23">
        <f>'[4]12нед'!D18</f>
        <v>0</v>
      </c>
      <c r="N318" s="21">
        <f>'[4]12нед'!G18</f>
        <v>0</v>
      </c>
      <c r="O318" s="22" t="str">
        <f>'[4]12нед'!H18</f>
        <v/>
      </c>
      <c r="P318" s="55" t="str">
        <f t="shared" si="15"/>
        <v/>
      </c>
    </row>
    <row r="319" spans="1:16" ht="18.600000000000001" hidden="1" customHeight="1" thickBot="1" x14ac:dyDescent="0.25">
      <c r="A319" s="83"/>
      <c r="B319" s="86"/>
      <c r="C319" s="15"/>
      <c r="D319" s="24">
        <f>'[4]11нед'!C19</f>
        <v>0</v>
      </c>
      <c r="E319" s="25">
        <f>'[4]11нед'!D19</f>
        <v>0</v>
      </c>
      <c r="F319" s="26">
        <f>'[4]11нед'!G19</f>
        <v>0</v>
      </c>
      <c r="G319" s="27" t="str">
        <f>'[4]11нед'!H19</f>
        <v/>
      </c>
      <c r="H319" s="58" t="str">
        <f t="shared" si="14"/>
        <v/>
      </c>
      <c r="I319" s="72"/>
      <c r="J319" s="89"/>
      <c r="K319" s="15"/>
      <c r="L319" s="24">
        <f>'[4]12нед'!C19</f>
        <v>0</v>
      </c>
      <c r="M319" s="25">
        <f>'[4]12нед'!D19</f>
        <v>0</v>
      </c>
      <c r="N319" s="26">
        <f>'[4]12нед'!G19</f>
        <v>0</v>
      </c>
      <c r="O319" s="27" t="str">
        <f>'[4]12нед'!H19</f>
        <v/>
      </c>
      <c r="P319" s="58" t="str">
        <f t="shared" si="15"/>
        <v/>
      </c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'[4]11нед'!C20</f>
        <v>0</v>
      </c>
      <c r="E320" s="19">
        <f>'[4]11нед'!D20</f>
        <v>0</v>
      </c>
      <c r="F320" s="17">
        <f>'[4]11нед'!G20</f>
        <v>0</v>
      </c>
      <c r="G320" s="18" t="str">
        <f>'[4]11нед'!H20</f>
        <v/>
      </c>
      <c r="H320" s="56" t="str">
        <f t="shared" si="14"/>
        <v/>
      </c>
      <c r="I320" s="70">
        <v>46343</v>
      </c>
      <c r="J320" s="87" t="s">
        <v>25</v>
      </c>
      <c r="K320" s="29" t="s">
        <v>18</v>
      </c>
      <c r="L320" s="16">
        <f>'[4]12нед'!C20</f>
        <v>0</v>
      </c>
      <c r="M320" s="19">
        <f>'[4]12нед'!D20</f>
        <v>0</v>
      </c>
      <c r="N320" s="17">
        <f>'[4]12нед'!G20</f>
        <v>0</v>
      </c>
      <c r="O320" s="18" t="str">
        <f>'[4]12нед'!H20</f>
        <v/>
      </c>
      <c r="P320" s="56" t="str">
        <f t="shared" si="15"/>
        <v/>
      </c>
    </row>
    <row r="321" spans="1:16" ht="31.5" x14ac:dyDescent="0.2">
      <c r="A321" s="82"/>
      <c r="B321" s="85"/>
      <c r="C321" s="14" t="s">
        <v>19</v>
      </c>
      <c r="D321" s="20">
        <f>'[4]11нед'!C21</f>
        <v>0</v>
      </c>
      <c r="E321" s="23">
        <f>'[4]11нед'!D21</f>
        <v>0</v>
      </c>
      <c r="F321" s="21">
        <f>'[4]11нед'!G21</f>
        <v>0</v>
      </c>
      <c r="G321" s="22" t="str">
        <f>'[4]11нед'!H21</f>
        <v/>
      </c>
      <c r="H321" s="57" t="str">
        <f t="shared" si="14"/>
        <v/>
      </c>
      <c r="I321" s="71"/>
      <c r="J321" s="88"/>
      <c r="K321" s="14" t="s">
        <v>19</v>
      </c>
      <c r="L321" s="20">
        <f>'[4]12нед'!C21</f>
        <v>0</v>
      </c>
      <c r="M321" s="23">
        <f>'[4]12нед'!D21</f>
        <v>0</v>
      </c>
      <c r="N321" s="21">
        <f>'[4]12нед'!G21</f>
        <v>0</v>
      </c>
      <c r="O321" s="22" t="str">
        <f>'[4]12нед'!H21</f>
        <v/>
      </c>
      <c r="P321" s="57" t="str">
        <f t="shared" si="15"/>
        <v/>
      </c>
    </row>
    <row r="322" spans="1:16" ht="31.5" x14ac:dyDescent="0.2">
      <c r="A322" s="82"/>
      <c r="B322" s="85"/>
      <c r="C322" s="14" t="s">
        <v>20</v>
      </c>
      <c r="D322" s="20">
        <f>'[4]11нед'!C22</f>
        <v>0</v>
      </c>
      <c r="E322" s="23">
        <f>'[4]11нед'!D22</f>
        <v>0</v>
      </c>
      <c r="F322" s="21">
        <f>'[4]11нед'!G22</f>
        <v>0</v>
      </c>
      <c r="G322" s="22" t="str">
        <f>'[4]11нед'!H22</f>
        <v/>
      </c>
      <c r="H322" s="57" t="str">
        <f t="shared" si="14"/>
        <v/>
      </c>
      <c r="I322" s="71"/>
      <c r="J322" s="88"/>
      <c r="K322" s="14" t="s">
        <v>20</v>
      </c>
      <c r="L322" s="20">
        <f>'[4]12нед'!C22</f>
        <v>0</v>
      </c>
      <c r="M322" s="23">
        <f>'[4]12нед'!D22</f>
        <v>0</v>
      </c>
      <c r="N322" s="21">
        <f>'[4]12нед'!G22</f>
        <v>0</v>
      </c>
      <c r="O322" s="22" t="str">
        <f>'[4]12нед'!H22</f>
        <v/>
      </c>
      <c r="P322" s="57" t="str">
        <f t="shared" si="15"/>
        <v/>
      </c>
    </row>
    <row r="323" spans="1:16" ht="31.5" x14ac:dyDescent="0.2">
      <c r="A323" s="82"/>
      <c r="B323" s="85"/>
      <c r="C323" s="14" t="s">
        <v>21</v>
      </c>
      <c r="D323" s="20">
        <f>'[4]11нед'!C23</f>
        <v>0</v>
      </c>
      <c r="E323" s="23">
        <f>'[4]11нед'!D23</f>
        <v>0</v>
      </c>
      <c r="F323" s="21">
        <f>'[4]11нед'!G23</f>
        <v>0</v>
      </c>
      <c r="G323" s="22" t="str">
        <f>'[4]11нед'!H23</f>
        <v/>
      </c>
      <c r="H323" s="57" t="str">
        <f t="shared" si="14"/>
        <v/>
      </c>
      <c r="I323" s="71"/>
      <c r="J323" s="88"/>
      <c r="K323" s="14" t="s">
        <v>21</v>
      </c>
      <c r="L323" s="20">
        <f>'[4]12нед'!C23</f>
        <v>0</v>
      </c>
      <c r="M323" s="23">
        <f>'[4]12нед'!D23</f>
        <v>0</v>
      </c>
      <c r="N323" s="21">
        <f>'[4]12нед'!G23</f>
        <v>0</v>
      </c>
      <c r="O323" s="22" t="str">
        <f>'[4]12нед'!H23</f>
        <v/>
      </c>
      <c r="P323" s="57" t="str">
        <f t="shared" si="15"/>
        <v/>
      </c>
    </row>
    <row r="324" spans="1:16" ht="31.5" x14ac:dyDescent="0.2">
      <c r="A324" s="82"/>
      <c r="B324" s="85"/>
      <c r="C324" s="14" t="s">
        <v>22</v>
      </c>
      <c r="D324" s="20">
        <f>'[4]11нед'!C24</f>
        <v>0</v>
      </c>
      <c r="E324" s="23">
        <f>'[4]11нед'!D24</f>
        <v>0</v>
      </c>
      <c r="F324" s="21">
        <f>'[4]11нед'!G24</f>
        <v>0</v>
      </c>
      <c r="G324" s="22" t="str">
        <f>'[4]11нед'!H24</f>
        <v/>
      </c>
      <c r="H324" s="57" t="str">
        <f t="shared" si="14"/>
        <v/>
      </c>
      <c r="I324" s="71"/>
      <c r="J324" s="88"/>
      <c r="K324" s="14" t="s">
        <v>22</v>
      </c>
      <c r="L324" s="20">
        <f>'[4]12нед'!C24</f>
        <v>0</v>
      </c>
      <c r="M324" s="23">
        <f>'[4]12нед'!D24</f>
        <v>0</v>
      </c>
      <c r="N324" s="21">
        <f>'[4]12нед'!G24</f>
        <v>0</v>
      </c>
      <c r="O324" s="22" t="str">
        <f>'[4]12нед'!H24</f>
        <v/>
      </c>
      <c r="P324" s="57" t="str">
        <f t="shared" si="15"/>
        <v/>
      </c>
    </row>
    <row r="325" spans="1:16" ht="35.85" customHeight="1" x14ac:dyDescent="0.2">
      <c r="A325" s="82"/>
      <c r="B325" s="85"/>
      <c r="C325" s="14" t="s">
        <v>23</v>
      </c>
      <c r="D325" s="20">
        <f>'[4]11нед'!C25</f>
        <v>0</v>
      </c>
      <c r="E325" s="23">
        <f>'[4]11нед'!D25</f>
        <v>0</v>
      </c>
      <c r="F325" s="21">
        <f>'[4]11нед'!G25</f>
        <v>0</v>
      </c>
      <c r="G325" s="22" t="str">
        <f>'[4]11нед'!H25</f>
        <v/>
      </c>
      <c r="H325" s="57" t="str">
        <f t="shared" si="14"/>
        <v/>
      </c>
      <c r="I325" s="71"/>
      <c r="J325" s="88"/>
      <c r="K325" s="14" t="s">
        <v>23</v>
      </c>
      <c r="L325" s="20">
        <f>'[4]12нед'!C25</f>
        <v>0</v>
      </c>
      <c r="M325" s="23">
        <f>'[4]12нед'!D25</f>
        <v>0</v>
      </c>
      <c r="N325" s="21">
        <f>'[4]12нед'!G25</f>
        <v>0</v>
      </c>
      <c r="O325" s="22" t="str">
        <f>'[4]12нед'!H25</f>
        <v/>
      </c>
      <c r="P325" s="57" t="str">
        <f t="shared" si="15"/>
        <v/>
      </c>
    </row>
    <row r="326" spans="1:16" ht="32.25" thickBot="1" x14ac:dyDescent="0.25">
      <c r="A326" s="82"/>
      <c r="B326" s="85"/>
      <c r="C326" s="14" t="s">
        <v>24</v>
      </c>
      <c r="D326" s="20">
        <f>'[4]11нед'!C26</f>
        <v>0</v>
      </c>
      <c r="E326" s="23">
        <f>'[4]11нед'!D26</f>
        <v>0</v>
      </c>
      <c r="F326" s="21">
        <f>'[4]11нед'!G26</f>
        <v>0</v>
      </c>
      <c r="G326" s="22" t="str">
        <f>'[4]11нед'!H26</f>
        <v/>
      </c>
      <c r="H326" s="57" t="str">
        <f t="shared" si="14"/>
        <v/>
      </c>
      <c r="I326" s="71"/>
      <c r="J326" s="88"/>
      <c r="K326" s="14" t="s">
        <v>24</v>
      </c>
      <c r="L326" s="20">
        <f>'[4]12нед'!C26</f>
        <v>0</v>
      </c>
      <c r="M326" s="23">
        <f>'[4]12нед'!D26</f>
        <v>0</v>
      </c>
      <c r="N326" s="21">
        <f>'[4]12нед'!G26</f>
        <v>0</v>
      </c>
      <c r="O326" s="22" t="str">
        <f>'[4]12нед'!H26</f>
        <v/>
      </c>
      <c r="P326" s="57" t="str">
        <f t="shared" si="15"/>
        <v/>
      </c>
    </row>
    <row r="327" spans="1:16" ht="18.600000000000001" hidden="1" customHeight="1" thickBot="1" x14ac:dyDescent="0.25">
      <c r="A327" s="83"/>
      <c r="B327" s="86"/>
      <c r="C327" s="15"/>
      <c r="D327" s="24">
        <f>'[4]11нед'!C27</f>
        <v>0</v>
      </c>
      <c r="E327" s="25">
        <f>'[4]11нед'!D27</f>
        <v>0</v>
      </c>
      <c r="F327" s="26">
        <f>'[4]11нед'!G27</f>
        <v>0</v>
      </c>
      <c r="G327" s="27" t="str">
        <f>'[4]11нед'!H27</f>
        <v/>
      </c>
      <c r="H327" s="58" t="str">
        <f t="shared" si="14"/>
        <v/>
      </c>
      <c r="I327" s="72"/>
      <c r="J327" s="89"/>
      <c r="K327" s="15"/>
      <c r="L327" s="24">
        <f>'[4]12нед'!C27</f>
        <v>0</v>
      </c>
      <c r="M327" s="25">
        <f>'[4]12нед'!D27</f>
        <v>0</v>
      </c>
      <c r="N327" s="26">
        <f>'[4]12нед'!G27</f>
        <v>0</v>
      </c>
      <c r="O327" s="27" t="str">
        <f>'[4]12нед'!H27</f>
        <v/>
      </c>
      <c r="P327" s="58" t="str">
        <f t="shared" si="15"/>
        <v/>
      </c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'[4]11нед'!C28</f>
        <v>0</v>
      </c>
      <c r="E328" s="19">
        <f>'[4]11нед'!D28</f>
        <v>0</v>
      </c>
      <c r="F328" s="17">
        <f>'[4]11нед'!G28</f>
        <v>0</v>
      </c>
      <c r="G328" s="18" t="str">
        <f>'[4]11нед'!H28</f>
        <v/>
      </c>
      <c r="H328" s="56" t="str">
        <f t="shared" si="14"/>
        <v/>
      </c>
      <c r="I328" s="70">
        <v>46344</v>
      </c>
      <c r="J328" s="73" t="s">
        <v>26</v>
      </c>
      <c r="K328" s="29" t="s">
        <v>18</v>
      </c>
      <c r="L328" s="16">
        <f>'[4]12нед'!C28</f>
        <v>0</v>
      </c>
      <c r="M328" s="19">
        <f>'[4]12нед'!D28</f>
        <v>0</v>
      </c>
      <c r="N328" s="17">
        <f>'[4]12нед'!G28</f>
        <v>0</v>
      </c>
      <c r="O328" s="18" t="str">
        <f>'[4]12нед'!H28</f>
        <v/>
      </c>
      <c r="P328" s="56" t="str">
        <f t="shared" si="15"/>
        <v/>
      </c>
    </row>
    <row r="329" spans="1:16" ht="31.5" x14ac:dyDescent="0.2">
      <c r="A329" s="82"/>
      <c r="B329" s="68"/>
      <c r="C329" s="14" t="s">
        <v>19</v>
      </c>
      <c r="D329" s="20">
        <f>'[4]11нед'!C29</f>
        <v>0</v>
      </c>
      <c r="E329" s="23">
        <f>'[4]11нед'!D29</f>
        <v>0</v>
      </c>
      <c r="F329" s="21">
        <f>'[4]11нед'!G29</f>
        <v>0</v>
      </c>
      <c r="G329" s="22" t="str">
        <f>'[4]11нед'!H29</f>
        <v/>
      </c>
      <c r="H329" s="57" t="str">
        <f t="shared" si="14"/>
        <v/>
      </c>
      <c r="I329" s="71"/>
      <c r="J329" s="74"/>
      <c r="K329" s="14" t="s">
        <v>19</v>
      </c>
      <c r="L329" s="20">
        <f>'[4]12нед'!C29</f>
        <v>0</v>
      </c>
      <c r="M329" s="23">
        <f>'[4]12нед'!D29</f>
        <v>0</v>
      </c>
      <c r="N329" s="21">
        <f>'[4]12нед'!G29</f>
        <v>0</v>
      </c>
      <c r="O329" s="22" t="str">
        <f>'[4]12нед'!H29</f>
        <v/>
      </c>
      <c r="P329" s="57" t="str">
        <f t="shared" si="15"/>
        <v/>
      </c>
    </row>
    <row r="330" spans="1:16" ht="31.5" x14ac:dyDescent="0.2">
      <c r="A330" s="82"/>
      <c r="B330" s="68"/>
      <c r="C330" s="14" t="s">
        <v>20</v>
      </c>
      <c r="D330" s="20">
        <f>'[4]11нед'!C30</f>
        <v>0</v>
      </c>
      <c r="E330" s="23">
        <f>'[4]11нед'!D30</f>
        <v>0</v>
      </c>
      <c r="F330" s="21">
        <f>'[4]11нед'!G30</f>
        <v>0</v>
      </c>
      <c r="G330" s="22" t="str">
        <f>'[4]11нед'!H30</f>
        <v/>
      </c>
      <c r="H330" s="57" t="str">
        <f t="shared" si="14"/>
        <v/>
      </c>
      <c r="I330" s="71"/>
      <c r="J330" s="74"/>
      <c r="K330" s="14" t="s">
        <v>20</v>
      </c>
      <c r="L330" s="20">
        <f>'[4]12нед'!C30</f>
        <v>0</v>
      </c>
      <c r="M330" s="23">
        <f>'[4]12нед'!D30</f>
        <v>0</v>
      </c>
      <c r="N330" s="21">
        <f>'[4]12нед'!G30</f>
        <v>0</v>
      </c>
      <c r="O330" s="22" t="str">
        <f>'[4]12нед'!H30</f>
        <v/>
      </c>
      <c r="P330" s="57" t="str">
        <f t="shared" si="15"/>
        <v/>
      </c>
    </row>
    <row r="331" spans="1:16" ht="31.5" x14ac:dyDescent="0.2">
      <c r="A331" s="82"/>
      <c r="B331" s="68"/>
      <c r="C331" s="14" t="s">
        <v>21</v>
      </c>
      <c r="D331" s="20">
        <f>'[4]11нед'!C31</f>
        <v>0</v>
      </c>
      <c r="E331" s="23">
        <f>'[4]11нед'!D31</f>
        <v>0</v>
      </c>
      <c r="F331" s="21">
        <f>'[4]11нед'!G31</f>
        <v>0</v>
      </c>
      <c r="G331" s="22" t="str">
        <f>'[4]11нед'!H31</f>
        <v/>
      </c>
      <c r="H331" s="57" t="str">
        <f t="shared" si="14"/>
        <v/>
      </c>
      <c r="I331" s="71"/>
      <c r="J331" s="74"/>
      <c r="K331" s="14" t="s">
        <v>21</v>
      </c>
      <c r="L331" s="20">
        <f>'[4]12нед'!C31</f>
        <v>0</v>
      </c>
      <c r="M331" s="23">
        <f>'[4]12нед'!D31</f>
        <v>0</v>
      </c>
      <c r="N331" s="21">
        <f>'[4]12нед'!G31</f>
        <v>0</v>
      </c>
      <c r="O331" s="22" t="str">
        <f>'[4]12нед'!H31</f>
        <v/>
      </c>
      <c r="P331" s="57" t="str">
        <f t="shared" si="15"/>
        <v/>
      </c>
    </row>
    <row r="332" spans="1:16" ht="31.5" x14ac:dyDescent="0.2">
      <c r="A332" s="82"/>
      <c r="B332" s="68"/>
      <c r="C332" s="14" t="s">
        <v>22</v>
      </c>
      <c r="D332" s="20">
        <f>'[4]11нед'!C32</f>
        <v>0</v>
      </c>
      <c r="E332" s="23">
        <f>'[4]11нед'!D32</f>
        <v>0</v>
      </c>
      <c r="F332" s="21">
        <f>'[4]11нед'!G32</f>
        <v>0</v>
      </c>
      <c r="G332" s="22" t="str">
        <f>'[4]11нед'!H32</f>
        <v/>
      </c>
      <c r="H332" s="57" t="str">
        <f t="shared" si="14"/>
        <v/>
      </c>
      <c r="I332" s="71"/>
      <c r="J332" s="74"/>
      <c r="K332" s="14" t="s">
        <v>22</v>
      </c>
      <c r="L332" s="20">
        <f>'[4]12нед'!C32</f>
        <v>0</v>
      </c>
      <c r="M332" s="23">
        <f>'[4]12нед'!D32</f>
        <v>0</v>
      </c>
      <c r="N332" s="21">
        <f>'[4]12нед'!G32</f>
        <v>0</v>
      </c>
      <c r="O332" s="22" t="str">
        <f>'[4]12нед'!H32</f>
        <v/>
      </c>
      <c r="P332" s="57" t="str">
        <f t="shared" si="15"/>
        <v/>
      </c>
    </row>
    <row r="333" spans="1:16" ht="31.5" x14ac:dyDescent="0.2">
      <c r="A333" s="82"/>
      <c r="B333" s="68"/>
      <c r="C333" s="14" t="s">
        <v>23</v>
      </c>
      <c r="D333" s="20">
        <f>'[4]11нед'!C33</f>
        <v>0</v>
      </c>
      <c r="E333" s="23">
        <f>'[4]11нед'!D33</f>
        <v>0</v>
      </c>
      <c r="F333" s="21">
        <f>'[4]11нед'!G33</f>
        <v>0</v>
      </c>
      <c r="G333" s="22" t="str">
        <f>'[4]11нед'!H33</f>
        <v/>
      </c>
      <c r="H333" s="55" t="str">
        <f t="shared" si="14"/>
        <v/>
      </c>
      <c r="I333" s="71"/>
      <c r="J333" s="74"/>
      <c r="K333" s="14" t="s">
        <v>23</v>
      </c>
      <c r="L333" s="20">
        <f>'[4]12нед'!C33</f>
        <v>0</v>
      </c>
      <c r="M333" s="23">
        <f>'[4]12нед'!D33</f>
        <v>0</v>
      </c>
      <c r="N333" s="21">
        <f>'[4]12нед'!G33</f>
        <v>0</v>
      </c>
      <c r="O333" s="22" t="str">
        <f>'[4]12нед'!H33</f>
        <v/>
      </c>
      <c r="P333" s="55" t="str">
        <f t="shared" si="15"/>
        <v/>
      </c>
    </row>
    <row r="334" spans="1:16" ht="32.25" thickBot="1" x14ac:dyDescent="0.25">
      <c r="A334" s="82"/>
      <c r="B334" s="68"/>
      <c r="C334" s="14" t="s">
        <v>24</v>
      </c>
      <c r="D334" s="20">
        <f>'[4]11нед'!C34</f>
        <v>0</v>
      </c>
      <c r="E334" s="23">
        <f>'[4]11нед'!D34</f>
        <v>0</v>
      </c>
      <c r="F334" s="21">
        <f>'[4]11нед'!G34</f>
        <v>0</v>
      </c>
      <c r="G334" s="22" t="str">
        <f>'[4]11нед'!H34</f>
        <v/>
      </c>
      <c r="H334" s="55" t="str">
        <f t="shared" si="14"/>
        <v/>
      </c>
      <c r="I334" s="71"/>
      <c r="J334" s="74"/>
      <c r="K334" s="14" t="s">
        <v>24</v>
      </c>
      <c r="L334" s="20">
        <f>'[4]12нед'!C34</f>
        <v>0</v>
      </c>
      <c r="M334" s="23">
        <f>'[4]12нед'!D34</f>
        <v>0</v>
      </c>
      <c r="N334" s="21">
        <f>'[4]12нед'!G34</f>
        <v>0</v>
      </c>
      <c r="O334" s="22" t="str">
        <f>'[4]12нед'!H34</f>
        <v/>
      </c>
      <c r="P334" s="55" t="str">
        <f t="shared" si="15"/>
        <v/>
      </c>
    </row>
    <row r="335" spans="1:16" ht="18.600000000000001" hidden="1" customHeight="1" thickBot="1" x14ac:dyDescent="0.25">
      <c r="A335" s="83"/>
      <c r="B335" s="69"/>
      <c r="C335" s="15"/>
      <c r="D335" s="24">
        <f>'[4]11нед'!C35</f>
        <v>0</v>
      </c>
      <c r="E335" s="25">
        <f>'[4]11нед'!D35</f>
        <v>0</v>
      </c>
      <c r="F335" s="26">
        <f>'[4]11нед'!G35</f>
        <v>0</v>
      </c>
      <c r="G335" s="27" t="str">
        <f>'[4]11нед'!H35</f>
        <v/>
      </c>
      <c r="H335" s="58" t="str">
        <f t="shared" si="14"/>
        <v/>
      </c>
      <c r="I335" s="72"/>
      <c r="J335" s="75"/>
      <c r="K335" s="15"/>
      <c r="L335" s="24">
        <f>'[4]12нед'!C35</f>
        <v>0</v>
      </c>
      <c r="M335" s="25">
        <f>'[4]12нед'!D35</f>
        <v>0</v>
      </c>
      <c r="N335" s="26">
        <f>'[4]12нед'!G35</f>
        <v>0</v>
      </c>
      <c r="O335" s="27" t="str">
        <f>'[4]12нед'!H35</f>
        <v/>
      </c>
      <c r="P335" s="58" t="str">
        <f t="shared" si="15"/>
        <v/>
      </c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'[4]11нед'!C36</f>
        <v>0</v>
      </c>
      <c r="E336" s="19">
        <f>'[4]11нед'!D36</f>
        <v>0</v>
      </c>
      <c r="F336" s="17">
        <f>'[4]11нед'!G36</f>
        <v>0</v>
      </c>
      <c r="G336" s="18" t="str">
        <f>'[4]11нед'!H36</f>
        <v/>
      </c>
      <c r="H336" s="56" t="str">
        <f t="shared" si="14"/>
        <v/>
      </c>
      <c r="I336" s="70">
        <v>46345</v>
      </c>
      <c r="J336" s="87" t="s">
        <v>27</v>
      </c>
      <c r="K336" s="29" t="s">
        <v>18</v>
      </c>
      <c r="L336" s="16">
        <f>'[4]12нед'!C36</f>
        <v>0</v>
      </c>
      <c r="M336" s="19">
        <f>'[4]12нед'!D36</f>
        <v>0</v>
      </c>
      <c r="N336" s="17">
        <f>'[4]12нед'!G36</f>
        <v>0</v>
      </c>
      <c r="O336" s="18" t="str">
        <f>'[4]12нед'!H36</f>
        <v/>
      </c>
      <c r="P336" s="56" t="str">
        <f t="shared" si="15"/>
        <v/>
      </c>
    </row>
    <row r="337" spans="1:16" ht="31.5" x14ac:dyDescent="0.2">
      <c r="A337" s="82"/>
      <c r="B337" s="85"/>
      <c r="C337" s="14" t="s">
        <v>19</v>
      </c>
      <c r="D337" s="20">
        <f>'[4]11нед'!C37</f>
        <v>0</v>
      </c>
      <c r="E337" s="23">
        <f>'[4]11нед'!D37</f>
        <v>0</v>
      </c>
      <c r="F337" s="21">
        <f>'[4]11нед'!G37</f>
        <v>0</v>
      </c>
      <c r="G337" s="22" t="str">
        <f>'[4]11нед'!H37</f>
        <v/>
      </c>
      <c r="H337" s="57" t="str">
        <f t="shared" si="14"/>
        <v/>
      </c>
      <c r="I337" s="71"/>
      <c r="J337" s="88"/>
      <c r="K337" s="14" t="s">
        <v>19</v>
      </c>
      <c r="L337" s="20">
        <f>'[4]12нед'!C37</f>
        <v>0</v>
      </c>
      <c r="M337" s="23">
        <f>'[4]12нед'!D37</f>
        <v>0</v>
      </c>
      <c r="N337" s="21">
        <f>'[4]12нед'!G37</f>
        <v>0</v>
      </c>
      <c r="O337" s="22" t="str">
        <f>'[4]12нед'!H37</f>
        <v/>
      </c>
      <c r="P337" s="57" t="str">
        <f t="shared" si="15"/>
        <v/>
      </c>
    </row>
    <row r="338" spans="1:16" ht="31.5" x14ac:dyDescent="0.2">
      <c r="A338" s="82"/>
      <c r="B338" s="85"/>
      <c r="C338" s="14" t="s">
        <v>20</v>
      </c>
      <c r="D338" s="20">
        <f>'[4]11нед'!C38</f>
        <v>0</v>
      </c>
      <c r="E338" s="23">
        <f>'[4]11нед'!D38</f>
        <v>0</v>
      </c>
      <c r="F338" s="21">
        <f>'[4]11нед'!G38</f>
        <v>0</v>
      </c>
      <c r="G338" s="22" t="str">
        <f>'[4]11нед'!H38</f>
        <v/>
      </c>
      <c r="H338" s="57" t="str">
        <f t="shared" si="14"/>
        <v/>
      </c>
      <c r="I338" s="71"/>
      <c r="J338" s="88"/>
      <c r="K338" s="14" t="s">
        <v>20</v>
      </c>
      <c r="L338" s="20">
        <f>'[4]12нед'!C38</f>
        <v>0</v>
      </c>
      <c r="M338" s="23">
        <f>'[4]12нед'!D38</f>
        <v>0</v>
      </c>
      <c r="N338" s="21">
        <f>'[4]12нед'!G38</f>
        <v>0</v>
      </c>
      <c r="O338" s="22" t="str">
        <f>'[4]12нед'!H38</f>
        <v/>
      </c>
      <c r="P338" s="57" t="str">
        <f t="shared" si="15"/>
        <v/>
      </c>
    </row>
    <row r="339" spans="1:16" ht="31.5" x14ac:dyDescent="0.2">
      <c r="A339" s="82"/>
      <c r="B339" s="85"/>
      <c r="C339" s="14" t="s">
        <v>21</v>
      </c>
      <c r="D339" s="20">
        <f>'[4]11нед'!C39</f>
        <v>0</v>
      </c>
      <c r="E339" s="23">
        <f>'[4]11нед'!D39</f>
        <v>0</v>
      </c>
      <c r="F339" s="21">
        <f>'[4]11нед'!G39</f>
        <v>0</v>
      </c>
      <c r="G339" s="22" t="str">
        <f>'[4]11нед'!H39</f>
        <v/>
      </c>
      <c r="H339" s="57" t="str">
        <f t="shared" si="14"/>
        <v/>
      </c>
      <c r="I339" s="71"/>
      <c r="J339" s="88"/>
      <c r="K339" s="14" t="s">
        <v>21</v>
      </c>
      <c r="L339" s="20">
        <f>'[4]12нед'!C39</f>
        <v>0</v>
      </c>
      <c r="M339" s="23">
        <f>'[4]12нед'!D39</f>
        <v>0</v>
      </c>
      <c r="N339" s="21">
        <f>'[4]12нед'!G39</f>
        <v>0</v>
      </c>
      <c r="O339" s="22" t="str">
        <f>'[4]12нед'!H39</f>
        <v/>
      </c>
      <c r="P339" s="57" t="str">
        <f t="shared" si="15"/>
        <v/>
      </c>
    </row>
    <row r="340" spans="1:16" ht="31.5" x14ac:dyDescent="0.2">
      <c r="A340" s="82"/>
      <c r="B340" s="85"/>
      <c r="C340" s="14" t="s">
        <v>22</v>
      </c>
      <c r="D340" s="20">
        <f>'[4]11нед'!C40</f>
        <v>0</v>
      </c>
      <c r="E340" s="23">
        <f>'[4]11нед'!D40</f>
        <v>0</v>
      </c>
      <c r="F340" s="21">
        <f>'[4]11нед'!G40</f>
        <v>0</v>
      </c>
      <c r="G340" s="22" t="str">
        <f>'[4]11нед'!H40</f>
        <v/>
      </c>
      <c r="H340" s="57" t="str">
        <f t="shared" si="14"/>
        <v/>
      </c>
      <c r="I340" s="71"/>
      <c r="J340" s="88"/>
      <c r="K340" s="14" t="s">
        <v>22</v>
      </c>
      <c r="L340" s="20">
        <f>'[4]12нед'!C40</f>
        <v>0</v>
      </c>
      <c r="M340" s="23">
        <f>'[4]12нед'!D40</f>
        <v>0</v>
      </c>
      <c r="N340" s="21">
        <f>'[4]12нед'!G40</f>
        <v>0</v>
      </c>
      <c r="O340" s="22" t="str">
        <f>'[4]12нед'!H40</f>
        <v/>
      </c>
      <c r="P340" s="57" t="str">
        <f t="shared" si="15"/>
        <v/>
      </c>
    </row>
    <row r="341" spans="1:16" ht="31.5" x14ac:dyDescent="0.2">
      <c r="A341" s="82"/>
      <c r="B341" s="85"/>
      <c r="C341" s="14" t="s">
        <v>23</v>
      </c>
      <c r="D341" s="20">
        <f>'[4]11нед'!C41</f>
        <v>0</v>
      </c>
      <c r="E341" s="23">
        <f>'[4]11нед'!D41</f>
        <v>0</v>
      </c>
      <c r="F341" s="21">
        <f>'[4]11нед'!G41</f>
        <v>0</v>
      </c>
      <c r="G341" s="22" t="str">
        <f>'[4]11нед'!H41</f>
        <v/>
      </c>
      <c r="H341" s="55" t="str">
        <f t="shared" si="14"/>
        <v/>
      </c>
      <c r="I341" s="71"/>
      <c r="J341" s="88"/>
      <c r="K341" s="14" t="s">
        <v>23</v>
      </c>
      <c r="L341" s="20">
        <f>'[4]12нед'!C41</f>
        <v>0</v>
      </c>
      <c r="M341" s="23">
        <f>'[4]12нед'!D41</f>
        <v>0</v>
      </c>
      <c r="N341" s="21">
        <f>'[4]12нед'!G41</f>
        <v>0</v>
      </c>
      <c r="O341" s="22" t="str">
        <f>'[4]12нед'!H41</f>
        <v/>
      </c>
      <c r="P341" s="55" t="str">
        <f t="shared" si="15"/>
        <v/>
      </c>
    </row>
    <row r="342" spans="1:16" ht="32.25" thickBot="1" x14ac:dyDescent="0.25">
      <c r="A342" s="82"/>
      <c r="B342" s="85"/>
      <c r="C342" s="14" t="s">
        <v>24</v>
      </c>
      <c r="D342" s="20">
        <f>'[4]11нед'!C42</f>
        <v>0</v>
      </c>
      <c r="E342" s="23">
        <f>'[4]11нед'!D42</f>
        <v>0</v>
      </c>
      <c r="F342" s="21">
        <f>'[4]11нед'!G42</f>
        <v>0</v>
      </c>
      <c r="G342" s="22" t="str">
        <f>'[4]11нед'!H42</f>
        <v/>
      </c>
      <c r="H342" s="55" t="str">
        <f t="shared" si="14"/>
        <v/>
      </c>
      <c r="I342" s="71"/>
      <c r="J342" s="88"/>
      <c r="K342" s="14" t="s">
        <v>24</v>
      </c>
      <c r="L342" s="20">
        <f>'[4]12нед'!C42</f>
        <v>0</v>
      </c>
      <c r="M342" s="23">
        <f>'[4]12нед'!D42</f>
        <v>0</v>
      </c>
      <c r="N342" s="21">
        <f>'[4]12нед'!G42</f>
        <v>0</v>
      </c>
      <c r="O342" s="22" t="str">
        <f>'[4]12нед'!H42</f>
        <v/>
      </c>
      <c r="P342" s="55" t="str">
        <f t="shared" si="15"/>
        <v/>
      </c>
    </row>
    <row r="343" spans="1:16" ht="18.600000000000001" hidden="1" customHeight="1" thickBot="1" x14ac:dyDescent="0.25">
      <c r="A343" s="83"/>
      <c r="B343" s="86"/>
      <c r="C343" s="15"/>
      <c r="D343" s="24">
        <f>'[4]11нед'!C43</f>
        <v>0</v>
      </c>
      <c r="E343" s="25">
        <f>'[4]11нед'!D43</f>
        <v>0</v>
      </c>
      <c r="F343" s="26">
        <f>'[4]11нед'!G43</f>
        <v>0</v>
      </c>
      <c r="G343" s="27" t="str">
        <f>'[4]11нед'!H43</f>
        <v/>
      </c>
      <c r="H343" s="58" t="str">
        <f t="shared" si="14"/>
        <v/>
      </c>
      <c r="I343" s="72"/>
      <c r="J343" s="89"/>
      <c r="K343" s="15"/>
      <c r="L343" s="24">
        <f>'[4]12нед'!C43</f>
        <v>0</v>
      </c>
      <c r="M343" s="25">
        <f>'[4]12нед'!D43</f>
        <v>0</v>
      </c>
      <c r="N343" s="26">
        <f>'[4]12нед'!G43</f>
        <v>0</v>
      </c>
      <c r="O343" s="27" t="str">
        <f>'[4]12нед'!H43</f>
        <v/>
      </c>
      <c r="P343" s="58" t="str">
        <f t="shared" si="15"/>
        <v/>
      </c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'[4]11нед'!C44</f>
        <v>0</v>
      </c>
      <c r="E344" s="19">
        <f>'[4]11нед'!D44</f>
        <v>0</v>
      </c>
      <c r="F344" s="17">
        <f>'[4]11нед'!G44</f>
        <v>0</v>
      </c>
      <c r="G344" s="18" t="str">
        <f>'[4]11нед'!H44</f>
        <v/>
      </c>
      <c r="H344" s="56" t="str">
        <f t="shared" si="14"/>
        <v/>
      </c>
      <c r="I344" s="70">
        <v>46346</v>
      </c>
      <c r="J344" s="87" t="s">
        <v>28</v>
      </c>
      <c r="K344" s="29" t="s">
        <v>18</v>
      </c>
      <c r="L344" s="16">
        <f>'[4]12нед'!C44</f>
        <v>0</v>
      </c>
      <c r="M344" s="19">
        <f>'[4]12нед'!D44</f>
        <v>0</v>
      </c>
      <c r="N344" s="17">
        <f>'[4]12нед'!G44</f>
        <v>0</v>
      </c>
      <c r="O344" s="18" t="str">
        <f>'[4]12нед'!H44</f>
        <v/>
      </c>
      <c r="P344" s="56" t="str">
        <f t="shared" si="15"/>
        <v/>
      </c>
    </row>
    <row r="345" spans="1:16" ht="31.5" x14ac:dyDescent="0.2">
      <c r="A345" s="82"/>
      <c r="B345" s="85"/>
      <c r="C345" s="14" t="s">
        <v>19</v>
      </c>
      <c r="D345" s="20">
        <f>'[4]11нед'!C45</f>
        <v>0</v>
      </c>
      <c r="E345" s="23">
        <f>'[4]11нед'!D45</f>
        <v>0</v>
      </c>
      <c r="F345" s="21">
        <f>'[4]11нед'!G45</f>
        <v>0</v>
      </c>
      <c r="G345" s="22" t="str">
        <f>'[4]11нед'!H45</f>
        <v/>
      </c>
      <c r="H345" s="57" t="str">
        <f t="shared" si="14"/>
        <v/>
      </c>
      <c r="I345" s="71"/>
      <c r="J345" s="88"/>
      <c r="K345" s="14" t="s">
        <v>19</v>
      </c>
      <c r="L345" s="20">
        <f>'[4]12нед'!C45</f>
        <v>0</v>
      </c>
      <c r="M345" s="23">
        <f>'[4]12нед'!D45</f>
        <v>0</v>
      </c>
      <c r="N345" s="21">
        <f>'[4]12нед'!G45</f>
        <v>0</v>
      </c>
      <c r="O345" s="22" t="str">
        <f>'[4]12нед'!H45</f>
        <v/>
      </c>
      <c r="P345" s="57" t="str">
        <f t="shared" si="15"/>
        <v/>
      </c>
    </row>
    <row r="346" spans="1:16" ht="31.5" x14ac:dyDescent="0.2">
      <c r="A346" s="82"/>
      <c r="B346" s="85"/>
      <c r="C346" s="14" t="s">
        <v>20</v>
      </c>
      <c r="D346" s="20">
        <f>'[4]11нед'!C46</f>
        <v>0</v>
      </c>
      <c r="E346" s="23">
        <f>'[4]11нед'!D46</f>
        <v>0</v>
      </c>
      <c r="F346" s="21">
        <f>'[4]11нед'!G46</f>
        <v>0</v>
      </c>
      <c r="G346" s="22" t="str">
        <f>'[4]11нед'!H46</f>
        <v/>
      </c>
      <c r="H346" s="57" t="str">
        <f t="shared" si="14"/>
        <v/>
      </c>
      <c r="I346" s="71"/>
      <c r="J346" s="88"/>
      <c r="K346" s="14" t="s">
        <v>20</v>
      </c>
      <c r="L346" s="20">
        <f>'[4]12нед'!C46</f>
        <v>0</v>
      </c>
      <c r="M346" s="23">
        <f>'[4]12нед'!D46</f>
        <v>0</v>
      </c>
      <c r="N346" s="21">
        <f>'[4]12нед'!G46</f>
        <v>0</v>
      </c>
      <c r="O346" s="22" t="str">
        <f>'[4]12нед'!H46</f>
        <v/>
      </c>
      <c r="P346" s="57" t="str">
        <f t="shared" si="15"/>
        <v/>
      </c>
    </row>
    <row r="347" spans="1:16" ht="31.5" x14ac:dyDescent="0.2">
      <c r="A347" s="82"/>
      <c r="B347" s="85"/>
      <c r="C347" s="14" t="s">
        <v>21</v>
      </c>
      <c r="D347" s="20">
        <f>'[4]11нед'!C47</f>
        <v>0</v>
      </c>
      <c r="E347" s="23">
        <f>'[4]11нед'!D47</f>
        <v>0</v>
      </c>
      <c r="F347" s="21">
        <f>'[4]11нед'!G47</f>
        <v>0</v>
      </c>
      <c r="G347" s="22" t="str">
        <f>'[4]11нед'!H47</f>
        <v/>
      </c>
      <c r="H347" s="57" t="str">
        <f t="shared" si="14"/>
        <v/>
      </c>
      <c r="I347" s="71"/>
      <c r="J347" s="88"/>
      <c r="K347" s="14" t="s">
        <v>21</v>
      </c>
      <c r="L347" s="20">
        <f>'[4]12нед'!C47</f>
        <v>0</v>
      </c>
      <c r="M347" s="23">
        <f>'[4]12нед'!D47</f>
        <v>0</v>
      </c>
      <c r="N347" s="21">
        <f>'[4]12нед'!G47</f>
        <v>0</v>
      </c>
      <c r="O347" s="22" t="str">
        <f>'[4]12нед'!H47</f>
        <v/>
      </c>
      <c r="P347" s="57" t="str">
        <f t="shared" si="15"/>
        <v/>
      </c>
    </row>
    <row r="348" spans="1:16" ht="31.5" x14ac:dyDescent="0.2">
      <c r="A348" s="82"/>
      <c r="B348" s="85"/>
      <c r="C348" s="14" t="s">
        <v>22</v>
      </c>
      <c r="D348" s="20">
        <f>'[4]11нед'!C48</f>
        <v>0</v>
      </c>
      <c r="E348" s="23">
        <f>'[4]11нед'!D48</f>
        <v>0</v>
      </c>
      <c r="F348" s="21">
        <f>'[4]11нед'!G48</f>
        <v>0</v>
      </c>
      <c r="G348" s="22" t="str">
        <f>'[4]11нед'!H48</f>
        <v/>
      </c>
      <c r="H348" s="57" t="str">
        <f t="shared" si="14"/>
        <v/>
      </c>
      <c r="I348" s="71"/>
      <c r="J348" s="88"/>
      <c r="K348" s="14" t="s">
        <v>22</v>
      </c>
      <c r="L348" s="20">
        <f>'[4]12нед'!C48</f>
        <v>0</v>
      </c>
      <c r="M348" s="23">
        <f>'[4]12нед'!D48</f>
        <v>0</v>
      </c>
      <c r="N348" s="21">
        <f>'[4]12нед'!G48</f>
        <v>0</v>
      </c>
      <c r="O348" s="22" t="str">
        <f>'[4]12нед'!H48</f>
        <v/>
      </c>
      <c r="P348" s="57" t="str">
        <f t="shared" si="15"/>
        <v/>
      </c>
    </row>
    <row r="349" spans="1:16" ht="31.5" x14ac:dyDescent="0.2">
      <c r="A349" s="82"/>
      <c r="B349" s="85"/>
      <c r="C349" s="14" t="s">
        <v>23</v>
      </c>
      <c r="D349" s="20">
        <f>'[4]11нед'!C49</f>
        <v>0</v>
      </c>
      <c r="E349" s="23">
        <f>'[4]11нед'!D49</f>
        <v>0</v>
      </c>
      <c r="F349" s="21">
        <f>'[4]11нед'!G49</f>
        <v>0</v>
      </c>
      <c r="G349" s="22" t="str">
        <f>'[4]11нед'!H49</f>
        <v/>
      </c>
      <c r="H349" s="57" t="str">
        <f t="shared" si="14"/>
        <v/>
      </c>
      <c r="I349" s="71"/>
      <c r="J349" s="88"/>
      <c r="K349" s="14" t="s">
        <v>23</v>
      </c>
      <c r="L349" s="20">
        <f>'[4]12нед'!C49</f>
        <v>0</v>
      </c>
      <c r="M349" s="23">
        <f>'[4]12нед'!D49</f>
        <v>0</v>
      </c>
      <c r="N349" s="21">
        <f>'[4]12нед'!G49</f>
        <v>0</v>
      </c>
      <c r="O349" s="22" t="str">
        <f>'[4]12нед'!H49</f>
        <v/>
      </c>
      <c r="P349" s="57" t="str">
        <f t="shared" si="15"/>
        <v/>
      </c>
    </row>
    <row r="350" spans="1:16" ht="32.25" thickBot="1" x14ac:dyDescent="0.25">
      <c r="A350" s="82"/>
      <c r="B350" s="85"/>
      <c r="C350" s="14" t="s">
        <v>24</v>
      </c>
      <c r="D350" s="20">
        <f>'[4]11нед'!C50</f>
        <v>0</v>
      </c>
      <c r="E350" s="23">
        <f>'[4]11нед'!D50</f>
        <v>0</v>
      </c>
      <c r="F350" s="21">
        <f>'[4]11нед'!G50</f>
        <v>0</v>
      </c>
      <c r="G350" s="22" t="str">
        <f>'[4]11нед'!H50</f>
        <v/>
      </c>
      <c r="H350" s="57" t="str">
        <f t="shared" si="14"/>
        <v/>
      </c>
      <c r="I350" s="71"/>
      <c r="J350" s="88"/>
      <c r="K350" s="14" t="s">
        <v>24</v>
      </c>
      <c r="L350" s="20">
        <f>'[4]12нед'!C50</f>
        <v>0</v>
      </c>
      <c r="M350" s="23">
        <f>'[4]12нед'!D50</f>
        <v>0</v>
      </c>
      <c r="N350" s="21">
        <f>'[4]12нед'!G50</f>
        <v>0</v>
      </c>
      <c r="O350" s="22" t="str">
        <f>'[4]12нед'!H50</f>
        <v/>
      </c>
      <c r="P350" s="57" t="str">
        <f t="shared" si="15"/>
        <v/>
      </c>
    </row>
    <row r="351" spans="1:16" ht="18.600000000000001" hidden="1" customHeight="1" thickBot="1" x14ac:dyDescent="0.25">
      <c r="A351" s="83"/>
      <c r="B351" s="86"/>
      <c r="C351" s="15"/>
      <c r="D351" s="24">
        <f>'[4]11нед'!C51</f>
        <v>0</v>
      </c>
      <c r="E351" s="25">
        <f>'[4]11нед'!D51</f>
        <v>0</v>
      </c>
      <c r="F351" s="26">
        <f>'[4]11нед'!G51</f>
        <v>0</v>
      </c>
      <c r="G351" s="27" t="str">
        <f>'[4]11нед'!H51</f>
        <v/>
      </c>
      <c r="H351" s="58" t="str">
        <f t="shared" si="14"/>
        <v/>
      </c>
      <c r="I351" s="72"/>
      <c r="J351" s="89"/>
      <c r="K351" s="15"/>
      <c r="L351" s="24">
        <f>'[4]12нед'!C51</f>
        <v>0</v>
      </c>
      <c r="M351" s="25">
        <f>'[4]12нед'!D51</f>
        <v>0</v>
      </c>
      <c r="N351" s="26">
        <f>'[4]12нед'!G51</f>
        <v>0</v>
      </c>
      <c r="O351" s="27" t="str">
        <f>'[4]12нед'!H51</f>
        <v/>
      </c>
      <c r="P351" s="58" t="str">
        <f t="shared" si="15"/>
        <v/>
      </c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'[4]11нед'!C52</f>
        <v>0</v>
      </c>
      <c r="E352" s="19">
        <f>'[4]11нед'!D52</f>
        <v>0</v>
      </c>
      <c r="F352" s="17">
        <f>'[4]11нед'!G52</f>
        <v>0</v>
      </c>
      <c r="G352" s="18" t="str">
        <f>'[4]11нед'!H52</f>
        <v/>
      </c>
      <c r="H352" s="56" t="str">
        <f t="shared" si="14"/>
        <v/>
      </c>
      <c r="I352" s="70">
        <v>46347</v>
      </c>
      <c r="J352" s="87" t="s">
        <v>29</v>
      </c>
      <c r="K352" s="29" t="s">
        <v>18</v>
      </c>
      <c r="L352" s="16">
        <f>'[4]12нед'!C52</f>
        <v>0</v>
      </c>
      <c r="M352" s="19">
        <f>'[4]12нед'!D52</f>
        <v>0</v>
      </c>
      <c r="N352" s="17">
        <f>'[4]12нед'!G52</f>
        <v>0</v>
      </c>
      <c r="O352" s="18" t="str">
        <f>'[4]12нед'!H52</f>
        <v/>
      </c>
      <c r="P352" s="56" t="str">
        <f t="shared" si="15"/>
        <v/>
      </c>
    </row>
    <row r="353" spans="1:16" ht="31.5" x14ac:dyDescent="0.2">
      <c r="A353" s="82"/>
      <c r="B353" s="85"/>
      <c r="C353" s="14" t="s">
        <v>19</v>
      </c>
      <c r="D353" s="20">
        <f>'[4]11нед'!C53</f>
        <v>0</v>
      </c>
      <c r="E353" s="23">
        <f>'[4]11нед'!D53</f>
        <v>0</v>
      </c>
      <c r="F353" s="21">
        <f>'[4]11нед'!G53</f>
        <v>0</v>
      </c>
      <c r="G353" s="22" t="str">
        <f>'[4]11нед'!H53</f>
        <v/>
      </c>
      <c r="H353" s="57" t="str">
        <f t="shared" si="14"/>
        <v/>
      </c>
      <c r="I353" s="71"/>
      <c r="J353" s="88"/>
      <c r="K353" s="14" t="s">
        <v>19</v>
      </c>
      <c r="L353" s="20">
        <f>'[4]12нед'!C53</f>
        <v>0</v>
      </c>
      <c r="M353" s="23">
        <f>'[4]12нед'!D53</f>
        <v>0</v>
      </c>
      <c r="N353" s="21">
        <f>'[4]12нед'!G53</f>
        <v>0</v>
      </c>
      <c r="O353" s="22" t="str">
        <f>'[4]12нед'!H53</f>
        <v/>
      </c>
      <c r="P353" s="57" t="str">
        <f t="shared" si="15"/>
        <v/>
      </c>
    </row>
    <row r="354" spans="1:16" ht="31.5" x14ac:dyDescent="0.2">
      <c r="A354" s="82"/>
      <c r="B354" s="85"/>
      <c r="C354" s="14" t="s">
        <v>20</v>
      </c>
      <c r="D354" s="20">
        <f>'[4]11нед'!C54</f>
        <v>0</v>
      </c>
      <c r="E354" s="23">
        <f>'[4]11нед'!D54</f>
        <v>0</v>
      </c>
      <c r="F354" s="21">
        <f>'[4]11нед'!G54</f>
        <v>0</v>
      </c>
      <c r="G354" s="22" t="str">
        <f>'[4]11нед'!H54</f>
        <v/>
      </c>
      <c r="H354" s="57" t="str">
        <f t="shared" si="14"/>
        <v/>
      </c>
      <c r="I354" s="71"/>
      <c r="J354" s="88"/>
      <c r="K354" s="14" t="s">
        <v>20</v>
      </c>
      <c r="L354" s="20">
        <f>'[4]12нед'!C54</f>
        <v>0</v>
      </c>
      <c r="M354" s="23">
        <f>'[4]12нед'!D54</f>
        <v>0</v>
      </c>
      <c r="N354" s="21">
        <f>'[4]12нед'!G54</f>
        <v>0</v>
      </c>
      <c r="O354" s="22" t="str">
        <f>'[4]12нед'!H54</f>
        <v/>
      </c>
      <c r="P354" s="57" t="str">
        <f t="shared" si="15"/>
        <v/>
      </c>
    </row>
    <row r="355" spans="1:16" ht="31.5" x14ac:dyDescent="0.2">
      <c r="A355" s="82"/>
      <c r="B355" s="85"/>
      <c r="C355" s="14" t="s">
        <v>21</v>
      </c>
      <c r="D355" s="20">
        <f>'[4]11нед'!C55</f>
        <v>0</v>
      </c>
      <c r="E355" s="23">
        <f>'[4]11нед'!D55</f>
        <v>0</v>
      </c>
      <c r="F355" s="21">
        <f>'[4]11нед'!G55</f>
        <v>0</v>
      </c>
      <c r="G355" s="22" t="str">
        <f>'[4]11нед'!H55</f>
        <v/>
      </c>
      <c r="H355" s="57" t="str">
        <f t="shared" si="14"/>
        <v/>
      </c>
      <c r="I355" s="71"/>
      <c r="J355" s="88"/>
      <c r="K355" s="14" t="s">
        <v>21</v>
      </c>
      <c r="L355" s="20">
        <f>'[4]12нед'!C55</f>
        <v>0</v>
      </c>
      <c r="M355" s="23">
        <f>'[4]12нед'!D55</f>
        <v>0</v>
      </c>
      <c r="N355" s="21">
        <f>'[4]12нед'!G55</f>
        <v>0</v>
      </c>
      <c r="O355" s="22" t="str">
        <f>'[4]12нед'!H55</f>
        <v/>
      </c>
      <c r="P355" s="57" t="str">
        <f t="shared" si="15"/>
        <v/>
      </c>
    </row>
    <row r="356" spans="1:16" ht="31.5" x14ac:dyDescent="0.2">
      <c r="A356" s="82"/>
      <c r="B356" s="85"/>
      <c r="C356" s="14" t="s">
        <v>22</v>
      </c>
      <c r="D356" s="20">
        <f>'[4]11нед'!C56</f>
        <v>0</v>
      </c>
      <c r="E356" s="23">
        <f>'[4]11нед'!D56</f>
        <v>0</v>
      </c>
      <c r="F356" s="21">
        <f>'[4]11нед'!G56</f>
        <v>0</v>
      </c>
      <c r="G356" s="22" t="str">
        <f>'[4]11нед'!H56</f>
        <v/>
      </c>
      <c r="H356" s="57" t="str">
        <f t="shared" si="14"/>
        <v/>
      </c>
      <c r="I356" s="71"/>
      <c r="J356" s="88"/>
      <c r="K356" s="14" t="s">
        <v>22</v>
      </c>
      <c r="L356" s="20">
        <f>'[4]12нед'!C56</f>
        <v>0</v>
      </c>
      <c r="M356" s="23">
        <f>'[4]12нед'!D56</f>
        <v>0</v>
      </c>
      <c r="N356" s="21">
        <f>'[4]12нед'!G56</f>
        <v>0</v>
      </c>
      <c r="O356" s="22" t="str">
        <f>'[4]12нед'!H56</f>
        <v/>
      </c>
      <c r="P356" s="57" t="str">
        <f t="shared" si="15"/>
        <v/>
      </c>
    </row>
    <row r="357" spans="1:16" ht="31.5" x14ac:dyDescent="0.2">
      <c r="A357" s="82"/>
      <c r="B357" s="85"/>
      <c r="C357" s="14" t="s">
        <v>23</v>
      </c>
      <c r="D357" s="20">
        <f>'[4]11нед'!C57</f>
        <v>0</v>
      </c>
      <c r="E357" s="23">
        <f>'[4]11нед'!D57</f>
        <v>0</v>
      </c>
      <c r="F357" s="21">
        <f>'[4]11нед'!G57</f>
        <v>0</v>
      </c>
      <c r="G357" s="22" t="str">
        <f>'[4]11нед'!H57</f>
        <v/>
      </c>
      <c r="H357" s="57" t="str">
        <f t="shared" si="14"/>
        <v/>
      </c>
      <c r="I357" s="71"/>
      <c r="J357" s="88"/>
      <c r="K357" s="14" t="s">
        <v>23</v>
      </c>
      <c r="L357" s="20">
        <f>'[4]12нед'!C57</f>
        <v>0</v>
      </c>
      <c r="M357" s="23">
        <f>'[4]12нед'!D57</f>
        <v>0</v>
      </c>
      <c r="N357" s="21">
        <f>'[4]12нед'!G57</f>
        <v>0</v>
      </c>
      <c r="O357" s="22" t="str">
        <f>'[4]12нед'!H57</f>
        <v/>
      </c>
      <c r="P357" s="57" t="str">
        <f t="shared" si="15"/>
        <v/>
      </c>
    </row>
    <row r="358" spans="1:16" ht="32.25" thickBot="1" x14ac:dyDescent="0.25">
      <c r="A358" s="82"/>
      <c r="B358" s="85"/>
      <c r="C358" s="14" t="s">
        <v>24</v>
      </c>
      <c r="D358" s="20">
        <f>'[4]11нед'!C58</f>
        <v>0</v>
      </c>
      <c r="E358" s="23">
        <f>'[4]11нед'!D58</f>
        <v>0</v>
      </c>
      <c r="F358" s="21">
        <f>'[4]11нед'!G58</f>
        <v>0</v>
      </c>
      <c r="G358" s="22" t="str">
        <f>'[4]11нед'!H58</f>
        <v/>
      </c>
      <c r="H358" s="57" t="str">
        <f t="shared" si="14"/>
        <v/>
      </c>
      <c r="I358" s="71"/>
      <c r="J358" s="88"/>
      <c r="K358" s="14" t="s">
        <v>24</v>
      </c>
      <c r="L358" s="20">
        <f>'[4]12нед'!C58</f>
        <v>0</v>
      </c>
      <c r="M358" s="23">
        <f>'[4]12нед'!D58</f>
        <v>0</v>
      </c>
      <c r="N358" s="21">
        <f>'[4]12нед'!G58</f>
        <v>0</v>
      </c>
      <c r="O358" s="22" t="str">
        <f>'[4]12нед'!H58</f>
        <v/>
      </c>
      <c r="P358" s="57" t="str">
        <f t="shared" si="15"/>
        <v/>
      </c>
    </row>
    <row r="359" spans="1:16" ht="18.600000000000001" hidden="1" customHeight="1" thickBot="1" x14ac:dyDescent="0.25">
      <c r="A359" s="83"/>
      <c r="B359" s="86"/>
      <c r="C359" s="15"/>
      <c r="D359" s="24">
        <f>'[4]11нед'!C59</f>
        <v>0</v>
      </c>
      <c r="E359" s="25">
        <f>'[4]11нед'!D59</f>
        <v>0</v>
      </c>
      <c r="F359" s="26">
        <f>'[4]11нед'!G59</f>
        <v>0</v>
      </c>
      <c r="G359" s="27" t="str">
        <f>'[4]11нед'!H59</f>
        <v/>
      </c>
      <c r="H359" s="39"/>
      <c r="I359" s="72"/>
      <c r="J359" s="89"/>
      <c r="K359" s="15"/>
      <c r="L359" s="24">
        <f>'[4]12нед'!C59</f>
        <v>0</v>
      </c>
      <c r="M359" s="25">
        <f>'[4]12нед'!D59</f>
        <v>0</v>
      </c>
      <c r="N359" s="26">
        <f>'[4]12нед'!G59</f>
        <v>0</v>
      </c>
      <c r="O359" s="27" t="str">
        <f>'[4]11нед'!H59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00</v>
      </c>
      <c r="F367" s="7"/>
      <c r="G367" s="7">
        <f>G7</f>
        <v>0</v>
      </c>
      <c r="H367" s="36"/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00</v>
      </c>
      <c r="N367" s="7"/>
      <c r="O367" s="7">
        <f>G7</f>
        <v>0</v>
      </c>
      <c r="P367" s="36"/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16">E8</f>
        <v>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17">E8</f>
        <v>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1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1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2.25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'[4]13нед'!C12</f>
        <v>0</v>
      </c>
      <c r="E372" s="19">
        <f>'[4]13нед'!D12</f>
        <v>0</v>
      </c>
      <c r="F372" s="17">
        <f>'[4]13нед'!G12</f>
        <v>0</v>
      </c>
      <c r="G372" s="18" t="str">
        <f>'[4]13нед'!H12</f>
        <v/>
      </c>
      <c r="H372" s="56" t="str">
        <f>HYPERLINK(VLOOKUP(E372,$R$12:$S$332,2,FALSE))</f>
        <v/>
      </c>
      <c r="I372" s="70">
        <v>46356</v>
      </c>
      <c r="J372" s="87" t="s">
        <v>17</v>
      </c>
      <c r="K372" s="14" t="s">
        <v>18</v>
      </c>
      <c r="L372" s="16">
        <f>'[5]14нед'!C12</f>
        <v>0</v>
      </c>
      <c r="M372" s="19">
        <f>'[5]14нед'!D12</f>
        <v>0</v>
      </c>
      <c r="N372" s="17">
        <f>'[5]14нед'!G12</f>
        <v>0</v>
      </c>
      <c r="O372" s="18" t="str">
        <f>'[5]14нед'!H12</f>
        <v/>
      </c>
      <c r="P372" s="56" t="str">
        <f>HYPERLINK(VLOOKUP(M372,$R$12:$S$332,2,FALSE))</f>
        <v/>
      </c>
    </row>
    <row r="373" spans="1:16" ht="31.5" x14ac:dyDescent="0.2">
      <c r="A373" s="82"/>
      <c r="B373" s="85"/>
      <c r="C373" s="14" t="s">
        <v>19</v>
      </c>
      <c r="D373" s="20">
        <f>'[4]13нед'!C13</f>
        <v>0</v>
      </c>
      <c r="E373" s="23">
        <f>'[4]13нед'!D13</f>
        <v>0</v>
      </c>
      <c r="F373" s="21">
        <f>'[4]13нед'!G13</f>
        <v>0</v>
      </c>
      <c r="G373" s="22" t="str">
        <f>'[4]13нед'!H13</f>
        <v/>
      </c>
      <c r="H373" s="57" t="str">
        <f t="shared" ref="H373:H418" si="18">HYPERLINK(VLOOKUP(E373,$R$12:$S$332,2,FALSE))</f>
        <v/>
      </c>
      <c r="I373" s="71"/>
      <c r="J373" s="88"/>
      <c r="K373" s="14" t="s">
        <v>19</v>
      </c>
      <c r="L373" s="20">
        <f>'[5]14нед'!C13</f>
        <v>0</v>
      </c>
      <c r="M373" s="23">
        <f>'[5]14нед'!D13</f>
        <v>0</v>
      </c>
      <c r="N373" s="21">
        <f>'[5]14нед'!G13</f>
        <v>0</v>
      </c>
      <c r="O373" s="22" t="str">
        <f>'[5]14нед'!H13</f>
        <v/>
      </c>
      <c r="P373" s="57" t="str">
        <f t="shared" ref="P373:P418" si="19">HYPERLINK(VLOOKUP(M373,$R$12:$S$332,2,FALSE))</f>
        <v/>
      </c>
    </row>
    <row r="374" spans="1:16" ht="31.5" x14ac:dyDescent="0.2">
      <c r="A374" s="82"/>
      <c r="B374" s="85"/>
      <c r="C374" s="14" t="s">
        <v>20</v>
      </c>
      <c r="D374" s="20">
        <f>'[4]13нед'!C14</f>
        <v>0</v>
      </c>
      <c r="E374" s="23">
        <f>'[4]13нед'!D14</f>
        <v>0</v>
      </c>
      <c r="F374" s="21">
        <f>'[4]13нед'!G14</f>
        <v>0</v>
      </c>
      <c r="G374" s="22" t="str">
        <f>'[4]13нед'!H14</f>
        <v/>
      </c>
      <c r="H374" s="57" t="str">
        <f t="shared" si="18"/>
        <v/>
      </c>
      <c r="I374" s="71"/>
      <c r="J374" s="88"/>
      <c r="K374" s="14" t="s">
        <v>20</v>
      </c>
      <c r="L374" s="20">
        <f>'[5]14нед'!C14</f>
        <v>0</v>
      </c>
      <c r="M374" s="23">
        <f>'[5]14нед'!D14</f>
        <v>0</v>
      </c>
      <c r="N374" s="21">
        <f>'[5]14нед'!G14</f>
        <v>0</v>
      </c>
      <c r="O374" s="22" t="str">
        <f>'[5]14нед'!H14</f>
        <v/>
      </c>
      <c r="P374" s="57" t="str">
        <f t="shared" si="19"/>
        <v/>
      </c>
    </row>
    <row r="375" spans="1:16" ht="31.5" x14ac:dyDescent="0.2">
      <c r="A375" s="82"/>
      <c r="B375" s="85"/>
      <c r="C375" s="14" t="s">
        <v>21</v>
      </c>
      <c r="D375" s="20">
        <f>'[4]13нед'!C15</f>
        <v>0</v>
      </c>
      <c r="E375" s="23">
        <f>'[4]13нед'!D15</f>
        <v>0</v>
      </c>
      <c r="F375" s="21">
        <f>'[4]13нед'!G15</f>
        <v>0</v>
      </c>
      <c r="G375" s="22" t="str">
        <f>'[4]13нед'!H15</f>
        <v/>
      </c>
      <c r="H375" s="57" t="str">
        <f t="shared" si="18"/>
        <v/>
      </c>
      <c r="I375" s="71"/>
      <c r="J375" s="88"/>
      <c r="K375" s="14" t="s">
        <v>21</v>
      </c>
      <c r="L375" s="20">
        <f>'[5]14нед'!C15</f>
        <v>0</v>
      </c>
      <c r="M375" s="23">
        <f>'[5]14нед'!D15</f>
        <v>0</v>
      </c>
      <c r="N375" s="21">
        <f>'[5]14нед'!G15</f>
        <v>0</v>
      </c>
      <c r="O375" s="22" t="str">
        <f>'[5]14нед'!H15</f>
        <v/>
      </c>
      <c r="P375" s="57" t="str">
        <f t="shared" si="19"/>
        <v/>
      </c>
    </row>
    <row r="376" spans="1:16" ht="31.5" x14ac:dyDescent="0.2">
      <c r="A376" s="82"/>
      <c r="B376" s="85"/>
      <c r="C376" s="14" t="s">
        <v>22</v>
      </c>
      <c r="D376" s="20">
        <f>'[4]13нед'!C16</f>
        <v>0</v>
      </c>
      <c r="E376" s="23">
        <f>'[4]13нед'!D16</f>
        <v>0</v>
      </c>
      <c r="F376" s="21">
        <f>'[4]13нед'!G16</f>
        <v>0</v>
      </c>
      <c r="G376" s="22" t="str">
        <f>'[4]13нед'!H16</f>
        <v/>
      </c>
      <c r="H376" s="57" t="str">
        <f t="shared" si="18"/>
        <v/>
      </c>
      <c r="I376" s="71"/>
      <c r="J376" s="88"/>
      <c r="K376" s="14" t="s">
        <v>22</v>
      </c>
      <c r="L376" s="20">
        <f>'[5]14нед'!C16</f>
        <v>0</v>
      </c>
      <c r="M376" s="23">
        <f>'[5]14нед'!D16</f>
        <v>0</v>
      </c>
      <c r="N376" s="21">
        <f>'[5]14нед'!G16</f>
        <v>0</v>
      </c>
      <c r="O376" s="22" t="str">
        <f>'[5]14нед'!H16</f>
        <v/>
      </c>
      <c r="P376" s="57" t="str">
        <f t="shared" si="19"/>
        <v/>
      </c>
    </row>
    <row r="377" spans="1:16" ht="31.5" x14ac:dyDescent="0.2">
      <c r="A377" s="82"/>
      <c r="B377" s="85"/>
      <c r="C377" s="14" t="s">
        <v>23</v>
      </c>
      <c r="D377" s="20">
        <f>'[4]13нед'!C17</f>
        <v>0</v>
      </c>
      <c r="E377" s="23">
        <f>'[4]13нед'!D17</f>
        <v>0</v>
      </c>
      <c r="F377" s="21">
        <f>'[4]13нед'!G17</f>
        <v>0</v>
      </c>
      <c r="G377" s="22" t="str">
        <f>'[4]13нед'!H17</f>
        <v/>
      </c>
      <c r="H377" s="55" t="str">
        <f t="shared" si="18"/>
        <v/>
      </c>
      <c r="I377" s="71"/>
      <c r="J377" s="88"/>
      <c r="K377" s="14" t="s">
        <v>23</v>
      </c>
      <c r="L377" s="20">
        <f>'[5]14нед'!C17</f>
        <v>0</v>
      </c>
      <c r="M377" s="23">
        <f>'[5]14нед'!D17</f>
        <v>0</v>
      </c>
      <c r="N377" s="21">
        <f>'[5]14нед'!G17</f>
        <v>0</v>
      </c>
      <c r="O377" s="22" t="str">
        <f>'[5]14нед'!H17</f>
        <v/>
      </c>
      <c r="P377" s="55" t="str">
        <f t="shared" si="19"/>
        <v/>
      </c>
    </row>
    <row r="378" spans="1:16" ht="32.25" thickBot="1" x14ac:dyDescent="0.25">
      <c r="A378" s="82"/>
      <c r="B378" s="85"/>
      <c r="C378" s="14" t="s">
        <v>24</v>
      </c>
      <c r="D378" s="20">
        <f>'[4]13нед'!C18</f>
        <v>0</v>
      </c>
      <c r="E378" s="23">
        <f>'[4]13нед'!D18</f>
        <v>0</v>
      </c>
      <c r="F378" s="21">
        <f>'[4]13нед'!G18</f>
        <v>0</v>
      </c>
      <c r="G378" s="22" t="str">
        <f>'[4]13нед'!H18</f>
        <v/>
      </c>
      <c r="H378" s="55" t="str">
        <f t="shared" si="18"/>
        <v/>
      </c>
      <c r="I378" s="71"/>
      <c r="J378" s="88"/>
      <c r="K378" s="14" t="s">
        <v>24</v>
      </c>
      <c r="L378" s="20">
        <f>'[5]14нед'!C18</f>
        <v>0</v>
      </c>
      <c r="M378" s="23">
        <f>'[5]14нед'!D18</f>
        <v>0</v>
      </c>
      <c r="N378" s="21">
        <f>'[5]14нед'!G18</f>
        <v>0</v>
      </c>
      <c r="O378" s="22" t="str">
        <f>'[5]14нед'!H18</f>
        <v/>
      </c>
      <c r="P378" s="55" t="str">
        <f t="shared" si="19"/>
        <v/>
      </c>
    </row>
    <row r="379" spans="1:16" ht="18.399999999999999" hidden="1" customHeight="1" thickBot="1" x14ac:dyDescent="0.25">
      <c r="A379" s="83"/>
      <c r="B379" s="86"/>
      <c r="C379" s="15"/>
      <c r="D379" s="24">
        <f>'[4]13нед'!C19</f>
        <v>0</v>
      </c>
      <c r="E379" s="25">
        <f>'[4]13нед'!D19</f>
        <v>0</v>
      </c>
      <c r="F379" s="26">
        <f>'[4]13нед'!G19</f>
        <v>0</v>
      </c>
      <c r="G379" s="27" t="str">
        <f>'[4]13нед'!H19</f>
        <v/>
      </c>
      <c r="H379" s="58" t="str">
        <f t="shared" si="18"/>
        <v/>
      </c>
      <c r="I379" s="72"/>
      <c r="J379" s="89"/>
      <c r="K379" s="15"/>
      <c r="L379" s="24">
        <f>'[5]14нед'!C19</f>
        <v>0</v>
      </c>
      <c r="M379" s="25">
        <f>'[5]14нед'!D19</f>
        <v>0</v>
      </c>
      <c r="N379" s="26">
        <f>'[5]14нед'!G19</f>
        <v>0</v>
      </c>
      <c r="O379" s="27" t="str">
        <f>'[5]14нед'!H19</f>
        <v/>
      </c>
      <c r="P379" s="58" t="str">
        <f t="shared" si="19"/>
        <v/>
      </c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'[4]13нед'!C20</f>
        <v>0</v>
      </c>
      <c r="E380" s="19">
        <f>'[4]13нед'!D20</f>
        <v>0</v>
      </c>
      <c r="F380" s="17">
        <f>'[4]13нед'!G20</f>
        <v>0</v>
      </c>
      <c r="G380" s="18" t="str">
        <f>'[4]13нед'!H20</f>
        <v/>
      </c>
      <c r="H380" s="56" t="str">
        <f t="shared" si="18"/>
        <v/>
      </c>
      <c r="I380" s="70">
        <v>46357</v>
      </c>
      <c r="J380" s="87" t="s">
        <v>25</v>
      </c>
      <c r="K380" s="29" t="s">
        <v>18</v>
      </c>
      <c r="L380" s="16">
        <f>'[5]14нед'!C20</f>
        <v>0</v>
      </c>
      <c r="M380" s="19">
        <f>'[5]14нед'!D20</f>
        <v>0</v>
      </c>
      <c r="N380" s="17">
        <f>'[5]14нед'!G20</f>
        <v>0</v>
      </c>
      <c r="O380" s="18" t="str">
        <f>'[5]14нед'!H20</f>
        <v/>
      </c>
      <c r="P380" s="56" t="str">
        <f t="shared" si="19"/>
        <v/>
      </c>
    </row>
    <row r="381" spans="1:16" ht="31.5" x14ac:dyDescent="0.2">
      <c r="A381" s="82"/>
      <c r="B381" s="85"/>
      <c r="C381" s="14" t="s">
        <v>19</v>
      </c>
      <c r="D381" s="20">
        <f>'[4]13нед'!C21</f>
        <v>0</v>
      </c>
      <c r="E381" s="23">
        <f>'[4]13нед'!D21</f>
        <v>0</v>
      </c>
      <c r="F381" s="21">
        <f>'[4]13нед'!G21</f>
        <v>0</v>
      </c>
      <c r="G381" s="22" t="str">
        <f>'[4]13нед'!H21</f>
        <v/>
      </c>
      <c r="H381" s="57" t="str">
        <f t="shared" si="18"/>
        <v/>
      </c>
      <c r="I381" s="71"/>
      <c r="J381" s="88"/>
      <c r="K381" s="14" t="s">
        <v>19</v>
      </c>
      <c r="L381" s="20">
        <f>'[5]14нед'!C21</f>
        <v>0</v>
      </c>
      <c r="M381" s="23">
        <f>'[5]14нед'!D21</f>
        <v>0</v>
      </c>
      <c r="N381" s="21">
        <f>'[5]14нед'!G21</f>
        <v>0</v>
      </c>
      <c r="O381" s="22" t="str">
        <f>'[5]14нед'!H21</f>
        <v/>
      </c>
      <c r="P381" s="57" t="str">
        <f t="shared" si="19"/>
        <v/>
      </c>
    </row>
    <row r="382" spans="1:16" ht="31.5" x14ac:dyDescent="0.2">
      <c r="A382" s="82"/>
      <c r="B382" s="85"/>
      <c r="C382" s="14" t="s">
        <v>20</v>
      </c>
      <c r="D382" s="20">
        <f>'[4]13нед'!C22</f>
        <v>0</v>
      </c>
      <c r="E382" s="23">
        <f>'[4]13нед'!D22</f>
        <v>0</v>
      </c>
      <c r="F382" s="21">
        <f>'[4]13нед'!G22</f>
        <v>0</v>
      </c>
      <c r="G382" s="22" t="str">
        <f>'[4]13нед'!H22</f>
        <v/>
      </c>
      <c r="H382" s="57" t="str">
        <f t="shared" si="18"/>
        <v/>
      </c>
      <c r="I382" s="71"/>
      <c r="J382" s="88"/>
      <c r="K382" s="14" t="s">
        <v>20</v>
      </c>
      <c r="L382" s="20">
        <f>'[5]14нед'!C22</f>
        <v>0</v>
      </c>
      <c r="M382" s="23">
        <f>'[5]14нед'!D22</f>
        <v>0</v>
      </c>
      <c r="N382" s="21">
        <f>'[5]14нед'!G22</f>
        <v>0</v>
      </c>
      <c r="O382" s="22" t="str">
        <f>'[5]14нед'!H22</f>
        <v/>
      </c>
      <c r="P382" s="57" t="str">
        <f t="shared" si="19"/>
        <v/>
      </c>
    </row>
    <row r="383" spans="1:16" ht="31.5" x14ac:dyDescent="0.2">
      <c r="A383" s="82"/>
      <c r="B383" s="85"/>
      <c r="C383" s="14" t="s">
        <v>21</v>
      </c>
      <c r="D383" s="20">
        <f>'[4]13нед'!C23</f>
        <v>0</v>
      </c>
      <c r="E383" s="23">
        <f>'[4]13нед'!D23</f>
        <v>0</v>
      </c>
      <c r="F383" s="21">
        <f>'[4]13нед'!G23</f>
        <v>0</v>
      </c>
      <c r="G383" s="22" t="str">
        <f>'[4]13нед'!H23</f>
        <v/>
      </c>
      <c r="H383" s="57" t="str">
        <f t="shared" si="18"/>
        <v/>
      </c>
      <c r="I383" s="71"/>
      <c r="J383" s="88"/>
      <c r="K383" s="14" t="s">
        <v>21</v>
      </c>
      <c r="L383" s="20">
        <f>'[5]14нед'!C23</f>
        <v>0</v>
      </c>
      <c r="M383" s="23">
        <f>'[5]14нед'!D23</f>
        <v>0</v>
      </c>
      <c r="N383" s="21">
        <f>'[5]14нед'!G23</f>
        <v>0</v>
      </c>
      <c r="O383" s="22" t="str">
        <f>'[5]14нед'!H23</f>
        <v/>
      </c>
      <c r="P383" s="57" t="str">
        <f t="shared" si="19"/>
        <v/>
      </c>
    </row>
    <row r="384" spans="1:16" ht="31.5" x14ac:dyDescent="0.2">
      <c r="A384" s="82"/>
      <c r="B384" s="85"/>
      <c r="C384" s="14" t="s">
        <v>22</v>
      </c>
      <c r="D384" s="20">
        <f>'[4]13нед'!C24</f>
        <v>0</v>
      </c>
      <c r="E384" s="23">
        <f>'[4]13нед'!D24</f>
        <v>0</v>
      </c>
      <c r="F384" s="21">
        <f>'[4]13нед'!G24</f>
        <v>0</v>
      </c>
      <c r="G384" s="22" t="str">
        <f>'[4]13нед'!H24</f>
        <v/>
      </c>
      <c r="H384" s="57" t="str">
        <f t="shared" si="18"/>
        <v/>
      </c>
      <c r="I384" s="71"/>
      <c r="J384" s="88"/>
      <c r="K384" s="14" t="s">
        <v>22</v>
      </c>
      <c r="L384" s="20">
        <f>'[5]14нед'!C24</f>
        <v>0</v>
      </c>
      <c r="M384" s="23">
        <f>'[5]14нед'!D24</f>
        <v>0</v>
      </c>
      <c r="N384" s="21">
        <f>'[5]14нед'!G24</f>
        <v>0</v>
      </c>
      <c r="O384" s="22" t="str">
        <f>'[5]14нед'!H24</f>
        <v/>
      </c>
      <c r="P384" s="57" t="str">
        <f t="shared" si="19"/>
        <v/>
      </c>
    </row>
    <row r="385" spans="1:16" ht="35.85" customHeight="1" x14ac:dyDescent="0.2">
      <c r="A385" s="82"/>
      <c r="B385" s="85"/>
      <c r="C385" s="14" t="s">
        <v>23</v>
      </c>
      <c r="D385" s="20">
        <f>'[4]13нед'!C25</f>
        <v>0</v>
      </c>
      <c r="E385" s="23">
        <f>'[4]13нед'!D25</f>
        <v>0</v>
      </c>
      <c r="F385" s="21">
        <f>'[4]13нед'!G25</f>
        <v>0</v>
      </c>
      <c r="G385" s="22" t="str">
        <f>'[4]13нед'!H25</f>
        <v/>
      </c>
      <c r="H385" s="57" t="str">
        <f t="shared" si="18"/>
        <v/>
      </c>
      <c r="I385" s="71"/>
      <c r="J385" s="88"/>
      <c r="K385" s="14" t="s">
        <v>23</v>
      </c>
      <c r="L385" s="20">
        <f>'[5]14нед'!C25</f>
        <v>0</v>
      </c>
      <c r="M385" s="23">
        <f>'[5]14нед'!D25</f>
        <v>0</v>
      </c>
      <c r="N385" s="21">
        <f>'[5]14нед'!G25</f>
        <v>0</v>
      </c>
      <c r="O385" s="22" t="str">
        <f>'[5]14нед'!H25</f>
        <v/>
      </c>
      <c r="P385" s="57" t="str">
        <f t="shared" si="19"/>
        <v/>
      </c>
    </row>
    <row r="386" spans="1:16" ht="32.25" thickBot="1" x14ac:dyDescent="0.25">
      <c r="A386" s="82"/>
      <c r="B386" s="85"/>
      <c r="C386" s="14" t="s">
        <v>24</v>
      </c>
      <c r="D386" s="20">
        <f>'[4]13нед'!C26</f>
        <v>0</v>
      </c>
      <c r="E386" s="23">
        <f>'[4]13нед'!D26</f>
        <v>0</v>
      </c>
      <c r="F386" s="21">
        <f>'[4]13нед'!G26</f>
        <v>0</v>
      </c>
      <c r="G386" s="22" t="str">
        <f>'[4]13нед'!H26</f>
        <v/>
      </c>
      <c r="H386" s="57" t="str">
        <f t="shared" si="18"/>
        <v/>
      </c>
      <c r="I386" s="71"/>
      <c r="J386" s="88"/>
      <c r="K386" s="14" t="s">
        <v>24</v>
      </c>
      <c r="L386" s="20">
        <f>'[5]14нед'!C26</f>
        <v>0</v>
      </c>
      <c r="M386" s="23">
        <f>'[5]14нед'!D26</f>
        <v>0</v>
      </c>
      <c r="N386" s="21">
        <f>'[5]14нед'!G26</f>
        <v>0</v>
      </c>
      <c r="O386" s="22" t="str">
        <f>'[5]14нед'!H26</f>
        <v/>
      </c>
      <c r="P386" s="57" t="str">
        <f t="shared" si="19"/>
        <v/>
      </c>
    </row>
    <row r="387" spans="1:16" ht="18.399999999999999" hidden="1" customHeight="1" thickBot="1" x14ac:dyDescent="0.25">
      <c r="A387" s="83"/>
      <c r="B387" s="86"/>
      <c r="C387" s="15"/>
      <c r="D387" s="24">
        <f>'[4]13нед'!C27</f>
        <v>0</v>
      </c>
      <c r="E387" s="25">
        <f>'[4]13нед'!D27</f>
        <v>0</v>
      </c>
      <c r="F387" s="26">
        <f>'[4]13нед'!G27</f>
        <v>0</v>
      </c>
      <c r="G387" s="27" t="str">
        <f>'[4]13нед'!H27</f>
        <v/>
      </c>
      <c r="H387" s="58" t="str">
        <f t="shared" si="18"/>
        <v/>
      </c>
      <c r="I387" s="72"/>
      <c r="J387" s="89"/>
      <c r="K387" s="15"/>
      <c r="L387" s="24">
        <f>'[5]14нед'!C27</f>
        <v>0</v>
      </c>
      <c r="M387" s="25">
        <f>'[5]14нед'!D27</f>
        <v>0</v>
      </c>
      <c r="N387" s="26">
        <f>'[5]14нед'!G27</f>
        <v>0</v>
      </c>
      <c r="O387" s="27" t="str">
        <f>'[5]14нед'!H27</f>
        <v/>
      </c>
      <c r="P387" s="58" t="str">
        <f t="shared" si="19"/>
        <v/>
      </c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'[4]13нед'!C28</f>
        <v>0</v>
      </c>
      <c r="E388" s="19">
        <f>'[4]13нед'!D28</f>
        <v>0</v>
      </c>
      <c r="F388" s="17">
        <f>'[4]13нед'!G28</f>
        <v>0</v>
      </c>
      <c r="G388" s="18" t="str">
        <f>'[4]13нед'!H28</f>
        <v/>
      </c>
      <c r="H388" s="56" t="str">
        <f t="shared" si="18"/>
        <v/>
      </c>
      <c r="I388" s="70">
        <v>46358</v>
      </c>
      <c r="J388" s="73" t="s">
        <v>26</v>
      </c>
      <c r="K388" s="29" t="s">
        <v>18</v>
      </c>
      <c r="L388" s="16">
        <f>'[5]14нед'!C28</f>
        <v>0</v>
      </c>
      <c r="M388" s="19">
        <f>'[5]14нед'!D28</f>
        <v>0</v>
      </c>
      <c r="N388" s="17">
        <f>'[5]14нед'!G28</f>
        <v>0</v>
      </c>
      <c r="O388" s="18" t="str">
        <f>'[5]14нед'!H28</f>
        <v/>
      </c>
      <c r="P388" s="56" t="str">
        <f t="shared" si="19"/>
        <v/>
      </c>
    </row>
    <row r="389" spans="1:16" ht="31.5" x14ac:dyDescent="0.2">
      <c r="A389" s="82"/>
      <c r="B389" s="68"/>
      <c r="C389" s="14" t="s">
        <v>19</v>
      </c>
      <c r="D389" s="20">
        <f>'[4]13нед'!C29</f>
        <v>0</v>
      </c>
      <c r="E389" s="23">
        <f>'[4]13нед'!D29</f>
        <v>0</v>
      </c>
      <c r="F389" s="21">
        <f>'[4]13нед'!G29</f>
        <v>0</v>
      </c>
      <c r="G389" s="22" t="str">
        <f>'[4]13нед'!H29</f>
        <v/>
      </c>
      <c r="H389" s="57" t="str">
        <f t="shared" si="18"/>
        <v/>
      </c>
      <c r="I389" s="71"/>
      <c r="J389" s="74"/>
      <c r="K389" s="14" t="s">
        <v>19</v>
      </c>
      <c r="L389" s="20">
        <f>'[5]14нед'!C29</f>
        <v>0</v>
      </c>
      <c r="M389" s="23">
        <f>'[5]14нед'!D29</f>
        <v>0</v>
      </c>
      <c r="N389" s="21">
        <f>'[5]14нед'!G29</f>
        <v>0</v>
      </c>
      <c r="O389" s="22" t="str">
        <f>'[5]14нед'!H29</f>
        <v/>
      </c>
      <c r="P389" s="57" t="str">
        <f t="shared" si="19"/>
        <v/>
      </c>
    </row>
    <row r="390" spans="1:16" ht="31.5" x14ac:dyDescent="0.2">
      <c r="A390" s="82"/>
      <c r="B390" s="68"/>
      <c r="C390" s="14" t="s">
        <v>20</v>
      </c>
      <c r="D390" s="20">
        <f>'[4]13нед'!C30</f>
        <v>0</v>
      </c>
      <c r="E390" s="23">
        <f>'[4]13нед'!D30</f>
        <v>0</v>
      </c>
      <c r="F390" s="21">
        <f>'[4]13нед'!G30</f>
        <v>0</v>
      </c>
      <c r="G390" s="22" t="str">
        <f>'[4]13нед'!H30</f>
        <v/>
      </c>
      <c r="H390" s="57" t="str">
        <f t="shared" si="18"/>
        <v/>
      </c>
      <c r="I390" s="71"/>
      <c r="J390" s="74"/>
      <c r="K390" s="14" t="s">
        <v>20</v>
      </c>
      <c r="L390" s="20">
        <f>'[5]14нед'!C30</f>
        <v>0</v>
      </c>
      <c r="M390" s="23">
        <f>'[5]14нед'!D30</f>
        <v>0</v>
      </c>
      <c r="N390" s="21">
        <f>'[5]14нед'!G30</f>
        <v>0</v>
      </c>
      <c r="O390" s="22" t="str">
        <f>'[5]14нед'!H30</f>
        <v/>
      </c>
      <c r="P390" s="57" t="str">
        <f t="shared" si="19"/>
        <v/>
      </c>
    </row>
    <row r="391" spans="1:16" ht="31.5" x14ac:dyDescent="0.2">
      <c r="A391" s="82"/>
      <c r="B391" s="68"/>
      <c r="C391" s="14" t="s">
        <v>21</v>
      </c>
      <c r="D391" s="20">
        <f>'[4]13нед'!C31</f>
        <v>0</v>
      </c>
      <c r="E391" s="23">
        <f>'[4]13нед'!D31</f>
        <v>0</v>
      </c>
      <c r="F391" s="21">
        <f>'[4]13нед'!G31</f>
        <v>0</v>
      </c>
      <c r="G391" s="22" t="str">
        <f>'[4]13нед'!H31</f>
        <v/>
      </c>
      <c r="H391" s="57" t="str">
        <f t="shared" si="18"/>
        <v/>
      </c>
      <c r="I391" s="71"/>
      <c r="J391" s="74"/>
      <c r="K391" s="14" t="s">
        <v>21</v>
      </c>
      <c r="L391" s="20">
        <f>'[5]14нед'!C31</f>
        <v>0</v>
      </c>
      <c r="M391" s="23">
        <f>'[5]14нед'!D31</f>
        <v>0</v>
      </c>
      <c r="N391" s="21">
        <f>'[5]14нед'!G31</f>
        <v>0</v>
      </c>
      <c r="O391" s="22" t="str">
        <f>'[5]14нед'!H31</f>
        <v/>
      </c>
      <c r="P391" s="57" t="str">
        <f t="shared" si="19"/>
        <v/>
      </c>
    </row>
    <row r="392" spans="1:16" ht="31.5" x14ac:dyDescent="0.2">
      <c r="A392" s="82"/>
      <c r="B392" s="68"/>
      <c r="C392" s="14" t="s">
        <v>22</v>
      </c>
      <c r="D392" s="20">
        <f>'[4]13нед'!C32</f>
        <v>0</v>
      </c>
      <c r="E392" s="23">
        <f>'[4]13нед'!D32</f>
        <v>0</v>
      </c>
      <c r="F392" s="21">
        <f>'[4]13нед'!G32</f>
        <v>0</v>
      </c>
      <c r="G392" s="22" t="str">
        <f>'[4]13нед'!H32</f>
        <v/>
      </c>
      <c r="H392" s="57" t="str">
        <f t="shared" si="18"/>
        <v/>
      </c>
      <c r="I392" s="71"/>
      <c r="J392" s="74"/>
      <c r="K392" s="14" t="s">
        <v>22</v>
      </c>
      <c r="L392" s="20">
        <f>'[5]14нед'!C32</f>
        <v>0</v>
      </c>
      <c r="M392" s="23">
        <f>'[5]14нед'!D32</f>
        <v>0</v>
      </c>
      <c r="N392" s="21">
        <f>'[5]14нед'!G32</f>
        <v>0</v>
      </c>
      <c r="O392" s="22" t="str">
        <f>'[5]14нед'!H32</f>
        <v/>
      </c>
      <c r="P392" s="57" t="str">
        <f t="shared" si="19"/>
        <v/>
      </c>
    </row>
    <row r="393" spans="1:16" ht="31.5" x14ac:dyDescent="0.2">
      <c r="A393" s="82"/>
      <c r="B393" s="68"/>
      <c r="C393" s="14" t="s">
        <v>23</v>
      </c>
      <c r="D393" s="20">
        <f>'[4]13нед'!C33</f>
        <v>0</v>
      </c>
      <c r="E393" s="23">
        <f>'[4]13нед'!D33</f>
        <v>0</v>
      </c>
      <c r="F393" s="21">
        <f>'[4]13нед'!G33</f>
        <v>0</v>
      </c>
      <c r="G393" s="22" t="str">
        <f>'[4]13нед'!H33</f>
        <v/>
      </c>
      <c r="H393" s="55" t="str">
        <f t="shared" si="18"/>
        <v/>
      </c>
      <c r="I393" s="71"/>
      <c r="J393" s="74"/>
      <c r="K393" s="14" t="s">
        <v>23</v>
      </c>
      <c r="L393" s="20">
        <f>'[5]14нед'!C33</f>
        <v>0</v>
      </c>
      <c r="M393" s="23">
        <f>'[5]14нед'!D33</f>
        <v>0</v>
      </c>
      <c r="N393" s="21">
        <f>'[5]14нед'!G33</f>
        <v>0</v>
      </c>
      <c r="O393" s="22" t="str">
        <f>'[5]14нед'!H33</f>
        <v/>
      </c>
      <c r="P393" s="55" t="str">
        <f t="shared" si="19"/>
        <v/>
      </c>
    </row>
    <row r="394" spans="1:16" ht="32.25" thickBot="1" x14ac:dyDescent="0.25">
      <c r="A394" s="82"/>
      <c r="B394" s="68"/>
      <c r="C394" s="14" t="s">
        <v>24</v>
      </c>
      <c r="D394" s="20">
        <f>'[4]13нед'!C34</f>
        <v>0</v>
      </c>
      <c r="E394" s="23">
        <f>'[4]13нед'!D34</f>
        <v>0</v>
      </c>
      <c r="F394" s="21">
        <f>'[4]13нед'!G34</f>
        <v>0</v>
      </c>
      <c r="G394" s="22" t="str">
        <f>'[4]13нед'!H34</f>
        <v/>
      </c>
      <c r="H394" s="55" t="str">
        <f t="shared" si="18"/>
        <v/>
      </c>
      <c r="I394" s="71"/>
      <c r="J394" s="74"/>
      <c r="K394" s="14" t="s">
        <v>24</v>
      </c>
      <c r="L394" s="20">
        <f>'[5]14нед'!C34</f>
        <v>0</v>
      </c>
      <c r="M394" s="23">
        <f>'[5]14нед'!D34</f>
        <v>0</v>
      </c>
      <c r="N394" s="21">
        <f>'[5]14нед'!G34</f>
        <v>0</v>
      </c>
      <c r="O394" s="22" t="str">
        <f>'[5]14нед'!H34</f>
        <v/>
      </c>
      <c r="P394" s="55" t="str">
        <f t="shared" si="19"/>
        <v/>
      </c>
    </row>
    <row r="395" spans="1:16" ht="18.399999999999999" hidden="1" customHeight="1" thickBot="1" x14ac:dyDescent="0.25">
      <c r="A395" s="83"/>
      <c r="B395" s="69"/>
      <c r="C395" s="15"/>
      <c r="D395" s="24">
        <f>'[4]13нед'!C35</f>
        <v>0</v>
      </c>
      <c r="E395" s="25">
        <f>'[4]13нед'!D35</f>
        <v>0</v>
      </c>
      <c r="F395" s="26">
        <f>'[4]13нед'!G35</f>
        <v>0</v>
      </c>
      <c r="G395" s="27" t="str">
        <f>'[4]13нед'!H35</f>
        <v/>
      </c>
      <c r="H395" s="58" t="str">
        <f t="shared" si="18"/>
        <v/>
      </c>
      <c r="I395" s="72"/>
      <c r="J395" s="75"/>
      <c r="K395" s="15"/>
      <c r="L395" s="24">
        <f>'[5]14нед'!C35</f>
        <v>0</v>
      </c>
      <c r="M395" s="25">
        <f>'[5]14нед'!D35</f>
        <v>0</v>
      </c>
      <c r="N395" s="26">
        <f>'[5]14нед'!G35</f>
        <v>0</v>
      </c>
      <c r="O395" s="27" t="str">
        <f>'[5]14нед'!H35</f>
        <v/>
      </c>
      <c r="P395" s="58" t="str">
        <f t="shared" si="19"/>
        <v/>
      </c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'[4]13нед'!C36</f>
        <v>0</v>
      </c>
      <c r="E396" s="19">
        <f>'[4]13нед'!D36</f>
        <v>0</v>
      </c>
      <c r="F396" s="17">
        <f>'[4]13нед'!G36</f>
        <v>0</v>
      </c>
      <c r="G396" s="18" t="str">
        <f>'[4]13нед'!H36</f>
        <v/>
      </c>
      <c r="H396" s="56" t="str">
        <f t="shared" si="18"/>
        <v/>
      </c>
      <c r="I396" s="70">
        <v>46359</v>
      </c>
      <c r="J396" s="87" t="s">
        <v>27</v>
      </c>
      <c r="K396" s="29" t="s">
        <v>18</v>
      </c>
      <c r="L396" s="16">
        <f>'[5]14нед'!C36</f>
        <v>0</v>
      </c>
      <c r="M396" s="19">
        <f>'[5]14нед'!D36</f>
        <v>0</v>
      </c>
      <c r="N396" s="17">
        <f>'[5]14нед'!G36</f>
        <v>0</v>
      </c>
      <c r="O396" s="18" t="str">
        <f>'[5]14нед'!H36</f>
        <v/>
      </c>
      <c r="P396" s="56" t="str">
        <f t="shared" si="19"/>
        <v/>
      </c>
    </row>
    <row r="397" spans="1:16" ht="31.5" x14ac:dyDescent="0.2">
      <c r="A397" s="82"/>
      <c r="B397" s="85"/>
      <c r="C397" s="14" t="s">
        <v>19</v>
      </c>
      <c r="D397" s="20">
        <f>'[4]13нед'!C37</f>
        <v>0</v>
      </c>
      <c r="E397" s="23">
        <f>'[4]13нед'!D37</f>
        <v>0</v>
      </c>
      <c r="F397" s="21">
        <f>'[4]13нед'!G37</f>
        <v>0</v>
      </c>
      <c r="G397" s="22" t="str">
        <f>'[4]13нед'!H37</f>
        <v/>
      </c>
      <c r="H397" s="57" t="str">
        <f t="shared" si="18"/>
        <v/>
      </c>
      <c r="I397" s="71"/>
      <c r="J397" s="88"/>
      <c r="K397" s="14" t="s">
        <v>19</v>
      </c>
      <c r="L397" s="20">
        <f>'[5]14нед'!C37</f>
        <v>0</v>
      </c>
      <c r="M397" s="23">
        <f>'[5]14нед'!D37</f>
        <v>0</v>
      </c>
      <c r="N397" s="21">
        <f>'[5]14нед'!G37</f>
        <v>0</v>
      </c>
      <c r="O397" s="22" t="str">
        <f>'[5]14нед'!H37</f>
        <v/>
      </c>
      <c r="P397" s="57" t="str">
        <f t="shared" si="19"/>
        <v/>
      </c>
    </row>
    <row r="398" spans="1:16" ht="31.5" x14ac:dyDescent="0.2">
      <c r="A398" s="82"/>
      <c r="B398" s="85"/>
      <c r="C398" s="14" t="s">
        <v>20</v>
      </c>
      <c r="D398" s="20">
        <f>'[4]13нед'!C38</f>
        <v>0</v>
      </c>
      <c r="E398" s="23">
        <f>'[4]13нед'!D38</f>
        <v>0</v>
      </c>
      <c r="F398" s="21">
        <f>'[4]13нед'!G38</f>
        <v>0</v>
      </c>
      <c r="G398" s="22" t="str">
        <f>'[4]13нед'!H38</f>
        <v/>
      </c>
      <c r="H398" s="57" t="str">
        <f t="shared" si="18"/>
        <v/>
      </c>
      <c r="I398" s="71"/>
      <c r="J398" s="88"/>
      <c r="K398" s="14" t="s">
        <v>20</v>
      </c>
      <c r="L398" s="20">
        <f>'[5]14нед'!C38</f>
        <v>0</v>
      </c>
      <c r="M398" s="23">
        <f>'[5]14нед'!D38</f>
        <v>0</v>
      </c>
      <c r="N398" s="21">
        <f>'[5]14нед'!G38</f>
        <v>0</v>
      </c>
      <c r="O398" s="22" t="str">
        <f>'[5]14нед'!H38</f>
        <v/>
      </c>
      <c r="P398" s="57" t="str">
        <f t="shared" si="19"/>
        <v/>
      </c>
    </row>
    <row r="399" spans="1:16" ht="31.5" x14ac:dyDescent="0.2">
      <c r="A399" s="82"/>
      <c r="B399" s="85"/>
      <c r="C399" s="14" t="s">
        <v>21</v>
      </c>
      <c r="D399" s="20">
        <f>'[4]13нед'!C39</f>
        <v>0</v>
      </c>
      <c r="E399" s="23">
        <f>'[4]13нед'!D39</f>
        <v>0</v>
      </c>
      <c r="F399" s="21">
        <f>'[4]13нед'!G39</f>
        <v>0</v>
      </c>
      <c r="G399" s="22" t="str">
        <f>'[4]13нед'!H39</f>
        <v/>
      </c>
      <c r="H399" s="57" t="str">
        <f t="shared" si="18"/>
        <v/>
      </c>
      <c r="I399" s="71"/>
      <c r="J399" s="88"/>
      <c r="K399" s="14" t="s">
        <v>21</v>
      </c>
      <c r="L399" s="20">
        <f>'[5]14нед'!C39</f>
        <v>0</v>
      </c>
      <c r="M399" s="23">
        <f>'[5]14нед'!D39</f>
        <v>0</v>
      </c>
      <c r="N399" s="21">
        <f>'[5]14нед'!G39</f>
        <v>0</v>
      </c>
      <c r="O399" s="22" t="str">
        <f>'[5]14нед'!H39</f>
        <v/>
      </c>
      <c r="P399" s="57" t="str">
        <f t="shared" si="19"/>
        <v/>
      </c>
    </row>
    <row r="400" spans="1:16" ht="31.5" x14ac:dyDescent="0.2">
      <c r="A400" s="82"/>
      <c r="B400" s="85"/>
      <c r="C400" s="14" t="s">
        <v>22</v>
      </c>
      <c r="D400" s="20">
        <f>'[4]13нед'!C40</f>
        <v>0</v>
      </c>
      <c r="E400" s="23">
        <f>'[4]13нед'!D40</f>
        <v>0</v>
      </c>
      <c r="F400" s="21">
        <f>'[4]13нед'!G40</f>
        <v>0</v>
      </c>
      <c r="G400" s="22" t="str">
        <f>'[4]13нед'!H40</f>
        <v/>
      </c>
      <c r="H400" s="57" t="str">
        <f t="shared" si="18"/>
        <v/>
      </c>
      <c r="I400" s="71"/>
      <c r="J400" s="88"/>
      <c r="K400" s="14" t="s">
        <v>22</v>
      </c>
      <c r="L400" s="20">
        <f>'[5]14нед'!C40</f>
        <v>0</v>
      </c>
      <c r="M400" s="23">
        <f>'[5]14нед'!D40</f>
        <v>0</v>
      </c>
      <c r="N400" s="21">
        <f>'[5]14нед'!G40</f>
        <v>0</v>
      </c>
      <c r="O400" s="22" t="str">
        <f>'[5]14нед'!H40</f>
        <v/>
      </c>
      <c r="P400" s="57" t="str">
        <f t="shared" si="19"/>
        <v/>
      </c>
    </row>
    <row r="401" spans="1:16" ht="31.5" x14ac:dyDescent="0.2">
      <c r="A401" s="82"/>
      <c r="B401" s="85"/>
      <c r="C401" s="14" t="s">
        <v>23</v>
      </c>
      <c r="D401" s="20">
        <f>'[4]13нед'!C41</f>
        <v>0</v>
      </c>
      <c r="E401" s="23">
        <f>'[4]13нед'!D41</f>
        <v>0</v>
      </c>
      <c r="F401" s="21">
        <f>'[4]13нед'!G41</f>
        <v>0</v>
      </c>
      <c r="G401" s="22" t="str">
        <f>'[4]13нед'!H41</f>
        <v/>
      </c>
      <c r="H401" s="55" t="str">
        <f t="shared" si="18"/>
        <v/>
      </c>
      <c r="I401" s="71"/>
      <c r="J401" s="88"/>
      <c r="K401" s="14" t="s">
        <v>23</v>
      </c>
      <c r="L401" s="20">
        <f>'[5]14нед'!C41</f>
        <v>0</v>
      </c>
      <c r="M401" s="23">
        <f>'[5]14нед'!D41</f>
        <v>0</v>
      </c>
      <c r="N401" s="21">
        <f>'[5]14нед'!G41</f>
        <v>0</v>
      </c>
      <c r="O401" s="22" t="str">
        <f>'[5]14нед'!H41</f>
        <v/>
      </c>
      <c r="P401" s="55" t="str">
        <f t="shared" si="19"/>
        <v/>
      </c>
    </row>
    <row r="402" spans="1:16" ht="32.25" thickBot="1" x14ac:dyDescent="0.25">
      <c r="A402" s="82"/>
      <c r="B402" s="85"/>
      <c r="C402" s="14" t="s">
        <v>24</v>
      </c>
      <c r="D402" s="20">
        <f>'[4]13нед'!C42</f>
        <v>0</v>
      </c>
      <c r="E402" s="23">
        <f>'[4]13нед'!D42</f>
        <v>0</v>
      </c>
      <c r="F402" s="21">
        <f>'[4]13нед'!G42</f>
        <v>0</v>
      </c>
      <c r="G402" s="22" t="str">
        <f>'[4]13нед'!H42</f>
        <v/>
      </c>
      <c r="H402" s="55" t="str">
        <f t="shared" si="18"/>
        <v/>
      </c>
      <c r="I402" s="71"/>
      <c r="J402" s="88"/>
      <c r="K402" s="14" t="s">
        <v>24</v>
      </c>
      <c r="L402" s="20">
        <f>'[5]14нед'!C42</f>
        <v>0</v>
      </c>
      <c r="M402" s="23">
        <f>'[5]14нед'!D42</f>
        <v>0</v>
      </c>
      <c r="N402" s="21">
        <f>'[5]14нед'!G42</f>
        <v>0</v>
      </c>
      <c r="O402" s="22" t="str">
        <f>'[5]14нед'!H42</f>
        <v/>
      </c>
      <c r="P402" s="55" t="str">
        <f t="shared" si="19"/>
        <v/>
      </c>
    </row>
    <row r="403" spans="1:16" ht="18.399999999999999" hidden="1" customHeight="1" thickBot="1" x14ac:dyDescent="0.25">
      <c r="A403" s="83"/>
      <c r="B403" s="86"/>
      <c r="C403" s="15"/>
      <c r="D403" s="24">
        <f>'[4]13нед'!C43</f>
        <v>0</v>
      </c>
      <c r="E403" s="25">
        <f>'[4]13нед'!D43</f>
        <v>0</v>
      </c>
      <c r="F403" s="26">
        <f>'[4]13нед'!G43</f>
        <v>0</v>
      </c>
      <c r="G403" s="27" t="str">
        <f>'[4]13нед'!H43</f>
        <v/>
      </c>
      <c r="H403" s="58" t="str">
        <f t="shared" si="18"/>
        <v/>
      </c>
      <c r="I403" s="72"/>
      <c r="J403" s="89"/>
      <c r="K403" s="15"/>
      <c r="L403" s="24">
        <f>'[5]14нед'!C43</f>
        <v>0</v>
      </c>
      <c r="M403" s="25">
        <f>'[5]14нед'!D43</f>
        <v>0</v>
      </c>
      <c r="N403" s="26">
        <f>'[5]14нед'!G43</f>
        <v>0</v>
      </c>
      <c r="O403" s="27" t="str">
        <f>'[5]14нед'!H43</f>
        <v/>
      </c>
      <c r="P403" s="58" t="str">
        <f t="shared" si="19"/>
        <v/>
      </c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'[4]13нед'!C44</f>
        <v>0</v>
      </c>
      <c r="E404" s="19">
        <f>'[4]13нед'!D44</f>
        <v>0</v>
      </c>
      <c r="F404" s="17">
        <f>'[4]13нед'!G44</f>
        <v>0</v>
      </c>
      <c r="G404" s="18" t="str">
        <f>'[4]13нед'!H44</f>
        <v/>
      </c>
      <c r="H404" s="56" t="str">
        <f t="shared" si="18"/>
        <v/>
      </c>
      <c r="I404" s="70">
        <v>46360</v>
      </c>
      <c r="J404" s="87" t="s">
        <v>28</v>
      </c>
      <c r="K404" s="29" t="s">
        <v>18</v>
      </c>
      <c r="L404" s="16">
        <f>'[5]14нед'!C44</f>
        <v>0</v>
      </c>
      <c r="M404" s="19">
        <f>'[5]14нед'!D44</f>
        <v>0</v>
      </c>
      <c r="N404" s="17">
        <f>'[5]14нед'!G44</f>
        <v>0</v>
      </c>
      <c r="O404" s="18" t="str">
        <f>'[5]14нед'!H44</f>
        <v/>
      </c>
      <c r="P404" s="56" t="str">
        <f t="shared" si="19"/>
        <v/>
      </c>
    </row>
    <row r="405" spans="1:16" ht="31.5" x14ac:dyDescent="0.2">
      <c r="A405" s="82"/>
      <c r="B405" s="85"/>
      <c r="C405" s="14" t="s">
        <v>19</v>
      </c>
      <c r="D405" s="20">
        <f>'[4]13нед'!C45</f>
        <v>0</v>
      </c>
      <c r="E405" s="23">
        <f>'[4]13нед'!D45</f>
        <v>0</v>
      </c>
      <c r="F405" s="21">
        <f>'[4]13нед'!G45</f>
        <v>0</v>
      </c>
      <c r="G405" s="22" t="str">
        <f>'[4]13нед'!H45</f>
        <v/>
      </c>
      <c r="H405" s="57" t="str">
        <f t="shared" si="18"/>
        <v/>
      </c>
      <c r="I405" s="71"/>
      <c r="J405" s="88"/>
      <c r="K405" s="14" t="s">
        <v>19</v>
      </c>
      <c r="L405" s="20">
        <f>'[5]14нед'!C45</f>
        <v>0</v>
      </c>
      <c r="M405" s="23">
        <f>'[5]14нед'!D45</f>
        <v>0</v>
      </c>
      <c r="N405" s="21">
        <f>'[5]14нед'!G45</f>
        <v>0</v>
      </c>
      <c r="O405" s="22" t="str">
        <f>'[5]14нед'!H45</f>
        <v/>
      </c>
      <c r="P405" s="57" t="str">
        <f t="shared" si="19"/>
        <v/>
      </c>
    </row>
    <row r="406" spans="1:16" ht="31.5" x14ac:dyDescent="0.2">
      <c r="A406" s="82"/>
      <c r="B406" s="85"/>
      <c r="C406" s="14" t="s">
        <v>20</v>
      </c>
      <c r="D406" s="20">
        <f>'[4]13нед'!C46</f>
        <v>0</v>
      </c>
      <c r="E406" s="23">
        <f>'[4]13нед'!D46</f>
        <v>0</v>
      </c>
      <c r="F406" s="21">
        <f>'[4]13нед'!G46</f>
        <v>0</v>
      </c>
      <c r="G406" s="22" t="str">
        <f>'[4]13нед'!H46</f>
        <v/>
      </c>
      <c r="H406" s="57" t="str">
        <f t="shared" si="18"/>
        <v/>
      </c>
      <c r="I406" s="71"/>
      <c r="J406" s="88"/>
      <c r="K406" s="14" t="s">
        <v>20</v>
      </c>
      <c r="L406" s="20">
        <f>'[5]14нед'!C46</f>
        <v>0</v>
      </c>
      <c r="M406" s="23">
        <f>'[5]14нед'!D46</f>
        <v>0</v>
      </c>
      <c r="N406" s="21">
        <f>'[5]14нед'!G46</f>
        <v>0</v>
      </c>
      <c r="O406" s="22" t="str">
        <f>'[5]14нед'!H46</f>
        <v/>
      </c>
      <c r="P406" s="57" t="str">
        <f t="shared" si="19"/>
        <v/>
      </c>
    </row>
    <row r="407" spans="1:16" ht="31.5" x14ac:dyDescent="0.2">
      <c r="A407" s="82"/>
      <c r="B407" s="85"/>
      <c r="C407" s="14" t="s">
        <v>21</v>
      </c>
      <c r="D407" s="20">
        <f>'[4]13нед'!C47</f>
        <v>0</v>
      </c>
      <c r="E407" s="23">
        <f>'[4]13нед'!D47</f>
        <v>0</v>
      </c>
      <c r="F407" s="21">
        <f>'[4]13нед'!G47</f>
        <v>0</v>
      </c>
      <c r="G407" s="22" t="str">
        <f>'[4]13нед'!H47</f>
        <v/>
      </c>
      <c r="H407" s="57" t="str">
        <f t="shared" si="18"/>
        <v/>
      </c>
      <c r="I407" s="71"/>
      <c r="J407" s="88"/>
      <c r="K407" s="14" t="s">
        <v>21</v>
      </c>
      <c r="L407" s="20">
        <f>'[5]14нед'!C47</f>
        <v>0</v>
      </c>
      <c r="M407" s="23">
        <f>'[5]14нед'!D47</f>
        <v>0</v>
      </c>
      <c r="N407" s="21">
        <f>'[5]14нед'!G47</f>
        <v>0</v>
      </c>
      <c r="O407" s="22" t="str">
        <f>'[5]14нед'!H47</f>
        <v/>
      </c>
      <c r="P407" s="57" t="str">
        <f t="shared" si="19"/>
        <v/>
      </c>
    </row>
    <row r="408" spans="1:16" ht="31.5" x14ac:dyDescent="0.2">
      <c r="A408" s="82"/>
      <c r="B408" s="85"/>
      <c r="C408" s="14" t="s">
        <v>22</v>
      </c>
      <c r="D408" s="20">
        <f>'[4]13нед'!C48</f>
        <v>0</v>
      </c>
      <c r="E408" s="23">
        <f>'[4]13нед'!D48</f>
        <v>0</v>
      </c>
      <c r="F408" s="21">
        <f>'[4]13нед'!G48</f>
        <v>0</v>
      </c>
      <c r="G408" s="22" t="str">
        <f>'[4]13нед'!H48</f>
        <v/>
      </c>
      <c r="H408" s="57" t="str">
        <f t="shared" si="18"/>
        <v/>
      </c>
      <c r="I408" s="71"/>
      <c r="J408" s="88"/>
      <c r="K408" s="14" t="s">
        <v>22</v>
      </c>
      <c r="L408" s="20">
        <f>'[5]14нед'!C48</f>
        <v>0</v>
      </c>
      <c r="M408" s="23">
        <f>'[5]14нед'!D48</f>
        <v>0</v>
      </c>
      <c r="N408" s="21">
        <f>'[5]14нед'!G48</f>
        <v>0</v>
      </c>
      <c r="O408" s="22" t="str">
        <f>'[5]14нед'!H48</f>
        <v/>
      </c>
      <c r="P408" s="57" t="str">
        <f t="shared" si="19"/>
        <v/>
      </c>
    </row>
    <row r="409" spans="1:16" ht="31.5" x14ac:dyDescent="0.2">
      <c r="A409" s="82"/>
      <c r="B409" s="85"/>
      <c r="C409" s="14" t="s">
        <v>23</v>
      </c>
      <c r="D409" s="20">
        <f>'[4]13нед'!C49</f>
        <v>0</v>
      </c>
      <c r="E409" s="23">
        <f>'[4]13нед'!D49</f>
        <v>0</v>
      </c>
      <c r="F409" s="21">
        <f>'[4]13нед'!G49</f>
        <v>0</v>
      </c>
      <c r="G409" s="22" t="str">
        <f>'[4]13нед'!H49</f>
        <v/>
      </c>
      <c r="H409" s="57" t="str">
        <f t="shared" si="18"/>
        <v/>
      </c>
      <c r="I409" s="71"/>
      <c r="J409" s="88"/>
      <c r="K409" s="14" t="s">
        <v>23</v>
      </c>
      <c r="L409" s="20">
        <f>'[5]14нед'!C49</f>
        <v>0</v>
      </c>
      <c r="M409" s="23">
        <f>'[5]14нед'!D49</f>
        <v>0</v>
      </c>
      <c r="N409" s="21">
        <f>'[5]14нед'!G49</f>
        <v>0</v>
      </c>
      <c r="O409" s="22" t="str">
        <f>'[5]14нед'!H49</f>
        <v/>
      </c>
      <c r="P409" s="57" t="str">
        <f t="shared" si="19"/>
        <v/>
      </c>
    </row>
    <row r="410" spans="1:16" ht="32.25" thickBot="1" x14ac:dyDescent="0.25">
      <c r="A410" s="82"/>
      <c r="B410" s="85"/>
      <c r="C410" s="14" t="s">
        <v>24</v>
      </c>
      <c r="D410" s="20">
        <f>'[4]13нед'!C50</f>
        <v>0</v>
      </c>
      <c r="E410" s="23">
        <f>'[4]13нед'!D50</f>
        <v>0</v>
      </c>
      <c r="F410" s="21">
        <f>'[4]13нед'!G50</f>
        <v>0</v>
      </c>
      <c r="G410" s="22" t="str">
        <f>'[4]13нед'!H50</f>
        <v/>
      </c>
      <c r="H410" s="57" t="str">
        <f t="shared" si="18"/>
        <v/>
      </c>
      <c r="I410" s="71"/>
      <c r="J410" s="88"/>
      <c r="K410" s="14" t="s">
        <v>24</v>
      </c>
      <c r="L410" s="20">
        <f>'[5]14нед'!C50</f>
        <v>0</v>
      </c>
      <c r="M410" s="23">
        <f>'[5]14нед'!D50</f>
        <v>0</v>
      </c>
      <c r="N410" s="21">
        <f>'[5]14нед'!G50</f>
        <v>0</v>
      </c>
      <c r="O410" s="22" t="str">
        <f>'[5]14нед'!H50</f>
        <v/>
      </c>
      <c r="P410" s="57" t="str">
        <f t="shared" si="19"/>
        <v/>
      </c>
    </row>
    <row r="411" spans="1:16" ht="18.399999999999999" hidden="1" customHeight="1" thickBot="1" x14ac:dyDescent="0.25">
      <c r="A411" s="83"/>
      <c r="B411" s="86"/>
      <c r="C411" s="15"/>
      <c r="D411" s="24">
        <f>'[4]13нед'!C51</f>
        <v>0</v>
      </c>
      <c r="E411" s="25">
        <f>'[4]13нед'!D51</f>
        <v>0</v>
      </c>
      <c r="F411" s="26">
        <f>'[4]13нед'!G51</f>
        <v>0</v>
      </c>
      <c r="G411" s="27" t="str">
        <f>'[4]13нед'!H51</f>
        <v/>
      </c>
      <c r="H411" s="58" t="str">
        <f t="shared" si="18"/>
        <v/>
      </c>
      <c r="I411" s="72"/>
      <c r="J411" s="89"/>
      <c r="K411" s="15"/>
      <c r="L411" s="24">
        <f>'[5]14нед'!C51</f>
        <v>0</v>
      </c>
      <c r="M411" s="25">
        <f>'[5]14нед'!D51</f>
        <v>0</v>
      </c>
      <c r="N411" s="26">
        <f>'[5]14нед'!G51</f>
        <v>0</v>
      </c>
      <c r="O411" s="27" t="str">
        <f>'[5]14нед'!H51</f>
        <v/>
      </c>
      <c r="P411" s="58" t="str">
        <f t="shared" si="19"/>
        <v/>
      </c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'[4]13нед'!C52</f>
        <v>0</v>
      </c>
      <c r="E412" s="19">
        <f>'[4]13нед'!D52</f>
        <v>0</v>
      </c>
      <c r="F412" s="17">
        <f>'[4]13нед'!G52</f>
        <v>0</v>
      </c>
      <c r="G412" s="18" t="str">
        <f>'[4]13нед'!H52</f>
        <v/>
      </c>
      <c r="H412" s="56" t="str">
        <f t="shared" si="18"/>
        <v/>
      </c>
      <c r="I412" s="70">
        <v>46361</v>
      </c>
      <c r="J412" s="87" t="s">
        <v>29</v>
      </c>
      <c r="K412" s="29" t="s">
        <v>18</v>
      </c>
      <c r="L412" s="16">
        <f>'[5]14нед'!C52</f>
        <v>0</v>
      </c>
      <c r="M412" s="19">
        <f>'[5]14нед'!D52</f>
        <v>0</v>
      </c>
      <c r="N412" s="17">
        <f>'[5]14нед'!G52</f>
        <v>0</v>
      </c>
      <c r="O412" s="18" t="str">
        <f>'[5]14нед'!H52</f>
        <v/>
      </c>
      <c r="P412" s="56" t="str">
        <f t="shared" si="19"/>
        <v/>
      </c>
    </row>
    <row r="413" spans="1:16" ht="31.5" x14ac:dyDescent="0.2">
      <c r="A413" s="82"/>
      <c r="B413" s="85"/>
      <c r="C413" s="14" t="s">
        <v>19</v>
      </c>
      <c r="D413" s="20">
        <f>'[4]13нед'!C53</f>
        <v>0</v>
      </c>
      <c r="E413" s="23">
        <f>'[4]13нед'!D53</f>
        <v>0</v>
      </c>
      <c r="F413" s="21">
        <f>'[4]13нед'!G53</f>
        <v>0</v>
      </c>
      <c r="G413" s="22" t="str">
        <f>'[4]13нед'!H53</f>
        <v/>
      </c>
      <c r="H413" s="57" t="str">
        <f t="shared" si="18"/>
        <v/>
      </c>
      <c r="I413" s="71"/>
      <c r="J413" s="88"/>
      <c r="K413" s="14" t="s">
        <v>19</v>
      </c>
      <c r="L413" s="20">
        <f>'[5]14нед'!C53</f>
        <v>0</v>
      </c>
      <c r="M413" s="23">
        <f>'[5]14нед'!D53</f>
        <v>0</v>
      </c>
      <c r="N413" s="21">
        <f>'[5]14нед'!G53</f>
        <v>0</v>
      </c>
      <c r="O413" s="22" t="str">
        <f>'[5]14нед'!H53</f>
        <v/>
      </c>
      <c r="P413" s="57" t="str">
        <f t="shared" si="19"/>
        <v/>
      </c>
    </row>
    <row r="414" spans="1:16" ht="31.5" x14ac:dyDescent="0.2">
      <c r="A414" s="82"/>
      <c r="B414" s="85"/>
      <c r="C414" s="14" t="s">
        <v>20</v>
      </c>
      <c r="D414" s="20">
        <f>'[4]13нед'!C54</f>
        <v>0</v>
      </c>
      <c r="E414" s="23">
        <f>'[4]13нед'!D54</f>
        <v>0</v>
      </c>
      <c r="F414" s="21">
        <f>'[4]13нед'!G54</f>
        <v>0</v>
      </c>
      <c r="G414" s="22" t="str">
        <f>'[4]13нед'!H54</f>
        <v/>
      </c>
      <c r="H414" s="57" t="str">
        <f t="shared" si="18"/>
        <v/>
      </c>
      <c r="I414" s="71"/>
      <c r="J414" s="88"/>
      <c r="K414" s="14" t="s">
        <v>20</v>
      </c>
      <c r="L414" s="20">
        <f>'[5]14нед'!C54</f>
        <v>0</v>
      </c>
      <c r="M414" s="23">
        <f>'[5]14нед'!D54</f>
        <v>0</v>
      </c>
      <c r="N414" s="21">
        <f>'[5]14нед'!G54</f>
        <v>0</v>
      </c>
      <c r="O414" s="22" t="str">
        <f>'[5]14нед'!H54</f>
        <v/>
      </c>
      <c r="P414" s="57" t="str">
        <f t="shared" si="19"/>
        <v/>
      </c>
    </row>
    <row r="415" spans="1:16" ht="31.5" x14ac:dyDescent="0.2">
      <c r="A415" s="82"/>
      <c r="B415" s="85"/>
      <c r="C415" s="14" t="s">
        <v>21</v>
      </c>
      <c r="D415" s="20">
        <f>'[4]13нед'!C55</f>
        <v>0</v>
      </c>
      <c r="E415" s="23">
        <f>'[4]13нед'!D55</f>
        <v>0</v>
      </c>
      <c r="F415" s="21">
        <f>'[4]13нед'!G55</f>
        <v>0</v>
      </c>
      <c r="G415" s="22" t="str">
        <f>'[4]13нед'!H55</f>
        <v/>
      </c>
      <c r="H415" s="57" t="str">
        <f t="shared" si="18"/>
        <v/>
      </c>
      <c r="I415" s="71"/>
      <c r="J415" s="88"/>
      <c r="K415" s="14" t="s">
        <v>21</v>
      </c>
      <c r="L415" s="20">
        <f>'[5]14нед'!C55</f>
        <v>0</v>
      </c>
      <c r="M415" s="23">
        <f>'[5]14нед'!D55</f>
        <v>0</v>
      </c>
      <c r="N415" s="21">
        <f>'[5]14нед'!G55</f>
        <v>0</v>
      </c>
      <c r="O415" s="22" t="str">
        <f>'[5]14нед'!H55</f>
        <v/>
      </c>
      <c r="P415" s="57" t="str">
        <f t="shared" si="19"/>
        <v/>
      </c>
    </row>
    <row r="416" spans="1:16" ht="31.5" x14ac:dyDescent="0.2">
      <c r="A416" s="82"/>
      <c r="B416" s="85"/>
      <c r="C416" s="14" t="s">
        <v>22</v>
      </c>
      <c r="D416" s="20">
        <f>'[4]13нед'!C56</f>
        <v>0</v>
      </c>
      <c r="E416" s="23">
        <f>'[4]13нед'!D56</f>
        <v>0</v>
      </c>
      <c r="F416" s="21">
        <f>'[4]13нед'!G56</f>
        <v>0</v>
      </c>
      <c r="G416" s="22" t="str">
        <f>'[4]13нед'!H56</f>
        <v/>
      </c>
      <c r="H416" s="57" t="str">
        <f t="shared" si="18"/>
        <v/>
      </c>
      <c r="I416" s="71"/>
      <c r="J416" s="88"/>
      <c r="K416" s="14" t="s">
        <v>22</v>
      </c>
      <c r="L416" s="20">
        <f>'[5]14нед'!C56</f>
        <v>0</v>
      </c>
      <c r="M416" s="23">
        <f>'[5]14нед'!D56</f>
        <v>0</v>
      </c>
      <c r="N416" s="21">
        <f>'[5]14нед'!G56</f>
        <v>0</v>
      </c>
      <c r="O416" s="22" t="str">
        <f>'[5]14нед'!H56</f>
        <v/>
      </c>
      <c r="P416" s="57" t="str">
        <f t="shared" si="19"/>
        <v/>
      </c>
    </row>
    <row r="417" spans="1:16" ht="31.5" x14ac:dyDescent="0.2">
      <c r="A417" s="82"/>
      <c r="B417" s="85"/>
      <c r="C417" s="14" t="s">
        <v>23</v>
      </c>
      <c r="D417" s="20">
        <f>'[4]13нед'!C57</f>
        <v>0</v>
      </c>
      <c r="E417" s="23">
        <f>'[4]13нед'!D57</f>
        <v>0</v>
      </c>
      <c r="F417" s="21">
        <f>'[4]13нед'!G57</f>
        <v>0</v>
      </c>
      <c r="G417" s="22" t="str">
        <f>'[4]13нед'!H57</f>
        <v/>
      </c>
      <c r="H417" s="57" t="str">
        <f t="shared" si="18"/>
        <v/>
      </c>
      <c r="I417" s="71"/>
      <c r="J417" s="88"/>
      <c r="K417" s="14" t="s">
        <v>23</v>
      </c>
      <c r="L417" s="20">
        <f>'[5]14нед'!C57</f>
        <v>0</v>
      </c>
      <c r="M417" s="23">
        <f>'[5]14нед'!D57</f>
        <v>0</v>
      </c>
      <c r="N417" s="21">
        <f>'[5]14нед'!G57</f>
        <v>0</v>
      </c>
      <c r="O417" s="22" t="str">
        <f>'[5]14нед'!H57</f>
        <v/>
      </c>
      <c r="P417" s="57" t="str">
        <f t="shared" si="19"/>
        <v/>
      </c>
    </row>
    <row r="418" spans="1:16" ht="32.25" thickBot="1" x14ac:dyDescent="0.25">
      <c r="A418" s="82"/>
      <c r="B418" s="85"/>
      <c r="C418" s="14" t="s">
        <v>24</v>
      </c>
      <c r="D418" s="20">
        <f>'[4]13нед'!C58</f>
        <v>0</v>
      </c>
      <c r="E418" s="23">
        <f>'[4]13нед'!D58</f>
        <v>0</v>
      </c>
      <c r="F418" s="21">
        <f>'[4]13нед'!G58</f>
        <v>0</v>
      </c>
      <c r="G418" s="22" t="str">
        <f>'[4]13нед'!H58</f>
        <v/>
      </c>
      <c r="H418" s="57" t="str">
        <f t="shared" si="18"/>
        <v/>
      </c>
      <c r="I418" s="71"/>
      <c r="J418" s="88"/>
      <c r="K418" s="14" t="s">
        <v>24</v>
      </c>
      <c r="L418" s="20">
        <f>'[5]14нед'!C58</f>
        <v>0</v>
      </c>
      <c r="M418" s="23">
        <f>'[5]14нед'!D58</f>
        <v>0</v>
      </c>
      <c r="N418" s="21">
        <f>'[5]14нед'!G58</f>
        <v>0</v>
      </c>
      <c r="O418" s="22" t="str">
        <f>'[5]14нед'!H58</f>
        <v/>
      </c>
      <c r="P418" s="57" t="str">
        <f t="shared" si="19"/>
        <v/>
      </c>
    </row>
    <row r="419" spans="1:16" ht="18.399999999999999" hidden="1" customHeight="1" thickBot="1" x14ac:dyDescent="0.25">
      <c r="A419" s="83"/>
      <c r="B419" s="86"/>
      <c r="C419" s="15"/>
      <c r="D419" s="24">
        <f>'[4]13нед'!C59</f>
        <v>0</v>
      </c>
      <c r="E419" s="25">
        <f>'[4]13нед'!D59</f>
        <v>0</v>
      </c>
      <c r="F419" s="26">
        <f>'[4]13нед'!G59</f>
        <v>0</v>
      </c>
      <c r="G419" s="27" t="str">
        <f>'[4]11нед'!H59</f>
        <v/>
      </c>
      <c r="H419" s="39"/>
      <c r="I419" s="72"/>
      <c r="J419" s="89"/>
      <c r="K419" s="15"/>
      <c r="L419" s="24">
        <f>'[5]14нед'!C59</f>
        <v>0</v>
      </c>
      <c r="M419" s="25">
        <f>'[5]14нед'!D59</f>
        <v>0</v>
      </c>
      <c r="N419" s="26">
        <f>'[5]14нед'!G59</f>
        <v>0</v>
      </c>
      <c r="O419" s="27" t="str">
        <f>'[5]14нед'!H59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00</v>
      </c>
      <c r="F427" s="7"/>
      <c r="G427" s="7">
        <f>G7</f>
        <v>0</v>
      </c>
      <c r="H427" s="36"/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00</v>
      </c>
      <c r="N427" s="7"/>
      <c r="O427" s="7">
        <f>G7</f>
        <v>0</v>
      </c>
      <c r="P427" s="36"/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20">E8</f>
        <v>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21">E8</f>
        <v>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1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1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'[5]15нед'!C12</f>
        <v>0</v>
      </c>
      <c r="E432" s="19">
        <f>'[5]15нед'!D12</f>
        <v>0</v>
      </c>
      <c r="F432" s="17">
        <f>'[5]15нед'!G12</f>
        <v>0</v>
      </c>
      <c r="G432" s="18" t="str">
        <f>'[5]15нед'!H12</f>
        <v/>
      </c>
      <c r="H432" s="56" t="str">
        <f>HYPERLINK(VLOOKUP(E432,$R$12:$S$332,2,FALSE))</f>
        <v/>
      </c>
      <c r="I432" s="70">
        <v>46370</v>
      </c>
      <c r="J432" s="87" t="s">
        <v>17</v>
      </c>
      <c r="K432" s="14" t="s">
        <v>18</v>
      </c>
      <c r="L432" s="16">
        <f>'[5]16нед'!C12</f>
        <v>0</v>
      </c>
      <c r="M432" s="19">
        <f>'[5]16нед'!D12</f>
        <v>0</v>
      </c>
      <c r="N432" s="17">
        <f>'[5]16нед'!G12</f>
        <v>0</v>
      </c>
      <c r="O432" s="18" t="str">
        <f>'[5]16нед'!H12</f>
        <v/>
      </c>
      <c r="P432" s="56" t="str">
        <f>HYPERLINK(VLOOKUP(M432,$R$12:$S$332,2,FALSE))</f>
        <v/>
      </c>
    </row>
    <row r="433" spans="1:16" ht="31.5" x14ac:dyDescent="0.2">
      <c r="A433" s="82"/>
      <c r="B433" s="85"/>
      <c r="C433" s="14" t="s">
        <v>19</v>
      </c>
      <c r="D433" s="20">
        <f>'[5]15нед'!C13</f>
        <v>0</v>
      </c>
      <c r="E433" s="23">
        <f>'[5]15нед'!D13</f>
        <v>0</v>
      </c>
      <c r="F433" s="21">
        <f>'[5]15нед'!G13</f>
        <v>0</v>
      </c>
      <c r="G433" s="22" t="str">
        <f>'[5]15нед'!H13</f>
        <v/>
      </c>
      <c r="H433" s="57" t="str">
        <f t="shared" ref="H433:H478" si="22">HYPERLINK(VLOOKUP(E433,$R$12:$S$332,2,FALSE))</f>
        <v/>
      </c>
      <c r="I433" s="71"/>
      <c r="J433" s="88"/>
      <c r="K433" s="14" t="s">
        <v>19</v>
      </c>
      <c r="L433" s="20">
        <f>'[5]16нед'!C13</f>
        <v>0</v>
      </c>
      <c r="M433" s="23">
        <f>'[5]16нед'!D13</f>
        <v>0</v>
      </c>
      <c r="N433" s="21">
        <f>'[5]16нед'!G13</f>
        <v>0</v>
      </c>
      <c r="O433" s="22" t="str">
        <f>'[5]16нед'!H13</f>
        <v/>
      </c>
      <c r="P433" s="57" t="str">
        <f t="shared" ref="P433:P478" si="23">HYPERLINK(VLOOKUP(M433,$R$12:$S$332,2,FALSE))</f>
        <v/>
      </c>
    </row>
    <row r="434" spans="1:16" ht="31.5" x14ac:dyDescent="0.2">
      <c r="A434" s="82"/>
      <c r="B434" s="85"/>
      <c r="C434" s="14" t="s">
        <v>20</v>
      </c>
      <c r="D434" s="20">
        <f>'[5]15нед'!C14</f>
        <v>0</v>
      </c>
      <c r="E434" s="23">
        <f>'[5]15нед'!D14</f>
        <v>0</v>
      </c>
      <c r="F434" s="21">
        <f>'[5]15нед'!G14</f>
        <v>0</v>
      </c>
      <c r="G434" s="22" t="str">
        <f>'[5]15нед'!H14</f>
        <v/>
      </c>
      <c r="H434" s="57" t="str">
        <f t="shared" si="22"/>
        <v/>
      </c>
      <c r="I434" s="71"/>
      <c r="J434" s="88"/>
      <c r="K434" s="14" t="s">
        <v>20</v>
      </c>
      <c r="L434" s="20">
        <f>'[5]16нед'!C14</f>
        <v>0</v>
      </c>
      <c r="M434" s="23">
        <f>'[5]16нед'!D14</f>
        <v>0</v>
      </c>
      <c r="N434" s="21">
        <f>'[5]16нед'!G14</f>
        <v>0</v>
      </c>
      <c r="O434" s="22" t="str">
        <f>'[5]16нед'!H14</f>
        <v/>
      </c>
      <c r="P434" s="57" t="str">
        <f t="shared" si="23"/>
        <v/>
      </c>
    </row>
    <row r="435" spans="1:16" ht="31.5" x14ac:dyDescent="0.2">
      <c r="A435" s="82"/>
      <c r="B435" s="85"/>
      <c r="C435" s="14" t="s">
        <v>21</v>
      </c>
      <c r="D435" s="20">
        <f>'[5]15нед'!C15</f>
        <v>0</v>
      </c>
      <c r="E435" s="23">
        <f>'[5]15нед'!D15</f>
        <v>0</v>
      </c>
      <c r="F435" s="21">
        <f>'[5]15нед'!G15</f>
        <v>0</v>
      </c>
      <c r="G435" s="22" t="str">
        <f>'[5]15нед'!H15</f>
        <v/>
      </c>
      <c r="H435" s="57" t="str">
        <f t="shared" si="22"/>
        <v/>
      </c>
      <c r="I435" s="71"/>
      <c r="J435" s="88"/>
      <c r="K435" s="14" t="s">
        <v>21</v>
      </c>
      <c r="L435" s="20">
        <f>'[5]16нед'!C15</f>
        <v>0</v>
      </c>
      <c r="M435" s="23">
        <f>'[5]16нед'!D15</f>
        <v>0</v>
      </c>
      <c r="N435" s="21">
        <f>'[5]16нед'!G15</f>
        <v>0</v>
      </c>
      <c r="O435" s="22" t="str">
        <f>'[5]16нед'!H15</f>
        <v/>
      </c>
      <c r="P435" s="57" t="str">
        <f t="shared" si="23"/>
        <v/>
      </c>
    </row>
    <row r="436" spans="1:16" ht="31.5" x14ac:dyDescent="0.2">
      <c r="A436" s="82"/>
      <c r="B436" s="85"/>
      <c r="C436" s="14" t="s">
        <v>22</v>
      </c>
      <c r="D436" s="20">
        <f>'[5]15нед'!C16</f>
        <v>0</v>
      </c>
      <c r="E436" s="23">
        <f>'[5]15нед'!D16</f>
        <v>0</v>
      </c>
      <c r="F436" s="21">
        <f>'[5]15нед'!G16</f>
        <v>0</v>
      </c>
      <c r="G436" s="22" t="str">
        <f>'[5]15нед'!H16</f>
        <v/>
      </c>
      <c r="H436" s="57" t="str">
        <f t="shared" si="22"/>
        <v/>
      </c>
      <c r="I436" s="71"/>
      <c r="J436" s="88"/>
      <c r="K436" s="14" t="s">
        <v>22</v>
      </c>
      <c r="L436" s="20">
        <f>'[5]16нед'!C16</f>
        <v>0</v>
      </c>
      <c r="M436" s="23">
        <f>'[5]16нед'!D16</f>
        <v>0</v>
      </c>
      <c r="N436" s="21">
        <f>'[5]16нед'!G16</f>
        <v>0</v>
      </c>
      <c r="O436" s="22" t="str">
        <f>'[5]16нед'!H16</f>
        <v/>
      </c>
      <c r="P436" s="57" t="str">
        <f t="shared" si="23"/>
        <v/>
      </c>
    </row>
    <row r="437" spans="1:16" ht="31.5" x14ac:dyDescent="0.2">
      <c r="A437" s="82"/>
      <c r="B437" s="85"/>
      <c r="C437" s="14" t="s">
        <v>23</v>
      </c>
      <c r="D437" s="20">
        <f>'[5]15нед'!C17</f>
        <v>0</v>
      </c>
      <c r="E437" s="23">
        <f>'[5]15нед'!D17</f>
        <v>0</v>
      </c>
      <c r="F437" s="21">
        <f>'[5]15нед'!G17</f>
        <v>0</v>
      </c>
      <c r="G437" s="22" t="str">
        <f>'[5]15нед'!H17</f>
        <v/>
      </c>
      <c r="H437" s="55" t="str">
        <f t="shared" si="22"/>
        <v/>
      </c>
      <c r="I437" s="71"/>
      <c r="J437" s="88"/>
      <c r="K437" s="14" t="s">
        <v>23</v>
      </c>
      <c r="L437" s="20">
        <f>'[5]16нед'!C17</f>
        <v>0</v>
      </c>
      <c r="M437" s="23">
        <f>'[5]16нед'!D17</f>
        <v>0</v>
      </c>
      <c r="N437" s="21">
        <f>'[5]16нед'!G17</f>
        <v>0</v>
      </c>
      <c r="O437" s="22" t="str">
        <f>'[5]16нед'!H17</f>
        <v/>
      </c>
      <c r="P437" s="55" t="str">
        <f t="shared" si="23"/>
        <v/>
      </c>
    </row>
    <row r="438" spans="1:16" ht="32.25" thickBot="1" x14ac:dyDescent="0.25">
      <c r="A438" s="82"/>
      <c r="B438" s="85"/>
      <c r="C438" s="14" t="s">
        <v>24</v>
      </c>
      <c r="D438" s="20">
        <f>'[5]15нед'!C18</f>
        <v>0</v>
      </c>
      <c r="E438" s="23">
        <f>'[5]15нед'!D18</f>
        <v>0</v>
      </c>
      <c r="F438" s="21">
        <f>'[5]15нед'!G18</f>
        <v>0</v>
      </c>
      <c r="G438" s="22" t="str">
        <f>'[5]15нед'!H18</f>
        <v/>
      </c>
      <c r="H438" s="55" t="str">
        <f t="shared" si="22"/>
        <v/>
      </c>
      <c r="I438" s="71"/>
      <c r="J438" s="88"/>
      <c r="K438" s="14" t="s">
        <v>24</v>
      </c>
      <c r="L438" s="20">
        <f>'[5]16нед'!C18</f>
        <v>0</v>
      </c>
      <c r="M438" s="23">
        <f>'[5]16нед'!D18</f>
        <v>0</v>
      </c>
      <c r="N438" s="21">
        <f>'[5]16нед'!G18</f>
        <v>0</v>
      </c>
      <c r="O438" s="22" t="str">
        <f>'[5]16нед'!H18</f>
        <v/>
      </c>
      <c r="P438" s="55" t="str">
        <f t="shared" si="23"/>
        <v/>
      </c>
    </row>
    <row r="439" spans="1:16" ht="18.399999999999999" hidden="1" customHeight="1" thickBot="1" x14ac:dyDescent="0.25">
      <c r="A439" s="83"/>
      <c r="B439" s="86"/>
      <c r="C439" s="15"/>
      <c r="D439" s="24">
        <f>'[5]15нед'!C19</f>
        <v>0</v>
      </c>
      <c r="E439" s="25">
        <f>'[5]15нед'!D19</f>
        <v>0</v>
      </c>
      <c r="F439" s="26">
        <f>'[5]15нед'!G19</f>
        <v>0</v>
      </c>
      <c r="G439" s="27" t="str">
        <f>'[5]15нед'!H19</f>
        <v/>
      </c>
      <c r="H439" s="58" t="str">
        <f t="shared" si="22"/>
        <v/>
      </c>
      <c r="I439" s="72"/>
      <c r="J439" s="89"/>
      <c r="K439" s="15"/>
      <c r="L439" s="24">
        <f>'[5]16нед'!C19</f>
        <v>0</v>
      </c>
      <c r="M439" s="25">
        <f>'[5]16нед'!D19</f>
        <v>0</v>
      </c>
      <c r="N439" s="26">
        <f>'[5]16нед'!G19</f>
        <v>0</v>
      </c>
      <c r="O439" s="27" t="str">
        <f>'[5]16нед'!H19</f>
        <v/>
      </c>
      <c r="P439" s="58" t="str">
        <f t="shared" si="23"/>
        <v/>
      </c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'[5]15нед'!C20</f>
        <v>0</v>
      </c>
      <c r="E440" s="19">
        <f>'[5]15нед'!D20</f>
        <v>0</v>
      </c>
      <c r="F440" s="17">
        <f>'[5]15нед'!G20</f>
        <v>0</v>
      </c>
      <c r="G440" s="18" t="str">
        <f>'[5]15нед'!H20</f>
        <v/>
      </c>
      <c r="H440" s="56" t="str">
        <f t="shared" si="22"/>
        <v/>
      </c>
      <c r="I440" s="70">
        <v>46371</v>
      </c>
      <c r="J440" s="87" t="s">
        <v>25</v>
      </c>
      <c r="K440" s="29" t="s">
        <v>18</v>
      </c>
      <c r="L440" s="16">
        <f>'[5]16нед'!C20</f>
        <v>0</v>
      </c>
      <c r="M440" s="19">
        <f>'[5]16нед'!D20</f>
        <v>0</v>
      </c>
      <c r="N440" s="17">
        <f>'[5]16нед'!G20</f>
        <v>0</v>
      </c>
      <c r="O440" s="18" t="str">
        <f>'[5]16нед'!H20</f>
        <v/>
      </c>
      <c r="P440" s="56" t="str">
        <f t="shared" si="23"/>
        <v/>
      </c>
    </row>
    <row r="441" spans="1:16" ht="31.5" x14ac:dyDescent="0.2">
      <c r="A441" s="82"/>
      <c r="B441" s="85"/>
      <c r="C441" s="14" t="s">
        <v>19</v>
      </c>
      <c r="D441" s="20">
        <f>'[5]15нед'!C21</f>
        <v>0</v>
      </c>
      <c r="E441" s="23">
        <f>'[5]15нед'!D21</f>
        <v>0</v>
      </c>
      <c r="F441" s="21">
        <f>'[5]15нед'!G21</f>
        <v>0</v>
      </c>
      <c r="G441" s="22" t="str">
        <f>'[5]15нед'!H21</f>
        <v/>
      </c>
      <c r="H441" s="57" t="str">
        <f t="shared" si="22"/>
        <v/>
      </c>
      <c r="I441" s="71"/>
      <c r="J441" s="88"/>
      <c r="K441" s="14" t="s">
        <v>19</v>
      </c>
      <c r="L441" s="20">
        <f>'[5]16нед'!C21</f>
        <v>0</v>
      </c>
      <c r="M441" s="23">
        <f>'[5]16нед'!D21</f>
        <v>0</v>
      </c>
      <c r="N441" s="21">
        <f>'[5]16нед'!G21</f>
        <v>0</v>
      </c>
      <c r="O441" s="22" t="str">
        <f>'[5]16нед'!H21</f>
        <v/>
      </c>
      <c r="P441" s="57" t="str">
        <f t="shared" si="23"/>
        <v/>
      </c>
    </row>
    <row r="442" spans="1:16" ht="31.5" x14ac:dyDescent="0.2">
      <c r="A442" s="82"/>
      <c r="B442" s="85"/>
      <c r="C442" s="14" t="s">
        <v>20</v>
      </c>
      <c r="D442" s="20">
        <f>'[5]15нед'!C22</f>
        <v>0</v>
      </c>
      <c r="E442" s="23">
        <f>'[5]15нед'!D22</f>
        <v>0</v>
      </c>
      <c r="F442" s="21">
        <f>'[5]15нед'!G22</f>
        <v>0</v>
      </c>
      <c r="G442" s="22" t="str">
        <f>'[5]15нед'!H22</f>
        <v/>
      </c>
      <c r="H442" s="57" t="str">
        <f t="shared" si="22"/>
        <v/>
      </c>
      <c r="I442" s="71"/>
      <c r="J442" s="88"/>
      <c r="K442" s="14" t="s">
        <v>20</v>
      </c>
      <c r="L442" s="20">
        <f>'[5]16нед'!C22</f>
        <v>0</v>
      </c>
      <c r="M442" s="23">
        <f>'[5]16нед'!D22</f>
        <v>0</v>
      </c>
      <c r="N442" s="21">
        <f>'[5]16нед'!G22</f>
        <v>0</v>
      </c>
      <c r="O442" s="22" t="str">
        <f>'[5]16нед'!H22</f>
        <v/>
      </c>
      <c r="P442" s="57" t="str">
        <f t="shared" si="23"/>
        <v/>
      </c>
    </row>
    <row r="443" spans="1:16" ht="31.5" x14ac:dyDescent="0.2">
      <c r="A443" s="82"/>
      <c r="B443" s="85"/>
      <c r="C443" s="14" t="s">
        <v>21</v>
      </c>
      <c r="D443" s="20">
        <f>'[5]15нед'!C23</f>
        <v>0</v>
      </c>
      <c r="E443" s="23">
        <f>'[5]15нед'!D23</f>
        <v>0</v>
      </c>
      <c r="F443" s="21">
        <f>'[5]15нед'!G23</f>
        <v>0</v>
      </c>
      <c r="G443" s="22" t="str">
        <f>'[5]15нед'!H23</f>
        <v/>
      </c>
      <c r="H443" s="57" t="str">
        <f t="shared" si="22"/>
        <v/>
      </c>
      <c r="I443" s="71"/>
      <c r="J443" s="88"/>
      <c r="K443" s="14" t="s">
        <v>21</v>
      </c>
      <c r="L443" s="20">
        <f>'[5]16нед'!C23</f>
        <v>0</v>
      </c>
      <c r="M443" s="23">
        <f>'[5]16нед'!D23</f>
        <v>0</v>
      </c>
      <c r="N443" s="21">
        <f>'[5]16нед'!G23</f>
        <v>0</v>
      </c>
      <c r="O443" s="22" t="str">
        <f>'[5]16нед'!H23</f>
        <v/>
      </c>
      <c r="P443" s="57" t="str">
        <f t="shared" si="23"/>
        <v/>
      </c>
    </row>
    <row r="444" spans="1:16" ht="31.5" x14ac:dyDescent="0.2">
      <c r="A444" s="82"/>
      <c r="B444" s="85"/>
      <c r="C444" s="14" t="s">
        <v>22</v>
      </c>
      <c r="D444" s="20">
        <f>'[5]15нед'!C24</f>
        <v>0</v>
      </c>
      <c r="E444" s="23">
        <f>'[5]15нед'!D24</f>
        <v>0</v>
      </c>
      <c r="F444" s="21">
        <f>'[5]15нед'!G24</f>
        <v>0</v>
      </c>
      <c r="G444" s="22" t="str">
        <f>'[5]15нед'!H24</f>
        <v/>
      </c>
      <c r="H444" s="57" t="str">
        <f t="shared" si="22"/>
        <v/>
      </c>
      <c r="I444" s="71"/>
      <c r="J444" s="88"/>
      <c r="K444" s="14" t="s">
        <v>22</v>
      </c>
      <c r="L444" s="20">
        <f>'[5]16нед'!C24</f>
        <v>0</v>
      </c>
      <c r="M444" s="23">
        <f>'[5]16нед'!D24</f>
        <v>0</v>
      </c>
      <c r="N444" s="21">
        <f>'[5]16нед'!G24</f>
        <v>0</v>
      </c>
      <c r="O444" s="22" t="str">
        <f>'[5]16нед'!H24</f>
        <v/>
      </c>
      <c r="P444" s="57" t="str">
        <f t="shared" si="23"/>
        <v/>
      </c>
    </row>
    <row r="445" spans="1:16" ht="31.5" x14ac:dyDescent="0.2">
      <c r="A445" s="82"/>
      <c r="B445" s="85"/>
      <c r="C445" s="14" t="s">
        <v>23</v>
      </c>
      <c r="D445" s="20">
        <f>'[5]15нед'!C25</f>
        <v>0</v>
      </c>
      <c r="E445" s="23">
        <f>'[5]15нед'!D25</f>
        <v>0</v>
      </c>
      <c r="F445" s="21">
        <f>'[5]15нед'!G25</f>
        <v>0</v>
      </c>
      <c r="G445" s="22" t="str">
        <f>'[5]15нед'!H25</f>
        <v/>
      </c>
      <c r="H445" s="57" t="str">
        <f t="shared" si="22"/>
        <v/>
      </c>
      <c r="I445" s="71"/>
      <c r="J445" s="88"/>
      <c r="K445" s="14" t="s">
        <v>23</v>
      </c>
      <c r="L445" s="20">
        <f>'[5]16нед'!C25</f>
        <v>0</v>
      </c>
      <c r="M445" s="23">
        <f>'[5]16нед'!D25</f>
        <v>0</v>
      </c>
      <c r="N445" s="21">
        <f>'[5]16нед'!G25</f>
        <v>0</v>
      </c>
      <c r="O445" s="22" t="str">
        <f>'[5]16нед'!H25</f>
        <v/>
      </c>
      <c r="P445" s="57" t="str">
        <f t="shared" si="23"/>
        <v/>
      </c>
    </row>
    <row r="446" spans="1:16" ht="32.25" thickBot="1" x14ac:dyDescent="0.25">
      <c r="A446" s="82"/>
      <c r="B446" s="85"/>
      <c r="C446" s="14" t="s">
        <v>24</v>
      </c>
      <c r="D446" s="20">
        <f>'[5]15нед'!C26</f>
        <v>0</v>
      </c>
      <c r="E446" s="23">
        <f>'[5]15нед'!D26</f>
        <v>0</v>
      </c>
      <c r="F446" s="21">
        <f>'[5]15нед'!G26</f>
        <v>0</v>
      </c>
      <c r="G446" s="22" t="str">
        <f>'[5]15нед'!H26</f>
        <v/>
      </c>
      <c r="H446" s="57" t="str">
        <f t="shared" si="22"/>
        <v/>
      </c>
      <c r="I446" s="71"/>
      <c r="J446" s="88"/>
      <c r="K446" s="14" t="s">
        <v>24</v>
      </c>
      <c r="L446" s="20">
        <f>'[5]16нед'!C26</f>
        <v>0</v>
      </c>
      <c r="M446" s="23">
        <f>'[5]16нед'!D26</f>
        <v>0</v>
      </c>
      <c r="N446" s="21">
        <f>'[5]16нед'!G26</f>
        <v>0</v>
      </c>
      <c r="O446" s="22" t="str">
        <f>'[5]16нед'!H26</f>
        <v/>
      </c>
      <c r="P446" s="57" t="str">
        <f t="shared" si="23"/>
        <v/>
      </c>
    </row>
    <row r="447" spans="1:16" ht="18.399999999999999" hidden="1" customHeight="1" thickBot="1" x14ac:dyDescent="0.25">
      <c r="A447" s="83"/>
      <c r="B447" s="86"/>
      <c r="C447" s="15"/>
      <c r="D447" s="24">
        <f>'[5]15нед'!C27</f>
        <v>0</v>
      </c>
      <c r="E447" s="25">
        <f>'[5]15нед'!D27</f>
        <v>0</v>
      </c>
      <c r="F447" s="26">
        <f>'[5]15нед'!G27</f>
        <v>0</v>
      </c>
      <c r="G447" s="27" t="str">
        <f>'[5]15нед'!H27</f>
        <v/>
      </c>
      <c r="H447" s="58" t="str">
        <f t="shared" si="22"/>
        <v/>
      </c>
      <c r="I447" s="72"/>
      <c r="J447" s="89"/>
      <c r="K447" s="15"/>
      <c r="L447" s="24">
        <f>'[5]16нед'!C27</f>
        <v>0</v>
      </c>
      <c r="M447" s="25">
        <f>'[5]16нед'!D27</f>
        <v>0</v>
      </c>
      <c r="N447" s="26">
        <f>'[5]16нед'!G27</f>
        <v>0</v>
      </c>
      <c r="O447" s="27" t="str">
        <f>'[5]16нед'!H27</f>
        <v/>
      </c>
      <c r="P447" s="58" t="str">
        <f t="shared" si="23"/>
        <v/>
      </c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'[5]15нед'!C28</f>
        <v>0</v>
      </c>
      <c r="E448" s="19">
        <f>'[5]15нед'!D28</f>
        <v>0</v>
      </c>
      <c r="F448" s="17">
        <f>'[5]15нед'!G28</f>
        <v>0</v>
      </c>
      <c r="G448" s="18" t="str">
        <f>'[5]15нед'!H28</f>
        <v/>
      </c>
      <c r="H448" s="56" t="str">
        <f t="shared" si="22"/>
        <v/>
      </c>
      <c r="I448" s="70">
        <v>46372</v>
      </c>
      <c r="J448" s="73" t="s">
        <v>26</v>
      </c>
      <c r="K448" s="29" t="s">
        <v>18</v>
      </c>
      <c r="L448" s="16">
        <f>'[5]16нед'!C28</f>
        <v>0</v>
      </c>
      <c r="M448" s="19">
        <f>'[5]16нед'!D28</f>
        <v>0</v>
      </c>
      <c r="N448" s="17">
        <f>'[5]16нед'!G28</f>
        <v>0</v>
      </c>
      <c r="O448" s="18" t="str">
        <f>'[5]16нед'!H28</f>
        <v/>
      </c>
      <c r="P448" s="56" t="str">
        <f t="shared" si="23"/>
        <v/>
      </c>
    </row>
    <row r="449" spans="1:16" ht="31.5" x14ac:dyDescent="0.2">
      <c r="A449" s="82"/>
      <c r="B449" s="68"/>
      <c r="C449" s="14" t="s">
        <v>19</v>
      </c>
      <c r="D449" s="20">
        <f>'[5]15нед'!C29</f>
        <v>0</v>
      </c>
      <c r="E449" s="23">
        <f>'[5]15нед'!D29</f>
        <v>0</v>
      </c>
      <c r="F449" s="21">
        <f>'[5]15нед'!G29</f>
        <v>0</v>
      </c>
      <c r="G449" s="22" t="str">
        <f>'[5]15нед'!H29</f>
        <v/>
      </c>
      <c r="H449" s="57" t="str">
        <f t="shared" si="22"/>
        <v/>
      </c>
      <c r="I449" s="71"/>
      <c r="J449" s="74"/>
      <c r="K449" s="14" t="s">
        <v>19</v>
      </c>
      <c r="L449" s="20">
        <f>'[5]16нед'!C29</f>
        <v>0</v>
      </c>
      <c r="M449" s="23">
        <f>'[5]16нед'!D29</f>
        <v>0</v>
      </c>
      <c r="N449" s="21">
        <f>'[5]16нед'!G29</f>
        <v>0</v>
      </c>
      <c r="O449" s="22" t="str">
        <f>'[5]16нед'!H29</f>
        <v/>
      </c>
      <c r="P449" s="57" t="str">
        <f t="shared" si="23"/>
        <v/>
      </c>
    </row>
    <row r="450" spans="1:16" ht="31.5" x14ac:dyDescent="0.2">
      <c r="A450" s="82"/>
      <c r="B450" s="68"/>
      <c r="C450" s="14" t="s">
        <v>20</v>
      </c>
      <c r="D450" s="20">
        <f>'[5]15нед'!C30</f>
        <v>0</v>
      </c>
      <c r="E450" s="23">
        <f>'[5]15нед'!D30</f>
        <v>0</v>
      </c>
      <c r="F450" s="21">
        <f>'[5]15нед'!G30</f>
        <v>0</v>
      </c>
      <c r="G450" s="22" t="str">
        <f>'[5]15нед'!H30</f>
        <v/>
      </c>
      <c r="H450" s="57" t="str">
        <f t="shared" si="22"/>
        <v/>
      </c>
      <c r="I450" s="71"/>
      <c r="J450" s="74"/>
      <c r="K450" s="14" t="s">
        <v>20</v>
      </c>
      <c r="L450" s="20">
        <f>'[5]16нед'!C30</f>
        <v>0</v>
      </c>
      <c r="M450" s="23">
        <f>'[5]16нед'!D30</f>
        <v>0</v>
      </c>
      <c r="N450" s="21">
        <f>'[5]16нед'!G30</f>
        <v>0</v>
      </c>
      <c r="O450" s="22" t="str">
        <f>'[5]16нед'!H30</f>
        <v/>
      </c>
      <c r="P450" s="57" t="str">
        <f t="shared" si="23"/>
        <v/>
      </c>
    </row>
    <row r="451" spans="1:16" ht="31.5" x14ac:dyDescent="0.2">
      <c r="A451" s="82"/>
      <c r="B451" s="68"/>
      <c r="C451" s="14" t="s">
        <v>21</v>
      </c>
      <c r="D451" s="20">
        <f>'[5]15нед'!C31</f>
        <v>0</v>
      </c>
      <c r="E451" s="23">
        <f>'[5]15нед'!D31</f>
        <v>0</v>
      </c>
      <c r="F451" s="21">
        <f>'[5]15нед'!G31</f>
        <v>0</v>
      </c>
      <c r="G451" s="22" t="str">
        <f>'[5]15нед'!H31</f>
        <v/>
      </c>
      <c r="H451" s="57" t="str">
        <f t="shared" si="22"/>
        <v/>
      </c>
      <c r="I451" s="71"/>
      <c r="J451" s="74"/>
      <c r="K451" s="14" t="s">
        <v>21</v>
      </c>
      <c r="L451" s="20">
        <f>'[5]16нед'!C31</f>
        <v>0</v>
      </c>
      <c r="M451" s="23">
        <f>'[5]16нед'!D31</f>
        <v>0</v>
      </c>
      <c r="N451" s="21">
        <f>'[5]16нед'!G31</f>
        <v>0</v>
      </c>
      <c r="O451" s="22" t="str">
        <f>'[5]16нед'!H31</f>
        <v/>
      </c>
      <c r="P451" s="57" t="str">
        <f t="shared" si="23"/>
        <v/>
      </c>
    </row>
    <row r="452" spans="1:16" ht="31.5" x14ac:dyDescent="0.2">
      <c r="A452" s="82"/>
      <c r="B452" s="68"/>
      <c r="C452" s="14" t="s">
        <v>22</v>
      </c>
      <c r="D452" s="20">
        <f>'[5]15нед'!C32</f>
        <v>0</v>
      </c>
      <c r="E452" s="23">
        <f>'[5]15нед'!D32</f>
        <v>0</v>
      </c>
      <c r="F452" s="21">
        <f>'[5]15нед'!G32</f>
        <v>0</v>
      </c>
      <c r="G452" s="22" t="str">
        <f>'[5]15нед'!H32</f>
        <v/>
      </c>
      <c r="H452" s="57" t="str">
        <f t="shared" si="22"/>
        <v/>
      </c>
      <c r="I452" s="71"/>
      <c r="J452" s="74"/>
      <c r="K452" s="14" t="s">
        <v>22</v>
      </c>
      <c r="L452" s="20">
        <f>'[5]16нед'!C32</f>
        <v>0</v>
      </c>
      <c r="M452" s="23">
        <f>'[5]16нед'!D32</f>
        <v>0</v>
      </c>
      <c r="N452" s="21">
        <f>'[5]16нед'!G32</f>
        <v>0</v>
      </c>
      <c r="O452" s="22" t="str">
        <f>'[5]16нед'!H32</f>
        <v/>
      </c>
      <c r="P452" s="57" t="str">
        <f t="shared" si="23"/>
        <v/>
      </c>
    </row>
    <row r="453" spans="1:16" ht="31.5" x14ac:dyDescent="0.2">
      <c r="A453" s="82"/>
      <c r="B453" s="68"/>
      <c r="C453" s="14" t="s">
        <v>23</v>
      </c>
      <c r="D453" s="20">
        <f>'[5]15нед'!C33</f>
        <v>0</v>
      </c>
      <c r="E453" s="23">
        <f>'[5]15нед'!D33</f>
        <v>0</v>
      </c>
      <c r="F453" s="21">
        <f>'[5]15нед'!G33</f>
        <v>0</v>
      </c>
      <c r="G453" s="22" t="str">
        <f>'[5]15нед'!H33</f>
        <v/>
      </c>
      <c r="H453" s="55" t="str">
        <f t="shared" si="22"/>
        <v/>
      </c>
      <c r="I453" s="71"/>
      <c r="J453" s="74"/>
      <c r="K453" s="14" t="s">
        <v>23</v>
      </c>
      <c r="L453" s="20">
        <f>'[5]16нед'!C33</f>
        <v>0</v>
      </c>
      <c r="M453" s="23">
        <f>'[5]16нед'!D33</f>
        <v>0</v>
      </c>
      <c r="N453" s="21">
        <f>'[5]16нед'!G33</f>
        <v>0</v>
      </c>
      <c r="O453" s="22" t="str">
        <f>'[5]16нед'!H33</f>
        <v/>
      </c>
      <c r="P453" s="55" t="str">
        <f t="shared" si="23"/>
        <v/>
      </c>
    </row>
    <row r="454" spans="1:16" ht="32.25" thickBot="1" x14ac:dyDescent="0.25">
      <c r="A454" s="82"/>
      <c r="B454" s="68"/>
      <c r="C454" s="14" t="s">
        <v>24</v>
      </c>
      <c r="D454" s="20">
        <f>'[5]15нед'!C34</f>
        <v>0</v>
      </c>
      <c r="E454" s="23">
        <f>'[5]15нед'!D34</f>
        <v>0</v>
      </c>
      <c r="F454" s="21">
        <f>'[5]15нед'!G34</f>
        <v>0</v>
      </c>
      <c r="G454" s="22" t="str">
        <f>'[5]15нед'!H34</f>
        <v/>
      </c>
      <c r="H454" s="55" t="str">
        <f t="shared" si="22"/>
        <v/>
      </c>
      <c r="I454" s="71"/>
      <c r="J454" s="74"/>
      <c r="K454" s="14" t="s">
        <v>24</v>
      </c>
      <c r="L454" s="20">
        <f>'[5]16нед'!C34</f>
        <v>0</v>
      </c>
      <c r="M454" s="23">
        <f>'[5]16нед'!D34</f>
        <v>0</v>
      </c>
      <c r="N454" s="21">
        <f>'[5]16нед'!G34</f>
        <v>0</v>
      </c>
      <c r="O454" s="22" t="str">
        <f>'[5]16нед'!H34</f>
        <v/>
      </c>
      <c r="P454" s="55" t="str">
        <f t="shared" si="23"/>
        <v/>
      </c>
    </row>
    <row r="455" spans="1:16" ht="18.399999999999999" hidden="1" customHeight="1" thickBot="1" x14ac:dyDescent="0.25">
      <c r="A455" s="83"/>
      <c r="B455" s="69"/>
      <c r="C455" s="15"/>
      <c r="D455" s="24">
        <f>'[5]15нед'!C35</f>
        <v>0</v>
      </c>
      <c r="E455" s="25">
        <f>'[5]15нед'!D35</f>
        <v>0</v>
      </c>
      <c r="F455" s="26">
        <f>'[5]15нед'!G35</f>
        <v>0</v>
      </c>
      <c r="G455" s="27" t="str">
        <f>'[5]15нед'!H35</f>
        <v/>
      </c>
      <c r="H455" s="58" t="str">
        <f t="shared" si="22"/>
        <v/>
      </c>
      <c r="I455" s="72"/>
      <c r="J455" s="75"/>
      <c r="K455" s="15"/>
      <c r="L455" s="24">
        <f>'[5]16нед'!C35</f>
        <v>0</v>
      </c>
      <c r="M455" s="25">
        <f>'[5]16нед'!D35</f>
        <v>0</v>
      </c>
      <c r="N455" s="26">
        <f>'[5]16нед'!G35</f>
        <v>0</v>
      </c>
      <c r="O455" s="27" t="str">
        <f>'[5]16нед'!H35</f>
        <v/>
      </c>
      <c r="P455" s="58" t="str">
        <f t="shared" si="23"/>
        <v/>
      </c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'[5]15нед'!C36</f>
        <v>0</v>
      </c>
      <c r="E456" s="19">
        <f>'[5]15нед'!D36</f>
        <v>0</v>
      </c>
      <c r="F456" s="17">
        <f>'[5]15нед'!G36</f>
        <v>0</v>
      </c>
      <c r="G456" s="18" t="str">
        <f>'[5]15нед'!H36</f>
        <v/>
      </c>
      <c r="H456" s="56" t="str">
        <f t="shared" si="22"/>
        <v/>
      </c>
      <c r="I456" s="70">
        <v>46373</v>
      </c>
      <c r="J456" s="87" t="s">
        <v>27</v>
      </c>
      <c r="K456" s="29" t="s">
        <v>18</v>
      </c>
      <c r="L456" s="16">
        <f>'[5]16нед'!C36</f>
        <v>0</v>
      </c>
      <c r="M456" s="19">
        <f>'[5]16нед'!D36</f>
        <v>0</v>
      </c>
      <c r="N456" s="17">
        <f>'[5]16нед'!G36</f>
        <v>0</v>
      </c>
      <c r="O456" s="18" t="str">
        <f>'[5]16нед'!H36</f>
        <v/>
      </c>
      <c r="P456" s="56" t="str">
        <f t="shared" si="23"/>
        <v/>
      </c>
    </row>
    <row r="457" spans="1:16" ht="31.5" x14ac:dyDescent="0.2">
      <c r="A457" s="82"/>
      <c r="B457" s="85"/>
      <c r="C457" s="14" t="s">
        <v>19</v>
      </c>
      <c r="D457" s="20">
        <f>'[5]15нед'!C37</f>
        <v>0</v>
      </c>
      <c r="E457" s="23">
        <f>'[5]15нед'!D37</f>
        <v>0</v>
      </c>
      <c r="F457" s="21">
        <f>'[5]15нед'!G37</f>
        <v>0</v>
      </c>
      <c r="G457" s="22" t="str">
        <f>'[5]15нед'!H37</f>
        <v/>
      </c>
      <c r="H457" s="57" t="str">
        <f t="shared" si="22"/>
        <v/>
      </c>
      <c r="I457" s="71"/>
      <c r="J457" s="88"/>
      <c r="K457" s="14" t="s">
        <v>19</v>
      </c>
      <c r="L457" s="20">
        <f>'[5]16нед'!C37</f>
        <v>0</v>
      </c>
      <c r="M457" s="23">
        <f>'[5]16нед'!D37</f>
        <v>0</v>
      </c>
      <c r="N457" s="21">
        <f>'[5]16нед'!G37</f>
        <v>0</v>
      </c>
      <c r="O457" s="22" t="str">
        <f>'[5]16нед'!H37</f>
        <v/>
      </c>
      <c r="P457" s="57" t="str">
        <f t="shared" si="23"/>
        <v/>
      </c>
    </row>
    <row r="458" spans="1:16" ht="31.5" x14ac:dyDescent="0.2">
      <c r="A458" s="82"/>
      <c r="B458" s="85"/>
      <c r="C458" s="14" t="s">
        <v>20</v>
      </c>
      <c r="D458" s="20">
        <f>'[5]15нед'!C38</f>
        <v>0</v>
      </c>
      <c r="E458" s="23">
        <f>'[5]15нед'!D38</f>
        <v>0</v>
      </c>
      <c r="F458" s="21">
        <f>'[5]15нед'!G38</f>
        <v>0</v>
      </c>
      <c r="G458" s="22" t="str">
        <f>'[5]15нед'!H38</f>
        <v/>
      </c>
      <c r="H458" s="57" t="str">
        <f t="shared" si="22"/>
        <v/>
      </c>
      <c r="I458" s="71"/>
      <c r="J458" s="88"/>
      <c r="K458" s="14" t="s">
        <v>20</v>
      </c>
      <c r="L458" s="20">
        <f>'[5]16нед'!C38</f>
        <v>0</v>
      </c>
      <c r="M458" s="23">
        <f>'[5]16нед'!D38</f>
        <v>0</v>
      </c>
      <c r="N458" s="21">
        <f>'[5]16нед'!G38</f>
        <v>0</v>
      </c>
      <c r="O458" s="22" t="str">
        <f>'[5]16нед'!H38</f>
        <v/>
      </c>
      <c r="P458" s="57" t="str">
        <f t="shared" si="23"/>
        <v/>
      </c>
    </row>
    <row r="459" spans="1:16" ht="31.5" x14ac:dyDescent="0.2">
      <c r="A459" s="82"/>
      <c r="B459" s="85"/>
      <c r="C459" s="14" t="s">
        <v>21</v>
      </c>
      <c r="D459" s="20">
        <f>'[5]15нед'!C39</f>
        <v>0</v>
      </c>
      <c r="E459" s="23">
        <f>'[5]15нед'!D39</f>
        <v>0</v>
      </c>
      <c r="F459" s="21">
        <f>'[5]15нед'!G39</f>
        <v>0</v>
      </c>
      <c r="G459" s="22" t="str">
        <f>'[5]15нед'!H39</f>
        <v/>
      </c>
      <c r="H459" s="57" t="str">
        <f t="shared" si="22"/>
        <v/>
      </c>
      <c r="I459" s="71"/>
      <c r="J459" s="88"/>
      <c r="K459" s="14" t="s">
        <v>21</v>
      </c>
      <c r="L459" s="20">
        <f>'[5]16нед'!C39</f>
        <v>0</v>
      </c>
      <c r="M459" s="23">
        <f>'[5]16нед'!D39</f>
        <v>0</v>
      </c>
      <c r="N459" s="21">
        <f>'[5]16нед'!G39</f>
        <v>0</v>
      </c>
      <c r="O459" s="22" t="str">
        <f>'[5]16нед'!H39</f>
        <v/>
      </c>
      <c r="P459" s="57" t="str">
        <f t="shared" si="23"/>
        <v/>
      </c>
    </row>
    <row r="460" spans="1:16" ht="31.5" x14ac:dyDescent="0.2">
      <c r="A460" s="82"/>
      <c r="B460" s="85"/>
      <c r="C460" s="14" t="s">
        <v>22</v>
      </c>
      <c r="D460" s="20">
        <f>'[5]15нед'!C40</f>
        <v>0</v>
      </c>
      <c r="E460" s="23">
        <f>'[5]15нед'!D40</f>
        <v>0</v>
      </c>
      <c r="F460" s="21">
        <f>'[5]15нед'!G40</f>
        <v>0</v>
      </c>
      <c r="G460" s="22" t="str">
        <f>'[5]15нед'!H40</f>
        <v/>
      </c>
      <c r="H460" s="57" t="str">
        <f t="shared" si="22"/>
        <v/>
      </c>
      <c r="I460" s="71"/>
      <c r="J460" s="88"/>
      <c r="K460" s="14" t="s">
        <v>22</v>
      </c>
      <c r="L460" s="20">
        <f>'[5]16нед'!C40</f>
        <v>0</v>
      </c>
      <c r="M460" s="23">
        <f>'[5]16нед'!D40</f>
        <v>0</v>
      </c>
      <c r="N460" s="21">
        <f>'[5]16нед'!G40</f>
        <v>0</v>
      </c>
      <c r="O460" s="22" t="str">
        <f>'[5]16нед'!H40</f>
        <v/>
      </c>
      <c r="P460" s="57" t="str">
        <f t="shared" si="23"/>
        <v/>
      </c>
    </row>
    <row r="461" spans="1:16" ht="31.5" x14ac:dyDescent="0.2">
      <c r="A461" s="82"/>
      <c r="B461" s="85"/>
      <c r="C461" s="14" t="s">
        <v>23</v>
      </c>
      <c r="D461" s="20">
        <f>'[5]15нед'!C41</f>
        <v>0</v>
      </c>
      <c r="E461" s="23">
        <f>'[5]15нед'!D41</f>
        <v>0</v>
      </c>
      <c r="F461" s="21">
        <f>'[5]15нед'!G41</f>
        <v>0</v>
      </c>
      <c r="G461" s="22" t="str">
        <f>'[5]15нед'!H41</f>
        <v/>
      </c>
      <c r="H461" s="55" t="str">
        <f t="shared" si="22"/>
        <v/>
      </c>
      <c r="I461" s="71"/>
      <c r="J461" s="88"/>
      <c r="K461" s="14" t="s">
        <v>23</v>
      </c>
      <c r="L461" s="20">
        <f>'[5]16нед'!C41</f>
        <v>0</v>
      </c>
      <c r="M461" s="23">
        <f>'[5]16нед'!D41</f>
        <v>0</v>
      </c>
      <c r="N461" s="21">
        <f>'[5]16нед'!G41</f>
        <v>0</v>
      </c>
      <c r="O461" s="22" t="str">
        <f>'[5]16нед'!H41</f>
        <v/>
      </c>
      <c r="P461" s="55" t="str">
        <f t="shared" si="23"/>
        <v/>
      </c>
    </row>
    <row r="462" spans="1:16" ht="32.25" thickBot="1" x14ac:dyDescent="0.25">
      <c r="A462" s="82"/>
      <c r="B462" s="85"/>
      <c r="C462" s="14" t="s">
        <v>24</v>
      </c>
      <c r="D462" s="20">
        <f>'[5]15нед'!C42</f>
        <v>0</v>
      </c>
      <c r="E462" s="23">
        <f>'[5]15нед'!D42</f>
        <v>0</v>
      </c>
      <c r="F462" s="21">
        <f>'[5]15нед'!G42</f>
        <v>0</v>
      </c>
      <c r="G462" s="22" t="str">
        <f>'[5]15нед'!H42</f>
        <v/>
      </c>
      <c r="H462" s="55" t="str">
        <f t="shared" si="22"/>
        <v/>
      </c>
      <c r="I462" s="71"/>
      <c r="J462" s="88"/>
      <c r="K462" s="14" t="s">
        <v>24</v>
      </c>
      <c r="L462" s="20">
        <f>'[5]16нед'!C42</f>
        <v>0</v>
      </c>
      <c r="M462" s="23">
        <f>'[5]16нед'!D42</f>
        <v>0</v>
      </c>
      <c r="N462" s="21">
        <f>'[5]16нед'!G42</f>
        <v>0</v>
      </c>
      <c r="O462" s="22" t="str">
        <f>'[5]16нед'!H42</f>
        <v/>
      </c>
      <c r="P462" s="55" t="str">
        <f t="shared" si="23"/>
        <v/>
      </c>
    </row>
    <row r="463" spans="1:16" ht="18.399999999999999" hidden="1" customHeight="1" thickBot="1" x14ac:dyDescent="0.25">
      <c r="A463" s="83"/>
      <c r="B463" s="86"/>
      <c r="C463" s="15"/>
      <c r="D463" s="24">
        <f>'[5]15нед'!C43</f>
        <v>0</v>
      </c>
      <c r="E463" s="25">
        <f>'[5]15нед'!D43</f>
        <v>0</v>
      </c>
      <c r="F463" s="26">
        <f>'[5]15нед'!G43</f>
        <v>0</v>
      </c>
      <c r="G463" s="27" t="str">
        <f>'[5]15нед'!H43</f>
        <v/>
      </c>
      <c r="H463" s="58" t="str">
        <f t="shared" si="22"/>
        <v/>
      </c>
      <c r="I463" s="72"/>
      <c r="J463" s="89"/>
      <c r="K463" s="15"/>
      <c r="L463" s="24">
        <f>'[5]16нед'!C43</f>
        <v>0</v>
      </c>
      <c r="M463" s="25">
        <f>'[5]16нед'!D43</f>
        <v>0</v>
      </c>
      <c r="N463" s="26">
        <f>'[5]16нед'!G43</f>
        <v>0</v>
      </c>
      <c r="O463" s="27" t="str">
        <f>'[5]16нед'!H43</f>
        <v/>
      </c>
      <c r="P463" s="58" t="str">
        <f t="shared" si="23"/>
        <v/>
      </c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'[5]15нед'!C44</f>
        <v>0</v>
      </c>
      <c r="E464" s="19">
        <f>'[5]15нед'!D44</f>
        <v>0</v>
      </c>
      <c r="F464" s="17">
        <f>'[5]15нед'!G44</f>
        <v>0</v>
      </c>
      <c r="G464" s="18" t="str">
        <f>'[5]15нед'!H44</f>
        <v/>
      </c>
      <c r="H464" s="56" t="str">
        <f t="shared" si="22"/>
        <v/>
      </c>
      <c r="I464" s="70">
        <v>46374</v>
      </c>
      <c r="J464" s="87" t="s">
        <v>28</v>
      </c>
      <c r="K464" s="29" t="s">
        <v>18</v>
      </c>
      <c r="L464" s="16">
        <f>'[5]16нед'!C44</f>
        <v>0</v>
      </c>
      <c r="M464" s="19">
        <f>'[5]16нед'!D44</f>
        <v>0</v>
      </c>
      <c r="N464" s="17">
        <f>'[5]16нед'!G44</f>
        <v>0</v>
      </c>
      <c r="O464" s="18" t="str">
        <f>'[5]16нед'!H44</f>
        <v/>
      </c>
      <c r="P464" s="56" t="str">
        <f t="shared" si="23"/>
        <v/>
      </c>
    </row>
    <row r="465" spans="1:16" ht="31.5" x14ac:dyDescent="0.2">
      <c r="A465" s="82"/>
      <c r="B465" s="85"/>
      <c r="C465" s="14" t="s">
        <v>19</v>
      </c>
      <c r="D465" s="20">
        <f>'[5]15нед'!C45</f>
        <v>0</v>
      </c>
      <c r="E465" s="23">
        <f>'[5]15нед'!D45</f>
        <v>0</v>
      </c>
      <c r="F465" s="21">
        <f>'[5]15нед'!G45</f>
        <v>0</v>
      </c>
      <c r="G465" s="22" t="str">
        <f>'[5]15нед'!H45</f>
        <v/>
      </c>
      <c r="H465" s="57" t="str">
        <f t="shared" si="22"/>
        <v/>
      </c>
      <c r="I465" s="71"/>
      <c r="J465" s="88"/>
      <c r="K465" s="14" t="s">
        <v>19</v>
      </c>
      <c r="L465" s="20">
        <f>'[5]16нед'!C45</f>
        <v>0</v>
      </c>
      <c r="M465" s="23">
        <f>'[5]16нед'!D45</f>
        <v>0</v>
      </c>
      <c r="N465" s="21">
        <f>'[5]16нед'!G45</f>
        <v>0</v>
      </c>
      <c r="O465" s="22" t="str">
        <f>'[5]16нед'!H45</f>
        <v/>
      </c>
      <c r="P465" s="57" t="str">
        <f t="shared" si="23"/>
        <v/>
      </c>
    </row>
    <row r="466" spans="1:16" ht="31.5" x14ac:dyDescent="0.2">
      <c r="A466" s="82"/>
      <c r="B466" s="85"/>
      <c r="C466" s="14" t="s">
        <v>20</v>
      </c>
      <c r="D466" s="20">
        <f>'[5]15нед'!C46</f>
        <v>0</v>
      </c>
      <c r="E466" s="23">
        <f>'[5]15нед'!D46</f>
        <v>0</v>
      </c>
      <c r="F466" s="21">
        <f>'[5]15нед'!G46</f>
        <v>0</v>
      </c>
      <c r="G466" s="22" t="str">
        <f>'[5]15нед'!H46</f>
        <v/>
      </c>
      <c r="H466" s="57" t="str">
        <f t="shared" si="22"/>
        <v/>
      </c>
      <c r="I466" s="71"/>
      <c r="J466" s="88"/>
      <c r="K466" s="14" t="s">
        <v>20</v>
      </c>
      <c r="L466" s="20">
        <f>'[5]16нед'!C46</f>
        <v>0</v>
      </c>
      <c r="M466" s="23">
        <f>'[5]16нед'!D46</f>
        <v>0</v>
      </c>
      <c r="N466" s="21">
        <f>'[5]16нед'!G46</f>
        <v>0</v>
      </c>
      <c r="O466" s="22" t="str">
        <f>'[5]16нед'!H46</f>
        <v/>
      </c>
      <c r="P466" s="57" t="str">
        <f t="shared" si="23"/>
        <v/>
      </c>
    </row>
    <row r="467" spans="1:16" ht="31.5" x14ac:dyDescent="0.2">
      <c r="A467" s="82"/>
      <c r="B467" s="85"/>
      <c r="C467" s="14" t="s">
        <v>21</v>
      </c>
      <c r="D467" s="20">
        <f>'[5]15нед'!C47</f>
        <v>0</v>
      </c>
      <c r="E467" s="23">
        <f>'[5]15нед'!D47</f>
        <v>0</v>
      </c>
      <c r="F467" s="21">
        <f>'[5]15нед'!G47</f>
        <v>0</v>
      </c>
      <c r="G467" s="22" t="str">
        <f>'[5]15нед'!H47</f>
        <v/>
      </c>
      <c r="H467" s="57" t="str">
        <f t="shared" si="22"/>
        <v/>
      </c>
      <c r="I467" s="71"/>
      <c r="J467" s="88"/>
      <c r="K467" s="14" t="s">
        <v>21</v>
      </c>
      <c r="L467" s="20">
        <f>'[5]16нед'!C47</f>
        <v>0</v>
      </c>
      <c r="M467" s="23">
        <f>'[5]16нед'!D47</f>
        <v>0</v>
      </c>
      <c r="N467" s="21">
        <f>'[5]16нед'!G47</f>
        <v>0</v>
      </c>
      <c r="O467" s="22" t="str">
        <f>'[5]16нед'!H47</f>
        <v/>
      </c>
      <c r="P467" s="57" t="str">
        <f t="shared" si="23"/>
        <v/>
      </c>
    </row>
    <row r="468" spans="1:16" ht="31.5" x14ac:dyDescent="0.2">
      <c r="A468" s="82"/>
      <c r="B468" s="85"/>
      <c r="C468" s="14" t="s">
        <v>22</v>
      </c>
      <c r="D468" s="20">
        <f>'[5]15нед'!C48</f>
        <v>0</v>
      </c>
      <c r="E468" s="23">
        <f>'[5]15нед'!D48</f>
        <v>0</v>
      </c>
      <c r="F468" s="21">
        <f>'[5]15нед'!G48</f>
        <v>0</v>
      </c>
      <c r="G468" s="22" t="str">
        <f>'[5]15нед'!H48</f>
        <v/>
      </c>
      <c r="H468" s="57" t="str">
        <f t="shared" si="22"/>
        <v/>
      </c>
      <c r="I468" s="71"/>
      <c r="J468" s="88"/>
      <c r="K468" s="14" t="s">
        <v>22</v>
      </c>
      <c r="L468" s="20">
        <f>'[5]16нед'!C48</f>
        <v>0</v>
      </c>
      <c r="M468" s="23">
        <f>'[5]16нед'!D48</f>
        <v>0</v>
      </c>
      <c r="N468" s="21">
        <f>'[5]16нед'!G48</f>
        <v>0</v>
      </c>
      <c r="O468" s="22" t="str">
        <f>'[5]16нед'!H48</f>
        <v/>
      </c>
      <c r="P468" s="57" t="str">
        <f t="shared" si="23"/>
        <v/>
      </c>
    </row>
    <row r="469" spans="1:16" ht="31.5" x14ac:dyDescent="0.2">
      <c r="A469" s="82"/>
      <c r="B469" s="85"/>
      <c r="C469" s="14" t="s">
        <v>23</v>
      </c>
      <c r="D469" s="20">
        <f>'[5]15нед'!C49</f>
        <v>0</v>
      </c>
      <c r="E469" s="23">
        <f>'[5]15нед'!D49</f>
        <v>0</v>
      </c>
      <c r="F469" s="21">
        <f>'[5]15нед'!G49</f>
        <v>0</v>
      </c>
      <c r="G469" s="22" t="str">
        <f>'[5]15нед'!H49</f>
        <v/>
      </c>
      <c r="H469" s="57" t="str">
        <f t="shared" si="22"/>
        <v/>
      </c>
      <c r="I469" s="71"/>
      <c r="J469" s="88"/>
      <c r="K469" s="14" t="s">
        <v>23</v>
      </c>
      <c r="L469" s="20">
        <f>'[5]16нед'!C49</f>
        <v>0</v>
      </c>
      <c r="M469" s="23">
        <f>'[5]16нед'!D49</f>
        <v>0</v>
      </c>
      <c r="N469" s="21">
        <f>'[5]16нед'!G49</f>
        <v>0</v>
      </c>
      <c r="O469" s="22" t="str">
        <f>'[5]16нед'!H49</f>
        <v/>
      </c>
      <c r="P469" s="57" t="str">
        <f t="shared" si="23"/>
        <v/>
      </c>
    </row>
    <row r="470" spans="1:16" ht="32.25" thickBot="1" x14ac:dyDescent="0.25">
      <c r="A470" s="82"/>
      <c r="B470" s="85"/>
      <c r="C470" s="14" t="s">
        <v>24</v>
      </c>
      <c r="D470" s="20">
        <f>'[5]15нед'!C50</f>
        <v>0</v>
      </c>
      <c r="E470" s="23">
        <f>'[5]15нед'!D50</f>
        <v>0</v>
      </c>
      <c r="F470" s="21">
        <f>'[5]15нед'!G50</f>
        <v>0</v>
      </c>
      <c r="G470" s="22" t="str">
        <f>'[5]15нед'!H50</f>
        <v/>
      </c>
      <c r="H470" s="57" t="str">
        <f t="shared" si="22"/>
        <v/>
      </c>
      <c r="I470" s="71"/>
      <c r="J470" s="88"/>
      <c r="K470" s="14" t="s">
        <v>24</v>
      </c>
      <c r="L470" s="20">
        <f>'[5]16нед'!C50</f>
        <v>0</v>
      </c>
      <c r="M470" s="23">
        <f>'[5]16нед'!D50</f>
        <v>0</v>
      </c>
      <c r="N470" s="21">
        <f>'[5]16нед'!G50</f>
        <v>0</v>
      </c>
      <c r="O470" s="22" t="str">
        <f>'[5]16нед'!H50</f>
        <v/>
      </c>
      <c r="P470" s="57" t="str">
        <f t="shared" si="23"/>
        <v/>
      </c>
    </row>
    <row r="471" spans="1:16" ht="18.399999999999999" hidden="1" customHeight="1" thickBot="1" x14ac:dyDescent="0.25">
      <c r="A471" s="83"/>
      <c r="B471" s="86"/>
      <c r="C471" s="15"/>
      <c r="D471" s="24">
        <f>'[5]15нед'!C51</f>
        <v>0</v>
      </c>
      <c r="E471" s="25">
        <f>'[5]15нед'!D51</f>
        <v>0</v>
      </c>
      <c r="F471" s="26">
        <f>'[5]15нед'!G51</f>
        <v>0</v>
      </c>
      <c r="G471" s="27" t="str">
        <f>'[5]15нед'!H51</f>
        <v/>
      </c>
      <c r="H471" s="58" t="str">
        <f t="shared" si="22"/>
        <v/>
      </c>
      <c r="I471" s="72"/>
      <c r="J471" s="89"/>
      <c r="K471" s="15"/>
      <c r="L471" s="24">
        <f>'[5]16нед'!C51</f>
        <v>0</v>
      </c>
      <c r="M471" s="25">
        <f>'[5]16нед'!D51</f>
        <v>0</v>
      </c>
      <c r="N471" s="26">
        <f>'[5]16нед'!G51</f>
        <v>0</v>
      </c>
      <c r="O471" s="27" t="str">
        <f>'[5]16нед'!H51</f>
        <v/>
      </c>
      <c r="P471" s="58" t="str">
        <f t="shared" si="23"/>
        <v/>
      </c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'[5]15нед'!C52</f>
        <v>0</v>
      </c>
      <c r="E472" s="19">
        <f>'[5]15нед'!D52</f>
        <v>0</v>
      </c>
      <c r="F472" s="17">
        <f>'[5]15нед'!G52</f>
        <v>0</v>
      </c>
      <c r="G472" s="18" t="str">
        <f>'[5]15нед'!H52</f>
        <v/>
      </c>
      <c r="H472" s="56" t="str">
        <f t="shared" si="22"/>
        <v/>
      </c>
      <c r="I472" s="70">
        <v>46375</v>
      </c>
      <c r="J472" s="87" t="s">
        <v>29</v>
      </c>
      <c r="K472" s="29" t="s">
        <v>18</v>
      </c>
      <c r="L472" s="16">
        <f>'[5]16нед'!C52</f>
        <v>0</v>
      </c>
      <c r="M472" s="19">
        <f>'[5]16нед'!D52</f>
        <v>0</v>
      </c>
      <c r="N472" s="17">
        <f>'[5]16нед'!G52</f>
        <v>0</v>
      </c>
      <c r="O472" s="18" t="str">
        <f>'[5]16нед'!H52</f>
        <v/>
      </c>
      <c r="P472" s="56" t="str">
        <f t="shared" si="23"/>
        <v/>
      </c>
    </row>
    <row r="473" spans="1:16" ht="31.5" x14ac:dyDescent="0.2">
      <c r="A473" s="82"/>
      <c r="B473" s="85"/>
      <c r="C473" s="14" t="s">
        <v>19</v>
      </c>
      <c r="D473" s="20">
        <f>'[5]15нед'!C53</f>
        <v>0</v>
      </c>
      <c r="E473" s="23">
        <f>'[5]15нед'!D53</f>
        <v>0</v>
      </c>
      <c r="F473" s="21">
        <f>'[5]15нед'!G53</f>
        <v>0</v>
      </c>
      <c r="G473" s="22" t="str">
        <f>'[5]15нед'!H53</f>
        <v/>
      </c>
      <c r="H473" s="57" t="str">
        <f t="shared" si="22"/>
        <v/>
      </c>
      <c r="I473" s="71"/>
      <c r="J473" s="88"/>
      <c r="K473" s="14" t="s">
        <v>19</v>
      </c>
      <c r="L473" s="20">
        <f>'[5]16нед'!C53</f>
        <v>0</v>
      </c>
      <c r="M473" s="23">
        <f>'[5]16нед'!D53</f>
        <v>0</v>
      </c>
      <c r="N473" s="21">
        <f>'[5]16нед'!G53</f>
        <v>0</v>
      </c>
      <c r="O473" s="22" t="str">
        <f>'[5]16нед'!H53</f>
        <v/>
      </c>
      <c r="P473" s="57" t="str">
        <f t="shared" si="23"/>
        <v/>
      </c>
    </row>
    <row r="474" spans="1:16" ht="31.5" x14ac:dyDescent="0.2">
      <c r="A474" s="82"/>
      <c r="B474" s="85"/>
      <c r="C474" s="14" t="s">
        <v>20</v>
      </c>
      <c r="D474" s="20">
        <f>'[5]15нед'!C54</f>
        <v>0</v>
      </c>
      <c r="E474" s="23">
        <f>'[5]15нед'!D54</f>
        <v>0</v>
      </c>
      <c r="F474" s="21">
        <f>'[5]15нед'!G54</f>
        <v>0</v>
      </c>
      <c r="G474" s="22" t="str">
        <f>'[5]15нед'!H54</f>
        <v/>
      </c>
      <c r="H474" s="57" t="str">
        <f t="shared" si="22"/>
        <v/>
      </c>
      <c r="I474" s="71"/>
      <c r="J474" s="88"/>
      <c r="K474" s="14" t="s">
        <v>20</v>
      </c>
      <c r="L474" s="20">
        <f>'[5]16нед'!C54</f>
        <v>0</v>
      </c>
      <c r="M474" s="23">
        <f>'[5]16нед'!D54</f>
        <v>0</v>
      </c>
      <c r="N474" s="21">
        <f>'[5]16нед'!G54</f>
        <v>0</v>
      </c>
      <c r="O474" s="22" t="str">
        <f>'[5]16нед'!H54</f>
        <v/>
      </c>
      <c r="P474" s="57" t="str">
        <f t="shared" si="23"/>
        <v/>
      </c>
    </row>
    <row r="475" spans="1:16" ht="31.5" x14ac:dyDescent="0.2">
      <c r="A475" s="82"/>
      <c r="B475" s="85"/>
      <c r="C475" s="14" t="s">
        <v>21</v>
      </c>
      <c r="D475" s="20">
        <f>'[5]15нед'!C55</f>
        <v>0</v>
      </c>
      <c r="E475" s="23">
        <f>'[5]15нед'!D55</f>
        <v>0</v>
      </c>
      <c r="F475" s="21">
        <f>'[5]15нед'!G55</f>
        <v>0</v>
      </c>
      <c r="G475" s="22" t="str">
        <f>'[5]15нед'!H55</f>
        <v/>
      </c>
      <c r="H475" s="57" t="str">
        <f t="shared" si="22"/>
        <v/>
      </c>
      <c r="I475" s="71"/>
      <c r="J475" s="88"/>
      <c r="K475" s="14" t="s">
        <v>21</v>
      </c>
      <c r="L475" s="20">
        <f>'[5]16нед'!C55</f>
        <v>0</v>
      </c>
      <c r="M475" s="23">
        <f>'[5]16нед'!D55</f>
        <v>0</v>
      </c>
      <c r="N475" s="21">
        <f>'[5]16нед'!G55</f>
        <v>0</v>
      </c>
      <c r="O475" s="22" t="str">
        <f>'[5]16нед'!H55</f>
        <v/>
      </c>
      <c r="P475" s="57" t="str">
        <f t="shared" si="23"/>
        <v/>
      </c>
    </row>
    <row r="476" spans="1:16" ht="31.5" x14ac:dyDescent="0.2">
      <c r="A476" s="82"/>
      <c r="B476" s="85"/>
      <c r="C476" s="14" t="s">
        <v>22</v>
      </c>
      <c r="D476" s="20">
        <f>'[5]15нед'!C56</f>
        <v>0</v>
      </c>
      <c r="E476" s="23">
        <f>'[5]15нед'!D56</f>
        <v>0</v>
      </c>
      <c r="F476" s="21">
        <f>'[5]15нед'!G56</f>
        <v>0</v>
      </c>
      <c r="G476" s="22" t="str">
        <f>'[5]15нед'!H56</f>
        <v/>
      </c>
      <c r="H476" s="57" t="str">
        <f t="shared" si="22"/>
        <v/>
      </c>
      <c r="I476" s="71"/>
      <c r="J476" s="88"/>
      <c r="K476" s="14" t="s">
        <v>22</v>
      </c>
      <c r="L476" s="20">
        <f>'[5]16нед'!C56</f>
        <v>0</v>
      </c>
      <c r="M476" s="23">
        <f>'[5]16нед'!D56</f>
        <v>0</v>
      </c>
      <c r="N476" s="21">
        <f>'[5]16нед'!G56</f>
        <v>0</v>
      </c>
      <c r="O476" s="22" t="str">
        <f>'[5]16нед'!H56</f>
        <v/>
      </c>
      <c r="P476" s="57" t="str">
        <f t="shared" si="23"/>
        <v/>
      </c>
    </row>
    <row r="477" spans="1:16" ht="31.5" x14ac:dyDescent="0.2">
      <c r="A477" s="82"/>
      <c r="B477" s="85"/>
      <c r="C477" s="14" t="s">
        <v>23</v>
      </c>
      <c r="D477" s="20">
        <f>'[5]15нед'!C57</f>
        <v>0</v>
      </c>
      <c r="E477" s="23">
        <f>'[5]15нед'!D57</f>
        <v>0</v>
      </c>
      <c r="F477" s="21">
        <f>'[5]15нед'!G57</f>
        <v>0</v>
      </c>
      <c r="G477" s="22" t="str">
        <f>'[5]15нед'!H57</f>
        <v/>
      </c>
      <c r="H477" s="57" t="str">
        <f t="shared" si="22"/>
        <v/>
      </c>
      <c r="I477" s="71"/>
      <c r="J477" s="88"/>
      <c r="K477" s="14" t="s">
        <v>23</v>
      </c>
      <c r="L477" s="20">
        <f>'[5]16нед'!C57</f>
        <v>0</v>
      </c>
      <c r="M477" s="23">
        <f>'[5]16нед'!D57</f>
        <v>0</v>
      </c>
      <c r="N477" s="21">
        <f>'[5]16нед'!G57</f>
        <v>0</v>
      </c>
      <c r="O477" s="22" t="str">
        <f>'[5]16нед'!H57</f>
        <v/>
      </c>
      <c r="P477" s="57" t="str">
        <f t="shared" si="23"/>
        <v/>
      </c>
    </row>
    <row r="478" spans="1:16" ht="32.25" thickBot="1" x14ac:dyDescent="0.25">
      <c r="A478" s="82"/>
      <c r="B478" s="85"/>
      <c r="C478" s="14" t="s">
        <v>24</v>
      </c>
      <c r="D478" s="20">
        <f>'[5]15нед'!C58</f>
        <v>0</v>
      </c>
      <c r="E478" s="23">
        <f>'[5]15нед'!D58</f>
        <v>0</v>
      </c>
      <c r="F478" s="21">
        <f>'[5]15нед'!G58</f>
        <v>0</v>
      </c>
      <c r="G478" s="22" t="str">
        <f>'[5]15нед'!H58</f>
        <v/>
      </c>
      <c r="H478" s="57" t="str">
        <f t="shared" si="22"/>
        <v/>
      </c>
      <c r="I478" s="71"/>
      <c r="J478" s="88"/>
      <c r="K478" s="14" t="s">
        <v>24</v>
      </c>
      <c r="L478" s="20">
        <f>'[5]16нед'!C58</f>
        <v>0</v>
      </c>
      <c r="M478" s="23">
        <f>'[5]16нед'!D58</f>
        <v>0</v>
      </c>
      <c r="N478" s="21">
        <f>'[5]16нед'!G58</f>
        <v>0</v>
      </c>
      <c r="O478" s="22" t="str">
        <f>'[5]16нед'!H58</f>
        <v/>
      </c>
      <c r="P478" s="57" t="str">
        <f t="shared" si="23"/>
        <v/>
      </c>
    </row>
    <row r="479" spans="1:16" ht="18.399999999999999" hidden="1" customHeight="1" thickBot="1" x14ac:dyDescent="0.25">
      <c r="A479" s="83"/>
      <c r="B479" s="86"/>
      <c r="C479" s="15"/>
      <c r="D479" s="24">
        <f>'[5]15нед'!C59</f>
        <v>0</v>
      </c>
      <c r="E479" s="25">
        <f>'[5]15нед'!D59</f>
        <v>0</v>
      </c>
      <c r="F479" s="26">
        <f>'[5]15нед'!G59</f>
        <v>0</v>
      </c>
      <c r="G479" s="27" t="str">
        <f>'[5]15нед'!H59</f>
        <v/>
      </c>
      <c r="H479" s="39"/>
      <c r="I479" s="72"/>
      <c r="J479" s="89"/>
      <c r="K479" s="15"/>
      <c r="L479" s="24">
        <f>'[5]16нед'!C59</f>
        <v>0</v>
      </c>
      <c r="M479" s="25">
        <f>'[5]16нед'!D59</f>
        <v>0</v>
      </c>
      <c r="N479" s="26">
        <f>'[5]16нед'!G59</f>
        <v>0</v>
      </c>
      <c r="O479" s="27" t="str">
        <f>'[5]16нед'!H59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00</v>
      </c>
      <c r="F487" s="7"/>
      <c r="G487" s="7">
        <f>G7</f>
        <v>0</v>
      </c>
      <c r="H487" s="36"/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00</v>
      </c>
      <c r="N487" s="7"/>
      <c r="O487" s="7">
        <f>G7</f>
        <v>0</v>
      </c>
      <c r="P487" s="36"/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24">E8</f>
        <v>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25">E8</f>
        <v>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1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1</v>
      </c>
      <c r="N489" s="62"/>
      <c r="O489" s="62"/>
      <c r="P489" s="35"/>
    </row>
    <row r="490" spans="1:16" ht="16.5" thickBot="1" x14ac:dyDescent="0.3">
      <c r="A490" s="45"/>
      <c r="B490" s="78" t="s">
        <v>8</v>
      </c>
      <c r="C490" s="78"/>
      <c r="D490" s="78"/>
      <c r="E490" s="63">
        <f>M430+1</f>
        <v>17</v>
      </c>
      <c r="F490" s="63"/>
      <c r="G490" s="63"/>
      <c r="H490" s="37"/>
      <c r="I490" s="45"/>
      <c r="J490" s="78" t="s">
        <v>8</v>
      </c>
      <c r="K490" s="78"/>
      <c r="L490" s="78"/>
      <c r="M490" s="63">
        <v>20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76" t="s">
        <v>13</v>
      </c>
      <c r="G491" s="77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76" t="s">
        <v>13</v>
      </c>
      <c r="O491" s="77"/>
      <c r="P491" s="13" t="s">
        <v>14</v>
      </c>
    </row>
    <row r="492" spans="1:16" ht="32.25" customHeight="1" thickTop="1" x14ac:dyDescent="0.2">
      <c r="A492" s="64">
        <v>46377</v>
      </c>
      <c r="B492" s="67" t="s">
        <v>17</v>
      </c>
      <c r="C492" s="14" t="s">
        <v>18</v>
      </c>
      <c r="D492" s="16">
        <f>'[5]17нед'!C12</f>
        <v>0</v>
      </c>
      <c r="E492" s="19">
        <f>'[5]17нед'!D12</f>
        <v>0</v>
      </c>
      <c r="F492" s="17">
        <f>'[5]17нед'!G12</f>
        <v>0</v>
      </c>
      <c r="G492" s="18" t="str">
        <f>'[5]17нед'!H12</f>
        <v/>
      </c>
      <c r="H492" s="56" t="str">
        <f>HYPERLINK(VLOOKUP(E492,$R$12:$S$332,2,FALSE))</f>
        <v/>
      </c>
      <c r="I492" s="70">
        <v>46398</v>
      </c>
      <c r="J492" s="73" t="s">
        <v>17</v>
      </c>
      <c r="K492" s="14" t="s">
        <v>18</v>
      </c>
      <c r="L492" s="16">
        <f>'[6]20нед'!C12</f>
        <v>0</v>
      </c>
      <c r="M492" s="19">
        <f>'[6]20нед'!D12</f>
        <v>0</v>
      </c>
      <c r="N492" s="17">
        <f>'[6]20нед'!G12</f>
        <v>0</v>
      </c>
      <c r="O492" s="18" t="str">
        <f>'[6]20нед'!H12</f>
        <v/>
      </c>
      <c r="P492" s="56" t="str">
        <f>HYPERLINK(VLOOKUP(M492,$R$12:$S$332,2,FALSE))</f>
        <v/>
      </c>
    </row>
    <row r="493" spans="1:16" ht="31.5" x14ac:dyDescent="0.2">
      <c r="A493" s="65"/>
      <c r="B493" s="68"/>
      <c r="C493" s="14" t="s">
        <v>19</v>
      </c>
      <c r="D493" s="20">
        <f>'[5]17нед'!C13</f>
        <v>0</v>
      </c>
      <c r="E493" s="23">
        <f>'[5]17нед'!D13</f>
        <v>0</v>
      </c>
      <c r="F493" s="21">
        <f>'[5]17нед'!G13</f>
        <v>0</v>
      </c>
      <c r="G493" s="22" t="str">
        <f>'[5]17нед'!H13</f>
        <v/>
      </c>
      <c r="H493" s="57" t="str">
        <f t="shared" ref="H493:H538" si="26">HYPERLINK(VLOOKUP(E493,$R$12:$S$332,2,FALSE))</f>
        <v/>
      </c>
      <c r="I493" s="71"/>
      <c r="J493" s="74"/>
      <c r="K493" s="14" t="s">
        <v>19</v>
      </c>
      <c r="L493" s="20">
        <f>'[6]20нед'!C13</f>
        <v>0</v>
      </c>
      <c r="M493" s="23">
        <f>'[6]20нед'!D13</f>
        <v>0</v>
      </c>
      <c r="N493" s="21">
        <f>'[6]20нед'!G13</f>
        <v>0</v>
      </c>
      <c r="O493" s="22" t="str">
        <f>'[6]20нед'!H13</f>
        <v/>
      </c>
      <c r="P493" s="57" t="str">
        <f t="shared" ref="P493:P538" si="27">HYPERLINK(VLOOKUP(M493,$R$12:$S$332,2,FALSE))</f>
        <v/>
      </c>
    </row>
    <row r="494" spans="1:16" ht="31.5" x14ac:dyDescent="0.2">
      <c r="A494" s="65"/>
      <c r="B494" s="68"/>
      <c r="C494" s="14" t="s">
        <v>20</v>
      </c>
      <c r="D494" s="20">
        <f>'[5]17нед'!C14</f>
        <v>0</v>
      </c>
      <c r="E494" s="23">
        <f>'[5]17нед'!D14</f>
        <v>0</v>
      </c>
      <c r="F494" s="21">
        <f>'[5]17нед'!G14</f>
        <v>0</v>
      </c>
      <c r="G494" s="22" t="str">
        <f>'[5]17нед'!H14</f>
        <v/>
      </c>
      <c r="H494" s="57" t="str">
        <f t="shared" si="26"/>
        <v/>
      </c>
      <c r="I494" s="71"/>
      <c r="J494" s="74"/>
      <c r="K494" s="14" t="s">
        <v>20</v>
      </c>
      <c r="L494" s="20">
        <f>'[6]20нед'!C14</f>
        <v>0</v>
      </c>
      <c r="M494" s="23">
        <f>'[6]20нед'!D14</f>
        <v>0</v>
      </c>
      <c r="N494" s="21">
        <f>'[6]20нед'!G14</f>
        <v>0</v>
      </c>
      <c r="O494" s="22" t="str">
        <f>'[6]20нед'!H14</f>
        <v/>
      </c>
      <c r="P494" s="57" t="str">
        <f t="shared" si="27"/>
        <v/>
      </c>
    </row>
    <row r="495" spans="1:16" ht="31.5" x14ac:dyDescent="0.2">
      <c r="A495" s="65"/>
      <c r="B495" s="68"/>
      <c r="C495" s="14" t="s">
        <v>21</v>
      </c>
      <c r="D495" s="20">
        <f>'[5]17нед'!C15</f>
        <v>0</v>
      </c>
      <c r="E495" s="23">
        <f>'[5]17нед'!D15</f>
        <v>0</v>
      </c>
      <c r="F495" s="21">
        <f>'[5]17нед'!G15</f>
        <v>0</v>
      </c>
      <c r="G495" s="22" t="str">
        <f>'[5]17нед'!H15</f>
        <v/>
      </c>
      <c r="H495" s="57" t="str">
        <f t="shared" si="26"/>
        <v/>
      </c>
      <c r="I495" s="71"/>
      <c r="J495" s="74"/>
      <c r="K495" s="14" t="s">
        <v>21</v>
      </c>
      <c r="L495" s="20">
        <f>'[6]20нед'!C15</f>
        <v>0</v>
      </c>
      <c r="M495" s="23">
        <f>'[6]20нед'!D15</f>
        <v>0</v>
      </c>
      <c r="N495" s="21">
        <f>'[6]20нед'!G15</f>
        <v>0</v>
      </c>
      <c r="O495" s="22" t="str">
        <f>'[6]20нед'!H15</f>
        <v/>
      </c>
      <c r="P495" s="57" t="str">
        <f t="shared" si="27"/>
        <v/>
      </c>
    </row>
    <row r="496" spans="1:16" ht="31.5" x14ac:dyDescent="0.2">
      <c r="A496" s="65"/>
      <c r="B496" s="68"/>
      <c r="C496" s="14" t="s">
        <v>22</v>
      </c>
      <c r="D496" s="20">
        <f>'[5]17нед'!C16</f>
        <v>0</v>
      </c>
      <c r="E496" s="23">
        <f>'[5]17нед'!D16</f>
        <v>0</v>
      </c>
      <c r="F496" s="21">
        <f>'[5]17нед'!G16</f>
        <v>0</v>
      </c>
      <c r="G496" s="22" t="str">
        <f>'[5]17нед'!H16</f>
        <v/>
      </c>
      <c r="H496" s="57" t="str">
        <f t="shared" si="26"/>
        <v/>
      </c>
      <c r="I496" s="71"/>
      <c r="J496" s="74"/>
      <c r="K496" s="14" t="s">
        <v>22</v>
      </c>
      <c r="L496" s="20">
        <f>'[6]20нед'!C16</f>
        <v>0</v>
      </c>
      <c r="M496" s="23">
        <f>'[6]20нед'!D16</f>
        <v>0</v>
      </c>
      <c r="N496" s="21">
        <f>'[6]20нед'!G16</f>
        <v>0</v>
      </c>
      <c r="O496" s="22" t="str">
        <f>'[6]20нед'!H16</f>
        <v/>
      </c>
      <c r="P496" s="57" t="str">
        <f t="shared" si="27"/>
        <v/>
      </c>
    </row>
    <row r="497" spans="1:16" ht="31.5" x14ac:dyDescent="0.2">
      <c r="A497" s="65"/>
      <c r="B497" s="68"/>
      <c r="C497" s="14" t="s">
        <v>23</v>
      </c>
      <c r="D497" s="20">
        <f>'[5]17нед'!C17</f>
        <v>0</v>
      </c>
      <c r="E497" s="23">
        <f>'[5]17нед'!D17</f>
        <v>0</v>
      </c>
      <c r="F497" s="21">
        <f>'[5]17нед'!G17</f>
        <v>0</v>
      </c>
      <c r="G497" s="22" t="str">
        <f>'[5]17нед'!H17</f>
        <v/>
      </c>
      <c r="H497" s="55" t="str">
        <f t="shared" si="26"/>
        <v/>
      </c>
      <c r="I497" s="71"/>
      <c r="J497" s="74"/>
      <c r="K497" s="14" t="s">
        <v>23</v>
      </c>
      <c r="L497" s="20">
        <f>'[6]20нед'!C17</f>
        <v>0</v>
      </c>
      <c r="M497" s="23">
        <f>'[6]20нед'!D17</f>
        <v>0</v>
      </c>
      <c r="N497" s="21">
        <f>'[6]20нед'!G17</f>
        <v>0</v>
      </c>
      <c r="O497" s="22" t="str">
        <f>'[6]20нед'!H17</f>
        <v/>
      </c>
      <c r="P497" s="55" t="str">
        <f t="shared" si="27"/>
        <v/>
      </c>
    </row>
    <row r="498" spans="1:16" ht="32.25" thickBot="1" x14ac:dyDescent="0.25">
      <c r="A498" s="65"/>
      <c r="B498" s="68"/>
      <c r="C498" s="14" t="s">
        <v>24</v>
      </c>
      <c r="D498" s="20">
        <f>'[5]17нед'!C18</f>
        <v>0</v>
      </c>
      <c r="E498" s="23">
        <f>'[5]17нед'!D18</f>
        <v>0</v>
      </c>
      <c r="F498" s="21">
        <f>'[5]17нед'!G18</f>
        <v>0</v>
      </c>
      <c r="G498" s="22" t="str">
        <f>'[5]17нед'!H18</f>
        <v/>
      </c>
      <c r="H498" s="55" t="str">
        <f t="shared" si="26"/>
        <v/>
      </c>
      <c r="I498" s="71"/>
      <c r="J498" s="74"/>
      <c r="K498" s="14" t="s">
        <v>24</v>
      </c>
      <c r="L498" s="20">
        <f>'[6]20нед'!C18</f>
        <v>0</v>
      </c>
      <c r="M498" s="23">
        <f>'[6]20нед'!D18</f>
        <v>0</v>
      </c>
      <c r="N498" s="21">
        <f>'[6]20нед'!G18</f>
        <v>0</v>
      </c>
      <c r="O498" s="22" t="str">
        <f>'[6]20нед'!H18</f>
        <v/>
      </c>
      <c r="P498" s="55" t="str">
        <f t="shared" si="27"/>
        <v/>
      </c>
    </row>
    <row r="499" spans="1:16" ht="18.399999999999999" hidden="1" customHeight="1" thickBot="1" x14ac:dyDescent="0.25">
      <c r="A499" s="66"/>
      <c r="B499" s="69"/>
      <c r="C499" s="15"/>
      <c r="D499" s="24">
        <f>'[5]17нед'!C19</f>
        <v>0</v>
      </c>
      <c r="E499" s="25">
        <f>'[5]17нед'!D19</f>
        <v>0</v>
      </c>
      <c r="F499" s="26">
        <f>'[5]17нед'!G19</f>
        <v>0</v>
      </c>
      <c r="G499" s="27" t="str">
        <f>'[5]17нед'!H19</f>
        <v/>
      </c>
      <c r="H499" s="58" t="str">
        <f t="shared" si="26"/>
        <v/>
      </c>
      <c r="I499" s="72"/>
      <c r="J499" s="75"/>
      <c r="K499" s="15"/>
      <c r="L499" s="24">
        <f>'[6]20нед'!C19</f>
        <v>0</v>
      </c>
      <c r="M499" s="25">
        <f>'[6]20нед'!D19</f>
        <v>0</v>
      </c>
      <c r="N499" s="26">
        <f>'[6]20нед'!G19</f>
        <v>0</v>
      </c>
      <c r="O499" s="27" t="str">
        <f>'[6]20нед'!H19</f>
        <v/>
      </c>
      <c r="P499" s="58" t="str">
        <f t="shared" si="27"/>
        <v/>
      </c>
    </row>
    <row r="500" spans="1:16" ht="32.25" customHeight="1" thickTop="1" x14ac:dyDescent="0.2">
      <c r="A500" s="64">
        <v>46378</v>
      </c>
      <c r="B500" s="67" t="s">
        <v>25</v>
      </c>
      <c r="C500" s="29" t="s">
        <v>18</v>
      </c>
      <c r="D500" s="16">
        <f>'[5]17нед'!C20</f>
        <v>0</v>
      </c>
      <c r="E500" s="19">
        <f>'[5]17нед'!D20</f>
        <v>0</v>
      </c>
      <c r="F500" s="17">
        <f>'[5]17нед'!G20</f>
        <v>0</v>
      </c>
      <c r="G500" s="18" t="str">
        <f>'[5]17нед'!H20</f>
        <v/>
      </c>
      <c r="H500" s="56" t="str">
        <f t="shared" si="26"/>
        <v/>
      </c>
      <c r="I500" s="70">
        <v>46399</v>
      </c>
      <c r="J500" s="73" t="s">
        <v>25</v>
      </c>
      <c r="K500" s="29" t="s">
        <v>18</v>
      </c>
      <c r="L500" s="16">
        <f>'[6]20нед'!C20</f>
        <v>0</v>
      </c>
      <c r="M500" s="19">
        <f>'[6]20нед'!D20</f>
        <v>0</v>
      </c>
      <c r="N500" s="17">
        <f>'[6]20нед'!G20</f>
        <v>0</v>
      </c>
      <c r="O500" s="18" t="str">
        <f>'[6]20нед'!H20</f>
        <v/>
      </c>
      <c r="P500" s="56" t="str">
        <f t="shared" si="27"/>
        <v/>
      </c>
    </row>
    <row r="501" spans="1:16" ht="31.5" x14ac:dyDescent="0.2">
      <c r="A501" s="65"/>
      <c r="B501" s="68"/>
      <c r="C501" s="14" t="s">
        <v>19</v>
      </c>
      <c r="D501" s="20">
        <f>'[5]17нед'!C21</f>
        <v>0</v>
      </c>
      <c r="E501" s="23">
        <f>'[5]17нед'!D21</f>
        <v>0</v>
      </c>
      <c r="F501" s="21">
        <f>'[5]17нед'!G21</f>
        <v>0</v>
      </c>
      <c r="G501" s="22" t="str">
        <f>'[5]17нед'!H21</f>
        <v/>
      </c>
      <c r="H501" s="57" t="str">
        <f t="shared" si="26"/>
        <v/>
      </c>
      <c r="I501" s="71"/>
      <c r="J501" s="74"/>
      <c r="K501" s="14" t="s">
        <v>19</v>
      </c>
      <c r="L501" s="20">
        <f>'[6]20нед'!C21</f>
        <v>0</v>
      </c>
      <c r="M501" s="23">
        <f>'[6]20нед'!D21</f>
        <v>0</v>
      </c>
      <c r="N501" s="21">
        <f>'[6]20нед'!G21</f>
        <v>0</v>
      </c>
      <c r="O501" s="22" t="str">
        <f>'[6]20нед'!H21</f>
        <v/>
      </c>
      <c r="P501" s="57" t="str">
        <f t="shared" si="27"/>
        <v/>
      </c>
    </row>
    <row r="502" spans="1:16" ht="31.5" x14ac:dyDescent="0.2">
      <c r="A502" s="65"/>
      <c r="B502" s="68"/>
      <c r="C502" s="14" t="s">
        <v>20</v>
      </c>
      <c r="D502" s="20">
        <f>'[5]17нед'!C22</f>
        <v>0</v>
      </c>
      <c r="E502" s="23">
        <f>'[5]17нед'!D22</f>
        <v>0</v>
      </c>
      <c r="F502" s="21">
        <f>'[5]17нед'!G22</f>
        <v>0</v>
      </c>
      <c r="G502" s="22" t="str">
        <f>'[5]17нед'!H22</f>
        <v/>
      </c>
      <c r="H502" s="57" t="str">
        <f t="shared" si="26"/>
        <v/>
      </c>
      <c r="I502" s="71"/>
      <c r="J502" s="74"/>
      <c r="K502" s="14" t="s">
        <v>20</v>
      </c>
      <c r="L502" s="20">
        <f>'[6]20нед'!C22</f>
        <v>0</v>
      </c>
      <c r="M502" s="23">
        <f>'[6]20нед'!D22</f>
        <v>0</v>
      </c>
      <c r="N502" s="21">
        <f>'[6]20нед'!G22</f>
        <v>0</v>
      </c>
      <c r="O502" s="22" t="str">
        <f>'[6]20нед'!H22</f>
        <v/>
      </c>
      <c r="P502" s="57" t="str">
        <f t="shared" si="27"/>
        <v/>
      </c>
    </row>
    <row r="503" spans="1:16" ht="31.5" x14ac:dyDescent="0.2">
      <c r="A503" s="65"/>
      <c r="B503" s="68"/>
      <c r="C503" s="14" t="s">
        <v>21</v>
      </c>
      <c r="D503" s="20">
        <f>'[5]17нед'!C23</f>
        <v>0</v>
      </c>
      <c r="E503" s="23">
        <f>'[5]17нед'!D23</f>
        <v>0</v>
      </c>
      <c r="F503" s="21">
        <f>'[5]17нед'!G23</f>
        <v>0</v>
      </c>
      <c r="G503" s="22" t="str">
        <f>'[5]17нед'!H23</f>
        <v/>
      </c>
      <c r="H503" s="57" t="str">
        <f t="shared" si="26"/>
        <v/>
      </c>
      <c r="I503" s="71"/>
      <c r="J503" s="74"/>
      <c r="K503" s="14" t="s">
        <v>21</v>
      </c>
      <c r="L503" s="20">
        <f>'[6]20нед'!C23</f>
        <v>0</v>
      </c>
      <c r="M503" s="23">
        <f>'[6]20нед'!D23</f>
        <v>0</v>
      </c>
      <c r="N503" s="21">
        <f>'[6]20нед'!G23</f>
        <v>0</v>
      </c>
      <c r="O503" s="22" t="str">
        <f>'[6]20нед'!H23</f>
        <v/>
      </c>
      <c r="P503" s="57" t="str">
        <f t="shared" si="27"/>
        <v/>
      </c>
    </row>
    <row r="504" spans="1:16" ht="31.5" x14ac:dyDescent="0.2">
      <c r="A504" s="65"/>
      <c r="B504" s="68"/>
      <c r="C504" s="14" t="s">
        <v>22</v>
      </c>
      <c r="D504" s="20">
        <f>'[5]17нед'!C24</f>
        <v>0</v>
      </c>
      <c r="E504" s="23">
        <f>'[5]17нед'!D24</f>
        <v>0</v>
      </c>
      <c r="F504" s="21">
        <f>'[5]17нед'!G24</f>
        <v>0</v>
      </c>
      <c r="G504" s="22" t="str">
        <f>'[5]17нед'!H24</f>
        <v/>
      </c>
      <c r="H504" s="57" t="str">
        <f t="shared" si="26"/>
        <v/>
      </c>
      <c r="I504" s="71"/>
      <c r="J504" s="74"/>
      <c r="K504" s="14" t="s">
        <v>22</v>
      </c>
      <c r="L504" s="20">
        <f>'[6]20нед'!C24</f>
        <v>0</v>
      </c>
      <c r="M504" s="23">
        <f>'[6]20нед'!D24</f>
        <v>0</v>
      </c>
      <c r="N504" s="21">
        <f>'[6]20нед'!G24</f>
        <v>0</v>
      </c>
      <c r="O504" s="22" t="str">
        <f>'[6]20нед'!H24</f>
        <v/>
      </c>
      <c r="P504" s="57" t="str">
        <f t="shared" si="27"/>
        <v/>
      </c>
    </row>
    <row r="505" spans="1:16" ht="31.5" x14ac:dyDescent="0.2">
      <c r="A505" s="65"/>
      <c r="B505" s="68"/>
      <c r="C505" s="14" t="s">
        <v>23</v>
      </c>
      <c r="D505" s="20">
        <f>'[5]17нед'!C25</f>
        <v>0</v>
      </c>
      <c r="E505" s="23">
        <f>'[5]17нед'!D25</f>
        <v>0</v>
      </c>
      <c r="F505" s="21">
        <f>'[5]17нед'!G25</f>
        <v>0</v>
      </c>
      <c r="G505" s="22" t="str">
        <f>'[5]17нед'!H25</f>
        <v/>
      </c>
      <c r="H505" s="57" t="str">
        <f t="shared" si="26"/>
        <v/>
      </c>
      <c r="I505" s="71"/>
      <c r="J505" s="74"/>
      <c r="K505" s="14" t="s">
        <v>23</v>
      </c>
      <c r="L505" s="20">
        <f>'[6]20нед'!C25</f>
        <v>0</v>
      </c>
      <c r="M505" s="23">
        <f>'[6]20нед'!D25</f>
        <v>0</v>
      </c>
      <c r="N505" s="21">
        <f>'[6]20нед'!G25</f>
        <v>0</v>
      </c>
      <c r="O505" s="22" t="str">
        <f>'[6]20нед'!H25</f>
        <v/>
      </c>
      <c r="P505" s="57" t="str">
        <f t="shared" si="27"/>
        <v/>
      </c>
    </row>
    <row r="506" spans="1:16" ht="32.25" thickBot="1" x14ac:dyDescent="0.25">
      <c r="A506" s="65"/>
      <c r="B506" s="68"/>
      <c r="C506" s="14" t="s">
        <v>24</v>
      </c>
      <c r="D506" s="20">
        <f>'[5]17нед'!C26</f>
        <v>0</v>
      </c>
      <c r="E506" s="23">
        <f>'[5]17нед'!D26</f>
        <v>0</v>
      </c>
      <c r="F506" s="21">
        <f>'[5]17нед'!G26</f>
        <v>0</v>
      </c>
      <c r="G506" s="22" t="str">
        <f>'[5]17нед'!H26</f>
        <v/>
      </c>
      <c r="H506" s="57" t="str">
        <f t="shared" si="26"/>
        <v/>
      </c>
      <c r="I506" s="71"/>
      <c r="J506" s="74"/>
      <c r="K506" s="14" t="s">
        <v>24</v>
      </c>
      <c r="L506" s="20">
        <f>'[6]20нед'!C26</f>
        <v>0</v>
      </c>
      <c r="M506" s="23">
        <f>'[6]20нед'!D26</f>
        <v>0</v>
      </c>
      <c r="N506" s="21">
        <f>'[6]20нед'!G26</f>
        <v>0</v>
      </c>
      <c r="O506" s="22" t="str">
        <f>'[6]20нед'!H26</f>
        <v/>
      </c>
      <c r="P506" s="57" t="str">
        <f t="shared" si="27"/>
        <v/>
      </c>
    </row>
    <row r="507" spans="1:16" ht="18.399999999999999" hidden="1" customHeight="1" thickBot="1" x14ac:dyDescent="0.25">
      <c r="A507" s="66"/>
      <c r="B507" s="69"/>
      <c r="C507" s="15"/>
      <c r="D507" s="24">
        <f>'[5]17нед'!C27</f>
        <v>0</v>
      </c>
      <c r="E507" s="25">
        <f>'[5]17нед'!D27</f>
        <v>0</v>
      </c>
      <c r="F507" s="26">
        <f>'[5]17нед'!G27</f>
        <v>0</v>
      </c>
      <c r="G507" s="27" t="str">
        <f>'[5]17нед'!H27</f>
        <v/>
      </c>
      <c r="H507" s="58" t="str">
        <f t="shared" si="26"/>
        <v/>
      </c>
      <c r="I507" s="72"/>
      <c r="J507" s="75"/>
      <c r="K507" s="15"/>
      <c r="L507" s="24">
        <f>'[6]20нед'!C27</f>
        <v>0</v>
      </c>
      <c r="M507" s="25">
        <f>'[6]20нед'!D27</f>
        <v>0</v>
      </c>
      <c r="N507" s="26">
        <f>'[6]20нед'!G27</f>
        <v>0</v>
      </c>
      <c r="O507" s="27" t="str">
        <f>'[6]20нед'!H27</f>
        <v/>
      </c>
      <c r="P507" s="58" t="str">
        <f t="shared" si="27"/>
        <v/>
      </c>
    </row>
    <row r="508" spans="1:16" ht="48" customHeight="1" thickTop="1" x14ac:dyDescent="0.2">
      <c r="A508" s="64">
        <v>46379</v>
      </c>
      <c r="B508" s="67" t="s">
        <v>26</v>
      </c>
      <c r="C508" s="29" t="s">
        <v>18</v>
      </c>
      <c r="D508" s="16">
        <f>'[5]17нед'!C28</f>
        <v>0</v>
      </c>
      <c r="E508" s="19">
        <f>'[5]17нед'!D28</f>
        <v>0</v>
      </c>
      <c r="F508" s="17">
        <f>'[5]17нед'!G28</f>
        <v>0</v>
      </c>
      <c r="G508" s="18" t="str">
        <f>'[5]17нед'!H28</f>
        <v/>
      </c>
      <c r="H508" s="56" t="str">
        <f t="shared" si="26"/>
        <v/>
      </c>
      <c r="I508" s="70">
        <v>46400</v>
      </c>
      <c r="J508" s="73" t="s">
        <v>26</v>
      </c>
      <c r="K508" s="29" t="s">
        <v>18</v>
      </c>
      <c r="L508" s="16">
        <f>'[6]20нед'!C28</f>
        <v>0</v>
      </c>
      <c r="M508" s="19">
        <f>'[6]20нед'!D28</f>
        <v>0</v>
      </c>
      <c r="N508" s="17">
        <f>'[6]20нед'!G28</f>
        <v>0</v>
      </c>
      <c r="O508" s="18" t="str">
        <f>'[6]20нед'!H28</f>
        <v/>
      </c>
      <c r="P508" s="56" t="str">
        <f t="shared" si="27"/>
        <v/>
      </c>
    </row>
    <row r="509" spans="1:16" ht="31.5" x14ac:dyDescent="0.2">
      <c r="A509" s="65"/>
      <c r="B509" s="68"/>
      <c r="C509" s="14" t="s">
        <v>19</v>
      </c>
      <c r="D509" s="20">
        <f>'[5]17нед'!C29</f>
        <v>0</v>
      </c>
      <c r="E509" s="23">
        <f>'[5]17нед'!D29</f>
        <v>0</v>
      </c>
      <c r="F509" s="21">
        <f>'[5]17нед'!G29</f>
        <v>0</v>
      </c>
      <c r="G509" s="22" t="str">
        <f>'[5]17нед'!H29</f>
        <v/>
      </c>
      <c r="H509" s="57" t="str">
        <f t="shared" si="26"/>
        <v/>
      </c>
      <c r="I509" s="71"/>
      <c r="J509" s="74"/>
      <c r="K509" s="14" t="s">
        <v>19</v>
      </c>
      <c r="L509" s="20">
        <f>'[6]20нед'!C29</f>
        <v>0</v>
      </c>
      <c r="M509" s="23">
        <f>'[6]20нед'!D29</f>
        <v>0</v>
      </c>
      <c r="N509" s="21">
        <f>'[6]20нед'!G29</f>
        <v>0</v>
      </c>
      <c r="O509" s="22" t="str">
        <f>'[6]20нед'!H29</f>
        <v/>
      </c>
      <c r="P509" s="57" t="str">
        <f t="shared" si="27"/>
        <v/>
      </c>
    </row>
    <row r="510" spans="1:16" ht="31.5" x14ac:dyDescent="0.2">
      <c r="A510" s="65"/>
      <c r="B510" s="68"/>
      <c r="C510" s="14" t="s">
        <v>20</v>
      </c>
      <c r="D510" s="20">
        <f>'[5]17нед'!C30</f>
        <v>0</v>
      </c>
      <c r="E510" s="23">
        <f>'[5]17нед'!D30</f>
        <v>0</v>
      </c>
      <c r="F510" s="21">
        <f>'[5]17нед'!G30</f>
        <v>0</v>
      </c>
      <c r="G510" s="22" t="str">
        <f>'[5]17нед'!H30</f>
        <v/>
      </c>
      <c r="H510" s="57" t="str">
        <f t="shared" si="26"/>
        <v/>
      </c>
      <c r="I510" s="71"/>
      <c r="J510" s="74"/>
      <c r="K510" s="14" t="s">
        <v>20</v>
      </c>
      <c r="L510" s="20">
        <f>'[6]20нед'!C30</f>
        <v>0</v>
      </c>
      <c r="M510" s="23">
        <f>'[6]20нед'!D30</f>
        <v>0</v>
      </c>
      <c r="N510" s="21">
        <f>'[6]20нед'!G30</f>
        <v>0</v>
      </c>
      <c r="O510" s="22" t="str">
        <f>'[6]20нед'!H30</f>
        <v/>
      </c>
      <c r="P510" s="57" t="str">
        <f t="shared" si="27"/>
        <v/>
      </c>
    </row>
    <row r="511" spans="1:16" ht="31.5" x14ac:dyDescent="0.2">
      <c r="A511" s="65"/>
      <c r="B511" s="68"/>
      <c r="C511" s="14" t="s">
        <v>21</v>
      </c>
      <c r="D511" s="20">
        <f>'[5]17нед'!C31</f>
        <v>0</v>
      </c>
      <c r="E511" s="23">
        <f>'[5]17нед'!D31</f>
        <v>0</v>
      </c>
      <c r="F511" s="21">
        <f>'[5]17нед'!G31</f>
        <v>0</v>
      </c>
      <c r="G511" s="22" t="str">
        <f>'[5]17нед'!H31</f>
        <v/>
      </c>
      <c r="H511" s="57" t="str">
        <f t="shared" si="26"/>
        <v/>
      </c>
      <c r="I511" s="71"/>
      <c r="J511" s="74"/>
      <c r="K511" s="14" t="s">
        <v>21</v>
      </c>
      <c r="L511" s="20">
        <f>'[6]20нед'!C31</f>
        <v>0</v>
      </c>
      <c r="M511" s="23">
        <f>'[6]20нед'!D31</f>
        <v>0</v>
      </c>
      <c r="N511" s="21">
        <f>'[6]20нед'!G31</f>
        <v>0</v>
      </c>
      <c r="O511" s="22" t="str">
        <f>'[6]20нед'!H31</f>
        <v/>
      </c>
      <c r="P511" s="57" t="str">
        <f t="shared" si="27"/>
        <v/>
      </c>
    </row>
    <row r="512" spans="1:16" ht="31.5" x14ac:dyDescent="0.2">
      <c r="A512" s="65"/>
      <c r="B512" s="68"/>
      <c r="C512" s="14" t="s">
        <v>22</v>
      </c>
      <c r="D512" s="20">
        <f>'[5]17нед'!C32</f>
        <v>0</v>
      </c>
      <c r="E512" s="23">
        <f>'[5]17нед'!D32</f>
        <v>0</v>
      </c>
      <c r="F512" s="21">
        <f>'[5]17нед'!G32</f>
        <v>0</v>
      </c>
      <c r="G512" s="22" t="str">
        <f>'[5]17нед'!H32</f>
        <v/>
      </c>
      <c r="H512" s="57" t="str">
        <f t="shared" si="26"/>
        <v/>
      </c>
      <c r="I512" s="71"/>
      <c r="J512" s="74"/>
      <c r="K512" s="14" t="s">
        <v>22</v>
      </c>
      <c r="L512" s="20">
        <f>'[6]20нед'!C32</f>
        <v>0</v>
      </c>
      <c r="M512" s="23">
        <f>'[6]20нед'!D32</f>
        <v>0</v>
      </c>
      <c r="N512" s="21">
        <f>'[6]20нед'!G32</f>
        <v>0</v>
      </c>
      <c r="O512" s="22" t="str">
        <f>'[6]20нед'!H32</f>
        <v/>
      </c>
      <c r="P512" s="57" t="str">
        <f t="shared" si="27"/>
        <v/>
      </c>
    </row>
    <row r="513" spans="1:16" ht="31.5" x14ac:dyDescent="0.2">
      <c r="A513" s="65"/>
      <c r="B513" s="68"/>
      <c r="C513" s="14" t="s">
        <v>23</v>
      </c>
      <c r="D513" s="20">
        <f>'[5]17нед'!C33</f>
        <v>0</v>
      </c>
      <c r="E513" s="23">
        <f>'[5]17нед'!D33</f>
        <v>0</v>
      </c>
      <c r="F513" s="21">
        <f>'[5]17нед'!G33</f>
        <v>0</v>
      </c>
      <c r="G513" s="22" t="str">
        <f>'[5]17нед'!H33</f>
        <v/>
      </c>
      <c r="H513" s="55" t="str">
        <f t="shared" si="26"/>
        <v/>
      </c>
      <c r="I513" s="71"/>
      <c r="J513" s="74"/>
      <c r="K513" s="14" t="s">
        <v>23</v>
      </c>
      <c r="L513" s="20">
        <f>'[6]20нед'!C33</f>
        <v>0</v>
      </c>
      <c r="M513" s="23">
        <f>'[6]20нед'!D33</f>
        <v>0</v>
      </c>
      <c r="N513" s="21">
        <f>'[6]20нед'!G33</f>
        <v>0</v>
      </c>
      <c r="O513" s="22" t="str">
        <f>'[6]20нед'!H33</f>
        <v/>
      </c>
      <c r="P513" s="55" t="str">
        <f t="shared" si="27"/>
        <v/>
      </c>
    </row>
    <row r="514" spans="1:16" ht="32.25" thickBot="1" x14ac:dyDescent="0.25">
      <c r="A514" s="65"/>
      <c r="B514" s="68"/>
      <c r="C514" s="14" t="s">
        <v>24</v>
      </c>
      <c r="D514" s="20">
        <f>'[5]17нед'!C34</f>
        <v>0</v>
      </c>
      <c r="E514" s="23">
        <f>'[5]17нед'!D34</f>
        <v>0</v>
      </c>
      <c r="F514" s="21">
        <f>'[5]17нед'!G34</f>
        <v>0</v>
      </c>
      <c r="G514" s="22" t="str">
        <f>'[5]17нед'!H34</f>
        <v/>
      </c>
      <c r="H514" s="55" t="str">
        <f t="shared" si="26"/>
        <v/>
      </c>
      <c r="I514" s="71"/>
      <c r="J514" s="74"/>
      <c r="K514" s="14" t="s">
        <v>24</v>
      </c>
      <c r="L514" s="20">
        <f>'[6]20нед'!C34</f>
        <v>0</v>
      </c>
      <c r="M514" s="23">
        <f>'[6]20нед'!D34</f>
        <v>0</v>
      </c>
      <c r="N514" s="21">
        <f>'[6]20нед'!G34</f>
        <v>0</v>
      </c>
      <c r="O514" s="22" t="str">
        <f>'[6]20нед'!H34</f>
        <v/>
      </c>
      <c r="P514" s="55" t="str">
        <f t="shared" si="27"/>
        <v/>
      </c>
    </row>
    <row r="515" spans="1:16" ht="18.399999999999999" hidden="1" customHeight="1" thickBot="1" x14ac:dyDescent="0.25">
      <c r="A515" s="66"/>
      <c r="B515" s="69"/>
      <c r="C515" s="15"/>
      <c r="D515" s="24">
        <f>'[5]17нед'!C35</f>
        <v>0</v>
      </c>
      <c r="E515" s="25">
        <f>'[5]17нед'!D35</f>
        <v>0</v>
      </c>
      <c r="F515" s="26">
        <f>'[5]17нед'!G35</f>
        <v>0</v>
      </c>
      <c r="G515" s="27" t="str">
        <f>'[5]17нед'!H35</f>
        <v/>
      </c>
      <c r="H515" s="58" t="str">
        <f t="shared" si="26"/>
        <v/>
      </c>
      <c r="I515" s="72"/>
      <c r="J515" s="75"/>
      <c r="K515" s="15"/>
      <c r="L515" s="24">
        <f>'[6]20нед'!C35</f>
        <v>0</v>
      </c>
      <c r="M515" s="25">
        <f>'[6]20нед'!D35</f>
        <v>0</v>
      </c>
      <c r="N515" s="26">
        <f>'[6]20нед'!G35</f>
        <v>0</v>
      </c>
      <c r="O515" s="27" t="str">
        <f>'[6]20нед'!H35</f>
        <v/>
      </c>
      <c r="P515" s="58" t="str">
        <f t="shared" si="27"/>
        <v/>
      </c>
    </row>
    <row r="516" spans="1:16" ht="48" customHeight="1" thickTop="1" x14ac:dyDescent="0.2">
      <c r="A516" s="64">
        <v>46380</v>
      </c>
      <c r="B516" s="67" t="s">
        <v>27</v>
      </c>
      <c r="C516" s="29" t="s">
        <v>18</v>
      </c>
      <c r="D516" s="16">
        <f>'[5]17нед'!C36</f>
        <v>0</v>
      </c>
      <c r="E516" s="19">
        <f>'[5]17нед'!D36</f>
        <v>0</v>
      </c>
      <c r="F516" s="17">
        <f>'[5]17нед'!G36</f>
        <v>0</v>
      </c>
      <c r="G516" s="18" t="str">
        <f>'[5]17нед'!H36</f>
        <v/>
      </c>
      <c r="H516" s="56" t="str">
        <f t="shared" si="26"/>
        <v/>
      </c>
      <c r="I516" s="70">
        <v>46401</v>
      </c>
      <c r="J516" s="73" t="s">
        <v>27</v>
      </c>
      <c r="K516" s="29" t="s">
        <v>18</v>
      </c>
      <c r="L516" s="16">
        <f>'[6]20нед'!C36</f>
        <v>0</v>
      </c>
      <c r="M516" s="19">
        <f>'[6]20нед'!D36</f>
        <v>0</v>
      </c>
      <c r="N516" s="17">
        <f>'[6]20нед'!G36</f>
        <v>0</v>
      </c>
      <c r="O516" s="18" t="str">
        <f>'[6]20нед'!H36</f>
        <v/>
      </c>
      <c r="P516" s="56" t="str">
        <f t="shared" si="27"/>
        <v/>
      </c>
    </row>
    <row r="517" spans="1:16" ht="31.5" x14ac:dyDescent="0.2">
      <c r="A517" s="65"/>
      <c r="B517" s="68"/>
      <c r="C517" s="14" t="s">
        <v>19</v>
      </c>
      <c r="D517" s="20">
        <f>'[5]17нед'!C37</f>
        <v>0</v>
      </c>
      <c r="E517" s="23">
        <f>'[5]17нед'!D37</f>
        <v>0</v>
      </c>
      <c r="F517" s="21">
        <f>'[5]17нед'!G37</f>
        <v>0</v>
      </c>
      <c r="G517" s="22" t="str">
        <f>'[5]17нед'!H37</f>
        <v/>
      </c>
      <c r="H517" s="57" t="str">
        <f t="shared" si="26"/>
        <v/>
      </c>
      <c r="I517" s="71"/>
      <c r="J517" s="74"/>
      <c r="K517" s="14" t="s">
        <v>19</v>
      </c>
      <c r="L517" s="20">
        <f>'[6]20нед'!C37</f>
        <v>0</v>
      </c>
      <c r="M517" s="23">
        <f>'[6]20нед'!D37</f>
        <v>0</v>
      </c>
      <c r="N517" s="21">
        <f>'[6]20нед'!G37</f>
        <v>0</v>
      </c>
      <c r="O517" s="22" t="str">
        <f>'[6]20нед'!H37</f>
        <v/>
      </c>
      <c r="P517" s="57" t="str">
        <f t="shared" si="27"/>
        <v/>
      </c>
    </row>
    <row r="518" spans="1:16" ht="31.5" x14ac:dyDescent="0.2">
      <c r="A518" s="65"/>
      <c r="B518" s="68"/>
      <c r="C518" s="14" t="s">
        <v>20</v>
      </c>
      <c r="D518" s="20">
        <f>'[5]17нед'!C38</f>
        <v>0</v>
      </c>
      <c r="E518" s="23">
        <f>'[5]17нед'!D38</f>
        <v>0</v>
      </c>
      <c r="F518" s="21">
        <f>'[5]17нед'!G38</f>
        <v>0</v>
      </c>
      <c r="G518" s="22" t="str">
        <f>'[5]17нед'!H38</f>
        <v/>
      </c>
      <c r="H518" s="57" t="str">
        <f t="shared" si="26"/>
        <v/>
      </c>
      <c r="I518" s="71"/>
      <c r="J518" s="74"/>
      <c r="K518" s="14" t="s">
        <v>20</v>
      </c>
      <c r="L518" s="20">
        <f>'[6]20нед'!C38</f>
        <v>0</v>
      </c>
      <c r="M518" s="23">
        <f>'[6]20нед'!D38</f>
        <v>0</v>
      </c>
      <c r="N518" s="21">
        <f>'[6]20нед'!G38</f>
        <v>0</v>
      </c>
      <c r="O518" s="22" t="str">
        <f>'[6]20нед'!H38</f>
        <v/>
      </c>
      <c r="P518" s="57" t="str">
        <f t="shared" si="27"/>
        <v/>
      </c>
    </row>
    <row r="519" spans="1:16" ht="31.5" x14ac:dyDescent="0.2">
      <c r="A519" s="65"/>
      <c r="B519" s="68"/>
      <c r="C519" s="14" t="s">
        <v>21</v>
      </c>
      <c r="D519" s="20">
        <f>'[5]17нед'!C39</f>
        <v>0</v>
      </c>
      <c r="E519" s="23">
        <f>'[5]17нед'!D39</f>
        <v>0</v>
      </c>
      <c r="F519" s="21">
        <f>'[5]17нед'!G39</f>
        <v>0</v>
      </c>
      <c r="G519" s="22" t="str">
        <f>'[5]17нед'!H39</f>
        <v/>
      </c>
      <c r="H519" s="57" t="str">
        <f t="shared" si="26"/>
        <v/>
      </c>
      <c r="I519" s="71"/>
      <c r="J519" s="74"/>
      <c r="K519" s="14" t="s">
        <v>21</v>
      </c>
      <c r="L519" s="20">
        <f>'[6]20нед'!C39</f>
        <v>0</v>
      </c>
      <c r="M519" s="23">
        <f>'[6]20нед'!D39</f>
        <v>0</v>
      </c>
      <c r="N519" s="21">
        <f>'[6]20нед'!G39</f>
        <v>0</v>
      </c>
      <c r="O519" s="22" t="str">
        <f>'[6]20нед'!H39</f>
        <v/>
      </c>
      <c r="P519" s="57" t="str">
        <f t="shared" si="27"/>
        <v/>
      </c>
    </row>
    <row r="520" spans="1:16" ht="31.5" x14ac:dyDescent="0.2">
      <c r="A520" s="65"/>
      <c r="B520" s="68"/>
      <c r="C520" s="14" t="s">
        <v>22</v>
      </c>
      <c r="D520" s="20">
        <f>'[5]17нед'!C40</f>
        <v>0</v>
      </c>
      <c r="E520" s="23">
        <f>'[5]17нед'!D40</f>
        <v>0</v>
      </c>
      <c r="F520" s="21">
        <f>'[5]17нед'!G40</f>
        <v>0</v>
      </c>
      <c r="G520" s="22" t="str">
        <f>'[5]17нед'!H40</f>
        <v/>
      </c>
      <c r="H520" s="57" t="str">
        <f t="shared" si="26"/>
        <v/>
      </c>
      <c r="I520" s="71"/>
      <c r="J520" s="74"/>
      <c r="K520" s="14" t="s">
        <v>22</v>
      </c>
      <c r="L520" s="20">
        <f>'[6]20нед'!C40</f>
        <v>0</v>
      </c>
      <c r="M520" s="23">
        <f>'[6]20нед'!D40</f>
        <v>0</v>
      </c>
      <c r="N520" s="21">
        <f>'[6]20нед'!G40</f>
        <v>0</v>
      </c>
      <c r="O520" s="22" t="str">
        <f>'[6]20нед'!H40</f>
        <v/>
      </c>
      <c r="P520" s="57" t="str">
        <f t="shared" si="27"/>
        <v/>
      </c>
    </row>
    <row r="521" spans="1:16" ht="31.5" x14ac:dyDescent="0.2">
      <c r="A521" s="65"/>
      <c r="B521" s="68"/>
      <c r="C521" s="14" t="s">
        <v>23</v>
      </c>
      <c r="D521" s="20">
        <f>'[5]17нед'!C41</f>
        <v>0</v>
      </c>
      <c r="E521" s="23">
        <f>'[5]17нед'!D41</f>
        <v>0</v>
      </c>
      <c r="F521" s="21">
        <f>'[5]17нед'!G41</f>
        <v>0</v>
      </c>
      <c r="G521" s="22" t="str">
        <f>'[5]17нед'!H41</f>
        <v/>
      </c>
      <c r="H521" s="55" t="str">
        <f t="shared" si="26"/>
        <v/>
      </c>
      <c r="I521" s="71"/>
      <c r="J521" s="74"/>
      <c r="K521" s="14" t="s">
        <v>23</v>
      </c>
      <c r="L521" s="20">
        <f>'[6]20нед'!C41</f>
        <v>0</v>
      </c>
      <c r="M521" s="23">
        <f>'[6]20нед'!D41</f>
        <v>0</v>
      </c>
      <c r="N521" s="21">
        <f>'[6]20нед'!G41</f>
        <v>0</v>
      </c>
      <c r="O521" s="22" t="str">
        <f>'[6]20нед'!H41</f>
        <v/>
      </c>
      <c r="P521" s="55" t="str">
        <f t="shared" si="27"/>
        <v/>
      </c>
    </row>
    <row r="522" spans="1:16" ht="32.25" thickBot="1" x14ac:dyDescent="0.25">
      <c r="A522" s="65"/>
      <c r="B522" s="68"/>
      <c r="C522" s="14" t="s">
        <v>24</v>
      </c>
      <c r="D522" s="20">
        <f>'[5]17нед'!C42</f>
        <v>0</v>
      </c>
      <c r="E522" s="23">
        <f>'[5]17нед'!D42</f>
        <v>0</v>
      </c>
      <c r="F522" s="21">
        <f>'[5]17нед'!G42</f>
        <v>0</v>
      </c>
      <c r="G522" s="22" t="str">
        <f>'[5]17нед'!H42</f>
        <v/>
      </c>
      <c r="H522" s="55" t="str">
        <f t="shared" si="26"/>
        <v/>
      </c>
      <c r="I522" s="71"/>
      <c r="J522" s="74"/>
      <c r="K522" s="14" t="s">
        <v>24</v>
      </c>
      <c r="L522" s="20">
        <f>'[6]20нед'!C42</f>
        <v>0</v>
      </c>
      <c r="M522" s="23">
        <f>'[6]20нед'!D42</f>
        <v>0</v>
      </c>
      <c r="N522" s="21">
        <f>'[6]20нед'!G42</f>
        <v>0</v>
      </c>
      <c r="O522" s="22" t="str">
        <f>'[6]20нед'!H42</f>
        <v/>
      </c>
      <c r="P522" s="55" t="str">
        <f t="shared" si="27"/>
        <v/>
      </c>
    </row>
    <row r="523" spans="1:16" ht="18.399999999999999" hidden="1" customHeight="1" thickBot="1" x14ac:dyDescent="0.25">
      <c r="A523" s="66"/>
      <c r="B523" s="69"/>
      <c r="C523" s="15"/>
      <c r="D523" s="24">
        <f>'[5]17нед'!C43</f>
        <v>0</v>
      </c>
      <c r="E523" s="25">
        <f>'[5]17нед'!D43</f>
        <v>0</v>
      </c>
      <c r="F523" s="26">
        <f>'[5]17нед'!G43</f>
        <v>0</v>
      </c>
      <c r="G523" s="27" t="str">
        <f>'[5]17нед'!H43</f>
        <v/>
      </c>
      <c r="H523" s="58" t="str">
        <f t="shared" si="26"/>
        <v/>
      </c>
      <c r="I523" s="72"/>
      <c r="J523" s="75"/>
      <c r="K523" s="15"/>
      <c r="L523" s="24">
        <f>'[6]20нед'!C43</f>
        <v>0</v>
      </c>
      <c r="M523" s="25">
        <f>'[6]20нед'!D43</f>
        <v>0</v>
      </c>
      <c r="N523" s="26">
        <f>'[6]20нед'!G43</f>
        <v>0</v>
      </c>
      <c r="O523" s="27" t="str">
        <f>'[6]20нед'!H43</f>
        <v/>
      </c>
      <c r="P523" s="58" t="str">
        <f t="shared" si="27"/>
        <v/>
      </c>
    </row>
    <row r="524" spans="1:16" ht="48" customHeight="1" thickTop="1" x14ac:dyDescent="0.2">
      <c r="A524" s="64">
        <v>46381</v>
      </c>
      <c r="B524" s="67" t="s">
        <v>28</v>
      </c>
      <c r="C524" s="29" t="s">
        <v>18</v>
      </c>
      <c r="D524" s="16">
        <f>'[5]17нед'!C44</f>
        <v>0</v>
      </c>
      <c r="E524" s="19">
        <f>'[5]17нед'!D44</f>
        <v>0</v>
      </c>
      <c r="F524" s="17">
        <f>'[5]17нед'!G44</f>
        <v>0</v>
      </c>
      <c r="G524" s="18" t="str">
        <f>'[5]17нед'!H44</f>
        <v/>
      </c>
      <c r="H524" s="56" t="str">
        <f t="shared" si="26"/>
        <v/>
      </c>
      <c r="I524" s="70">
        <v>46402</v>
      </c>
      <c r="J524" s="73" t="s">
        <v>28</v>
      </c>
      <c r="K524" s="29" t="s">
        <v>18</v>
      </c>
      <c r="L524" s="16">
        <f>'[6]20нед'!C44</f>
        <v>0</v>
      </c>
      <c r="M524" s="19">
        <f>'[6]20нед'!D44</f>
        <v>0</v>
      </c>
      <c r="N524" s="17">
        <f>'[6]20нед'!G44</f>
        <v>0</v>
      </c>
      <c r="O524" s="18" t="str">
        <f>'[6]20нед'!H44</f>
        <v/>
      </c>
      <c r="P524" s="56" t="str">
        <f t="shared" si="27"/>
        <v/>
      </c>
    </row>
    <row r="525" spans="1:16" ht="31.5" x14ac:dyDescent="0.2">
      <c r="A525" s="65"/>
      <c r="B525" s="68"/>
      <c r="C525" s="14" t="s">
        <v>19</v>
      </c>
      <c r="D525" s="20">
        <f>'[5]17нед'!C45</f>
        <v>0</v>
      </c>
      <c r="E525" s="23">
        <f>'[5]17нед'!D45</f>
        <v>0</v>
      </c>
      <c r="F525" s="21">
        <f>'[5]17нед'!G45</f>
        <v>0</v>
      </c>
      <c r="G525" s="22" t="str">
        <f>'[5]17нед'!H45</f>
        <v/>
      </c>
      <c r="H525" s="57" t="str">
        <f t="shared" si="26"/>
        <v/>
      </c>
      <c r="I525" s="71"/>
      <c r="J525" s="74"/>
      <c r="K525" s="14" t="s">
        <v>19</v>
      </c>
      <c r="L525" s="20">
        <f>'[6]20нед'!C45</f>
        <v>0</v>
      </c>
      <c r="M525" s="23">
        <f>'[6]20нед'!D45</f>
        <v>0</v>
      </c>
      <c r="N525" s="21">
        <f>'[6]20нед'!G45</f>
        <v>0</v>
      </c>
      <c r="O525" s="22" t="str">
        <f>'[6]20нед'!H45</f>
        <v/>
      </c>
      <c r="P525" s="57" t="str">
        <f t="shared" si="27"/>
        <v/>
      </c>
    </row>
    <row r="526" spans="1:16" ht="31.5" x14ac:dyDescent="0.2">
      <c r="A526" s="65"/>
      <c r="B526" s="68"/>
      <c r="C526" s="14" t="s">
        <v>20</v>
      </c>
      <c r="D526" s="20">
        <f>'[5]17нед'!C46</f>
        <v>0</v>
      </c>
      <c r="E526" s="23">
        <f>'[5]17нед'!D46</f>
        <v>0</v>
      </c>
      <c r="F526" s="21">
        <f>'[5]17нед'!G46</f>
        <v>0</v>
      </c>
      <c r="G526" s="22" t="str">
        <f>'[5]17нед'!H46</f>
        <v/>
      </c>
      <c r="H526" s="57" t="str">
        <f t="shared" si="26"/>
        <v/>
      </c>
      <c r="I526" s="71"/>
      <c r="J526" s="74"/>
      <c r="K526" s="14" t="s">
        <v>20</v>
      </c>
      <c r="L526" s="20">
        <f>'[6]20нед'!C46</f>
        <v>0</v>
      </c>
      <c r="M526" s="23">
        <f>'[6]20нед'!D46</f>
        <v>0</v>
      </c>
      <c r="N526" s="21">
        <f>'[6]20нед'!G46</f>
        <v>0</v>
      </c>
      <c r="O526" s="22" t="str">
        <f>'[6]20нед'!H46</f>
        <v/>
      </c>
      <c r="P526" s="57" t="str">
        <f t="shared" si="27"/>
        <v/>
      </c>
    </row>
    <row r="527" spans="1:16" ht="31.5" x14ac:dyDescent="0.2">
      <c r="A527" s="65"/>
      <c r="B527" s="68"/>
      <c r="C527" s="14" t="s">
        <v>21</v>
      </c>
      <c r="D527" s="20">
        <f>'[5]17нед'!C47</f>
        <v>0</v>
      </c>
      <c r="E527" s="23">
        <f>'[5]17нед'!D47</f>
        <v>0</v>
      </c>
      <c r="F527" s="21">
        <f>'[5]17нед'!G47</f>
        <v>0</v>
      </c>
      <c r="G527" s="22" t="str">
        <f>'[5]17нед'!H47</f>
        <v/>
      </c>
      <c r="H527" s="57" t="str">
        <f t="shared" si="26"/>
        <v/>
      </c>
      <c r="I527" s="71"/>
      <c r="J527" s="74"/>
      <c r="K527" s="14" t="s">
        <v>21</v>
      </c>
      <c r="L527" s="20">
        <f>'[6]20нед'!C47</f>
        <v>0</v>
      </c>
      <c r="M527" s="23">
        <f>'[6]20нед'!D47</f>
        <v>0</v>
      </c>
      <c r="N527" s="21">
        <f>'[6]20нед'!G47</f>
        <v>0</v>
      </c>
      <c r="O527" s="22" t="str">
        <f>'[6]20нед'!H47</f>
        <v/>
      </c>
      <c r="P527" s="57" t="str">
        <f t="shared" si="27"/>
        <v/>
      </c>
    </row>
    <row r="528" spans="1:16" ht="31.5" x14ac:dyDescent="0.2">
      <c r="A528" s="65"/>
      <c r="B528" s="68"/>
      <c r="C528" s="14" t="s">
        <v>22</v>
      </c>
      <c r="D528" s="20">
        <f>'[5]17нед'!C48</f>
        <v>0</v>
      </c>
      <c r="E528" s="23">
        <f>'[5]17нед'!D48</f>
        <v>0</v>
      </c>
      <c r="F528" s="21">
        <f>'[5]17нед'!G48</f>
        <v>0</v>
      </c>
      <c r="G528" s="22" t="str">
        <f>'[5]17нед'!H48</f>
        <v/>
      </c>
      <c r="H528" s="57" t="str">
        <f t="shared" si="26"/>
        <v/>
      </c>
      <c r="I528" s="71"/>
      <c r="J528" s="74"/>
      <c r="K528" s="14" t="s">
        <v>22</v>
      </c>
      <c r="L528" s="20">
        <f>'[6]20нед'!C48</f>
        <v>0</v>
      </c>
      <c r="M528" s="23">
        <f>'[6]20нед'!D48</f>
        <v>0</v>
      </c>
      <c r="N528" s="21">
        <f>'[6]20нед'!G48</f>
        <v>0</v>
      </c>
      <c r="O528" s="22" t="str">
        <f>'[6]20нед'!H48</f>
        <v/>
      </c>
      <c r="P528" s="57" t="str">
        <f t="shared" si="27"/>
        <v/>
      </c>
    </row>
    <row r="529" spans="1:16" ht="31.5" x14ac:dyDescent="0.2">
      <c r="A529" s="65"/>
      <c r="B529" s="68"/>
      <c r="C529" s="14" t="s">
        <v>23</v>
      </c>
      <c r="D529" s="20">
        <f>'[5]17нед'!C49</f>
        <v>0</v>
      </c>
      <c r="E529" s="23">
        <f>'[5]17нед'!D49</f>
        <v>0</v>
      </c>
      <c r="F529" s="21">
        <f>'[5]17нед'!G49</f>
        <v>0</v>
      </c>
      <c r="G529" s="22" t="str">
        <f>'[5]17нед'!H49</f>
        <v/>
      </c>
      <c r="H529" s="57" t="str">
        <f t="shared" si="26"/>
        <v/>
      </c>
      <c r="I529" s="71"/>
      <c r="J529" s="74"/>
      <c r="K529" s="14" t="s">
        <v>23</v>
      </c>
      <c r="L529" s="20">
        <f>'[6]20нед'!C49</f>
        <v>0</v>
      </c>
      <c r="M529" s="23">
        <f>'[6]20нед'!D49</f>
        <v>0</v>
      </c>
      <c r="N529" s="21">
        <f>'[6]20нед'!G49</f>
        <v>0</v>
      </c>
      <c r="O529" s="22" t="str">
        <f>'[6]20нед'!H49</f>
        <v/>
      </c>
      <c r="P529" s="57" t="str">
        <f t="shared" si="27"/>
        <v/>
      </c>
    </row>
    <row r="530" spans="1:16" ht="32.25" thickBot="1" x14ac:dyDescent="0.25">
      <c r="A530" s="65"/>
      <c r="B530" s="68"/>
      <c r="C530" s="14" t="s">
        <v>24</v>
      </c>
      <c r="D530" s="20">
        <f>'[5]17нед'!C50</f>
        <v>0</v>
      </c>
      <c r="E530" s="23">
        <f>'[5]17нед'!D50</f>
        <v>0</v>
      </c>
      <c r="F530" s="21">
        <f>'[5]17нед'!G50</f>
        <v>0</v>
      </c>
      <c r="G530" s="22" t="str">
        <f>'[5]17нед'!H50</f>
        <v/>
      </c>
      <c r="H530" s="57" t="str">
        <f t="shared" si="26"/>
        <v/>
      </c>
      <c r="I530" s="71"/>
      <c r="J530" s="74"/>
      <c r="K530" s="14" t="s">
        <v>24</v>
      </c>
      <c r="L530" s="20">
        <f>'[6]20нед'!C50</f>
        <v>0</v>
      </c>
      <c r="M530" s="23">
        <f>'[6]20нед'!D50</f>
        <v>0</v>
      </c>
      <c r="N530" s="21">
        <f>'[6]20нед'!G50</f>
        <v>0</v>
      </c>
      <c r="O530" s="22" t="str">
        <f>'[6]20нед'!H50</f>
        <v/>
      </c>
      <c r="P530" s="57" t="str">
        <f t="shared" si="27"/>
        <v/>
      </c>
    </row>
    <row r="531" spans="1:16" ht="18.399999999999999" hidden="1" customHeight="1" thickBot="1" x14ac:dyDescent="0.25">
      <c r="A531" s="66"/>
      <c r="B531" s="69"/>
      <c r="C531" s="15"/>
      <c r="D531" s="24">
        <f>'[5]17нед'!C51</f>
        <v>0</v>
      </c>
      <c r="E531" s="25">
        <f>'[5]17нед'!D51</f>
        <v>0</v>
      </c>
      <c r="F531" s="26">
        <f>'[5]17нед'!G51</f>
        <v>0</v>
      </c>
      <c r="G531" s="27" t="str">
        <f>'[5]17нед'!H51</f>
        <v/>
      </c>
      <c r="H531" s="58" t="str">
        <f t="shared" si="26"/>
        <v/>
      </c>
      <c r="I531" s="72"/>
      <c r="J531" s="75"/>
      <c r="K531" s="15"/>
      <c r="L531" s="24">
        <f>'[6]20нед'!C51</f>
        <v>0</v>
      </c>
      <c r="M531" s="25">
        <f>'[6]20нед'!D51</f>
        <v>0</v>
      </c>
      <c r="N531" s="26">
        <f>'[6]20нед'!G51</f>
        <v>0</v>
      </c>
      <c r="O531" s="27" t="str">
        <f>'[6]20нед'!H51</f>
        <v/>
      </c>
      <c r="P531" s="58" t="str">
        <f t="shared" si="27"/>
        <v/>
      </c>
    </row>
    <row r="532" spans="1:16" ht="48" customHeight="1" thickTop="1" x14ac:dyDescent="0.2">
      <c r="A532" s="64">
        <v>46382</v>
      </c>
      <c r="B532" s="67" t="s">
        <v>29</v>
      </c>
      <c r="C532" s="29" t="s">
        <v>18</v>
      </c>
      <c r="D532" s="16">
        <f>'[5]17нед'!C52</f>
        <v>0</v>
      </c>
      <c r="E532" s="19">
        <f>'[5]17нед'!D52</f>
        <v>0</v>
      </c>
      <c r="F532" s="17">
        <f>'[5]17нед'!G52</f>
        <v>0</v>
      </c>
      <c r="G532" s="18" t="str">
        <f>'[5]17нед'!H52</f>
        <v/>
      </c>
      <c r="H532" s="56" t="str">
        <f t="shared" si="26"/>
        <v/>
      </c>
      <c r="I532" s="70">
        <v>46403</v>
      </c>
      <c r="J532" s="73" t="s">
        <v>29</v>
      </c>
      <c r="K532" s="29" t="s">
        <v>18</v>
      </c>
      <c r="L532" s="16">
        <f>'[6]20нед'!C52</f>
        <v>0</v>
      </c>
      <c r="M532" s="19">
        <f>'[6]20нед'!D52</f>
        <v>0</v>
      </c>
      <c r="N532" s="17">
        <f>'[6]20нед'!G52</f>
        <v>0</v>
      </c>
      <c r="O532" s="18" t="str">
        <f>'[6]20нед'!H52</f>
        <v/>
      </c>
      <c r="P532" s="56" t="str">
        <f t="shared" si="27"/>
        <v/>
      </c>
    </row>
    <row r="533" spans="1:16" ht="31.5" x14ac:dyDescent="0.2">
      <c r="A533" s="65"/>
      <c r="B533" s="68"/>
      <c r="C533" s="14" t="s">
        <v>19</v>
      </c>
      <c r="D533" s="20">
        <f>'[5]17нед'!C53</f>
        <v>0</v>
      </c>
      <c r="E533" s="23">
        <f>'[5]17нед'!D53</f>
        <v>0</v>
      </c>
      <c r="F533" s="21">
        <f>'[5]17нед'!G53</f>
        <v>0</v>
      </c>
      <c r="G533" s="22" t="str">
        <f>'[5]17нед'!H53</f>
        <v/>
      </c>
      <c r="H533" s="57" t="str">
        <f t="shared" si="26"/>
        <v/>
      </c>
      <c r="I533" s="71"/>
      <c r="J533" s="74"/>
      <c r="K533" s="14" t="s">
        <v>19</v>
      </c>
      <c r="L533" s="20">
        <f>'[6]20нед'!C53</f>
        <v>0</v>
      </c>
      <c r="M533" s="23">
        <f>'[6]20нед'!D53</f>
        <v>0</v>
      </c>
      <c r="N533" s="21">
        <f>'[6]20нед'!G53</f>
        <v>0</v>
      </c>
      <c r="O533" s="22" t="str">
        <f>'[6]20нед'!H53</f>
        <v/>
      </c>
      <c r="P533" s="57" t="str">
        <f t="shared" si="27"/>
        <v/>
      </c>
    </row>
    <row r="534" spans="1:16" ht="31.5" x14ac:dyDescent="0.2">
      <c r="A534" s="65"/>
      <c r="B534" s="68"/>
      <c r="C534" s="14" t="s">
        <v>20</v>
      </c>
      <c r="D534" s="20">
        <f>'[5]17нед'!C54</f>
        <v>0</v>
      </c>
      <c r="E534" s="23">
        <f>'[5]17нед'!D54</f>
        <v>0</v>
      </c>
      <c r="F534" s="21">
        <f>'[5]17нед'!G54</f>
        <v>0</v>
      </c>
      <c r="G534" s="22" t="str">
        <f>'[5]17нед'!H54</f>
        <v/>
      </c>
      <c r="H534" s="57" t="str">
        <f t="shared" si="26"/>
        <v/>
      </c>
      <c r="I534" s="71"/>
      <c r="J534" s="74"/>
      <c r="K534" s="14" t="s">
        <v>20</v>
      </c>
      <c r="L534" s="20">
        <f>'[6]20нед'!C54</f>
        <v>0</v>
      </c>
      <c r="M534" s="23">
        <f>'[6]20нед'!D54</f>
        <v>0</v>
      </c>
      <c r="N534" s="21">
        <f>'[6]20нед'!G54</f>
        <v>0</v>
      </c>
      <c r="O534" s="22" t="str">
        <f>'[6]20нед'!H54</f>
        <v/>
      </c>
      <c r="P534" s="57" t="str">
        <f t="shared" si="27"/>
        <v/>
      </c>
    </row>
    <row r="535" spans="1:16" ht="31.5" x14ac:dyDescent="0.2">
      <c r="A535" s="65"/>
      <c r="B535" s="68"/>
      <c r="C535" s="14" t="s">
        <v>21</v>
      </c>
      <c r="D535" s="20">
        <f>'[5]17нед'!C55</f>
        <v>0</v>
      </c>
      <c r="E535" s="23">
        <f>'[5]17нед'!D55</f>
        <v>0</v>
      </c>
      <c r="F535" s="21">
        <f>'[5]17нед'!G55</f>
        <v>0</v>
      </c>
      <c r="G535" s="22" t="str">
        <f>'[5]17нед'!H55</f>
        <v/>
      </c>
      <c r="H535" s="57" t="str">
        <f t="shared" si="26"/>
        <v/>
      </c>
      <c r="I535" s="71"/>
      <c r="J535" s="74"/>
      <c r="K535" s="14" t="s">
        <v>21</v>
      </c>
      <c r="L535" s="20">
        <f>'[6]20нед'!C55</f>
        <v>0</v>
      </c>
      <c r="M535" s="23">
        <f>'[6]20нед'!D55</f>
        <v>0</v>
      </c>
      <c r="N535" s="21">
        <f>'[6]20нед'!G55</f>
        <v>0</v>
      </c>
      <c r="O535" s="22" t="str">
        <f>'[6]20нед'!H55</f>
        <v/>
      </c>
      <c r="P535" s="57" t="str">
        <f t="shared" si="27"/>
        <v/>
      </c>
    </row>
    <row r="536" spans="1:16" ht="31.5" x14ac:dyDescent="0.2">
      <c r="A536" s="65"/>
      <c r="B536" s="68"/>
      <c r="C536" s="14" t="s">
        <v>22</v>
      </c>
      <c r="D536" s="20">
        <f>'[5]17нед'!C56</f>
        <v>0</v>
      </c>
      <c r="E536" s="23">
        <f>'[5]17нед'!D56</f>
        <v>0</v>
      </c>
      <c r="F536" s="21">
        <f>'[5]17нед'!G56</f>
        <v>0</v>
      </c>
      <c r="G536" s="22" t="str">
        <f>'[5]17нед'!H56</f>
        <v/>
      </c>
      <c r="H536" s="57" t="str">
        <f t="shared" si="26"/>
        <v/>
      </c>
      <c r="I536" s="71"/>
      <c r="J536" s="74"/>
      <c r="K536" s="14" t="s">
        <v>22</v>
      </c>
      <c r="L536" s="20">
        <f>'[6]20нед'!C56</f>
        <v>0</v>
      </c>
      <c r="M536" s="23">
        <f>'[6]20нед'!D56</f>
        <v>0</v>
      </c>
      <c r="N536" s="21">
        <f>'[6]20нед'!G56</f>
        <v>0</v>
      </c>
      <c r="O536" s="22" t="str">
        <f>'[6]20нед'!H56</f>
        <v/>
      </c>
      <c r="P536" s="57" t="str">
        <f t="shared" si="27"/>
        <v/>
      </c>
    </row>
    <row r="537" spans="1:16" ht="31.5" x14ac:dyDescent="0.2">
      <c r="A537" s="65"/>
      <c r="B537" s="68"/>
      <c r="C537" s="14" t="s">
        <v>23</v>
      </c>
      <c r="D537" s="20">
        <f>'[5]17нед'!C57</f>
        <v>0</v>
      </c>
      <c r="E537" s="23">
        <f>'[5]17нед'!D57</f>
        <v>0</v>
      </c>
      <c r="F537" s="21">
        <f>'[5]17нед'!G57</f>
        <v>0</v>
      </c>
      <c r="G537" s="22" t="str">
        <f>'[5]17нед'!H57</f>
        <v/>
      </c>
      <c r="H537" s="57" t="str">
        <f t="shared" si="26"/>
        <v/>
      </c>
      <c r="I537" s="71"/>
      <c r="J537" s="74"/>
      <c r="K537" s="14" t="s">
        <v>23</v>
      </c>
      <c r="L537" s="20">
        <f>'[6]20нед'!C57</f>
        <v>0</v>
      </c>
      <c r="M537" s="23">
        <f>'[6]20нед'!D57</f>
        <v>0</v>
      </c>
      <c r="N537" s="21">
        <f>'[6]20нед'!G57</f>
        <v>0</v>
      </c>
      <c r="O537" s="22" t="str">
        <f>'[6]20нед'!H57</f>
        <v/>
      </c>
      <c r="P537" s="57" t="str">
        <f t="shared" si="27"/>
        <v/>
      </c>
    </row>
    <row r="538" spans="1:16" ht="32.25" thickBot="1" x14ac:dyDescent="0.25">
      <c r="A538" s="65"/>
      <c r="B538" s="68"/>
      <c r="C538" s="14" t="s">
        <v>24</v>
      </c>
      <c r="D538" s="20">
        <f>'[5]17нед'!C58</f>
        <v>0</v>
      </c>
      <c r="E538" s="23">
        <f>'[5]17нед'!D58</f>
        <v>0</v>
      </c>
      <c r="F538" s="21">
        <f>'[5]17нед'!G58</f>
        <v>0</v>
      </c>
      <c r="G538" s="22" t="str">
        <f>'[5]17нед'!H58</f>
        <v/>
      </c>
      <c r="H538" s="57" t="str">
        <f t="shared" si="26"/>
        <v/>
      </c>
      <c r="I538" s="71"/>
      <c r="J538" s="74"/>
      <c r="K538" s="14" t="s">
        <v>24</v>
      </c>
      <c r="L538" s="20">
        <f>'[6]20нед'!C58</f>
        <v>0</v>
      </c>
      <c r="M538" s="23">
        <f>'[6]20нед'!D58</f>
        <v>0</v>
      </c>
      <c r="N538" s="21">
        <f>'[6]20нед'!G58</f>
        <v>0</v>
      </c>
      <c r="O538" s="22" t="str">
        <f>'[6]20нед'!H58</f>
        <v/>
      </c>
      <c r="P538" s="57" t="str">
        <f t="shared" si="27"/>
        <v/>
      </c>
    </row>
    <row r="539" spans="1:16" ht="19.149999999999999" hidden="1" customHeight="1" thickTop="1" thickBot="1" x14ac:dyDescent="0.25">
      <c r="A539" s="66"/>
      <c r="B539" s="69"/>
      <c r="C539" s="15"/>
      <c r="D539" s="16">
        <f>'[5]17нед'!C59</f>
        <v>0</v>
      </c>
      <c r="E539" s="19">
        <f>'[5]17нед'!D59</f>
        <v>0</v>
      </c>
      <c r="F539" s="17">
        <f>'[5]17нед'!G59</f>
        <v>0</v>
      </c>
      <c r="G539" s="18" t="str">
        <f>'[5]17нед'!H59</f>
        <v/>
      </c>
      <c r="H539" s="40"/>
      <c r="I539" s="72"/>
      <c r="J539" s="75"/>
      <c r="K539" s="15"/>
      <c r="L539" s="24">
        <f>'[5]18нед'!C59</f>
        <v>0</v>
      </c>
      <c r="M539" s="25">
        <f>'[5]18нед'!D59</f>
        <v>0</v>
      </c>
      <c r="N539" s="26">
        <f>'[5]18нед'!G59</f>
        <v>0</v>
      </c>
      <c r="O539" s="27" t="str">
        <f>'[5]18нед'!H59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  <row r="541" spans="1:16" ht="15.75" x14ac:dyDescent="0.25">
      <c r="A541" s="45"/>
      <c r="B541" s="1"/>
      <c r="C541" s="2"/>
      <c r="D541" s="3"/>
      <c r="E541" s="3"/>
      <c r="F541" s="3"/>
      <c r="G541" s="3"/>
      <c r="H541" s="4" t="s">
        <v>0</v>
      </c>
      <c r="I541" s="45"/>
      <c r="J541" s="1"/>
      <c r="K541" s="2"/>
      <c r="L541" s="3"/>
      <c r="M541" s="3"/>
      <c r="N541" s="3"/>
      <c r="O541" s="3"/>
      <c r="P541" s="4" t="s">
        <v>0</v>
      </c>
    </row>
    <row r="542" spans="1:16" ht="15.75" x14ac:dyDescent="0.25">
      <c r="A542" s="45"/>
      <c r="B542" s="1"/>
      <c r="C542" s="2"/>
      <c r="D542" s="3"/>
      <c r="E542" s="3"/>
      <c r="F542" s="3"/>
      <c r="G542" s="3"/>
      <c r="H542" s="4" t="s">
        <v>1</v>
      </c>
      <c r="I542" s="45"/>
      <c r="J542" s="1"/>
      <c r="K542" s="2"/>
      <c r="L542" s="3"/>
      <c r="M542" s="3"/>
      <c r="N542" s="3"/>
      <c r="O542" s="3"/>
      <c r="P542" s="4" t="s">
        <v>1</v>
      </c>
    </row>
    <row r="543" spans="1:16" ht="15.75" x14ac:dyDescent="0.25">
      <c r="A543" s="45"/>
      <c r="B543" s="1"/>
      <c r="C543" s="2"/>
      <c r="D543" s="3"/>
      <c r="E543" s="3"/>
      <c r="F543" s="3"/>
      <c r="G543" s="3"/>
      <c r="H543" s="4" t="s">
        <v>2</v>
      </c>
      <c r="I543" s="45"/>
      <c r="J543" s="1"/>
      <c r="K543" s="2"/>
      <c r="L543" s="3"/>
      <c r="M543" s="3"/>
      <c r="N543" s="3"/>
      <c r="O543" s="3"/>
      <c r="P543" s="4" t="s">
        <v>2</v>
      </c>
    </row>
    <row r="544" spans="1:16" ht="15.75" x14ac:dyDescent="0.25">
      <c r="A544" s="45"/>
      <c r="B544" s="1"/>
      <c r="C544" s="2"/>
      <c r="D544" s="3"/>
      <c r="E544" s="3"/>
      <c r="F544" s="3"/>
      <c r="G544" s="3"/>
      <c r="H544" s="4" t="s">
        <v>3</v>
      </c>
      <c r="I544" s="45"/>
      <c r="J544" s="1"/>
      <c r="K544" s="2"/>
      <c r="L544" s="3"/>
      <c r="M544" s="3"/>
      <c r="N544" s="3"/>
      <c r="O544" s="3"/>
      <c r="P544" s="4" t="s">
        <v>3</v>
      </c>
    </row>
    <row r="545" spans="1:16" ht="15.75" x14ac:dyDescent="0.25">
      <c r="A545" s="45"/>
      <c r="B545" s="5"/>
      <c r="C545" s="2"/>
      <c r="D545" s="3"/>
      <c r="E545" s="3"/>
      <c r="F545" s="3"/>
      <c r="G545" s="3"/>
      <c r="H545" s="3"/>
      <c r="I545" s="45"/>
      <c r="J545" s="5"/>
      <c r="K545" s="2"/>
      <c r="L545" s="3"/>
      <c r="M545" s="3"/>
      <c r="N545" s="3"/>
      <c r="O545" s="3"/>
      <c r="P545" s="3"/>
    </row>
    <row r="546" spans="1:16" ht="15.75" x14ac:dyDescent="0.25">
      <c r="A546" s="45"/>
      <c r="B546" s="90" t="s">
        <v>4</v>
      </c>
      <c r="C546" s="90"/>
      <c r="D546" s="90"/>
      <c r="E546" s="90"/>
      <c r="F546" s="90"/>
      <c r="G546" s="90"/>
      <c r="H546" s="90"/>
      <c r="I546" s="45"/>
      <c r="J546" s="90" t="s">
        <v>4</v>
      </c>
      <c r="K546" s="90"/>
      <c r="L546" s="90"/>
      <c r="M546" s="90"/>
      <c r="N546" s="90"/>
      <c r="O546" s="90"/>
      <c r="P546" s="90"/>
    </row>
    <row r="547" spans="1:16" ht="15.75" x14ac:dyDescent="0.2">
      <c r="A547" s="46"/>
      <c r="B547" s="62" t="str">
        <f>'[1]1нед'!$A$6</f>
        <v>Направление подготовки:</v>
      </c>
      <c r="C547" s="6"/>
      <c r="D547" s="7"/>
      <c r="E547" s="8" t="str">
        <f>E127</f>
        <v>00</v>
      </c>
      <c r="F547" s="7"/>
      <c r="G547" s="7">
        <f>G67</f>
        <v>0</v>
      </c>
      <c r="H547" s="36"/>
      <c r="I547" s="46"/>
      <c r="J547" s="62" t="str">
        <f>'[1]1нед'!$A$6</f>
        <v>Направление подготовки:</v>
      </c>
      <c r="K547" s="6"/>
      <c r="L547" s="7"/>
      <c r="M547" s="8" t="str">
        <f>E127</f>
        <v>00</v>
      </c>
      <c r="N547" s="7"/>
      <c r="O547" s="7">
        <f>G67</f>
        <v>0</v>
      </c>
      <c r="P547" s="36"/>
    </row>
    <row r="548" spans="1:16" ht="15.75" x14ac:dyDescent="0.25">
      <c r="A548" s="45"/>
      <c r="B548" s="81" t="s">
        <v>5</v>
      </c>
      <c r="C548" s="81"/>
      <c r="D548" s="81"/>
      <c r="E548" s="81" t="str">
        <f t="shared" ref="E548" si="28">E68</f>
        <v>очная</v>
      </c>
      <c r="F548" s="81"/>
      <c r="G548" s="81"/>
      <c r="H548" s="81"/>
      <c r="I548" s="45"/>
      <c r="J548" s="81" t="s">
        <v>5</v>
      </c>
      <c r="K548" s="81"/>
      <c r="L548" s="81"/>
      <c r="M548" s="81" t="str">
        <f t="shared" ref="M548" si="29">E68</f>
        <v>очная</v>
      </c>
      <c r="N548" s="81"/>
      <c r="O548" s="81"/>
      <c r="P548" s="81"/>
    </row>
    <row r="549" spans="1:16" ht="15.75" x14ac:dyDescent="0.25">
      <c r="A549" s="45"/>
      <c r="B549" s="81" t="s">
        <v>7</v>
      </c>
      <c r="C549" s="81"/>
      <c r="D549" s="81"/>
      <c r="E549" s="62">
        <f>E69</f>
        <v>1</v>
      </c>
      <c r="F549" s="62"/>
      <c r="G549" s="62"/>
      <c r="H549" s="35"/>
      <c r="I549" s="45"/>
      <c r="J549" s="81" t="s">
        <v>7</v>
      </c>
      <c r="K549" s="81"/>
      <c r="L549" s="81"/>
      <c r="M549" s="62">
        <f>E69</f>
        <v>1</v>
      </c>
      <c r="N549" s="62"/>
      <c r="O549" s="62"/>
      <c r="P549" s="35"/>
    </row>
    <row r="550" spans="1:16" ht="16.5" thickBot="1" x14ac:dyDescent="0.3">
      <c r="A550" s="45"/>
      <c r="B550" s="78" t="s">
        <v>8</v>
      </c>
      <c r="C550" s="78"/>
      <c r="D550" s="78"/>
      <c r="E550" s="63">
        <f>M490+1</f>
        <v>21</v>
      </c>
      <c r="F550" s="63"/>
      <c r="G550" s="63"/>
      <c r="H550" s="37"/>
      <c r="I550" s="45"/>
      <c r="J550" s="78" t="s">
        <v>8</v>
      </c>
      <c r="K550" s="78"/>
      <c r="L550" s="78"/>
      <c r="M550" s="63">
        <f>E550+1</f>
        <v>22</v>
      </c>
      <c r="N550" s="63"/>
      <c r="O550" s="63"/>
      <c r="P550" s="37"/>
    </row>
    <row r="551" spans="1:16" ht="28.35" customHeight="1" thickTop="1" thickBot="1" x14ac:dyDescent="0.25">
      <c r="A551" s="79" t="s">
        <v>9</v>
      </c>
      <c r="B551" s="80"/>
      <c r="C551" s="10" t="s">
        <v>10</v>
      </c>
      <c r="D551" s="11" t="s">
        <v>11</v>
      </c>
      <c r="E551" s="12" t="s">
        <v>12</v>
      </c>
      <c r="F551" s="76" t="s">
        <v>13</v>
      </c>
      <c r="G551" s="77"/>
      <c r="H551" s="13" t="s">
        <v>14</v>
      </c>
      <c r="I551" s="79" t="s">
        <v>9</v>
      </c>
      <c r="J551" s="80"/>
      <c r="K551" s="10" t="s">
        <v>10</v>
      </c>
      <c r="L551" s="11" t="s">
        <v>11</v>
      </c>
      <c r="M551" s="12" t="s">
        <v>12</v>
      </c>
      <c r="N551" s="76" t="s">
        <v>13</v>
      </c>
      <c r="O551" s="77"/>
      <c r="P551" s="13" t="s">
        <v>14</v>
      </c>
    </row>
    <row r="552" spans="1:16" ht="36.4" customHeight="1" thickTop="1" x14ac:dyDescent="0.2">
      <c r="A552" s="70">
        <v>46405</v>
      </c>
      <c r="B552" s="67" t="s">
        <v>17</v>
      </c>
      <c r="C552" s="14" t="s">
        <v>18</v>
      </c>
      <c r="D552" s="16">
        <f>'[6]21нед'!C12</f>
        <v>0</v>
      </c>
      <c r="E552" s="19">
        <f>'[6]21нед'!D12</f>
        <v>0</v>
      </c>
      <c r="F552" s="17">
        <f>'[6]21нед'!G12</f>
        <v>0</v>
      </c>
      <c r="G552" s="18" t="str">
        <f>'[6]21нед'!H12</f>
        <v/>
      </c>
      <c r="H552" s="56" t="str">
        <f>HYPERLINK(VLOOKUP(E552,$R$12:$S$332,2,FALSE))</f>
        <v/>
      </c>
      <c r="I552" s="70">
        <v>46412</v>
      </c>
      <c r="J552" s="73" t="s">
        <v>17</v>
      </c>
      <c r="K552" s="14" t="s">
        <v>18</v>
      </c>
      <c r="L552" s="16">
        <f>'[6]22нед'!C12</f>
        <v>0</v>
      </c>
      <c r="M552" s="19">
        <f>'[6]22нед'!D12</f>
        <v>0</v>
      </c>
      <c r="N552" s="17">
        <f>'[6]22нед'!G12</f>
        <v>0</v>
      </c>
      <c r="O552" s="18" t="str">
        <f>'[6]22нед'!H12</f>
        <v/>
      </c>
      <c r="P552" s="56" t="str">
        <f>HYPERLINK(VLOOKUP(M552,$R$12:$S$332,2,FALSE))</f>
        <v/>
      </c>
    </row>
    <row r="553" spans="1:16" ht="31.5" x14ac:dyDescent="0.2">
      <c r="A553" s="82"/>
      <c r="B553" s="68"/>
      <c r="C553" s="14" t="s">
        <v>19</v>
      </c>
      <c r="D553" s="20">
        <f>'[6]21нед'!C13</f>
        <v>0</v>
      </c>
      <c r="E553" s="23">
        <f>'[6]21нед'!D13</f>
        <v>0</v>
      </c>
      <c r="F553" s="21">
        <f>'[6]21нед'!G13</f>
        <v>0</v>
      </c>
      <c r="G553" s="22" t="str">
        <f>'[6]21нед'!H13</f>
        <v/>
      </c>
      <c r="H553" s="57" t="str">
        <f t="shared" ref="H553:H598" si="30">HYPERLINK(VLOOKUP(E553,$R$12:$S$332,2,FALSE))</f>
        <v/>
      </c>
      <c r="I553" s="71"/>
      <c r="J553" s="74"/>
      <c r="K553" s="14" t="s">
        <v>19</v>
      </c>
      <c r="L553" s="20">
        <f>'[6]22нед'!C13</f>
        <v>0</v>
      </c>
      <c r="M553" s="23">
        <f>'[6]22нед'!D13</f>
        <v>0</v>
      </c>
      <c r="N553" s="21">
        <f>'[6]22нед'!G13</f>
        <v>0</v>
      </c>
      <c r="O553" s="22" t="str">
        <f>'[6]22нед'!H13</f>
        <v/>
      </c>
      <c r="P553" s="57" t="str">
        <f t="shared" ref="P553:P598" si="31">HYPERLINK(VLOOKUP(M553,$R$12:$S$332,2,FALSE))</f>
        <v/>
      </c>
    </row>
    <row r="554" spans="1:16" ht="31.5" x14ac:dyDescent="0.2">
      <c r="A554" s="82"/>
      <c r="B554" s="68"/>
      <c r="C554" s="14" t="s">
        <v>20</v>
      </c>
      <c r="D554" s="20">
        <f>'[6]21нед'!C14</f>
        <v>0</v>
      </c>
      <c r="E554" s="23">
        <f>'[6]21нед'!D14</f>
        <v>0</v>
      </c>
      <c r="F554" s="21">
        <f>'[6]21нед'!G14</f>
        <v>0</v>
      </c>
      <c r="G554" s="22" t="str">
        <f>'[6]21нед'!H14</f>
        <v/>
      </c>
      <c r="H554" s="57" t="str">
        <f t="shared" si="30"/>
        <v/>
      </c>
      <c r="I554" s="71"/>
      <c r="J554" s="74"/>
      <c r="K554" s="14" t="s">
        <v>20</v>
      </c>
      <c r="L554" s="20">
        <f>'[6]22нед'!C14</f>
        <v>0</v>
      </c>
      <c r="M554" s="23">
        <f>'[6]22нед'!D14</f>
        <v>0</v>
      </c>
      <c r="N554" s="21">
        <f>'[6]22нед'!G14</f>
        <v>0</v>
      </c>
      <c r="O554" s="22" t="str">
        <f>'[6]22нед'!H14</f>
        <v/>
      </c>
      <c r="P554" s="57" t="str">
        <f t="shared" si="31"/>
        <v/>
      </c>
    </row>
    <row r="555" spans="1:16" ht="31.5" x14ac:dyDescent="0.2">
      <c r="A555" s="82"/>
      <c r="B555" s="68"/>
      <c r="C555" s="14" t="s">
        <v>21</v>
      </c>
      <c r="D555" s="20">
        <f>'[6]21нед'!C15</f>
        <v>0</v>
      </c>
      <c r="E555" s="23">
        <f>'[6]21нед'!D15</f>
        <v>0</v>
      </c>
      <c r="F555" s="21">
        <f>'[6]21нед'!G15</f>
        <v>0</v>
      </c>
      <c r="G555" s="22" t="str">
        <f>'[6]21нед'!H15</f>
        <v/>
      </c>
      <c r="H555" s="57" t="str">
        <f t="shared" si="30"/>
        <v/>
      </c>
      <c r="I555" s="71"/>
      <c r="J555" s="74"/>
      <c r="K555" s="14" t="s">
        <v>21</v>
      </c>
      <c r="L555" s="20">
        <f>'[6]22нед'!C15</f>
        <v>0</v>
      </c>
      <c r="M555" s="23">
        <f>'[6]22нед'!D15</f>
        <v>0</v>
      </c>
      <c r="N555" s="21">
        <f>'[6]22нед'!G15</f>
        <v>0</v>
      </c>
      <c r="O555" s="22" t="str">
        <f>'[6]22нед'!H15</f>
        <v/>
      </c>
      <c r="P555" s="57" t="str">
        <f t="shared" si="31"/>
        <v/>
      </c>
    </row>
    <row r="556" spans="1:16" ht="31.5" x14ac:dyDescent="0.2">
      <c r="A556" s="82"/>
      <c r="B556" s="68"/>
      <c r="C556" s="14" t="s">
        <v>22</v>
      </c>
      <c r="D556" s="20">
        <f>'[6]21нед'!C16</f>
        <v>0</v>
      </c>
      <c r="E556" s="23">
        <f>'[6]21нед'!D16</f>
        <v>0</v>
      </c>
      <c r="F556" s="21">
        <f>'[6]21нед'!G16</f>
        <v>0</v>
      </c>
      <c r="G556" s="22" t="str">
        <f>'[6]21нед'!H16</f>
        <v/>
      </c>
      <c r="H556" s="57" t="str">
        <f t="shared" si="30"/>
        <v/>
      </c>
      <c r="I556" s="71"/>
      <c r="J556" s="74"/>
      <c r="K556" s="14" t="s">
        <v>22</v>
      </c>
      <c r="L556" s="20">
        <f>'[6]22нед'!C16</f>
        <v>0</v>
      </c>
      <c r="M556" s="23">
        <f>'[6]22нед'!D16</f>
        <v>0</v>
      </c>
      <c r="N556" s="21">
        <f>'[6]22нед'!G16</f>
        <v>0</v>
      </c>
      <c r="O556" s="22" t="str">
        <f>'[6]22нед'!H16</f>
        <v/>
      </c>
      <c r="P556" s="57" t="str">
        <f t="shared" si="31"/>
        <v/>
      </c>
    </row>
    <row r="557" spans="1:16" ht="31.5" x14ac:dyDescent="0.2">
      <c r="A557" s="82"/>
      <c r="B557" s="68"/>
      <c r="C557" s="14" t="s">
        <v>23</v>
      </c>
      <c r="D557" s="20">
        <f>'[6]21нед'!C17</f>
        <v>0</v>
      </c>
      <c r="E557" s="23">
        <f>'[6]21нед'!D17</f>
        <v>0</v>
      </c>
      <c r="F557" s="21">
        <f>'[6]21нед'!G17</f>
        <v>0</v>
      </c>
      <c r="G557" s="22" t="str">
        <f>'[6]21нед'!H17</f>
        <v/>
      </c>
      <c r="H557" s="55" t="str">
        <f t="shared" si="30"/>
        <v/>
      </c>
      <c r="I557" s="71"/>
      <c r="J557" s="74"/>
      <c r="K557" s="14" t="s">
        <v>23</v>
      </c>
      <c r="L557" s="20">
        <f>'[6]22нед'!C17</f>
        <v>0</v>
      </c>
      <c r="M557" s="23">
        <f>'[6]22нед'!D17</f>
        <v>0</v>
      </c>
      <c r="N557" s="21">
        <f>'[6]22нед'!G17</f>
        <v>0</v>
      </c>
      <c r="O557" s="22" t="str">
        <f>'[6]22нед'!H17</f>
        <v/>
      </c>
      <c r="P557" s="55" t="str">
        <f t="shared" si="31"/>
        <v/>
      </c>
    </row>
    <row r="558" spans="1:16" ht="32.25" thickBot="1" x14ac:dyDescent="0.25">
      <c r="A558" s="82"/>
      <c r="B558" s="68"/>
      <c r="C558" s="14" t="s">
        <v>24</v>
      </c>
      <c r="D558" s="20">
        <f>'[6]21нед'!C18</f>
        <v>0</v>
      </c>
      <c r="E558" s="23">
        <f>'[6]21нед'!D18</f>
        <v>0</v>
      </c>
      <c r="F558" s="21">
        <f>'[6]21нед'!G18</f>
        <v>0</v>
      </c>
      <c r="G558" s="22" t="str">
        <f>'[6]21нед'!H18</f>
        <v/>
      </c>
      <c r="H558" s="55" t="str">
        <f t="shared" si="30"/>
        <v/>
      </c>
      <c r="I558" s="71"/>
      <c r="J558" s="74"/>
      <c r="K558" s="14" t="s">
        <v>24</v>
      </c>
      <c r="L558" s="20">
        <f>'[6]22нед'!C18</f>
        <v>0</v>
      </c>
      <c r="M558" s="23">
        <f>'[6]22нед'!D18</f>
        <v>0</v>
      </c>
      <c r="N558" s="21">
        <f>'[6]22нед'!G18</f>
        <v>0</v>
      </c>
      <c r="O558" s="22" t="str">
        <f>'[6]22нед'!H18</f>
        <v/>
      </c>
      <c r="P558" s="55" t="str">
        <f t="shared" si="31"/>
        <v/>
      </c>
    </row>
    <row r="559" spans="1:16" ht="19.5" hidden="1" thickBot="1" x14ac:dyDescent="0.25">
      <c r="A559" s="83"/>
      <c r="B559" s="69"/>
      <c r="C559" s="15"/>
      <c r="D559" s="24">
        <f>'[6]21нед'!C19</f>
        <v>0</v>
      </c>
      <c r="E559" s="25">
        <f>'[6]21нед'!D19</f>
        <v>0</v>
      </c>
      <c r="F559" s="26">
        <f>'[6]21нед'!G19</f>
        <v>0</v>
      </c>
      <c r="G559" s="27" t="str">
        <f>'[6]21нед'!H19</f>
        <v/>
      </c>
      <c r="H559" s="58" t="str">
        <f t="shared" si="30"/>
        <v/>
      </c>
      <c r="I559" s="72"/>
      <c r="J559" s="75"/>
      <c r="K559" s="15"/>
      <c r="L559" s="24">
        <f>'[6]22нед'!C19</f>
        <v>0</v>
      </c>
      <c r="M559" s="25">
        <f>'[6]22нед'!D19</f>
        <v>0</v>
      </c>
      <c r="N559" s="26">
        <f>'[6]22нед'!G19</f>
        <v>0</v>
      </c>
      <c r="O559" s="27" t="str">
        <f>'[6]22нед'!H19</f>
        <v/>
      </c>
      <c r="P559" s="58" t="str">
        <f t="shared" si="31"/>
        <v/>
      </c>
    </row>
    <row r="560" spans="1:16" ht="31.7" customHeight="1" thickTop="1" x14ac:dyDescent="0.2">
      <c r="A560" s="70">
        <v>46406</v>
      </c>
      <c r="B560" s="67" t="s">
        <v>25</v>
      </c>
      <c r="C560" s="29" t="s">
        <v>18</v>
      </c>
      <c r="D560" s="16">
        <f>'[6]21нед'!C20</f>
        <v>0</v>
      </c>
      <c r="E560" s="19">
        <f>'[6]21нед'!D20</f>
        <v>0</v>
      </c>
      <c r="F560" s="17">
        <f>'[6]21нед'!G20</f>
        <v>0</v>
      </c>
      <c r="G560" s="18" t="str">
        <f>'[6]21нед'!H20</f>
        <v/>
      </c>
      <c r="H560" s="56" t="str">
        <f t="shared" si="30"/>
        <v/>
      </c>
      <c r="I560" s="70">
        <v>46413</v>
      </c>
      <c r="J560" s="73" t="s">
        <v>25</v>
      </c>
      <c r="K560" s="29" t="s">
        <v>18</v>
      </c>
      <c r="L560" s="16">
        <f>'[6]22нед'!C20</f>
        <v>0</v>
      </c>
      <c r="M560" s="19">
        <f>'[6]22нед'!D20</f>
        <v>0</v>
      </c>
      <c r="N560" s="17">
        <f>'[6]22нед'!G20</f>
        <v>0</v>
      </c>
      <c r="O560" s="18" t="str">
        <f>'[6]22нед'!H20</f>
        <v/>
      </c>
      <c r="P560" s="56" t="str">
        <f t="shared" si="31"/>
        <v/>
      </c>
    </row>
    <row r="561" spans="1:16" ht="31.5" x14ac:dyDescent="0.2">
      <c r="A561" s="82"/>
      <c r="B561" s="68"/>
      <c r="C561" s="14" t="s">
        <v>19</v>
      </c>
      <c r="D561" s="20">
        <f>'[6]21нед'!C21</f>
        <v>0</v>
      </c>
      <c r="E561" s="23">
        <f>'[6]21нед'!D21</f>
        <v>0</v>
      </c>
      <c r="F561" s="21">
        <f>'[6]21нед'!G21</f>
        <v>0</v>
      </c>
      <c r="G561" s="22" t="str">
        <f>'[6]21нед'!H21</f>
        <v/>
      </c>
      <c r="H561" s="57" t="str">
        <f t="shared" si="30"/>
        <v/>
      </c>
      <c r="I561" s="71"/>
      <c r="J561" s="74"/>
      <c r="K561" s="14" t="s">
        <v>19</v>
      </c>
      <c r="L561" s="20">
        <f>'[6]22нед'!C21</f>
        <v>0</v>
      </c>
      <c r="M561" s="23">
        <f>'[6]22нед'!D21</f>
        <v>0</v>
      </c>
      <c r="N561" s="21">
        <f>'[6]22нед'!G21</f>
        <v>0</v>
      </c>
      <c r="O561" s="22" t="str">
        <f>'[6]22нед'!H21</f>
        <v/>
      </c>
      <c r="P561" s="57" t="str">
        <f t="shared" si="31"/>
        <v/>
      </c>
    </row>
    <row r="562" spans="1:16" ht="31.5" x14ac:dyDescent="0.2">
      <c r="A562" s="82"/>
      <c r="B562" s="68"/>
      <c r="C562" s="14" t="s">
        <v>20</v>
      </c>
      <c r="D562" s="20">
        <f>'[6]21нед'!C22</f>
        <v>0</v>
      </c>
      <c r="E562" s="23">
        <f>'[6]21нед'!D22</f>
        <v>0</v>
      </c>
      <c r="F562" s="21">
        <f>'[6]21нед'!G22</f>
        <v>0</v>
      </c>
      <c r="G562" s="22" t="str">
        <f>'[6]21нед'!H22</f>
        <v/>
      </c>
      <c r="H562" s="57" t="str">
        <f t="shared" si="30"/>
        <v/>
      </c>
      <c r="I562" s="71"/>
      <c r="J562" s="74"/>
      <c r="K562" s="14" t="s">
        <v>20</v>
      </c>
      <c r="L562" s="20">
        <f>'[6]22нед'!C22</f>
        <v>0</v>
      </c>
      <c r="M562" s="23">
        <f>'[6]22нед'!D22</f>
        <v>0</v>
      </c>
      <c r="N562" s="21">
        <f>'[6]22нед'!G22</f>
        <v>0</v>
      </c>
      <c r="O562" s="22" t="str">
        <f>'[6]22нед'!H22</f>
        <v/>
      </c>
      <c r="P562" s="57" t="str">
        <f t="shared" si="31"/>
        <v/>
      </c>
    </row>
    <row r="563" spans="1:16" ht="31.5" x14ac:dyDescent="0.2">
      <c r="A563" s="82"/>
      <c r="B563" s="68"/>
      <c r="C563" s="14" t="s">
        <v>21</v>
      </c>
      <c r="D563" s="20">
        <f>'[6]21нед'!C23</f>
        <v>0</v>
      </c>
      <c r="E563" s="23">
        <f>'[6]21нед'!D23</f>
        <v>0</v>
      </c>
      <c r="F563" s="21">
        <f>'[6]21нед'!G23</f>
        <v>0</v>
      </c>
      <c r="G563" s="22" t="str">
        <f>'[6]21нед'!H23</f>
        <v/>
      </c>
      <c r="H563" s="57" t="str">
        <f t="shared" si="30"/>
        <v/>
      </c>
      <c r="I563" s="71"/>
      <c r="J563" s="74"/>
      <c r="K563" s="14" t="s">
        <v>21</v>
      </c>
      <c r="L563" s="20">
        <f>'[6]22нед'!C23</f>
        <v>0</v>
      </c>
      <c r="M563" s="23">
        <f>'[6]22нед'!D23</f>
        <v>0</v>
      </c>
      <c r="N563" s="21">
        <f>'[6]22нед'!G23</f>
        <v>0</v>
      </c>
      <c r="O563" s="22" t="str">
        <f>'[6]22нед'!H23</f>
        <v/>
      </c>
      <c r="P563" s="57" t="str">
        <f t="shared" si="31"/>
        <v/>
      </c>
    </row>
    <row r="564" spans="1:16" ht="31.5" x14ac:dyDescent="0.2">
      <c r="A564" s="82"/>
      <c r="B564" s="68"/>
      <c r="C564" s="14" t="s">
        <v>22</v>
      </c>
      <c r="D564" s="20">
        <f>'[6]21нед'!C24</f>
        <v>0</v>
      </c>
      <c r="E564" s="23">
        <f>'[6]21нед'!D24</f>
        <v>0</v>
      </c>
      <c r="F564" s="21">
        <f>'[6]21нед'!G24</f>
        <v>0</v>
      </c>
      <c r="G564" s="22" t="str">
        <f>'[6]21нед'!H24</f>
        <v/>
      </c>
      <c r="H564" s="57" t="str">
        <f t="shared" si="30"/>
        <v/>
      </c>
      <c r="I564" s="71"/>
      <c r="J564" s="74"/>
      <c r="K564" s="14" t="s">
        <v>22</v>
      </c>
      <c r="L564" s="20">
        <f>'[6]22нед'!C24</f>
        <v>0</v>
      </c>
      <c r="M564" s="23">
        <f>'[6]22нед'!D24</f>
        <v>0</v>
      </c>
      <c r="N564" s="21">
        <f>'[6]22нед'!G24</f>
        <v>0</v>
      </c>
      <c r="O564" s="22" t="str">
        <f>'[6]22нед'!H24</f>
        <v/>
      </c>
      <c r="P564" s="57" t="str">
        <f t="shared" si="31"/>
        <v/>
      </c>
    </row>
    <row r="565" spans="1:16" ht="31.5" x14ac:dyDescent="0.2">
      <c r="A565" s="82"/>
      <c r="B565" s="68"/>
      <c r="C565" s="14" t="s">
        <v>23</v>
      </c>
      <c r="D565" s="20">
        <f>'[6]21нед'!C25</f>
        <v>0</v>
      </c>
      <c r="E565" s="23">
        <f>'[6]21нед'!D25</f>
        <v>0</v>
      </c>
      <c r="F565" s="21">
        <f>'[6]21нед'!G25</f>
        <v>0</v>
      </c>
      <c r="G565" s="22" t="str">
        <f>'[6]21нед'!H25</f>
        <v/>
      </c>
      <c r="H565" s="57" t="str">
        <f t="shared" si="30"/>
        <v/>
      </c>
      <c r="I565" s="71"/>
      <c r="J565" s="74"/>
      <c r="K565" s="14" t="s">
        <v>23</v>
      </c>
      <c r="L565" s="20">
        <f>'[6]22нед'!C25</f>
        <v>0</v>
      </c>
      <c r="M565" s="23">
        <f>'[6]22нед'!D25</f>
        <v>0</v>
      </c>
      <c r="N565" s="21">
        <f>'[6]22нед'!G25</f>
        <v>0</v>
      </c>
      <c r="O565" s="22" t="str">
        <f>'[6]22нед'!H25</f>
        <v/>
      </c>
      <c r="P565" s="57" t="str">
        <f t="shared" si="31"/>
        <v/>
      </c>
    </row>
    <row r="566" spans="1:16" ht="32.25" thickBot="1" x14ac:dyDescent="0.25">
      <c r="A566" s="82"/>
      <c r="B566" s="68"/>
      <c r="C566" s="14" t="s">
        <v>24</v>
      </c>
      <c r="D566" s="20">
        <f>'[6]21нед'!C26</f>
        <v>0</v>
      </c>
      <c r="E566" s="23">
        <f>'[6]21нед'!D26</f>
        <v>0</v>
      </c>
      <c r="F566" s="21">
        <f>'[6]21нед'!G26</f>
        <v>0</v>
      </c>
      <c r="G566" s="22" t="str">
        <f>'[6]21нед'!H26</f>
        <v/>
      </c>
      <c r="H566" s="57" t="str">
        <f t="shared" si="30"/>
        <v/>
      </c>
      <c r="I566" s="71"/>
      <c r="J566" s="74"/>
      <c r="K566" s="14" t="s">
        <v>24</v>
      </c>
      <c r="L566" s="20">
        <f>'[6]22нед'!C26</f>
        <v>0</v>
      </c>
      <c r="M566" s="23">
        <f>'[6]22нед'!D26</f>
        <v>0</v>
      </c>
      <c r="N566" s="21">
        <f>'[6]22нед'!G26</f>
        <v>0</v>
      </c>
      <c r="O566" s="22" t="str">
        <f>'[6]22нед'!H26</f>
        <v/>
      </c>
      <c r="P566" s="57" t="str">
        <f t="shared" si="31"/>
        <v/>
      </c>
    </row>
    <row r="567" spans="1:16" ht="19.5" hidden="1" thickBot="1" x14ac:dyDescent="0.25">
      <c r="A567" s="83"/>
      <c r="B567" s="69"/>
      <c r="C567" s="15"/>
      <c r="D567" s="24">
        <f>'[6]21нед'!C27</f>
        <v>0</v>
      </c>
      <c r="E567" s="25">
        <f>'[6]21нед'!D27</f>
        <v>0</v>
      </c>
      <c r="F567" s="26">
        <f>'[6]21нед'!G27</f>
        <v>0</v>
      </c>
      <c r="G567" s="27" t="str">
        <f>'[6]21нед'!H27</f>
        <v/>
      </c>
      <c r="H567" s="58" t="str">
        <f t="shared" si="30"/>
        <v/>
      </c>
      <c r="I567" s="72"/>
      <c r="J567" s="75"/>
      <c r="K567" s="15"/>
      <c r="L567" s="24">
        <f>'[6]22нед'!C27</f>
        <v>0</v>
      </c>
      <c r="M567" s="25">
        <f>'[6]22нед'!D27</f>
        <v>0</v>
      </c>
      <c r="N567" s="26">
        <f>'[6]22нед'!G27</f>
        <v>0</v>
      </c>
      <c r="O567" s="27" t="str">
        <f>'[6]22нед'!H27</f>
        <v/>
      </c>
      <c r="P567" s="58" t="str">
        <f t="shared" si="31"/>
        <v/>
      </c>
    </row>
    <row r="568" spans="1:16" ht="31.7" customHeight="1" thickTop="1" x14ac:dyDescent="0.2">
      <c r="A568" s="70">
        <v>46407</v>
      </c>
      <c r="B568" s="67" t="s">
        <v>26</v>
      </c>
      <c r="C568" s="29" t="s">
        <v>18</v>
      </c>
      <c r="D568" s="16">
        <f>'[6]21нед'!C28</f>
        <v>0</v>
      </c>
      <c r="E568" s="19">
        <f>'[6]21нед'!D28</f>
        <v>0</v>
      </c>
      <c r="F568" s="17">
        <f>'[6]21нед'!G28</f>
        <v>0</v>
      </c>
      <c r="G568" s="18" t="str">
        <f>'[6]21нед'!H28</f>
        <v/>
      </c>
      <c r="H568" s="56" t="str">
        <f t="shared" si="30"/>
        <v/>
      </c>
      <c r="I568" s="70">
        <v>46414</v>
      </c>
      <c r="J568" s="73" t="s">
        <v>26</v>
      </c>
      <c r="K568" s="29" t="s">
        <v>18</v>
      </c>
      <c r="L568" s="16">
        <f>'[6]22нед'!C28</f>
        <v>0</v>
      </c>
      <c r="M568" s="19">
        <f>'[6]22нед'!D28</f>
        <v>0</v>
      </c>
      <c r="N568" s="17">
        <f>'[6]22нед'!G28</f>
        <v>0</v>
      </c>
      <c r="O568" s="18" t="str">
        <f>'[6]22нед'!H28</f>
        <v/>
      </c>
      <c r="P568" s="56" t="str">
        <f t="shared" si="31"/>
        <v/>
      </c>
    </row>
    <row r="569" spans="1:16" ht="31.5" x14ac:dyDescent="0.2">
      <c r="A569" s="82"/>
      <c r="B569" s="68"/>
      <c r="C569" s="14" t="s">
        <v>19</v>
      </c>
      <c r="D569" s="20">
        <f>'[6]21нед'!C29</f>
        <v>0</v>
      </c>
      <c r="E569" s="23">
        <f>'[6]21нед'!D29</f>
        <v>0</v>
      </c>
      <c r="F569" s="21">
        <f>'[6]21нед'!G29</f>
        <v>0</v>
      </c>
      <c r="G569" s="22" t="str">
        <f>'[6]21нед'!H29</f>
        <v/>
      </c>
      <c r="H569" s="57" t="str">
        <f t="shared" si="30"/>
        <v/>
      </c>
      <c r="I569" s="71"/>
      <c r="J569" s="74"/>
      <c r="K569" s="14" t="s">
        <v>19</v>
      </c>
      <c r="L569" s="20">
        <f>'[6]22нед'!C29</f>
        <v>0</v>
      </c>
      <c r="M569" s="23">
        <f>'[6]22нед'!D29</f>
        <v>0</v>
      </c>
      <c r="N569" s="21">
        <f>'[6]22нед'!G29</f>
        <v>0</v>
      </c>
      <c r="O569" s="22" t="str">
        <f>'[6]22нед'!H29</f>
        <v/>
      </c>
      <c r="P569" s="57" t="str">
        <f t="shared" si="31"/>
        <v/>
      </c>
    </row>
    <row r="570" spans="1:16" ht="31.5" x14ac:dyDescent="0.2">
      <c r="A570" s="82"/>
      <c r="B570" s="68"/>
      <c r="C570" s="14" t="s">
        <v>20</v>
      </c>
      <c r="D570" s="20">
        <f>'[6]21нед'!C30</f>
        <v>0</v>
      </c>
      <c r="E570" s="23">
        <f>'[6]21нед'!D30</f>
        <v>0</v>
      </c>
      <c r="F570" s="21">
        <f>'[6]21нед'!G30</f>
        <v>0</v>
      </c>
      <c r="G570" s="22" t="str">
        <f>'[6]21нед'!H30</f>
        <v/>
      </c>
      <c r="H570" s="57" t="str">
        <f t="shared" si="30"/>
        <v/>
      </c>
      <c r="I570" s="71"/>
      <c r="J570" s="74"/>
      <c r="K570" s="14" t="s">
        <v>20</v>
      </c>
      <c r="L570" s="20">
        <f>'[6]22нед'!C30</f>
        <v>0</v>
      </c>
      <c r="M570" s="23">
        <f>'[6]22нед'!D30</f>
        <v>0</v>
      </c>
      <c r="N570" s="21">
        <f>'[6]22нед'!G30</f>
        <v>0</v>
      </c>
      <c r="O570" s="22" t="str">
        <f>'[6]22нед'!H30</f>
        <v/>
      </c>
      <c r="P570" s="57" t="str">
        <f t="shared" si="31"/>
        <v/>
      </c>
    </row>
    <row r="571" spans="1:16" ht="31.5" x14ac:dyDescent="0.2">
      <c r="A571" s="82"/>
      <c r="B571" s="68"/>
      <c r="C571" s="14" t="s">
        <v>21</v>
      </c>
      <c r="D571" s="20">
        <f>'[6]21нед'!C31</f>
        <v>0</v>
      </c>
      <c r="E571" s="23">
        <f>'[6]21нед'!D31</f>
        <v>0</v>
      </c>
      <c r="F571" s="21">
        <f>'[6]21нед'!G31</f>
        <v>0</v>
      </c>
      <c r="G571" s="22" t="str">
        <f>'[6]21нед'!H31</f>
        <v/>
      </c>
      <c r="H571" s="57" t="str">
        <f t="shared" si="30"/>
        <v/>
      </c>
      <c r="I571" s="71"/>
      <c r="J571" s="74"/>
      <c r="K571" s="14" t="s">
        <v>21</v>
      </c>
      <c r="L571" s="20">
        <f>'[6]22нед'!C31</f>
        <v>0</v>
      </c>
      <c r="M571" s="23">
        <f>'[6]22нед'!D31</f>
        <v>0</v>
      </c>
      <c r="N571" s="21">
        <f>'[6]22нед'!G31</f>
        <v>0</v>
      </c>
      <c r="O571" s="22" t="str">
        <f>'[6]22нед'!H31</f>
        <v/>
      </c>
      <c r="P571" s="57" t="str">
        <f t="shared" si="31"/>
        <v/>
      </c>
    </row>
    <row r="572" spans="1:16" ht="31.5" x14ac:dyDescent="0.2">
      <c r="A572" s="82"/>
      <c r="B572" s="68"/>
      <c r="C572" s="14" t="s">
        <v>22</v>
      </c>
      <c r="D572" s="20">
        <f>'[6]21нед'!C32</f>
        <v>0</v>
      </c>
      <c r="E572" s="23">
        <f>'[6]21нед'!D32</f>
        <v>0</v>
      </c>
      <c r="F572" s="21">
        <f>'[6]21нед'!G32</f>
        <v>0</v>
      </c>
      <c r="G572" s="22" t="str">
        <f>'[6]21нед'!H32</f>
        <v/>
      </c>
      <c r="H572" s="57" t="str">
        <f t="shared" si="30"/>
        <v/>
      </c>
      <c r="I572" s="71"/>
      <c r="J572" s="74"/>
      <c r="K572" s="14" t="s">
        <v>22</v>
      </c>
      <c r="L572" s="20">
        <f>'[6]22нед'!C32</f>
        <v>0</v>
      </c>
      <c r="M572" s="23">
        <f>'[6]22нед'!D32</f>
        <v>0</v>
      </c>
      <c r="N572" s="21">
        <f>'[6]22нед'!G32</f>
        <v>0</v>
      </c>
      <c r="O572" s="22" t="str">
        <f>'[6]22нед'!H32</f>
        <v/>
      </c>
      <c r="P572" s="57" t="str">
        <f t="shared" si="31"/>
        <v/>
      </c>
    </row>
    <row r="573" spans="1:16" ht="31.5" x14ac:dyDescent="0.2">
      <c r="A573" s="82"/>
      <c r="B573" s="68"/>
      <c r="C573" s="14" t="s">
        <v>23</v>
      </c>
      <c r="D573" s="20">
        <f>'[6]21нед'!C33</f>
        <v>0</v>
      </c>
      <c r="E573" s="23">
        <f>'[6]21нед'!D33</f>
        <v>0</v>
      </c>
      <c r="F573" s="21">
        <f>'[6]21нед'!G33</f>
        <v>0</v>
      </c>
      <c r="G573" s="22" t="str">
        <f>'[6]21нед'!H33</f>
        <v/>
      </c>
      <c r="H573" s="55" t="str">
        <f t="shared" si="30"/>
        <v/>
      </c>
      <c r="I573" s="71"/>
      <c r="J573" s="74"/>
      <c r="K573" s="14" t="s">
        <v>23</v>
      </c>
      <c r="L573" s="20">
        <f>'[6]22нед'!C33</f>
        <v>0</v>
      </c>
      <c r="M573" s="23">
        <f>'[6]22нед'!D33</f>
        <v>0</v>
      </c>
      <c r="N573" s="21">
        <f>'[6]22нед'!G33</f>
        <v>0</v>
      </c>
      <c r="O573" s="22" t="str">
        <f>'[6]22нед'!H33</f>
        <v/>
      </c>
      <c r="P573" s="55" t="str">
        <f t="shared" si="31"/>
        <v/>
      </c>
    </row>
    <row r="574" spans="1:16" ht="32.25" thickBot="1" x14ac:dyDescent="0.25">
      <c r="A574" s="82"/>
      <c r="B574" s="68"/>
      <c r="C574" s="14" t="s">
        <v>24</v>
      </c>
      <c r="D574" s="20">
        <f>'[6]21нед'!C34</f>
        <v>0</v>
      </c>
      <c r="E574" s="23">
        <f>'[6]21нед'!D34</f>
        <v>0</v>
      </c>
      <c r="F574" s="21">
        <f>'[6]21нед'!G34</f>
        <v>0</v>
      </c>
      <c r="G574" s="22" t="str">
        <f>'[6]21нед'!H34</f>
        <v/>
      </c>
      <c r="H574" s="55" t="str">
        <f t="shared" si="30"/>
        <v/>
      </c>
      <c r="I574" s="71"/>
      <c r="J574" s="74"/>
      <c r="K574" s="14" t="s">
        <v>24</v>
      </c>
      <c r="L574" s="20">
        <f>'[6]22нед'!C34</f>
        <v>0</v>
      </c>
      <c r="M574" s="23">
        <f>'[6]22нед'!D34</f>
        <v>0</v>
      </c>
      <c r="N574" s="21">
        <f>'[6]22нед'!G34</f>
        <v>0</v>
      </c>
      <c r="O574" s="22" t="str">
        <f>'[6]22нед'!H34</f>
        <v/>
      </c>
      <c r="P574" s="55" t="str">
        <f t="shared" si="31"/>
        <v/>
      </c>
    </row>
    <row r="575" spans="1:16" ht="19.5" hidden="1" thickBot="1" x14ac:dyDescent="0.25">
      <c r="A575" s="83"/>
      <c r="B575" s="69"/>
      <c r="C575" s="15"/>
      <c r="D575" s="24">
        <f>'[6]21нед'!C35</f>
        <v>0</v>
      </c>
      <c r="E575" s="25">
        <f>'[6]21нед'!D35</f>
        <v>0</v>
      </c>
      <c r="F575" s="26">
        <f>'[6]21нед'!G35</f>
        <v>0</v>
      </c>
      <c r="G575" s="27" t="str">
        <f>'[6]21нед'!H35</f>
        <v/>
      </c>
      <c r="H575" s="58" t="str">
        <f t="shared" si="30"/>
        <v/>
      </c>
      <c r="I575" s="72"/>
      <c r="J575" s="75"/>
      <c r="K575" s="15"/>
      <c r="L575" s="24">
        <f>'[6]22нед'!C35</f>
        <v>0</v>
      </c>
      <c r="M575" s="25">
        <f>'[6]22нед'!D35</f>
        <v>0</v>
      </c>
      <c r="N575" s="26">
        <f>'[6]22нед'!G35</f>
        <v>0</v>
      </c>
      <c r="O575" s="27" t="str">
        <f>'[6]22нед'!H35</f>
        <v/>
      </c>
      <c r="P575" s="58" t="str">
        <f t="shared" si="31"/>
        <v/>
      </c>
    </row>
    <row r="576" spans="1:16" ht="31.7" customHeight="1" thickTop="1" x14ac:dyDescent="0.2">
      <c r="A576" s="70">
        <v>46408</v>
      </c>
      <c r="B576" s="67" t="s">
        <v>27</v>
      </c>
      <c r="C576" s="29" t="s">
        <v>18</v>
      </c>
      <c r="D576" s="16">
        <f>'[6]21нед'!C36</f>
        <v>0</v>
      </c>
      <c r="E576" s="19">
        <f>'[6]21нед'!D36</f>
        <v>0</v>
      </c>
      <c r="F576" s="17">
        <f>'[6]21нед'!G36</f>
        <v>0</v>
      </c>
      <c r="G576" s="18" t="str">
        <f>'[6]21нед'!H36</f>
        <v/>
      </c>
      <c r="H576" s="56" t="str">
        <f t="shared" si="30"/>
        <v/>
      </c>
      <c r="I576" s="70">
        <v>46415</v>
      </c>
      <c r="J576" s="73" t="s">
        <v>27</v>
      </c>
      <c r="K576" s="29" t="s">
        <v>18</v>
      </c>
      <c r="L576" s="16">
        <f>'[6]22нед'!C36</f>
        <v>0</v>
      </c>
      <c r="M576" s="19">
        <f>'[6]22нед'!D36</f>
        <v>0</v>
      </c>
      <c r="N576" s="17">
        <f>'[6]22нед'!G36</f>
        <v>0</v>
      </c>
      <c r="O576" s="18" t="str">
        <f>'[6]22нед'!H36</f>
        <v/>
      </c>
      <c r="P576" s="56" t="str">
        <f t="shared" si="31"/>
        <v/>
      </c>
    </row>
    <row r="577" spans="1:16" ht="31.5" x14ac:dyDescent="0.2">
      <c r="A577" s="82"/>
      <c r="B577" s="68"/>
      <c r="C577" s="14" t="s">
        <v>19</v>
      </c>
      <c r="D577" s="20">
        <f>'[6]21нед'!C37</f>
        <v>0</v>
      </c>
      <c r="E577" s="23">
        <f>'[6]21нед'!D37</f>
        <v>0</v>
      </c>
      <c r="F577" s="21">
        <f>'[6]21нед'!G37</f>
        <v>0</v>
      </c>
      <c r="G577" s="22" t="str">
        <f>'[6]21нед'!H37</f>
        <v/>
      </c>
      <c r="H577" s="57" t="str">
        <f t="shared" si="30"/>
        <v/>
      </c>
      <c r="I577" s="71"/>
      <c r="J577" s="74"/>
      <c r="K577" s="14" t="s">
        <v>19</v>
      </c>
      <c r="L577" s="20">
        <f>'[6]22нед'!C37</f>
        <v>0</v>
      </c>
      <c r="M577" s="23">
        <f>'[6]22нед'!D37</f>
        <v>0</v>
      </c>
      <c r="N577" s="21">
        <f>'[6]22нед'!G37</f>
        <v>0</v>
      </c>
      <c r="O577" s="22" t="str">
        <f>'[6]22нед'!H37</f>
        <v/>
      </c>
      <c r="P577" s="57" t="str">
        <f t="shared" si="31"/>
        <v/>
      </c>
    </row>
    <row r="578" spans="1:16" ht="31.5" x14ac:dyDescent="0.2">
      <c r="A578" s="82"/>
      <c r="B578" s="68"/>
      <c r="C578" s="14" t="s">
        <v>20</v>
      </c>
      <c r="D578" s="20">
        <f>'[6]21нед'!C38</f>
        <v>0</v>
      </c>
      <c r="E578" s="23">
        <f>'[6]21нед'!D38</f>
        <v>0</v>
      </c>
      <c r="F578" s="21">
        <f>'[6]21нед'!G38</f>
        <v>0</v>
      </c>
      <c r="G578" s="22" t="str">
        <f>'[6]21нед'!H38</f>
        <v/>
      </c>
      <c r="H578" s="57" t="str">
        <f t="shared" si="30"/>
        <v/>
      </c>
      <c r="I578" s="71"/>
      <c r="J578" s="74"/>
      <c r="K578" s="14" t="s">
        <v>20</v>
      </c>
      <c r="L578" s="20">
        <f>'[6]22нед'!C38</f>
        <v>0</v>
      </c>
      <c r="M578" s="23">
        <f>'[6]22нед'!D38</f>
        <v>0</v>
      </c>
      <c r="N578" s="21">
        <f>'[6]22нед'!G38</f>
        <v>0</v>
      </c>
      <c r="O578" s="22" t="str">
        <f>'[6]22нед'!H38</f>
        <v/>
      </c>
      <c r="P578" s="57" t="str">
        <f t="shared" si="31"/>
        <v/>
      </c>
    </row>
    <row r="579" spans="1:16" ht="31.5" x14ac:dyDescent="0.2">
      <c r="A579" s="82"/>
      <c r="B579" s="68"/>
      <c r="C579" s="14" t="s">
        <v>21</v>
      </c>
      <c r="D579" s="20">
        <f>'[6]21нед'!C39</f>
        <v>0</v>
      </c>
      <c r="E579" s="23">
        <f>'[6]21нед'!D39</f>
        <v>0</v>
      </c>
      <c r="F579" s="21">
        <f>'[6]21нед'!G39</f>
        <v>0</v>
      </c>
      <c r="G579" s="22" t="str">
        <f>'[6]21нед'!H39</f>
        <v/>
      </c>
      <c r="H579" s="57" t="str">
        <f t="shared" si="30"/>
        <v/>
      </c>
      <c r="I579" s="71"/>
      <c r="J579" s="74"/>
      <c r="K579" s="14" t="s">
        <v>21</v>
      </c>
      <c r="L579" s="20">
        <f>'[6]22нед'!C39</f>
        <v>0</v>
      </c>
      <c r="M579" s="23">
        <f>'[6]22нед'!D39</f>
        <v>0</v>
      </c>
      <c r="N579" s="21">
        <f>'[6]22нед'!G39</f>
        <v>0</v>
      </c>
      <c r="O579" s="22" t="str">
        <f>'[6]22нед'!H39</f>
        <v/>
      </c>
      <c r="P579" s="57" t="str">
        <f t="shared" si="31"/>
        <v/>
      </c>
    </row>
    <row r="580" spans="1:16" ht="31.5" x14ac:dyDescent="0.2">
      <c r="A580" s="82"/>
      <c r="B580" s="68"/>
      <c r="C580" s="14" t="s">
        <v>22</v>
      </c>
      <c r="D580" s="20">
        <f>'[6]21нед'!C40</f>
        <v>0</v>
      </c>
      <c r="E580" s="23">
        <f>'[6]21нед'!D40</f>
        <v>0</v>
      </c>
      <c r="F580" s="21">
        <f>'[6]21нед'!G40</f>
        <v>0</v>
      </c>
      <c r="G580" s="22" t="str">
        <f>'[6]21нед'!H40</f>
        <v/>
      </c>
      <c r="H580" s="57" t="str">
        <f t="shared" si="30"/>
        <v/>
      </c>
      <c r="I580" s="71"/>
      <c r="J580" s="74"/>
      <c r="K580" s="14" t="s">
        <v>22</v>
      </c>
      <c r="L580" s="20">
        <f>'[6]22нед'!C40</f>
        <v>0</v>
      </c>
      <c r="M580" s="23">
        <f>'[6]22нед'!D40</f>
        <v>0</v>
      </c>
      <c r="N580" s="21">
        <f>'[6]22нед'!G40</f>
        <v>0</v>
      </c>
      <c r="O580" s="22" t="str">
        <f>'[6]22нед'!H40</f>
        <v/>
      </c>
      <c r="P580" s="57" t="str">
        <f t="shared" si="31"/>
        <v/>
      </c>
    </row>
    <row r="581" spans="1:16" ht="31.5" x14ac:dyDescent="0.2">
      <c r="A581" s="82"/>
      <c r="B581" s="68"/>
      <c r="C581" s="14" t="s">
        <v>23</v>
      </c>
      <c r="D581" s="20">
        <f>'[6]21нед'!C41</f>
        <v>0</v>
      </c>
      <c r="E581" s="23">
        <f>'[6]21нед'!D41</f>
        <v>0</v>
      </c>
      <c r="F581" s="21">
        <f>'[6]21нед'!G41</f>
        <v>0</v>
      </c>
      <c r="G581" s="22" t="str">
        <f>'[6]21нед'!H41</f>
        <v/>
      </c>
      <c r="H581" s="55" t="str">
        <f t="shared" si="30"/>
        <v/>
      </c>
      <c r="I581" s="71"/>
      <c r="J581" s="74"/>
      <c r="K581" s="14" t="s">
        <v>23</v>
      </c>
      <c r="L581" s="20">
        <f>'[6]22нед'!C41</f>
        <v>0</v>
      </c>
      <c r="M581" s="23">
        <f>'[6]22нед'!D41</f>
        <v>0</v>
      </c>
      <c r="N581" s="21">
        <f>'[6]22нед'!G41</f>
        <v>0</v>
      </c>
      <c r="O581" s="22" t="str">
        <f>'[6]22нед'!H41</f>
        <v/>
      </c>
      <c r="P581" s="55" t="str">
        <f t="shared" si="31"/>
        <v/>
      </c>
    </row>
    <row r="582" spans="1:16" ht="32.25" thickBot="1" x14ac:dyDescent="0.25">
      <c r="A582" s="82"/>
      <c r="B582" s="68"/>
      <c r="C582" s="14" t="s">
        <v>24</v>
      </c>
      <c r="D582" s="20">
        <f>'[6]21нед'!C42</f>
        <v>0</v>
      </c>
      <c r="E582" s="23">
        <f>'[6]21нед'!D42</f>
        <v>0</v>
      </c>
      <c r="F582" s="21">
        <f>'[6]21нед'!G42</f>
        <v>0</v>
      </c>
      <c r="G582" s="22" t="str">
        <f>'[6]21нед'!H42</f>
        <v/>
      </c>
      <c r="H582" s="55" t="str">
        <f t="shared" si="30"/>
        <v/>
      </c>
      <c r="I582" s="71"/>
      <c r="J582" s="74"/>
      <c r="K582" s="14" t="s">
        <v>24</v>
      </c>
      <c r="L582" s="20">
        <f>'[6]22нед'!C42</f>
        <v>0</v>
      </c>
      <c r="M582" s="23">
        <f>'[6]22нед'!D42</f>
        <v>0</v>
      </c>
      <c r="N582" s="21">
        <f>'[6]22нед'!G42</f>
        <v>0</v>
      </c>
      <c r="O582" s="22" t="str">
        <f>'[6]22нед'!H42</f>
        <v/>
      </c>
      <c r="P582" s="55" t="str">
        <f t="shared" si="31"/>
        <v/>
      </c>
    </row>
    <row r="583" spans="1:16" ht="19.5" hidden="1" thickBot="1" x14ac:dyDescent="0.25">
      <c r="A583" s="83"/>
      <c r="B583" s="69"/>
      <c r="C583" s="15"/>
      <c r="D583" s="24">
        <f>'[6]21нед'!C43</f>
        <v>0</v>
      </c>
      <c r="E583" s="25">
        <f>'[6]21нед'!D43</f>
        <v>0</v>
      </c>
      <c r="F583" s="26">
        <f>'[6]21нед'!G43</f>
        <v>0</v>
      </c>
      <c r="G583" s="27" t="str">
        <f>'[6]21нед'!H43</f>
        <v/>
      </c>
      <c r="H583" s="58" t="str">
        <f t="shared" si="30"/>
        <v/>
      </c>
      <c r="I583" s="72"/>
      <c r="J583" s="75"/>
      <c r="K583" s="15"/>
      <c r="L583" s="24">
        <f>'[6]22нед'!C43</f>
        <v>0</v>
      </c>
      <c r="M583" s="25">
        <f>'[6]22нед'!D43</f>
        <v>0</v>
      </c>
      <c r="N583" s="26">
        <f>'[6]22нед'!G43</f>
        <v>0</v>
      </c>
      <c r="O583" s="27" t="str">
        <f>'[6]22нед'!H43</f>
        <v/>
      </c>
      <c r="P583" s="58" t="str">
        <f t="shared" si="31"/>
        <v/>
      </c>
    </row>
    <row r="584" spans="1:16" ht="31.7" customHeight="1" thickTop="1" x14ac:dyDescent="0.2">
      <c r="A584" s="70">
        <v>46409</v>
      </c>
      <c r="B584" s="67" t="s">
        <v>28</v>
      </c>
      <c r="C584" s="29" t="s">
        <v>18</v>
      </c>
      <c r="D584" s="16">
        <f>'[6]21нед'!C44</f>
        <v>0</v>
      </c>
      <c r="E584" s="19">
        <f>'[6]21нед'!D44</f>
        <v>0</v>
      </c>
      <c r="F584" s="17">
        <f>'[6]21нед'!G44</f>
        <v>0</v>
      </c>
      <c r="G584" s="18" t="str">
        <f>'[6]21нед'!H44</f>
        <v/>
      </c>
      <c r="H584" s="56" t="str">
        <f t="shared" si="30"/>
        <v/>
      </c>
      <c r="I584" s="70">
        <v>46416</v>
      </c>
      <c r="J584" s="73" t="s">
        <v>28</v>
      </c>
      <c r="K584" s="29" t="s">
        <v>18</v>
      </c>
      <c r="L584" s="16">
        <f>'[6]22нед'!C44</f>
        <v>0</v>
      </c>
      <c r="M584" s="19">
        <f>'[6]22нед'!D44</f>
        <v>0</v>
      </c>
      <c r="N584" s="17">
        <f>'[6]22нед'!G44</f>
        <v>0</v>
      </c>
      <c r="O584" s="18" t="str">
        <f>'[6]22нед'!H44</f>
        <v/>
      </c>
      <c r="P584" s="56" t="str">
        <f t="shared" si="31"/>
        <v/>
      </c>
    </row>
    <row r="585" spans="1:16" ht="31.5" x14ac:dyDescent="0.2">
      <c r="A585" s="82"/>
      <c r="B585" s="68"/>
      <c r="C585" s="14" t="s">
        <v>19</v>
      </c>
      <c r="D585" s="20">
        <f>'[6]21нед'!C45</f>
        <v>0</v>
      </c>
      <c r="E585" s="23">
        <f>'[6]21нед'!D45</f>
        <v>0</v>
      </c>
      <c r="F585" s="21">
        <f>'[6]21нед'!G45</f>
        <v>0</v>
      </c>
      <c r="G585" s="22" t="str">
        <f>'[6]21нед'!H45</f>
        <v/>
      </c>
      <c r="H585" s="57" t="str">
        <f t="shared" si="30"/>
        <v/>
      </c>
      <c r="I585" s="71"/>
      <c r="J585" s="74"/>
      <c r="K585" s="14" t="s">
        <v>19</v>
      </c>
      <c r="L585" s="20">
        <f>'[6]22нед'!C45</f>
        <v>0</v>
      </c>
      <c r="M585" s="23">
        <f>'[6]22нед'!D45</f>
        <v>0</v>
      </c>
      <c r="N585" s="21">
        <f>'[6]22нед'!G45</f>
        <v>0</v>
      </c>
      <c r="O585" s="22" t="str">
        <f>'[6]22нед'!H45</f>
        <v/>
      </c>
      <c r="P585" s="57" t="str">
        <f t="shared" si="31"/>
        <v/>
      </c>
    </row>
    <row r="586" spans="1:16" ht="31.5" x14ac:dyDescent="0.2">
      <c r="A586" s="82"/>
      <c r="B586" s="68"/>
      <c r="C586" s="14" t="s">
        <v>20</v>
      </c>
      <c r="D586" s="20">
        <f>'[6]21нед'!C46</f>
        <v>0</v>
      </c>
      <c r="E586" s="23">
        <f>'[6]21нед'!D46</f>
        <v>0</v>
      </c>
      <c r="F586" s="21">
        <f>'[6]21нед'!G46</f>
        <v>0</v>
      </c>
      <c r="G586" s="22" t="str">
        <f>'[6]21нед'!H46</f>
        <v/>
      </c>
      <c r="H586" s="57" t="str">
        <f t="shared" si="30"/>
        <v/>
      </c>
      <c r="I586" s="71"/>
      <c r="J586" s="74"/>
      <c r="K586" s="14" t="s">
        <v>20</v>
      </c>
      <c r="L586" s="20">
        <f>'[6]22нед'!C46</f>
        <v>0</v>
      </c>
      <c r="M586" s="23">
        <f>'[6]22нед'!D46</f>
        <v>0</v>
      </c>
      <c r="N586" s="21">
        <f>'[6]22нед'!G46</f>
        <v>0</v>
      </c>
      <c r="O586" s="22" t="str">
        <f>'[6]22нед'!H46</f>
        <v/>
      </c>
      <c r="P586" s="57" t="str">
        <f t="shared" si="31"/>
        <v/>
      </c>
    </row>
    <row r="587" spans="1:16" ht="31.5" x14ac:dyDescent="0.2">
      <c r="A587" s="82"/>
      <c r="B587" s="68"/>
      <c r="C587" s="14" t="s">
        <v>21</v>
      </c>
      <c r="D587" s="20">
        <f>'[6]21нед'!C47</f>
        <v>0</v>
      </c>
      <c r="E587" s="23">
        <f>'[6]21нед'!D47</f>
        <v>0</v>
      </c>
      <c r="F587" s="21">
        <f>'[6]21нед'!G47</f>
        <v>0</v>
      </c>
      <c r="G587" s="22" t="str">
        <f>'[6]21нед'!H47</f>
        <v/>
      </c>
      <c r="H587" s="57" t="str">
        <f t="shared" si="30"/>
        <v/>
      </c>
      <c r="I587" s="71"/>
      <c r="J587" s="74"/>
      <c r="K587" s="14" t="s">
        <v>21</v>
      </c>
      <c r="L587" s="20">
        <f>'[6]22нед'!C47</f>
        <v>0</v>
      </c>
      <c r="M587" s="23">
        <f>'[6]22нед'!D47</f>
        <v>0</v>
      </c>
      <c r="N587" s="21">
        <f>'[6]22нед'!G47</f>
        <v>0</v>
      </c>
      <c r="O587" s="22" t="str">
        <f>'[6]22нед'!H47</f>
        <v/>
      </c>
      <c r="P587" s="57" t="str">
        <f t="shared" si="31"/>
        <v/>
      </c>
    </row>
    <row r="588" spans="1:16" ht="31.5" x14ac:dyDescent="0.2">
      <c r="A588" s="82"/>
      <c r="B588" s="68"/>
      <c r="C588" s="14" t="s">
        <v>22</v>
      </c>
      <c r="D588" s="20">
        <f>'[6]21нед'!C48</f>
        <v>0</v>
      </c>
      <c r="E588" s="23">
        <f>'[6]21нед'!D48</f>
        <v>0</v>
      </c>
      <c r="F588" s="21">
        <f>'[6]21нед'!G48</f>
        <v>0</v>
      </c>
      <c r="G588" s="22" t="str">
        <f>'[6]21нед'!H48</f>
        <v/>
      </c>
      <c r="H588" s="57" t="str">
        <f t="shared" si="30"/>
        <v/>
      </c>
      <c r="I588" s="71"/>
      <c r="J588" s="74"/>
      <c r="K588" s="14" t="s">
        <v>22</v>
      </c>
      <c r="L588" s="20">
        <f>'[6]22нед'!C48</f>
        <v>0</v>
      </c>
      <c r="M588" s="23">
        <f>'[6]22нед'!D48</f>
        <v>0</v>
      </c>
      <c r="N588" s="21">
        <f>'[6]22нед'!G48</f>
        <v>0</v>
      </c>
      <c r="O588" s="22" t="str">
        <f>'[6]22нед'!H48</f>
        <v/>
      </c>
      <c r="P588" s="57" t="str">
        <f t="shared" si="31"/>
        <v/>
      </c>
    </row>
    <row r="589" spans="1:16" ht="31.5" x14ac:dyDescent="0.2">
      <c r="A589" s="82"/>
      <c r="B589" s="68"/>
      <c r="C589" s="14" t="s">
        <v>23</v>
      </c>
      <c r="D589" s="20">
        <f>'[6]21нед'!C49</f>
        <v>0</v>
      </c>
      <c r="E589" s="23">
        <f>'[6]21нед'!D49</f>
        <v>0</v>
      </c>
      <c r="F589" s="21">
        <f>'[6]21нед'!G49</f>
        <v>0</v>
      </c>
      <c r="G589" s="22" t="str">
        <f>'[6]21нед'!H49</f>
        <v/>
      </c>
      <c r="H589" s="57" t="str">
        <f t="shared" si="30"/>
        <v/>
      </c>
      <c r="I589" s="71"/>
      <c r="J589" s="74"/>
      <c r="K589" s="14" t="s">
        <v>23</v>
      </c>
      <c r="L589" s="20">
        <f>'[6]22нед'!C49</f>
        <v>0</v>
      </c>
      <c r="M589" s="23">
        <f>'[6]22нед'!D49</f>
        <v>0</v>
      </c>
      <c r="N589" s="21">
        <f>'[6]22нед'!G49</f>
        <v>0</v>
      </c>
      <c r="O589" s="22" t="str">
        <f>'[6]22нед'!H49</f>
        <v/>
      </c>
      <c r="P589" s="57" t="str">
        <f t="shared" si="31"/>
        <v/>
      </c>
    </row>
    <row r="590" spans="1:16" ht="32.25" thickBot="1" x14ac:dyDescent="0.25">
      <c r="A590" s="82"/>
      <c r="B590" s="68"/>
      <c r="C590" s="14" t="s">
        <v>24</v>
      </c>
      <c r="D590" s="20">
        <f>'[6]21нед'!C50</f>
        <v>0</v>
      </c>
      <c r="E590" s="23">
        <f>'[6]21нед'!D50</f>
        <v>0</v>
      </c>
      <c r="F590" s="21">
        <f>'[6]21нед'!G50</f>
        <v>0</v>
      </c>
      <c r="G590" s="22" t="str">
        <f>'[6]21нед'!H50</f>
        <v/>
      </c>
      <c r="H590" s="57" t="str">
        <f t="shared" si="30"/>
        <v/>
      </c>
      <c r="I590" s="71"/>
      <c r="J590" s="74"/>
      <c r="K590" s="14" t="s">
        <v>24</v>
      </c>
      <c r="L590" s="20">
        <f>'[6]22нед'!C50</f>
        <v>0</v>
      </c>
      <c r="M590" s="23">
        <f>'[6]22нед'!D50</f>
        <v>0</v>
      </c>
      <c r="N590" s="21">
        <f>'[6]22нед'!G50</f>
        <v>0</v>
      </c>
      <c r="O590" s="22" t="str">
        <f>'[6]22нед'!H50</f>
        <v/>
      </c>
      <c r="P590" s="57" t="str">
        <f t="shared" si="31"/>
        <v/>
      </c>
    </row>
    <row r="591" spans="1:16" ht="19.5" hidden="1" thickBot="1" x14ac:dyDescent="0.25">
      <c r="A591" s="83"/>
      <c r="B591" s="69"/>
      <c r="C591" s="15"/>
      <c r="D591" s="24">
        <f>'[6]21нед'!C51</f>
        <v>0</v>
      </c>
      <c r="E591" s="25">
        <f>'[6]21нед'!D51</f>
        <v>0</v>
      </c>
      <c r="F591" s="26">
        <f>'[6]21нед'!G51</f>
        <v>0</v>
      </c>
      <c r="G591" s="27" t="str">
        <f>'[6]21нед'!H51</f>
        <v/>
      </c>
      <c r="H591" s="58" t="str">
        <f t="shared" si="30"/>
        <v/>
      </c>
      <c r="I591" s="72"/>
      <c r="J591" s="75"/>
      <c r="K591" s="15"/>
      <c r="L591" s="24">
        <f>'[6]22нед'!C51</f>
        <v>0</v>
      </c>
      <c r="M591" s="25">
        <f>'[6]22нед'!D51</f>
        <v>0</v>
      </c>
      <c r="N591" s="26">
        <f>'[6]22нед'!G51</f>
        <v>0</v>
      </c>
      <c r="O591" s="27" t="str">
        <f>'[6]22нед'!H51</f>
        <v/>
      </c>
      <c r="P591" s="58" t="str">
        <f t="shared" si="31"/>
        <v/>
      </c>
    </row>
    <row r="592" spans="1:16" ht="31.7" customHeight="1" thickTop="1" x14ac:dyDescent="0.2">
      <c r="A592" s="70">
        <v>46410</v>
      </c>
      <c r="B592" s="67" t="s">
        <v>29</v>
      </c>
      <c r="C592" s="29" t="s">
        <v>18</v>
      </c>
      <c r="D592" s="16">
        <f>'[6]21нед'!C52</f>
        <v>0</v>
      </c>
      <c r="E592" s="19">
        <f>'[6]21нед'!D52</f>
        <v>0</v>
      </c>
      <c r="F592" s="17">
        <f>'[6]21нед'!G52</f>
        <v>0</v>
      </c>
      <c r="G592" s="18" t="str">
        <f>'[6]21нед'!H52</f>
        <v/>
      </c>
      <c r="H592" s="56" t="str">
        <f t="shared" si="30"/>
        <v/>
      </c>
      <c r="I592" s="70">
        <v>46417</v>
      </c>
      <c r="J592" s="73" t="s">
        <v>29</v>
      </c>
      <c r="K592" s="29" t="s">
        <v>18</v>
      </c>
      <c r="L592" s="16">
        <f>'[6]22нед'!C52</f>
        <v>0</v>
      </c>
      <c r="M592" s="19">
        <f>'[6]22нед'!D52</f>
        <v>0</v>
      </c>
      <c r="N592" s="17">
        <f>'[6]22нед'!G52</f>
        <v>0</v>
      </c>
      <c r="O592" s="18" t="str">
        <f>'[6]22нед'!H52</f>
        <v/>
      </c>
      <c r="P592" s="56" t="str">
        <f t="shared" si="31"/>
        <v/>
      </c>
    </row>
    <row r="593" spans="1:16" ht="31.5" x14ac:dyDescent="0.2">
      <c r="A593" s="82"/>
      <c r="B593" s="68"/>
      <c r="C593" s="14" t="s">
        <v>19</v>
      </c>
      <c r="D593" s="20">
        <f>'[6]21нед'!C53</f>
        <v>0</v>
      </c>
      <c r="E593" s="23">
        <f>'[6]21нед'!D53</f>
        <v>0</v>
      </c>
      <c r="F593" s="21">
        <f>'[6]21нед'!G53</f>
        <v>0</v>
      </c>
      <c r="G593" s="22" t="str">
        <f>'[6]21нед'!H53</f>
        <v/>
      </c>
      <c r="H593" s="57" t="str">
        <f t="shared" si="30"/>
        <v/>
      </c>
      <c r="I593" s="71"/>
      <c r="J593" s="74"/>
      <c r="K593" s="14" t="s">
        <v>19</v>
      </c>
      <c r="L593" s="20">
        <f>'[6]22нед'!C53</f>
        <v>0</v>
      </c>
      <c r="M593" s="23">
        <f>'[6]22нед'!D53</f>
        <v>0</v>
      </c>
      <c r="N593" s="21">
        <f>'[6]22нед'!G53</f>
        <v>0</v>
      </c>
      <c r="O593" s="22" t="str">
        <f>'[6]22нед'!H53</f>
        <v/>
      </c>
      <c r="P593" s="57" t="str">
        <f t="shared" si="31"/>
        <v/>
      </c>
    </row>
    <row r="594" spans="1:16" ht="31.5" x14ac:dyDescent="0.2">
      <c r="A594" s="82"/>
      <c r="B594" s="68"/>
      <c r="C594" s="14" t="s">
        <v>20</v>
      </c>
      <c r="D594" s="20">
        <f>'[6]21нед'!C54</f>
        <v>0</v>
      </c>
      <c r="E594" s="23">
        <f>'[6]21нед'!D54</f>
        <v>0</v>
      </c>
      <c r="F594" s="21">
        <f>'[6]21нед'!G54</f>
        <v>0</v>
      </c>
      <c r="G594" s="22" t="str">
        <f>'[6]21нед'!H54</f>
        <v/>
      </c>
      <c r="H594" s="57" t="str">
        <f t="shared" si="30"/>
        <v/>
      </c>
      <c r="I594" s="71"/>
      <c r="J594" s="74"/>
      <c r="K594" s="14" t="s">
        <v>20</v>
      </c>
      <c r="L594" s="20">
        <f>'[6]22нед'!C54</f>
        <v>0</v>
      </c>
      <c r="M594" s="23">
        <f>'[6]22нед'!D54</f>
        <v>0</v>
      </c>
      <c r="N594" s="21">
        <f>'[6]22нед'!G54</f>
        <v>0</v>
      </c>
      <c r="O594" s="22" t="str">
        <f>'[6]22нед'!H54</f>
        <v/>
      </c>
      <c r="P594" s="57" t="str">
        <f t="shared" si="31"/>
        <v/>
      </c>
    </row>
    <row r="595" spans="1:16" ht="31.5" x14ac:dyDescent="0.2">
      <c r="A595" s="82"/>
      <c r="B595" s="68"/>
      <c r="C595" s="14" t="s">
        <v>21</v>
      </c>
      <c r="D595" s="20">
        <f>'[6]21нед'!C55</f>
        <v>0</v>
      </c>
      <c r="E595" s="23">
        <f>'[6]21нед'!D55</f>
        <v>0</v>
      </c>
      <c r="F595" s="21">
        <f>'[6]21нед'!G55</f>
        <v>0</v>
      </c>
      <c r="G595" s="22" t="str">
        <f>'[6]21нед'!H55</f>
        <v/>
      </c>
      <c r="H595" s="57" t="str">
        <f t="shared" si="30"/>
        <v/>
      </c>
      <c r="I595" s="71"/>
      <c r="J595" s="74"/>
      <c r="K595" s="14" t="s">
        <v>21</v>
      </c>
      <c r="L595" s="20">
        <f>'[6]22нед'!C55</f>
        <v>0</v>
      </c>
      <c r="M595" s="23">
        <f>'[6]22нед'!D55</f>
        <v>0</v>
      </c>
      <c r="N595" s="21">
        <f>'[6]22нед'!G55</f>
        <v>0</v>
      </c>
      <c r="O595" s="22" t="str">
        <f>'[6]22нед'!H55</f>
        <v/>
      </c>
      <c r="P595" s="57" t="str">
        <f t="shared" si="31"/>
        <v/>
      </c>
    </row>
    <row r="596" spans="1:16" ht="31.5" x14ac:dyDescent="0.2">
      <c r="A596" s="82"/>
      <c r="B596" s="68"/>
      <c r="C596" s="14" t="s">
        <v>22</v>
      </c>
      <c r="D596" s="20">
        <f>'[6]21нед'!C56</f>
        <v>0</v>
      </c>
      <c r="E596" s="23">
        <f>'[6]21нед'!D56</f>
        <v>0</v>
      </c>
      <c r="F596" s="21">
        <f>'[6]21нед'!G56</f>
        <v>0</v>
      </c>
      <c r="G596" s="22" t="str">
        <f>'[6]21нед'!H56</f>
        <v/>
      </c>
      <c r="H596" s="57" t="str">
        <f t="shared" si="30"/>
        <v/>
      </c>
      <c r="I596" s="71"/>
      <c r="J596" s="74"/>
      <c r="K596" s="14" t="s">
        <v>22</v>
      </c>
      <c r="L596" s="20">
        <f>'[6]22нед'!C56</f>
        <v>0</v>
      </c>
      <c r="M596" s="23">
        <f>'[6]22нед'!D56</f>
        <v>0</v>
      </c>
      <c r="N596" s="21">
        <f>'[6]22нед'!G56</f>
        <v>0</v>
      </c>
      <c r="O596" s="22" t="str">
        <f>'[6]22нед'!H56</f>
        <v/>
      </c>
      <c r="P596" s="57" t="str">
        <f t="shared" si="31"/>
        <v/>
      </c>
    </row>
    <row r="597" spans="1:16" ht="31.5" x14ac:dyDescent="0.2">
      <c r="A597" s="82"/>
      <c r="B597" s="68"/>
      <c r="C597" s="14" t="s">
        <v>23</v>
      </c>
      <c r="D597" s="20">
        <f>'[6]21нед'!C57</f>
        <v>0</v>
      </c>
      <c r="E597" s="23">
        <f>'[6]21нед'!D57</f>
        <v>0</v>
      </c>
      <c r="F597" s="21">
        <f>'[6]21нед'!G57</f>
        <v>0</v>
      </c>
      <c r="G597" s="22" t="str">
        <f>'[6]21нед'!H57</f>
        <v/>
      </c>
      <c r="H597" s="57" t="str">
        <f t="shared" si="30"/>
        <v/>
      </c>
      <c r="I597" s="71"/>
      <c r="J597" s="74"/>
      <c r="K597" s="14" t="s">
        <v>23</v>
      </c>
      <c r="L597" s="20">
        <f>'[6]22нед'!C57</f>
        <v>0</v>
      </c>
      <c r="M597" s="23">
        <f>'[6]22нед'!D57</f>
        <v>0</v>
      </c>
      <c r="N597" s="21">
        <f>'[6]22нед'!G57</f>
        <v>0</v>
      </c>
      <c r="O597" s="22" t="str">
        <f>'[6]22нед'!H57</f>
        <v/>
      </c>
      <c r="P597" s="57" t="str">
        <f t="shared" si="31"/>
        <v/>
      </c>
    </row>
    <row r="598" spans="1:16" ht="32.25" thickBot="1" x14ac:dyDescent="0.25">
      <c r="A598" s="82"/>
      <c r="B598" s="68"/>
      <c r="C598" s="14" t="s">
        <v>24</v>
      </c>
      <c r="D598" s="20">
        <f>'[6]21нед'!C58</f>
        <v>0</v>
      </c>
      <c r="E598" s="23">
        <f>'[6]21нед'!D58</f>
        <v>0</v>
      </c>
      <c r="F598" s="21">
        <f>'[6]21нед'!G58</f>
        <v>0</v>
      </c>
      <c r="G598" s="22" t="str">
        <f>'[6]21нед'!H58</f>
        <v/>
      </c>
      <c r="H598" s="57" t="str">
        <f t="shared" si="30"/>
        <v/>
      </c>
      <c r="I598" s="71"/>
      <c r="J598" s="74"/>
      <c r="K598" s="14" t="s">
        <v>24</v>
      </c>
      <c r="L598" s="20">
        <f>'[6]22нед'!C58</f>
        <v>0</v>
      </c>
      <c r="M598" s="23">
        <f>'[6]22нед'!D58</f>
        <v>0</v>
      </c>
      <c r="N598" s="21">
        <f>'[6]22нед'!G58</f>
        <v>0</v>
      </c>
      <c r="O598" s="22" t="str">
        <f>'[6]22нед'!H58</f>
        <v/>
      </c>
      <c r="P598" s="57" t="str">
        <f t="shared" si="31"/>
        <v/>
      </c>
    </row>
    <row r="599" spans="1:16" ht="20.25" hidden="1" thickTop="1" thickBot="1" x14ac:dyDescent="0.25">
      <c r="A599" s="83"/>
      <c r="B599" s="69"/>
      <c r="C599" s="15"/>
      <c r="D599" s="16">
        <f>'[6]21нед'!C59</f>
        <v>0</v>
      </c>
      <c r="E599" s="19">
        <f>'[6]21нед'!D59</f>
        <v>0</v>
      </c>
      <c r="F599" s="17">
        <f>'[6]21нед'!G59</f>
        <v>0</v>
      </c>
      <c r="G599" s="18" t="str">
        <f>'[6]21нед'!H59</f>
        <v/>
      </c>
      <c r="H599" s="40"/>
      <c r="I599" s="72"/>
      <c r="J599" s="75"/>
      <c r="K599" s="15"/>
      <c r="L599" s="16">
        <f>'[6]22нед'!C59</f>
        <v>0</v>
      </c>
      <c r="M599" s="19">
        <f>'[6]22нед'!D59</f>
        <v>0</v>
      </c>
      <c r="N599" s="17">
        <f>'[6]22нед'!G59</f>
        <v>0</v>
      </c>
      <c r="O599" s="18" t="str">
        <f>'[6]22нед'!H59</f>
        <v/>
      </c>
      <c r="P599" s="39"/>
    </row>
    <row r="600" spans="1:16" ht="32.25" customHeight="1" thickTop="1" x14ac:dyDescent="0.2">
      <c r="A600" s="47"/>
      <c r="B600" s="30"/>
      <c r="C600" s="31"/>
      <c r="D600" s="32"/>
      <c r="E600" s="32" t="s">
        <v>30</v>
      </c>
      <c r="F600" s="32"/>
      <c r="G600" s="33" t="s">
        <v>31</v>
      </c>
      <c r="H600" s="41"/>
      <c r="I600" s="47"/>
      <c r="J600" s="30"/>
      <c r="K600" s="31"/>
      <c r="L600" s="32"/>
      <c r="M600" s="32" t="s">
        <v>30</v>
      </c>
      <c r="N600" s="32"/>
      <c r="O600" s="33" t="s">
        <v>31</v>
      </c>
      <c r="P600" s="41"/>
    </row>
  </sheetData>
  <mergeCells count="381">
    <mergeCell ref="A592:A599"/>
    <mergeCell ref="B592:B599"/>
    <mergeCell ref="I592:I599"/>
    <mergeCell ref="J592:J599"/>
    <mergeCell ref="A568:A575"/>
    <mergeCell ref="B568:B575"/>
    <mergeCell ref="I568:I575"/>
    <mergeCell ref="J568:J575"/>
    <mergeCell ref="A576:A583"/>
    <mergeCell ref="B576:B583"/>
    <mergeCell ref="I576:I583"/>
    <mergeCell ref="J576:J583"/>
    <mergeCell ref="A584:A591"/>
    <mergeCell ref="B584:B591"/>
    <mergeCell ref="I584:I591"/>
    <mergeCell ref="J584:J591"/>
    <mergeCell ref="A551:B551"/>
    <mergeCell ref="F551:G551"/>
    <mergeCell ref="I551:J551"/>
    <mergeCell ref="N551:O551"/>
    <mergeCell ref="A552:A559"/>
    <mergeCell ref="B552:B559"/>
    <mergeCell ref="I552:I559"/>
    <mergeCell ref="J552:J559"/>
    <mergeCell ref="A560:A567"/>
    <mergeCell ref="B560:B567"/>
    <mergeCell ref="I560:I567"/>
    <mergeCell ref="J560:J567"/>
    <mergeCell ref="B546:H546"/>
    <mergeCell ref="J546:P546"/>
    <mergeCell ref="B548:D548"/>
    <mergeCell ref="E548:H548"/>
    <mergeCell ref="J548:L548"/>
    <mergeCell ref="M548:P548"/>
    <mergeCell ref="B549:D549"/>
    <mergeCell ref="J549:L549"/>
    <mergeCell ref="B550:D550"/>
    <mergeCell ref="J550:L550"/>
    <mergeCell ref="J44:J51"/>
    <mergeCell ref="J12:J19"/>
    <mergeCell ref="J20:J27"/>
    <mergeCell ref="J28:J35"/>
    <mergeCell ref="I28:I35"/>
    <mergeCell ref="I36:I43"/>
    <mergeCell ref="I44:I51"/>
    <mergeCell ref="I52:I59"/>
    <mergeCell ref="J9:L9"/>
    <mergeCell ref="J10:L10"/>
    <mergeCell ref="I11:J11"/>
    <mergeCell ref="J52:J59"/>
    <mergeCell ref="J6:P6"/>
    <mergeCell ref="J8:L8"/>
    <mergeCell ref="M8:P8"/>
    <mergeCell ref="A36:A43"/>
    <mergeCell ref="B36:B43"/>
    <mergeCell ref="B6:H6"/>
    <mergeCell ref="B8:D8"/>
    <mergeCell ref="E8:H8"/>
    <mergeCell ref="B9:D9"/>
    <mergeCell ref="B10:D10"/>
    <mergeCell ref="A11:B11"/>
    <mergeCell ref="F11:G11"/>
    <mergeCell ref="N11:O11"/>
    <mergeCell ref="I12:I19"/>
    <mergeCell ref="I20:I27"/>
    <mergeCell ref="J36:J43"/>
    <mergeCell ref="A44:A51"/>
    <mergeCell ref="B44:B51"/>
    <mergeCell ref="A52:A59"/>
    <mergeCell ref="B52:B59"/>
    <mergeCell ref="A12:A19"/>
    <mergeCell ref="B12:B19"/>
    <mergeCell ref="A20:A27"/>
    <mergeCell ref="B20:B27"/>
    <mergeCell ref="A28:A35"/>
    <mergeCell ref="B28:B35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A80:A87"/>
    <mergeCell ref="B80:B87"/>
    <mergeCell ref="I80:I87"/>
    <mergeCell ref="J80:J87"/>
    <mergeCell ref="A88:A95"/>
    <mergeCell ref="B88:B95"/>
    <mergeCell ref="I88:I95"/>
    <mergeCell ref="J88:J95"/>
    <mergeCell ref="N71:O71"/>
    <mergeCell ref="A72:A79"/>
    <mergeCell ref="B72:B79"/>
    <mergeCell ref="I72:I79"/>
    <mergeCell ref="J72:J79"/>
    <mergeCell ref="A112:A119"/>
    <mergeCell ref="B112:B119"/>
    <mergeCell ref="I112:I119"/>
    <mergeCell ref="J112:J119"/>
    <mergeCell ref="B126:H126"/>
    <mergeCell ref="J126:P126"/>
    <mergeCell ref="A96:A103"/>
    <mergeCell ref="B96:B103"/>
    <mergeCell ref="I96:I103"/>
    <mergeCell ref="J96:J103"/>
    <mergeCell ref="A104:A111"/>
    <mergeCell ref="B104:B111"/>
    <mergeCell ref="I104:I111"/>
    <mergeCell ref="J104:J111"/>
    <mergeCell ref="B130:D130"/>
    <mergeCell ref="J130:L130"/>
    <mergeCell ref="A131:B131"/>
    <mergeCell ref="F131:G131"/>
    <mergeCell ref="I131:J131"/>
    <mergeCell ref="B128:D128"/>
    <mergeCell ref="E128:H128"/>
    <mergeCell ref="J128:L128"/>
    <mergeCell ref="M128:P128"/>
    <mergeCell ref="B129:D129"/>
    <mergeCell ref="J129:L129"/>
    <mergeCell ref="A140:A147"/>
    <mergeCell ref="B140:B147"/>
    <mergeCell ref="I140:I147"/>
    <mergeCell ref="J140:J147"/>
    <mergeCell ref="A148:A155"/>
    <mergeCell ref="B148:B155"/>
    <mergeCell ref="I148:I155"/>
    <mergeCell ref="J148:J155"/>
    <mergeCell ref="N131:O131"/>
    <mergeCell ref="A132:A139"/>
    <mergeCell ref="B132:B139"/>
    <mergeCell ref="I132:I139"/>
    <mergeCell ref="J132:J139"/>
    <mergeCell ref="E148:E154"/>
    <mergeCell ref="A172:A179"/>
    <mergeCell ref="B172:B179"/>
    <mergeCell ref="I172:I179"/>
    <mergeCell ref="J172:J179"/>
    <mergeCell ref="B186:H186"/>
    <mergeCell ref="J186:P186"/>
    <mergeCell ref="A156:A163"/>
    <mergeCell ref="B156:B163"/>
    <mergeCell ref="I156:I163"/>
    <mergeCell ref="J156:J163"/>
    <mergeCell ref="A164:A171"/>
    <mergeCell ref="B164:B171"/>
    <mergeCell ref="I164:I171"/>
    <mergeCell ref="J164:J171"/>
    <mergeCell ref="B190:D190"/>
    <mergeCell ref="J190:L190"/>
    <mergeCell ref="A191:B191"/>
    <mergeCell ref="F191:G191"/>
    <mergeCell ref="I191:J191"/>
    <mergeCell ref="B188:D188"/>
    <mergeCell ref="E188:H188"/>
    <mergeCell ref="J188:L188"/>
    <mergeCell ref="M188:P188"/>
    <mergeCell ref="B189:D189"/>
    <mergeCell ref="J189:L189"/>
    <mergeCell ref="A200:A207"/>
    <mergeCell ref="B200:B207"/>
    <mergeCell ref="I200:I207"/>
    <mergeCell ref="J200:J207"/>
    <mergeCell ref="A208:A215"/>
    <mergeCell ref="B208:B215"/>
    <mergeCell ref="I208:I215"/>
    <mergeCell ref="J208:J215"/>
    <mergeCell ref="N191:O191"/>
    <mergeCell ref="A192:A199"/>
    <mergeCell ref="B192:B199"/>
    <mergeCell ref="I192:I199"/>
    <mergeCell ref="J192:J199"/>
    <mergeCell ref="A232:A239"/>
    <mergeCell ref="B232:B239"/>
    <mergeCell ref="I232:I239"/>
    <mergeCell ref="J232:J239"/>
    <mergeCell ref="B246:H246"/>
    <mergeCell ref="J246:P246"/>
    <mergeCell ref="A216:A223"/>
    <mergeCell ref="B216:B223"/>
    <mergeCell ref="I216:I223"/>
    <mergeCell ref="J216:J223"/>
    <mergeCell ref="A224:A231"/>
    <mergeCell ref="B224:B231"/>
    <mergeCell ref="I224:I231"/>
    <mergeCell ref="J224:J231"/>
    <mergeCell ref="B250:D250"/>
    <mergeCell ref="J250:L250"/>
    <mergeCell ref="A251:B251"/>
    <mergeCell ref="F251:G251"/>
    <mergeCell ref="I251:J251"/>
    <mergeCell ref="B248:D248"/>
    <mergeCell ref="E248:H248"/>
    <mergeCell ref="J248:L248"/>
    <mergeCell ref="M248:P248"/>
    <mergeCell ref="B249:D249"/>
    <mergeCell ref="J249:L249"/>
    <mergeCell ref="A260:A267"/>
    <mergeCell ref="B260:B267"/>
    <mergeCell ref="I260:I267"/>
    <mergeCell ref="J260:J267"/>
    <mergeCell ref="A268:A275"/>
    <mergeCell ref="B268:B275"/>
    <mergeCell ref="I268:I275"/>
    <mergeCell ref="J268:J275"/>
    <mergeCell ref="N251:O251"/>
    <mergeCell ref="A252:A259"/>
    <mergeCell ref="B252:B259"/>
    <mergeCell ref="I252:I259"/>
    <mergeCell ref="J252:J259"/>
    <mergeCell ref="A292:A299"/>
    <mergeCell ref="B292:B299"/>
    <mergeCell ref="I292:I299"/>
    <mergeCell ref="J292:J299"/>
    <mergeCell ref="B306:H306"/>
    <mergeCell ref="J306:P306"/>
    <mergeCell ref="A276:A283"/>
    <mergeCell ref="B276:B283"/>
    <mergeCell ref="I276:I283"/>
    <mergeCell ref="J276:J283"/>
    <mergeCell ref="A284:A291"/>
    <mergeCell ref="B284:B291"/>
    <mergeCell ref="I284:I291"/>
    <mergeCell ref="J284:J291"/>
    <mergeCell ref="B310:D310"/>
    <mergeCell ref="J310:L310"/>
    <mergeCell ref="A311:B311"/>
    <mergeCell ref="F311:G311"/>
    <mergeCell ref="I311:J311"/>
    <mergeCell ref="B308:D308"/>
    <mergeCell ref="E308:H308"/>
    <mergeCell ref="J308:L308"/>
    <mergeCell ref="M308:P308"/>
    <mergeCell ref="B309:D309"/>
    <mergeCell ref="J309:L309"/>
    <mergeCell ref="A320:A327"/>
    <mergeCell ref="B320:B327"/>
    <mergeCell ref="I320:I327"/>
    <mergeCell ref="J320:J327"/>
    <mergeCell ref="A328:A335"/>
    <mergeCell ref="B328:B335"/>
    <mergeCell ref="I328:I335"/>
    <mergeCell ref="J328:J335"/>
    <mergeCell ref="N311:O311"/>
    <mergeCell ref="A312:A319"/>
    <mergeCell ref="B312:B319"/>
    <mergeCell ref="I312:I319"/>
    <mergeCell ref="J312:J319"/>
    <mergeCell ref="A352:A359"/>
    <mergeCell ref="B352:B359"/>
    <mergeCell ref="I352:I359"/>
    <mergeCell ref="J352:J359"/>
    <mergeCell ref="B366:H366"/>
    <mergeCell ref="J366:P366"/>
    <mergeCell ref="A336:A343"/>
    <mergeCell ref="B336:B343"/>
    <mergeCell ref="I336:I343"/>
    <mergeCell ref="J336:J343"/>
    <mergeCell ref="A344:A351"/>
    <mergeCell ref="B344:B351"/>
    <mergeCell ref="I344:I351"/>
    <mergeCell ref="J344:J351"/>
    <mergeCell ref="B370:D370"/>
    <mergeCell ref="J370:L370"/>
    <mergeCell ref="A371:B371"/>
    <mergeCell ref="F371:G371"/>
    <mergeCell ref="I371:J371"/>
    <mergeCell ref="B368:D368"/>
    <mergeCell ref="E368:H368"/>
    <mergeCell ref="J368:L368"/>
    <mergeCell ref="M368:P368"/>
    <mergeCell ref="B369:D369"/>
    <mergeCell ref="J369:L369"/>
    <mergeCell ref="A380:A387"/>
    <mergeCell ref="B380:B387"/>
    <mergeCell ref="I380:I387"/>
    <mergeCell ref="J380:J387"/>
    <mergeCell ref="A388:A395"/>
    <mergeCell ref="B388:B395"/>
    <mergeCell ref="I388:I395"/>
    <mergeCell ref="J388:J395"/>
    <mergeCell ref="N371:O371"/>
    <mergeCell ref="A372:A379"/>
    <mergeCell ref="B372:B379"/>
    <mergeCell ref="I372:I379"/>
    <mergeCell ref="J372:J379"/>
    <mergeCell ref="A412:A419"/>
    <mergeCell ref="B412:B419"/>
    <mergeCell ref="I412:I419"/>
    <mergeCell ref="J412:J419"/>
    <mergeCell ref="B426:H426"/>
    <mergeCell ref="J426:P426"/>
    <mergeCell ref="A396:A403"/>
    <mergeCell ref="B396:B403"/>
    <mergeCell ref="I396:I403"/>
    <mergeCell ref="J396:J403"/>
    <mergeCell ref="A404:A411"/>
    <mergeCell ref="B404:B411"/>
    <mergeCell ref="I404:I411"/>
    <mergeCell ref="J404:J411"/>
    <mergeCell ref="B430:D430"/>
    <mergeCell ref="J430:L430"/>
    <mergeCell ref="A431:B431"/>
    <mergeCell ref="F431:G431"/>
    <mergeCell ref="I431:J431"/>
    <mergeCell ref="B428:D428"/>
    <mergeCell ref="E428:H428"/>
    <mergeCell ref="J428:L428"/>
    <mergeCell ref="M428:P428"/>
    <mergeCell ref="B429:D429"/>
    <mergeCell ref="J429:L429"/>
    <mergeCell ref="A440:A447"/>
    <mergeCell ref="B440:B447"/>
    <mergeCell ref="I440:I447"/>
    <mergeCell ref="J440:J447"/>
    <mergeCell ref="A448:A455"/>
    <mergeCell ref="B448:B455"/>
    <mergeCell ref="I448:I455"/>
    <mergeCell ref="J448:J455"/>
    <mergeCell ref="N431:O431"/>
    <mergeCell ref="A432:A439"/>
    <mergeCell ref="B432:B439"/>
    <mergeCell ref="I432:I439"/>
    <mergeCell ref="J432:J439"/>
    <mergeCell ref="A472:A479"/>
    <mergeCell ref="B472:B479"/>
    <mergeCell ref="I472:I479"/>
    <mergeCell ref="J472:J479"/>
    <mergeCell ref="B486:H486"/>
    <mergeCell ref="J486:P486"/>
    <mergeCell ref="A456:A463"/>
    <mergeCell ref="B456:B463"/>
    <mergeCell ref="I456:I463"/>
    <mergeCell ref="J456:J463"/>
    <mergeCell ref="A464:A471"/>
    <mergeCell ref="B464:B471"/>
    <mergeCell ref="I464:I471"/>
    <mergeCell ref="J464:J471"/>
    <mergeCell ref="B490:D490"/>
    <mergeCell ref="J490:L490"/>
    <mergeCell ref="A491:B491"/>
    <mergeCell ref="F491:G491"/>
    <mergeCell ref="I491:J491"/>
    <mergeCell ref="B488:D488"/>
    <mergeCell ref="E488:H488"/>
    <mergeCell ref="J488:L488"/>
    <mergeCell ref="M488:P488"/>
    <mergeCell ref="B489:D489"/>
    <mergeCell ref="J489:L489"/>
    <mergeCell ref="A500:A507"/>
    <mergeCell ref="B500:B507"/>
    <mergeCell ref="I500:I507"/>
    <mergeCell ref="J500:J507"/>
    <mergeCell ref="A508:A515"/>
    <mergeCell ref="B508:B515"/>
    <mergeCell ref="I508:I515"/>
    <mergeCell ref="J508:J515"/>
    <mergeCell ref="N491:O491"/>
    <mergeCell ref="A492:A499"/>
    <mergeCell ref="B492:B499"/>
    <mergeCell ref="I492:I499"/>
    <mergeCell ref="J492:J499"/>
    <mergeCell ref="A532:A539"/>
    <mergeCell ref="B532:B539"/>
    <mergeCell ref="I532:I539"/>
    <mergeCell ref="J532:J539"/>
    <mergeCell ref="A516:A523"/>
    <mergeCell ref="B516:B523"/>
    <mergeCell ref="I516:I523"/>
    <mergeCell ref="J516:J523"/>
    <mergeCell ref="A524:A531"/>
    <mergeCell ref="B524:B531"/>
    <mergeCell ref="I524:I531"/>
    <mergeCell ref="J524:J531"/>
  </mergeCells>
  <conditionalFormatting sqref="G539">
    <cfRule type="cellIs" dxfId="139" priority="3443" operator="equal">
      <formula>"0. ,0, "</formula>
    </cfRule>
  </conditionalFormatting>
  <conditionalFormatting sqref="G539">
    <cfRule type="cellIs" dxfId="138" priority="3442" operator="equal">
      <formula>"0. 0,0, ауд. 0, 0"</formula>
    </cfRule>
  </conditionalFormatting>
  <conditionalFormatting sqref="G539">
    <cfRule type="cellIs" dxfId="137" priority="3441" operator="equal">
      <formula>"0. 0 0, ауд. 0, 0"</formula>
    </cfRule>
  </conditionalFormatting>
  <conditionalFormatting sqref="G539">
    <cfRule type="cellIs" dxfId="136" priority="3440" operator="equal">
      <formula>"0. ,0, "</formula>
    </cfRule>
  </conditionalFormatting>
  <conditionalFormatting sqref="G539">
    <cfRule type="cellIs" dxfId="135" priority="3439" operator="equal">
      <formula>"0. 0,0, ауд. 0, 0"</formula>
    </cfRule>
  </conditionalFormatting>
  <conditionalFormatting sqref="G539">
    <cfRule type="cellIs" dxfId="134" priority="3438" operator="equal">
      <formula>"0. 0 0, ауд. 0, 0"</formula>
    </cfRule>
  </conditionalFormatting>
  <conditionalFormatting sqref="G539">
    <cfRule type="cellIs" dxfId="133" priority="3437" operator="equal">
      <formula>"0. ,0, "</formula>
    </cfRule>
  </conditionalFormatting>
  <conditionalFormatting sqref="G539">
    <cfRule type="cellIs" dxfId="132" priority="3436" operator="equal">
      <formula>"0. 0,0, ауд. 0, 0"</formula>
    </cfRule>
  </conditionalFormatting>
  <conditionalFormatting sqref="G539">
    <cfRule type="cellIs" dxfId="131" priority="3435" operator="equal">
      <formula>"0. 0 0, ауд. 0, 0"</formula>
    </cfRule>
  </conditionalFormatting>
  <conditionalFormatting sqref="G539">
    <cfRule type="cellIs" dxfId="130" priority="3433" operator="equal">
      <formula>"0. 0 0, ауд. 0,"</formula>
    </cfRule>
    <cfRule type="colorScale" priority="3434">
      <colorScale>
        <cfvo type="min"/>
        <cfvo type="max"/>
        <color rgb="FFFF7128"/>
        <color rgb="FFFFEF9C"/>
      </colorScale>
    </cfRule>
  </conditionalFormatting>
  <conditionalFormatting sqref="H539">
    <cfRule type="cellIs" dxfId="129" priority="33" operator="equal">
      <formula>"0. ,0, "</formula>
    </cfRule>
  </conditionalFormatting>
  <conditionalFormatting sqref="H539">
    <cfRule type="cellIs" dxfId="128" priority="32" operator="equal">
      <formula>"0. 0,0, ауд. 0, 0"</formula>
    </cfRule>
  </conditionalFormatting>
  <conditionalFormatting sqref="H539">
    <cfRule type="cellIs" dxfId="127" priority="31" operator="equal">
      <formula>"0. 0 0, ауд. 0, 0"</formula>
    </cfRule>
  </conditionalFormatting>
  <conditionalFormatting sqref="H539">
    <cfRule type="cellIs" dxfId="126" priority="30" operator="equal">
      <formula>"0. ,0, "</formula>
    </cfRule>
  </conditionalFormatting>
  <conditionalFormatting sqref="H539">
    <cfRule type="cellIs" dxfId="125" priority="29" operator="equal">
      <formula>"0. 0,0, ауд. 0, 0"</formula>
    </cfRule>
  </conditionalFormatting>
  <conditionalFormatting sqref="H539">
    <cfRule type="cellIs" dxfId="124" priority="28" operator="equal">
      <formula>"0. 0 0, ауд. 0, 0"</formula>
    </cfRule>
  </conditionalFormatting>
  <conditionalFormatting sqref="H539">
    <cfRule type="cellIs" dxfId="123" priority="27" operator="equal">
      <formula>"0. ,0, "</formula>
    </cfRule>
  </conditionalFormatting>
  <conditionalFormatting sqref="H539">
    <cfRule type="cellIs" dxfId="122" priority="26" operator="equal">
      <formula>"0. 0,0, ауд. 0, 0"</formula>
    </cfRule>
  </conditionalFormatting>
  <conditionalFormatting sqref="H539">
    <cfRule type="cellIs" dxfId="121" priority="25" operator="equal">
      <formula>"0. 0 0, ауд. 0, 0"</formula>
    </cfRule>
  </conditionalFormatting>
  <conditionalFormatting sqref="H539">
    <cfRule type="cellIs" dxfId="120" priority="23" operator="equal">
      <formula>"0. 0 0, ауд. 0,"</formula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H599">
    <cfRule type="cellIs" dxfId="119" priority="11" operator="equal">
      <formula>"0. ,0, "</formula>
    </cfRule>
  </conditionalFormatting>
  <conditionalFormatting sqref="H599">
    <cfRule type="cellIs" dxfId="118" priority="10" operator="equal">
      <formula>"0. 0,0, ауд. 0, 0"</formula>
    </cfRule>
  </conditionalFormatting>
  <conditionalFormatting sqref="H599">
    <cfRule type="cellIs" dxfId="117" priority="9" operator="equal">
      <formula>"0. 0 0, ауд. 0, 0"</formula>
    </cfRule>
  </conditionalFormatting>
  <conditionalFormatting sqref="H599">
    <cfRule type="cellIs" dxfId="116" priority="8" operator="equal">
      <formula>"0. ,0, "</formula>
    </cfRule>
  </conditionalFormatting>
  <conditionalFormatting sqref="H599">
    <cfRule type="cellIs" dxfId="115" priority="7" operator="equal">
      <formula>"0. 0,0, ауд. 0, 0"</formula>
    </cfRule>
  </conditionalFormatting>
  <conditionalFormatting sqref="H599">
    <cfRule type="cellIs" dxfId="114" priority="6" operator="equal">
      <formula>"0. 0 0, ауд. 0, 0"</formula>
    </cfRule>
  </conditionalFormatting>
  <conditionalFormatting sqref="H599">
    <cfRule type="cellIs" dxfId="113" priority="5" operator="equal">
      <formula>"0. ,0, "</formula>
    </cfRule>
  </conditionalFormatting>
  <conditionalFormatting sqref="H599">
    <cfRule type="cellIs" dxfId="112" priority="4" operator="equal">
      <formula>"0. 0,0, ауд. 0, 0"</formula>
    </cfRule>
  </conditionalFormatting>
  <conditionalFormatting sqref="H599">
    <cfRule type="cellIs" dxfId="111" priority="3" operator="equal">
      <formula>"0. 0 0, ауд. 0, 0"</formula>
    </cfRule>
  </conditionalFormatting>
  <conditionalFormatting sqref="H599">
    <cfRule type="cellIs" dxfId="110" priority="1" operator="equal">
      <formula>"0. 0 0, ауд. 0,"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34" orientation="portrait" r:id="rId1"/>
  <rowBreaks count="9" manualBreakCount="9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  <brk id="540" max="15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79"/>
  <sheetViews>
    <sheetView tabSelected="1" view="pageBreakPreview" topLeftCell="G122" zoomScale="50" zoomScaleNormal="55" zoomScaleSheetLayoutView="50" workbookViewId="0">
      <selection activeCell="F176" sqref="F176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8.85546875" customWidth="1"/>
    <col min="18" max="18" width="68.28515625" customWidth="1"/>
    <col min="19" max="19" width="65.140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</f>
        <v>09.03.04Программная инженерия (Программно-информационные системы)</v>
      </c>
      <c r="F7" s="7"/>
      <c r="G7" s="7" t="str">
        <f>'[1]1нед'!$L$10</f>
        <v>12-26ПИ</v>
      </c>
      <c r="H7" s="8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12-26ПИ</v>
      </c>
      <c r="P7" s="8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"/>
      <c r="I9" s="45"/>
      <c r="J9" s="81" t="s">
        <v>7</v>
      </c>
      <c r="K9" s="81"/>
      <c r="L9" s="81"/>
      <c r="M9" s="62">
        <f>E9</f>
        <v>1</v>
      </c>
      <c r="N9" s="62"/>
      <c r="O9" s="62"/>
      <c r="P9" s="3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9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9"/>
    </row>
    <row r="11" spans="1:19" ht="46.5" customHeight="1" thickTop="1" thickBot="1" x14ac:dyDescent="0.4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3" t="s">
        <v>15</v>
      </c>
      <c r="S11" s="53" t="s">
        <v>16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'[1]1нед'!K12</f>
        <v>0</v>
      </c>
      <c r="E12" s="19">
        <f>'[1]1нед'!L12</f>
        <v>0</v>
      </c>
      <c r="F12" s="17">
        <f>'[1]1нед'!O12</f>
        <v>0</v>
      </c>
      <c r="G12" s="18" t="str">
        <f>'[1]1нед'!P12</f>
        <v/>
      </c>
      <c r="H12" s="56" t="str">
        <f>HYPERLINK(VLOOKUP(E12,$R$12:$S$179,2,FALSE))</f>
        <v/>
      </c>
      <c r="I12" s="70">
        <v>46272</v>
      </c>
      <c r="J12" s="87" t="s">
        <v>17</v>
      </c>
      <c r="K12" s="14" t="s">
        <v>18</v>
      </c>
      <c r="L12" s="16" t="str">
        <f>'[1]2нед'!K12</f>
        <v>л</v>
      </c>
      <c r="M12" s="19" t="str">
        <f>'[1]2нед'!L12</f>
        <v>История России</v>
      </c>
      <c r="N12" s="17" t="str">
        <f>'[1]2нед'!O12</f>
        <v>Сальников В.И.</v>
      </c>
      <c r="O12" s="18" t="str">
        <f>'[1]2нед'!P12</f>
        <v>доцент, канд. наук</v>
      </c>
      <c r="P12" s="56" t="str">
        <f>HYPERLINK(VLOOKUP(M12,$R$11:$S$179,2,FALSE))</f>
        <v>https://max.ru/join/o85unk1KbqCN1-IxGCSAqfdKA8ikJBwHtOsEG2C_ftA</v>
      </c>
      <c r="R12" s="51" t="str">
        <f>[2]Уч.План!B61</f>
        <v>Иностранный язык</v>
      </c>
      <c r="S12" s="60" t="s">
        <v>33</v>
      </c>
    </row>
    <row r="13" spans="1:19" ht="37.5" x14ac:dyDescent="0.2">
      <c r="A13" s="82"/>
      <c r="B13" s="85"/>
      <c r="C13" s="14" t="s">
        <v>19</v>
      </c>
      <c r="D13" s="20">
        <f>'[1]1нед'!K13</f>
        <v>0</v>
      </c>
      <c r="E13" s="23">
        <f>'[1]1нед'!L13</f>
        <v>0</v>
      </c>
      <c r="F13" s="21">
        <f>'[1]1нед'!O13</f>
        <v>0</v>
      </c>
      <c r="G13" s="22" t="str">
        <f>'[1]1нед'!P13</f>
        <v/>
      </c>
      <c r="H13" s="57" t="str">
        <f>HYPERLINK(VLOOKUP(E13,$R$12:$S$179,2,FALSE))</f>
        <v/>
      </c>
      <c r="I13" s="71"/>
      <c r="J13" s="88"/>
      <c r="K13" s="14" t="s">
        <v>19</v>
      </c>
      <c r="L13" s="20" t="str">
        <f>'[1]2нед'!K13</f>
        <v>пр</v>
      </c>
      <c r="M13" s="23" t="str">
        <f>'[1]2нед'!L13</f>
        <v>Английский язык для специальных целей</v>
      </c>
      <c r="N13" s="21" t="str">
        <f>'[1]2нед'!O13</f>
        <v>Суворова С.Г.</v>
      </c>
      <c r="O13" s="22" t="str">
        <f>'[1]2нед'!P13</f>
        <v>ст. преподаватель</v>
      </c>
      <c r="P13" s="57" t="str">
        <f>HYPERLINK(VLOOKUP(M13,$R$11:$S$179,2,FALSE))</f>
        <v>https://max.ru/join/PF9p4nxFpYkpyJZDiJCXITBLRp8ioqfTBXE3wfeJlHs</v>
      </c>
      <c r="R13" s="51" t="str">
        <f>[2]Уч.План!B62</f>
        <v>Физическая культура и спорт</v>
      </c>
      <c r="S13" s="60" t="s">
        <v>33</v>
      </c>
    </row>
    <row r="14" spans="1:19" ht="31.5" x14ac:dyDescent="0.2">
      <c r="A14" s="82"/>
      <c r="B14" s="85"/>
      <c r="C14" s="14" t="s">
        <v>20</v>
      </c>
      <c r="D14" s="20">
        <f>'[1]1нед'!K14</f>
        <v>0</v>
      </c>
      <c r="E14" s="23">
        <f>'[1]1нед'!L14</f>
        <v>0</v>
      </c>
      <c r="F14" s="21">
        <f>'[1]1нед'!O14</f>
        <v>0</v>
      </c>
      <c r="G14" s="22" t="str">
        <f>'[1]1нед'!P14</f>
        <v/>
      </c>
      <c r="H14" s="57" t="str">
        <f>HYPERLINK(VLOOKUP(E14,$R$12:$S$179,2,FALSE))</f>
        <v/>
      </c>
      <c r="I14" s="71"/>
      <c r="J14" s="88"/>
      <c r="K14" s="14" t="s">
        <v>20</v>
      </c>
      <c r="L14" s="20">
        <f>'[1]2нед'!K14</f>
        <v>0</v>
      </c>
      <c r="M14" s="23">
        <f>'[1]2нед'!L14</f>
        <v>0</v>
      </c>
      <c r="N14" s="21">
        <f>'[1]2нед'!O14</f>
        <v>0</v>
      </c>
      <c r="O14" s="22" t="str">
        <f>'[1]2нед'!P14</f>
        <v/>
      </c>
      <c r="P14" s="57" t="str">
        <f>HYPERLINK(VLOOKUP(M14,$R$11:$S$179,2,FALSE))</f>
        <v/>
      </c>
      <c r="R14" s="51" t="str">
        <f>[2]Уч.План!B63</f>
        <v>История России</v>
      </c>
      <c r="S14" s="54" t="s">
        <v>34</v>
      </c>
    </row>
    <row r="15" spans="1:19" ht="31.5" x14ac:dyDescent="0.2">
      <c r="A15" s="82"/>
      <c r="B15" s="85"/>
      <c r="C15" s="14" t="s">
        <v>21</v>
      </c>
      <c r="D15" s="20">
        <f>'[1]1нед'!K15</f>
        <v>0</v>
      </c>
      <c r="E15" s="23">
        <f>'[1]1нед'!L15</f>
        <v>0</v>
      </c>
      <c r="F15" s="21">
        <f>'[1]1нед'!O15</f>
        <v>0</v>
      </c>
      <c r="G15" s="22" t="str">
        <f>'[1]1нед'!P15</f>
        <v/>
      </c>
      <c r="H15" s="57" t="str">
        <f>HYPERLINK(VLOOKUP(E15,$R$12:$S$179,2,FALSE))</f>
        <v/>
      </c>
      <c r="I15" s="71"/>
      <c r="J15" s="88"/>
      <c r="K15" s="14" t="s">
        <v>21</v>
      </c>
      <c r="L15" s="20">
        <f>'[1]2нед'!K15</f>
        <v>0</v>
      </c>
      <c r="M15" s="23">
        <f>'[1]2нед'!L15</f>
        <v>0</v>
      </c>
      <c r="N15" s="21">
        <f>'[1]2нед'!O15</f>
        <v>0</v>
      </c>
      <c r="O15" s="22" t="str">
        <f>'[1]2нед'!P15</f>
        <v/>
      </c>
      <c r="P15" s="57" t="str">
        <f>HYPERLINK(VLOOKUP(M15,$R$11:$S$179,2,FALSE))</f>
        <v/>
      </c>
      <c r="R15" s="51" t="str">
        <f>[2]Уч.План!B64</f>
        <v>Основы российской государственности</v>
      </c>
      <c r="S15" s="54" t="s">
        <v>35</v>
      </c>
    </row>
    <row r="16" spans="1:19" ht="31.5" x14ac:dyDescent="0.2">
      <c r="A16" s="82"/>
      <c r="B16" s="85"/>
      <c r="C16" s="14" t="s">
        <v>22</v>
      </c>
      <c r="D16" s="20">
        <f>'[1]1нед'!K16</f>
        <v>0</v>
      </c>
      <c r="E16" s="23">
        <f>'[1]1нед'!L16</f>
        <v>0</v>
      </c>
      <c r="F16" s="21">
        <f>'[1]1нед'!O16</f>
        <v>0</v>
      </c>
      <c r="G16" s="22" t="str">
        <f>'[1]1нед'!P16</f>
        <v/>
      </c>
      <c r="H16" s="57" t="str">
        <f>HYPERLINK(VLOOKUP(E16,$R$12:$S$179,2,FALSE))</f>
        <v/>
      </c>
      <c r="I16" s="71"/>
      <c r="J16" s="88"/>
      <c r="K16" s="14" t="s">
        <v>22</v>
      </c>
      <c r="L16" s="20">
        <f>'[1]2нед'!K16</f>
        <v>0</v>
      </c>
      <c r="M16" s="23">
        <f>'[1]2нед'!L16</f>
        <v>0</v>
      </c>
      <c r="N16" s="21">
        <f>'[1]2нед'!O16</f>
        <v>0</v>
      </c>
      <c r="O16" s="22" t="str">
        <f>'[1]2нед'!P16</f>
        <v/>
      </c>
      <c r="P16" s="57" t="str">
        <f>HYPERLINK(VLOOKUP(M16,$R$11:$S$179,2,FALSE))</f>
        <v/>
      </c>
      <c r="R16" s="51" t="str">
        <f>[2]Уч.План!B65</f>
        <v>Технологии цифрового образования</v>
      </c>
      <c r="S16" s="54" t="s">
        <v>36</v>
      </c>
    </row>
    <row r="17" spans="1:19" ht="31.5" x14ac:dyDescent="0.2">
      <c r="A17" s="82"/>
      <c r="B17" s="85"/>
      <c r="C17" s="14" t="s">
        <v>23</v>
      </c>
      <c r="D17" s="20">
        <f>'[1]1нед'!K17</f>
        <v>0</v>
      </c>
      <c r="E17" s="23">
        <f>'[1]1нед'!L17</f>
        <v>0</v>
      </c>
      <c r="F17" s="21">
        <f>'[1]1нед'!O17</f>
        <v>0</v>
      </c>
      <c r="G17" s="22" t="str">
        <f>'[1]1нед'!P17</f>
        <v/>
      </c>
      <c r="H17" s="55" t="str">
        <f>HYPERLINK(VLOOKUP(E17,$R$12:$S$179,2,FALSE))</f>
        <v/>
      </c>
      <c r="I17" s="71"/>
      <c r="J17" s="88"/>
      <c r="K17" s="14" t="s">
        <v>23</v>
      </c>
      <c r="L17" s="20">
        <f>'[1]2нед'!K17</f>
        <v>0</v>
      </c>
      <c r="M17" s="23">
        <f>'[1]2нед'!L17</f>
        <v>0</v>
      </c>
      <c r="N17" s="21">
        <f>'[1]2нед'!O17</f>
        <v>0</v>
      </c>
      <c r="O17" s="22" t="str">
        <f>'[1]2нед'!P17</f>
        <v/>
      </c>
      <c r="P17" s="55" t="str">
        <f>HYPERLINK(VLOOKUP(M17,$R$11:$S$179,2,FALSE))</f>
        <v/>
      </c>
      <c r="R17" s="51" t="str">
        <f>[2]Уч.План!B66</f>
        <v>Английский язык для специальных целей</v>
      </c>
      <c r="S17" s="60" t="s">
        <v>33</v>
      </c>
    </row>
    <row r="18" spans="1:19" ht="31.5" x14ac:dyDescent="0.2">
      <c r="A18" s="82"/>
      <c r="B18" s="85"/>
      <c r="C18" s="14" t="s">
        <v>24</v>
      </c>
      <c r="D18" s="20">
        <f>'[1]1нед'!K18</f>
        <v>0</v>
      </c>
      <c r="E18" s="23">
        <f>'[1]1нед'!L18</f>
        <v>0</v>
      </c>
      <c r="F18" s="21">
        <f>'[1]1нед'!O18</f>
        <v>0</v>
      </c>
      <c r="G18" s="22" t="str">
        <f>'[1]1нед'!P18</f>
        <v/>
      </c>
      <c r="H18" s="55" t="str">
        <f>HYPERLINK(VLOOKUP(E18,$R$12:$S$179,2,FALSE))</f>
        <v/>
      </c>
      <c r="I18" s="71"/>
      <c r="J18" s="88"/>
      <c r="K18" s="14" t="s">
        <v>24</v>
      </c>
      <c r="L18" s="20">
        <f>'[1]2нед'!K18</f>
        <v>0</v>
      </c>
      <c r="M18" s="23">
        <f>'[1]2нед'!L18</f>
        <v>0</v>
      </c>
      <c r="N18" s="21">
        <f>'[1]2нед'!O18</f>
        <v>0</v>
      </c>
      <c r="O18" s="22" t="str">
        <f>'[1]2нед'!P18</f>
        <v/>
      </c>
      <c r="P18" s="55" t="str">
        <f>HYPERLINK(VLOOKUP(M18,$R$11:$S$179,2,FALSE))</f>
        <v/>
      </c>
      <c r="R18" s="51" t="str">
        <f>[2]Уч.План!B67</f>
        <v>Алгебра и Геометрия</v>
      </c>
      <c r="S18" s="60" t="s">
        <v>33</v>
      </c>
    </row>
    <row r="19" spans="1:19" ht="19.5" customHeight="1" thickBot="1" x14ac:dyDescent="0.25">
      <c r="A19" s="83"/>
      <c r="B19" s="86"/>
      <c r="C19" s="15"/>
      <c r="D19" s="24">
        <f>'[1]1нед'!K19</f>
        <v>0</v>
      </c>
      <c r="E19" s="25">
        <f>'[1]1нед'!L19</f>
        <v>0</v>
      </c>
      <c r="F19" s="26">
        <f>'[1]1нед'!O19</f>
        <v>0</v>
      </c>
      <c r="G19" s="27" t="str">
        <f>'[1]1нед'!P19</f>
        <v/>
      </c>
      <c r="H19" s="58" t="str">
        <f>HYPERLINK(VLOOKUP(E19,$R$12:$S$179,2,FALSE))</f>
        <v/>
      </c>
      <c r="I19" s="72"/>
      <c r="J19" s="89"/>
      <c r="K19" s="15"/>
      <c r="L19" s="24">
        <f>'[1]2нед'!K19</f>
        <v>0</v>
      </c>
      <c r="M19" s="25">
        <f>'[1]2нед'!L19</f>
        <v>0</v>
      </c>
      <c r="N19" s="26">
        <f>'[1]2нед'!O19</f>
        <v>0</v>
      </c>
      <c r="O19" s="27" t="str">
        <f>'[1]2нед'!P19</f>
        <v/>
      </c>
      <c r="P19" s="58" t="str">
        <f>HYPERLINK(VLOOKUP(M19,$R$11:$S$179,2,FALSE))</f>
        <v/>
      </c>
      <c r="R19" s="51" t="str">
        <f>[2]Уч.План!B68</f>
        <v>Математический анализ</v>
      </c>
      <c r="S19" s="60" t="s">
        <v>33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</f>
        <v>0</v>
      </c>
      <c r="E20" s="19">
        <f>'[1]1нед'!L20</f>
        <v>0</v>
      </c>
      <c r="F20" s="17">
        <f>'[1]1нед'!O20</f>
        <v>0</v>
      </c>
      <c r="G20" s="18" t="str">
        <f>'[1]1нед'!P20</f>
        <v/>
      </c>
      <c r="H20" s="56" t="str">
        <f>HYPERLINK(VLOOKUP(E20,$R$12:$S$179,2,FALSE))</f>
        <v/>
      </c>
      <c r="I20" s="70">
        <v>46273</v>
      </c>
      <c r="J20" s="87" t="s">
        <v>25</v>
      </c>
      <c r="K20" s="29" t="s">
        <v>18</v>
      </c>
      <c r="L20" s="16" t="str">
        <f>'[1]2нед'!K20</f>
        <v>пр</v>
      </c>
      <c r="M20" s="19" t="str">
        <f>'[1]2нед'!L20</f>
        <v xml:space="preserve"> Основы российской государственности</v>
      </c>
      <c r="N20" s="17" t="str">
        <f>'[1]2нед'!O20</f>
        <v>Лысенко Е.Г.</v>
      </c>
      <c r="O20" s="18" t="str">
        <f>'[1]2нед'!P20</f>
        <v>доцент, канд. наук</v>
      </c>
      <c r="P20" s="56" t="str">
        <f>HYPERLINK(VLOOKUP(M20,$R$11:$S$179,2,FALSE))</f>
        <v>https://max.ru/join/PF9p4nxFpYkpyJZDiJCXITBLRp8ioqfTBXE3wfeJlHs</v>
      </c>
      <c r="R20" s="51" t="str">
        <f>[2]Уч.План!B69</f>
        <v>Основы и методология программирования</v>
      </c>
      <c r="S20" s="60" t="s">
        <v>33</v>
      </c>
    </row>
    <row r="21" spans="1:19" ht="37.5" x14ac:dyDescent="0.2">
      <c r="A21" s="82"/>
      <c r="B21" s="85"/>
      <c r="C21" s="14" t="s">
        <v>19</v>
      </c>
      <c r="D21" s="20">
        <f>'[1]1нед'!K21</f>
        <v>0</v>
      </c>
      <c r="E21" s="23">
        <f>'[1]1нед'!L21</f>
        <v>0</v>
      </c>
      <c r="F21" s="21">
        <f>'[1]1нед'!O21</f>
        <v>0</v>
      </c>
      <c r="G21" s="22" t="str">
        <f>'[1]1нед'!P21</f>
        <v/>
      </c>
      <c r="H21" s="57" t="str">
        <f>HYPERLINK(VLOOKUP(E21,$R$12:$S$179,2,FALSE))</f>
        <v/>
      </c>
      <c r="I21" s="71"/>
      <c r="J21" s="88"/>
      <c r="K21" s="14" t="s">
        <v>19</v>
      </c>
      <c r="L21" s="20" t="str">
        <f>'[1]2нед'!K21</f>
        <v>пр</v>
      </c>
      <c r="M21" s="23" t="str">
        <f>'[1]2нед'!L21</f>
        <v>Иностранный язык</v>
      </c>
      <c r="N21" s="21" t="str">
        <f>'[1]2нед'!O21</f>
        <v>Суворова С.Г.</v>
      </c>
      <c r="O21" s="22" t="str">
        <f>'[1]2нед'!P21</f>
        <v>ст. преподаватель</v>
      </c>
      <c r="P21" s="57" t="str">
        <f>HYPERLINK(VLOOKUP(M21,$R$11:$S$179,2,FALSE))</f>
        <v>https://max.ru/join/PF9p4nxFpYkpyJZDiJCXITBLRp8ioqfTBXE3wfeJlHs</v>
      </c>
      <c r="R21" s="51" t="str">
        <f>[2]Уч.План!B70</f>
        <v>Обучение служением</v>
      </c>
      <c r="S21" s="60" t="s">
        <v>37</v>
      </c>
    </row>
    <row r="22" spans="1:19" ht="37.5" x14ac:dyDescent="0.2">
      <c r="A22" s="82"/>
      <c r="B22" s="85"/>
      <c r="C22" s="14" t="s">
        <v>20</v>
      </c>
      <c r="D22" s="20">
        <f>'[1]1нед'!K22</f>
        <v>0</v>
      </c>
      <c r="E22" s="23">
        <f>'[1]1нед'!L22</f>
        <v>0</v>
      </c>
      <c r="F22" s="21">
        <f>'[1]1нед'!O22</f>
        <v>0</v>
      </c>
      <c r="G22" s="22" t="str">
        <f>'[1]1нед'!P22</f>
        <v/>
      </c>
      <c r="H22" s="57" t="str">
        <f>HYPERLINK(VLOOKUP(E22,$R$12:$S$179,2,FALSE))</f>
        <v/>
      </c>
      <c r="I22" s="71"/>
      <c r="J22" s="88"/>
      <c r="K22" s="14" t="s">
        <v>20</v>
      </c>
      <c r="L22" s="20" t="str">
        <f>'[1]2нед'!K22</f>
        <v>л</v>
      </c>
      <c r="M22" s="23" t="str">
        <f>'[1]2нед'!L22</f>
        <v>Технологии цифрового образования</v>
      </c>
      <c r="N22" s="21" t="str">
        <f>'[1]2нед'!O22</f>
        <v>Шевченко Е.Н.</v>
      </c>
      <c r="O22" s="22" t="str">
        <f>'[1]2нед'!P22</f>
        <v>ст. преподаватель</v>
      </c>
      <c r="P22" s="57" t="str">
        <f>HYPERLINK(VLOOKUP(M22,$R$11:$S$179,2,FALSE))</f>
        <v>https://max.ru/join/QktsjGaw5ToZMymwQv4u7TZ1a5jhx2Meh1Xg11Ht-o8</v>
      </c>
      <c r="R22" s="51" t="str">
        <f>[2]Уч.План!B71</f>
        <v xml:space="preserve"> Математический анализ</v>
      </c>
      <c r="S22" s="60" t="s">
        <v>33</v>
      </c>
    </row>
    <row r="23" spans="1:19" ht="37.5" x14ac:dyDescent="0.2">
      <c r="A23" s="82"/>
      <c r="B23" s="85"/>
      <c r="C23" s="14" t="s">
        <v>21</v>
      </c>
      <c r="D23" s="20">
        <f>'[1]1нед'!K23</f>
        <v>0</v>
      </c>
      <c r="E23" s="23">
        <f>'[1]1нед'!L23</f>
        <v>0</v>
      </c>
      <c r="F23" s="21">
        <f>'[1]1нед'!O23</f>
        <v>0</v>
      </c>
      <c r="G23" s="22" t="str">
        <f>'[1]1нед'!P23</f>
        <v/>
      </c>
      <c r="H23" s="57" t="str">
        <f>HYPERLINK(VLOOKUP(E23,$R$12:$S$179,2,FALSE))</f>
        <v/>
      </c>
      <c r="I23" s="71"/>
      <c r="J23" s="88"/>
      <c r="K23" s="14" t="s">
        <v>21</v>
      </c>
      <c r="L23" s="20" t="str">
        <f>'[1]2нед'!K23</f>
        <v>л</v>
      </c>
      <c r="M23" s="23" t="str">
        <f>'[1]2нед'!L23</f>
        <v>Обучение служением</v>
      </c>
      <c r="N23" s="21" t="str">
        <f>'[1]2нед'!O23</f>
        <v>Вишневский В.А.</v>
      </c>
      <c r="O23" s="22" t="str">
        <f>'[1]2нед'!P23</f>
        <v>доцент, канд. наук</v>
      </c>
      <c r="P23" s="57" t="str">
        <f>HYPERLINK(VLOOKUP(M23,$R$11:$S$179,2,FALSE))</f>
        <v>https://max.ru/join/0MiRK0GUpSTCrtKMGu5ke9BatSupdkYkm3PEezrq5xw</v>
      </c>
      <c r="R23" s="51" t="str">
        <f>[2]Уч.План!B72</f>
        <v xml:space="preserve"> История России</v>
      </c>
      <c r="S23" s="60" t="s">
        <v>33</v>
      </c>
    </row>
    <row r="24" spans="1:19" ht="31.5" x14ac:dyDescent="0.2">
      <c r="A24" s="82"/>
      <c r="B24" s="85"/>
      <c r="C24" s="14" t="s">
        <v>22</v>
      </c>
      <c r="D24" s="20">
        <f>'[1]1нед'!K24</f>
        <v>0</v>
      </c>
      <c r="E24" s="23">
        <f>'[1]1нед'!L24</f>
        <v>0</v>
      </c>
      <c r="F24" s="21">
        <f>'[1]1нед'!O24</f>
        <v>0</v>
      </c>
      <c r="G24" s="22" t="str">
        <f>'[1]1нед'!P24</f>
        <v/>
      </c>
      <c r="H24" s="57" t="str">
        <f>HYPERLINK(VLOOKUP(E24,$R$12:$S$179,2,FALSE))</f>
        <v/>
      </c>
      <c r="I24" s="71"/>
      <c r="J24" s="88"/>
      <c r="K24" s="14" t="s">
        <v>22</v>
      </c>
      <c r="L24" s="20">
        <f>'[1]2нед'!K24</f>
        <v>0</v>
      </c>
      <c r="M24" s="23">
        <f>'[1]2нед'!L24</f>
        <v>0</v>
      </c>
      <c r="N24" s="21">
        <f>'[1]2нед'!O24</f>
        <v>0</v>
      </c>
      <c r="O24" s="22" t="str">
        <f>'[1]2нед'!P24</f>
        <v/>
      </c>
      <c r="P24" s="57" t="str">
        <f>HYPERLINK(VLOOKUP(M24,$R$11:$S$179,2,FALSE))</f>
        <v/>
      </c>
      <c r="R24" s="51" t="str">
        <f>[2]Уч.План!B73</f>
        <v xml:space="preserve"> Обучение служением</v>
      </c>
      <c r="S24" s="60" t="s">
        <v>33</v>
      </c>
    </row>
    <row r="25" spans="1:19" ht="31.5" x14ac:dyDescent="0.2">
      <c r="A25" s="82"/>
      <c r="B25" s="85"/>
      <c r="C25" s="14" t="s">
        <v>23</v>
      </c>
      <c r="D25" s="20">
        <f>'[1]1нед'!K25</f>
        <v>0</v>
      </c>
      <c r="E25" s="23">
        <f>'[1]1нед'!L25</f>
        <v>0</v>
      </c>
      <c r="F25" s="21">
        <f>'[1]1нед'!O25</f>
        <v>0</v>
      </c>
      <c r="G25" s="22" t="str">
        <f>'[1]1нед'!P25</f>
        <v/>
      </c>
      <c r="H25" s="57" t="str">
        <f>HYPERLINK(VLOOKUP(E25,$R$12:$S$179,2,FALSE))</f>
        <v/>
      </c>
      <c r="I25" s="71"/>
      <c r="J25" s="88"/>
      <c r="K25" s="14" t="s">
        <v>23</v>
      </c>
      <c r="L25" s="20">
        <f>'[1]2нед'!K25</f>
        <v>0</v>
      </c>
      <c r="M25" s="23">
        <f>'[1]2нед'!L25</f>
        <v>0</v>
      </c>
      <c r="N25" s="21">
        <f>'[1]2нед'!O25</f>
        <v>0</v>
      </c>
      <c r="O25" s="22" t="str">
        <f>'[1]2нед'!P25</f>
        <v/>
      </c>
      <c r="P25" s="57" t="str">
        <f>HYPERLINK(VLOOKUP(M25,$R$11:$S$179,2,FALSE))</f>
        <v/>
      </c>
      <c r="R25" s="51" t="str">
        <f>[2]Уч.План!B74</f>
        <v xml:space="preserve"> Основы российской государственности</v>
      </c>
      <c r="S25" s="60" t="s">
        <v>33</v>
      </c>
    </row>
    <row r="26" spans="1:19" ht="31.5" x14ac:dyDescent="0.2">
      <c r="A26" s="82"/>
      <c r="B26" s="85"/>
      <c r="C26" s="14" t="s">
        <v>24</v>
      </c>
      <c r="D26" s="20">
        <f>'[1]1нед'!K26</f>
        <v>0</v>
      </c>
      <c r="E26" s="23">
        <f>'[1]1нед'!L26</f>
        <v>0</v>
      </c>
      <c r="F26" s="21">
        <f>'[1]1нед'!O26</f>
        <v>0</v>
      </c>
      <c r="G26" s="22" t="str">
        <f>'[1]1нед'!P26</f>
        <v/>
      </c>
      <c r="H26" s="57" t="str">
        <f>HYPERLINK(VLOOKUP(E26,$R$12:$S$179,2,FALSE))</f>
        <v/>
      </c>
      <c r="I26" s="71"/>
      <c r="J26" s="88"/>
      <c r="K26" s="14" t="s">
        <v>24</v>
      </c>
      <c r="L26" s="20">
        <f>'[1]2нед'!K26</f>
        <v>0</v>
      </c>
      <c r="M26" s="23">
        <f>'[1]2нед'!L26</f>
        <v>0</v>
      </c>
      <c r="N26" s="21">
        <f>'[1]2нед'!O26</f>
        <v>0</v>
      </c>
      <c r="O26" s="22" t="str">
        <f>'[1]2нед'!P26</f>
        <v/>
      </c>
      <c r="P26" s="57" t="str">
        <f>HYPERLINK(VLOOKUP(M26,$R$11:$S$179,2,FALSE))</f>
        <v/>
      </c>
      <c r="R26" s="51" t="str">
        <f>[2]Уч.План!B75</f>
        <v xml:space="preserve"> Технологии цифрового образования</v>
      </c>
      <c r="S26" s="60" t="s">
        <v>33</v>
      </c>
    </row>
    <row r="27" spans="1:19" ht="18.399999999999999" customHeight="1" thickBot="1" x14ac:dyDescent="0.25">
      <c r="A27" s="83"/>
      <c r="B27" s="86"/>
      <c r="C27" s="15"/>
      <c r="D27" s="24">
        <f>'[1]1нед'!K27</f>
        <v>0</v>
      </c>
      <c r="E27" s="25">
        <f>'[1]1нед'!L27</f>
        <v>0</v>
      </c>
      <c r="F27" s="26">
        <f>'[1]1нед'!O27</f>
        <v>0</v>
      </c>
      <c r="G27" s="27" t="str">
        <f>'[1]1нед'!P27</f>
        <v/>
      </c>
      <c r="H27" s="58" t="str">
        <f>HYPERLINK(VLOOKUP(E27,$R$12:$S$179,2,FALSE))</f>
        <v/>
      </c>
      <c r="I27" s="72"/>
      <c r="J27" s="89"/>
      <c r="K27" s="15"/>
      <c r="L27" s="24">
        <f>'[1]2нед'!K27</f>
        <v>0</v>
      </c>
      <c r="M27" s="25">
        <f>'[1]2нед'!L27</f>
        <v>0</v>
      </c>
      <c r="N27" s="26">
        <f>'[1]2нед'!O27</f>
        <v>0</v>
      </c>
      <c r="O27" s="27" t="str">
        <f>'[1]2нед'!P27</f>
        <v/>
      </c>
      <c r="P27" s="58" t="str">
        <f>HYPERLINK(VLOOKUP(M27,$R$11:$S$179,2,FALSE))</f>
        <v/>
      </c>
      <c r="R27" s="51">
        <f>[2]Уч.План!B76</f>
        <v>0</v>
      </c>
      <c r="S27" s="51"/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'[1]1нед'!K28</f>
        <v>л</v>
      </c>
      <c r="E28" s="19" t="str">
        <f>'[1]1нед'!L28</f>
        <v>Основы российской государственности</v>
      </c>
      <c r="F28" s="17" t="str">
        <f>'[1]1нед'!O28</f>
        <v>Вишневский С.А.</v>
      </c>
      <c r="G28" s="18" t="str">
        <f>'[1]1нед'!P28</f>
        <v>доцент, канд. наук</v>
      </c>
      <c r="H28" s="56" t="str">
        <f>HYPERLINK(VLOOKUP(E28,$R$12:$S$179,2,FALSE))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'[1]2нед'!K28</f>
        <v>л</v>
      </c>
      <c r="M28" s="19" t="str">
        <f>'[1]2нед'!L28</f>
        <v>Основы российской государственности</v>
      </c>
      <c r="N28" s="17" t="str">
        <f>'[1]2нед'!O28</f>
        <v>Вишневский С.А.</v>
      </c>
      <c r="O28" s="18" t="str">
        <f>'[1]2нед'!P28</f>
        <v>доцент, канд. наук</v>
      </c>
      <c r="P28" s="56" t="str">
        <f>HYPERLINK(VLOOKUP(M28,$R$11:$S$179,2,FALSE))</f>
        <v>https://max.ru/join/UK1-XZ_XTqTQMkUzITZ-AvDWmTQjDawZvR5fkupR8eE</v>
      </c>
      <c r="R28" s="51">
        <f>[2]Уч.План!B77</f>
        <v>0</v>
      </c>
      <c r="S28" s="52">
        <v>0</v>
      </c>
    </row>
    <row r="29" spans="1:19" ht="37.5" x14ac:dyDescent="0.2">
      <c r="A29" s="82"/>
      <c r="B29" s="68"/>
      <c r="C29" s="14" t="s">
        <v>19</v>
      </c>
      <c r="D29" s="20" t="str">
        <f>'[1]1нед'!K29</f>
        <v>л</v>
      </c>
      <c r="E29" s="23" t="str">
        <f>'[1]1нед'!L29</f>
        <v>Основы и методология программирования</v>
      </c>
      <c r="F29" s="21" t="str">
        <f>'[1]1нед'!O29</f>
        <v>Криницкий Ю.В.</v>
      </c>
      <c r="G29" s="22" t="str">
        <f>'[1]1нед'!P29</f>
        <v>преподаватель</v>
      </c>
      <c r="H29" s="57" t="str">
        <f>HYPERLINK(VLOOKUP(E29,$R$12:$S$179,2,FALSE))</f>
        <v>https://max.ru/join/PF9p4nxFpYkpyJZDiJCXITBLRp8ioqfTBXE3wfeJlHs</v>
      </c>
      <c r="I29" s="71"/>
      <c r="J29" s="74"/>
      <c r="K29" s="14" t="s">
        <v>19</v>
      </c>
      <c r="L29" s="20" t="str">
        <f>'[1]2нед'!K29</f>
        <v>л</v>
      </c>
      <c r="M29" s="23" t="str">
        <f>'[1]2нед'!L29</f>
        <v>Основы и методология программирования</v>
      </c>
      <c r="N29" s="21" t="str">
        <f>'[1]2нед'!O29</f>
        <v>Криницкий Ю.В.</v>
      </c>
      <c r="O29" s="22" t="str">
        <f>'[1]2нед'!P29</f>
        <v>преподаватель</v>
      </c>
      <c r="P29" s="57" t="str">
        <f>HYPERLINK(VLOOKUP(M29,$R$11:$S$179,2,FALSE))</f>
        <v>https://max.ru/join/PF9p4nxFpYkpyJZDiJCXITBLRp8ioqfTBXE3wfeJlHs</v>
      </c>
      <c r="R29" s="51">
        <f>[2]Уч.План!B78</f>
        <v>0</v>
      </c>
      <c r="S29" s="52">
        <v>0</v>
      </c>
    </row>
    <row r="30" spans="1:19" ht="37.5" x14ac:dyDescent="0.2">
      <c r="A30" s="82"/>
      <c r="B30" s="68"/>
      <c r="C30" s="14" t="s">
        <v>20</v>
      </c>
      <c r="D30" s="20">
        <f>'[1]1нед'!K30</f>
        <v>0</v>
      </c>
      <c r="E30" s="23">
        <f>'[1]1нед'!L30</f>
        <v>0</v>
      </c>
      <c r="F30" s="21">
        <f>'[1]1нед'!O30</f>
        <v>0</v>
      </c>
      <c r="G30" s="22" t="str">
        <f>'[1]1нед'!P30</f>
        <v/>
      </c>
      <c r="H30" s="57" t="str">
        <f>HYPERLINK(VLOOKUP(E30,$R$12:$S$179,2,FALSE))</f>
        <v/>
      </c>
      <c r="I30" s="71"/>
      <c r="J30" s="74"/>
      <c r="K30" s="14" t="s">
        <v>20</v>
      </c>
      <c r="L30" s="20" t="str">
        <f>'[1]2нед'!K30</f>
        <v>л</v>
      </c>
      <c r="M30" s="23" t="str">
        <f>'[1]2нед'!L30</f>
        <v>Основы и методология программирования</v>
      </c>
      <c r="N30" s="21" t="str">
        <f>'[1]2нед'!O30</f>
        <v>Криницкий Ю.В.</v>
      </c>
      <c r="O30" s="22" t="str">
        <f>'[1]2нед'!P30</f>
        <v>преподаватель</v>
      </c>
      <c r="P30" s="57" t="str">
        <f>HYPERLINK(VLOOKUP(M30,$R$11:$S$179,2,FALSE))</f>
        <v>https://max.ru/join/PF9p4nxFpYkpyJZDiJCXITBLRp8ioqfTBXE3wfeJlHs</v>
      </c>
      <c r="R30" s="51">
        <f>[2]Уч.План!B79</f>
        <v>0</v>
      </c>
      <c r="S30" s="52">
        <v>0</v>
      </c>
    </row>
    <row r="31" spans="1:19" ht="31.5" x14ac:dyDescent="0.2">
      <c r="A31" s="82"/>
      <c r="B31" s="68"/>
      <c r="C31" s="14" t="s">
        <v>21</v>
      </c>
      <c r="D31" s="20">
        <f>'[1]1нед'!K31</f>
        <v>0</v>
      </c>
      <c r="E31" s="23">
        <f>'[1]1нед'!L31</f>
        <v>0</v>
      </c>
      <c r="F31" s="21">
        <f>'[1]1нед'!O31</f>
        <v>0</v>
      </c>
      <c r="G31" s="22" t="str">
        <f>'[1]1нед'!P31</f>
        <v/>
      </c>
      <c r="H31" s="57" t="str">
        <f>HYPERLINK(VLOOKUP(E31,$R$12:$S$179,2,FALSE))</f>
        <v/>
      </c>
      <c r="I31" s="71"/>
      <c r="J31" s="74"/>
      <c r="K31" s="14" t="s">
        <v>21</v>
      </c>
      <c r="L31" s="20">
        <f>'[1]2нед'!K31</f>
        <v>0</v>
      </c>
      <c r="M31" s="23">
        <f>'[1]2нед'!L31</f>
        <v>0</v>
      </c>
      <c r="N31" s="21">
        <f>'[1]2нед'!O31</f>
        <v>0</v>
      </c>
      <c r="O31" s="22" t="str">
        <f>'[1]2нед'!P31</f>
        <v/>
      </c>
      <c r="P31" s="57" t="str">
        <f>HYPERLINK(VLOOKUP(M31,$R$11:$S$179,2,FALSE))</f>
        <v/>
      </c>
    </row>
    <row r="32" spans="1:19" ht="31.5" x14ac:dyDescent="0.2">
      <c r="A32" s="82"/>
      <c r="B32" s="68"/>
      <c r="C32" s="14" t="s">
        <v>22</v>
      </c>
      <c r="D32" s="20">
        <f>'[1]1нед'!K32</f>
        <v>0</v>
      </c>
      <c r="E32" s="23">
        <f>'[1]1нед'!L32</f>
        <v>0</v>
      </c>
      <c r="F32" s="21">
        <f>'[1]1нед'!O32</f>
        <v>0</v>
      </c>
      <c r="G32" s="22" t="str">
        <f>'[1]1нед'!P32</f>
        <v/>
      </c>
      <c r="H32" s="57" t="str">
        <f>HYPERLINK(VLOOKUP(E32,$R$12:$S$179,2,FALSE))</f>
        <v/>
      </c>
      <c r="I32" s="71"/>
      <c r="J32" s="74"/>
      <c r="K32" s="14" t="s">
        <v>22</v>
      </c>
      <c r="L32" s="20">
        <f>'[1]2нед'!K32</f>
        <v>0</v>
      </c>
      <c r="M32" s="23">
        <f>'[1]2нед'!L32</f>
        <v>0</v>
      </c>
      <c r="N32" s="21">
        <f>'[1]2нед'!O32</f>
        <v>0</v>
      </c>
      <c r="O32" s="22" t="str">
        <f>'[1]2нед'!P32</f>
        <v/>
      </c>
      <c r="P32" s="57" t="str">
        <f>HYPERLINK(VLOOKUP(M32,$R$11:$S$179,2,FALSE))</f>
        <v/>
      </c>
    </row>
    <row r="33" spans="1:16" ht="31.5" x14ac:dyDescent="0.2">
      <c r="A33" s="82"/>
      <c r="B33" s="68"/>
      <c r="C33" s="14" t="s">
        <v>23</v>
      </c>
      <c r="D33" s="20">
        <f>'[1]1нед'!K33</f>
        <v>0</v>
      </c>
      <c r="E33" s="23">
        <f>'[1]1нед'!L33</f>
        <v>0</v>
      </c>
      <c r="F33" s="21">
        <f>'[1]1нед'!O33</f>
        <v>0</v>
      </c>
      <c r="G33" s="22" t="str">
        <f>'[1]1нед'!P33</f>
        <v/>
      </c>
      <c r="H33" s="55" t="str">
        <f>HYPERLINK(VLOOKUP(E33,$R$12:$S$179,2,FALSE))</f>
        <v/>
      </c>
      <c r="I33" s="71"/>
      <c r="J33" s="74"/>
      <c r="K33" s="14" t="s">
        <v>23</v>
      </c>
      <c r="L33" s="20">
        <f>'[1]2нед'!K33</f>
        <v>0</v>
      </c>
      <c r="M33" s="23">
        <f>'[1]2нед'!L33</f>
        <v>0</v>
      </c>
      <c r="N33" s="21">
        <f>'[1]2нед'!O33</f>
        <v>0</v>
      </c>
      <c r="O33" s="22" t="str">
        <f>'[1]2нед'!P33</f>
        <v/>
      </c>
      <c r="P33" s="55" t="str">
        <f>HYPERLINK(VLOOKUP(M33,$R$11:$S$179,2,FALSE))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'[1]1нед'!K34</f>
        <v>0</v>
      </c>
      <c r="E34" s="23">
        <f>'[1]1нед'!L34</f>
        <v>0</v>
      </c>
      <c r="F34" s="21">
        <f>'[1]1нед'!O34</f>
        <v>0</v>
      </c>
      <c r="G34" s="22" t="str">
        <f>'[1]1нед'!P34</f>
        <v/>
      </c>
      <c r="H34" s="55" t="str">
        <f>HYPERLINK(VLOOKUP(E34,$R$12:$S$179,2,FALSE))</f>
        <v/>
      </c>
      <c r="I34" s="71"/>
      <c r="J34" s="74"/>
      <c r="K34" s="14" t="s">
        <v>24</v>
      </c>
      <c r="L34" s="20">
        <f>'[1]2нед'!K34</f>
        <v>0</v>
      </c>
      <c r="M34" s="23">
        <f>'[1]2нед'!L34</f>
        <v>0</v>
      </c>
      <c r="N34" s="21">
        <f>'[1]2нед'!O34</f>
        <v>0</v>
      </c>
      <c r="O34" s="22" t="str">
        <f>'[1]2нед'!P34</f>
        <v/>
      </c>
      <c r="P34" s="55" t="str">
        <f>HYPERLINK(VLOOKUP(M34,$R$11:$S$179,2,FALSE))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'[1]1нед'!K35</f>
        <v>0</v>
      </c>
      <c r="E35" s="25">
        <f>'[1]1нед'!L35</f>
        <v>0</v>
      </c>
      <c r="F35" s="26">
        <f>'[1]1нед'!O35</f>
        <v>0</v>
      </c>
      <c r="G35" s="27" t="str">
        <f>'[1]1нед'!P35</f>
        <v/>
      </c>
      <c r="H35" s="58" t="str">
        <f>HYPERLINK(VLOOKUP(E35,$R$12:$S$179,2,FALSE))</f>
        <v/>
      </c>
      <c r="I35" s="72"/>
      <c r="J35" s="75"/>
      <c r="K35" s="15"/>
      <c r="L35" s="24">
        <f>'[1]2нед'!K35</f>
        <v>0</v>
      </c>
      <c r="M35" s="25">
        <f>'[1]2нед'!L35</f>
        <v>0</v>
      </c>
      <c r="N35" s="26">
        <f>'[1]2нед'!O35</f>
        <v>0</v>
      </c>
      <c r="O35" s="27" t="str">
        <f>'[1]2нед'!P35</f>
        <v/>
      </c>
      <c r="P35" s="58" t="str">
        <f>HYPERLINK(VLOOKUP(M35,$R$11:$S$179,2,FALSE))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'[1]1нед'!K36</f>
        <v>0</v>
      </c>
      <c r="E36" s="19">
        <f>'[1]1нед'!L36</f>
        <v>0</v>
      </c>
      <c r="F36" s="17">
        <f>'[1]1нед'!O36</f>
        <v>0</v>
      </c>
      <c r="G36" s="18" t="str">
        <f>'[1]1нед'!P36</f>
        <v/>
      </c>
      <c r="H36" s="56" t="str">
        <f>HYPERLINK(VLOOKUP(E36,$R$12:$S$179,2,FALSE))</f>
        <v/>
      </c>
      <c r="I36" s="70">
        <v>46275</v>
      </c>
      <c r="J36" s="87" t="s">
        <v>27</v>
      </c>
      <c r="K36" s="29" t="s">
        <v>18</v>
      </c>
      <c r="L36" s="16">
        <f>'[1]2нед'!K36</f>
        <v>0</v>
      </c>
      <c r="M36" s="19">
        <f>'[1]2нед'!L36</f>
        <v>0</v>
      </c>
      <c r="N36" s="17">
        <f>'[1]2нед'!O36</f>
        <v>0</v>
      </c>
      <c r="O36" s="18" t="str">
        <f>'[1]2нед'!P36</f>
        <v/>
      </c>
      <c r="P36" s="56" t="str">
        <f>HYPERLINK(VLOOKUP(M36,$R$11:$S$179,2,FALSE))</f>
        <v/>
      </c>
    </row>
    <row r="37" spans="1:16" ht="31.5" x14ac:dyDescent="0.2">
      <c r="A37" s="82"/>
      <c r="B37" s="85"/>
      <c r="C37" s="14" t="s">
        <v>19</v>
      </c>
      <c r="D37" s="20">
        <f>'[1]1нед'!K37</f>
        <v>0</v>
      </c>
      <c r="E37" s="23">
        <f>'[1]1нед'!L37</f>
        <v>0</v>
      </c>
      <c r="F37" s="21">
        <f>'[1]1нед'!O37</f>
        <v>0</v>
      </c>
      <c r="G37" s="22" t="str">
        <f>'[1]1нед'!P37</f>
        <v/>
      </c>
      <c r="H37" s="57" t="str">
        <f>HYPERLINK(VLOOKUP(E37,$R$12:$S$179,2,FALSE))</f>
        <v/>
      </c>
      <c r="I37" s="71"/>
      <c r="J37" s="88"/>
      <c r="K37" s="14" t="s">
        <v>19</v>
      </c>
      <c r="L37" s="20">
        <f>'[1]2нед'!K37</f>
        <v>0</v>
      </c>
      <c r="M37" s="23">
        <f>'[1]2нед'!L37</f>
        <v>0</v>
      </c>
      <c r="N37" s="21">
        <f>'[1]2нед'!O37</f>
        <v>0</v>
      </c>
      <c r="O37" s="22" t="str">
        <f>'[1]2нед'!P37</f>
        <v/>
      </c>
      <c r="P37" s="57" t="str">
        <f>HYPERLINK(VLOOKUP(M37,$R$11:$S$179,2,FALSE))</f>
        <v/>
      </c>
    </row>
    <row r="38" spans="1:16" ht="37.5" x14ac:dyDescent="0.2">
      <c r="A38" s="82"/>
      <c r="B38" s="85"/>
      <c r="C38" s="14" t="s">
        <v>20</v>
      </c>
      <c r="D38" s="20" t="str">
        <f>'[1]1нед'!K38</f>
        <v>л</v>
      </c>
      <c r="E38" s="23" t="str">
        <f>'[1]1нед'!L38</f>
        <v>Алгебра и Геометрия</v>
      </c>
      <c r="F38" s="21" t="str">
        <f>'[1]1нед'!O38</f>
        <v>Овчинникова М.В.</v>
      </c>
      <c r="G38" s="22" t="str">
        <f>'[1]1нед'!P38</f>
        <v>доцент, канд. наук</v>
      </c>
      <c r="H38" s="57" t="str">
        <f>HYPERLINK(VLOOKUP(E38,$R$12:$S$179,2,FALSE))</f>
        <v>https://max.ru/join/PF9p4nxFpYkpyJZDiJCXITBLRp8ioqfTBXE3wfeJlHs</v>
      </c>
      <c r="I38" s="71"/>
      <c r="J38" s="88"/>
      <c r="K38" s="14" t="s">
        <v>20</v>
      </c>
      <c r="L38" s="20">
        <f>'[1]2нед'!K38</f>
        <v>0</v>
      </c>
      <c r="M38" s="23">
        <f>'[1]2нед'!L38</f>
        <v>0</v>
      </c>
      <c r="N38" s="21">
        <f>'[1]2нед'!O38</f>
        <v>0</v>
      </c>
      <c r="O38" s="22" t="str">
        <f>'[1]2нед'!P38</f>
        <v/>
      </c>
      <c r="P38" s="57" t="str">
        <f>HYPERLINK(VLOOKUP(M38,$R$11:$S$179,2,FALSE))</f>
        <v/>
      </c>
    </row>
    <row r="39" spans="1:16" ht="37.5" x14ac:dyDescent="0.2">
      <c r="A39" s="82"/>
      <c r="B39" s="85"/>
      <c r="C39" s="14" t="s">
        <v>21</v>
      </c>
      <c r="D39" s="20" t="str">
        <f>'[1]1нед'!K39</f>
        <v>л</v>
      </c>
      <c r="E39" s="23" t="str">
        <f>'[1]1нед'!L39</f>
        <v>Математический анализ</v>
      </c>
      <c r="F39" s="21" t="str">
        <f>'[1]1нед'!O39</f>
        <v>Линник Е.П.</v>
      </c>
      <c r="G39" s="22" t="str">
        <f>'[1]1нед'!P39</f>
        <v>доцент, канд. наук</v>
      </c>
      <c r="H39" s="57" t="str">
        <f>HYPERLINK(VLOOKUP(E39,$R$12:$S$179,2,FALSE))</f>
        <v>https://max.ru/join/PF9p4nxFpYkpyJZDiJCXITBLRp8ioqfTBXE3wfeJlHs</v>
      </c>
      <c r="I39" s="71"/>
      <c r="J39" s="88"/>
      <c r="K39" s="14" t="s">
        <v>21</v>
      </c>
      <c r="L39" s="20" t="str">
        <f>'[1]2нед'!K39</f>
        <v>пр</v>
      </c>
      <c r="M39" s="23" t="str">
        <f>'[1]2нед'!L39</f>
        <v xml:space="preserve"> Технологии цифрового образования</v>
      </c>
      <c r="N39" s="21" t="str">
        <f>'[1]2нед'!O39</f>
        <v>Шевченко Е.Н.</v>
      </c>
      <c r="O39" s="22" t="str">
        <f>'[1]2нед'!P39</f>
        <v>ст. преподаватель</v>
      </c>
      <c r="P39" s="57" t="str">
        <f>HYPERLINK(VLOOKUP(M39,$R$11:$S$179,2,FALSE))</f>
        <v>https://max.ru/join/PF9p4nxFpYkpyJZDiJCXITBLRp8ioqfTBXE3wfeJlHs</v>
      </c>
    </row>
    <row r="40" spans="1:16" ht="37.5" x14ac:dyDescent="0.2">
      <c r="A40" s="82"/>
      <c r="B40" s="85"/>
      <c r="C40" s="14" t="s">
        <v>22</v>
      </c>
      <c r="D40" s="20">
        <f>'[1]1нед'!K40</f>
        <v>0</v>
      </c>
      <c r="E40" s="23">
        <f>'[1]1нед'!L40</f>
        <v>0</v>
      </c>
      <c r="F40" s="21">
        <f>'[1]1нед'!O40</f>
        <v>0</v>
      </c>
      <c r="G40" s="22" t="str">
        <f>'[1]1нед'!P40</f>
        <v/>
      </c>
      <c r="H40" s="57" t="str">
        <f>HYPERLINK(VLOOKUP(E40,$R$12:$S$179,2,FALSE))</f>
        <v/>
      </c>
      <c r="I40" s="71"/>
      <c r="J40" s="88"/>
      <c r="K40" s="14" t="s">
        <v>22</v>
      </c>
      <c r="L40" s="20" t="str">
        <f>'[1]2нед'!K40</f>
        <v>пр</v>
      </c>
      <c r="M40" s="23" t="str">
        <f>'[1]2нед'!L40</f>
        <v xml:space="preserve"> История России</v>
      </c>
      <c r="N40" s="21" t="str">
        <f>'[1]2нед'!O40</f>
        <v>Алфимов В.Э.</v>
      </c>
      <c r="O40" s="22" t="str">
        <f>'[1]2нед'!P40</f>
        <v>ст. преподаватель</v>
      </c>
      <c r="P40" s="57" t="str">
        <f>HYPERLINK(VLOOKUP(M40,$R$11:$S$179,2,FALSE))</f>
        <v>https://max.ru/join/PF9p4nxFpYkpyJZDiJCXITBLRp8ioqfTBXE3wfeJlHs</v>
      </c>
    </row>
    <row r="41" spans="1:16" ht="31.5" x14ac:dyDescent="0.2">
      <c r="A41" s="82"/>
      <c r="B41" s="85"/>
      <c r="C41" s="14" t="s">
        <v>23</v>
      </c>
      <c r="D41" s="20">
        <f>'[1]1нед'!K41</f>
        <v>0</v>
      </c>
      <c r="E41" s="23">
        <f>'[1]1нед'!L41</f>
        <v>0</v>
      </c>
      <c r="F41" s="21">
        <f>'[1]1нед'!O41</f>
        <v>0</v>
      </c>
      <c r="G41" s="22" t="str">
        <f>'[1]1нед'!P41</f>
        <v/>
      </c>
      <c r="H41" s="55" t="str">
        <f>HYPERLINK(VLOOKUP(E41,$R$12:$S$179,2,FALSE))</f>
        <v/>
      </c>
      <c r="I41" s="71"/>
      <c r="J41" s="88"/>
      <c r="K41" s="14" t="s">
        <v>23</v>
      </c>
      <c r="L41" s="20">
        <f>'[1]2нед'!K41</f>
        <v>0</v>
      </c>
      <c r="M41" s="23">
        <f>'[1]2нед'!L41</f>
        <v>0</v>
      </c>
      <c r="N41" s="21">
        <f>'[1]2нед'!O41</f>
        <v>0</v>
      </c>
      <c r="O41" s="22" t="str">
        <f>'[1]2нед'!P41</f>
        <v/>
      </c>
      <c r="P41" s="55" t="str">
        <f>HYPERLINK(VLOOKUP(M41,$R$11:$S$179,2,FALSE))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'[1]1нед'!K42</f>
        <v>0</v>
      </c>
      <c r="E42" s="23">
        <f>'[1]1нед'!L42</f>
        <v>0</v>
      </c>
      <c r="F42" s="21">
        <f>'[1]1нед'!O42</f>
        <v>0</v>
      </c>
      <c r="G42" s="22" t="str">
        <f>'[1]1нед'!P42</f>
        <v/>
      </c>
      <c r="H42" s="55" t="str">
        <f>HYPERLINK(VLOOKUP(E42,$R$12:$S$179,2,FALSE))</f>
        <v/>
      </c>
      <c r="I42" s="71"/>
      <c r="J42" s="88"/>
      <c r="K42" s="14" t="s">
        <v>24</v>
      </c>
      <c r="L42" s="20">
        <f>'[1]2нед'!K42</f>
        <v>0</v>
      </c>
      <c r="M42" s="23">
        <f>'[1]2нед'!L42</f>
        <v>0</v>
      </c>
      <c r="N42" s="21">
        <f>'[1]2нед'!O42</f>
        <v>0</v>
      </c>
      <c r="O42" s="22" t="str">
        <f>'[1]2нед'!P42</f>
        <v/>
      </c>
      <c r="P42" s="55" t="str">
        <f>HYPERLINK(VLOOKUP(M42,$R$11:$S$179,2,FALSE))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'[1]1нед'!K43</f>
        <v>0</v>
      </c>
      <c r="E43" s="25">
        <f>'[1]1нед'!L43</f>
        <v>0</v>
      </c>
      <c r="F43" s="26">
        <f>'[1]1нед'!O43</f>
        <v>0</v>
      </c>
      <c r="G43" s="27" t="str">
        <f>'[1]1нед'!P43</f>
        <v/>
      </c>
      <c r="H43" s="58" t="str">
        <f>HYPERLINK(VLOOKUP(E43,$R$12:$S$179,2,FALSE))</f>
        <v/>
      </c>
      <c r="I43" s="72"/>
      <c r="J43" s="89"/>
      <c r="K43" s="15"/>
      <c r="L43" s="24">
        <f>'[1]2нед'!K43</f>
        <v>0</v>
      </c>
      <c r="M43" s="25">
        <f>'[1]2нед'!L43</f>
        <v>0</v>
      </c>
      <c r="N43" s="26">
        <f>'[1]2нед'!O43</f>
        <v>0</v>
      </c>
      <c r="O43" s="27" t="str">
        <f>'[1]2нед'!P43</f>
        <v/>
      </c>
      <c r="P43" s="58" t="str">
        <f>HYPERLINK(VLOOKUP(M43,$R$11:$S$179,2,FALSE))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'[1]1нед'!K44</f>
        <v>0</v>
      </c>
      <c r="E44" s="19">
        <f>'[1]1нед'!L44</f>
        <v>0</v>
      </c>
      <c r="F44" s="17">
        <f>'[1]1нед'!O44</f>
        <v>0</v>
      </c>
      <c r="G44" s="18" t="str">
        <f>'[1]1нед'!P44</f>
        <v/>
      </c>
      <c r="H44" s="56" t="str">
        <f>HYPERLINK(VLOOKUP(E44,$R$12:$S$179,2,FALSE))</f>
        <v/>
      </c>
      <c r="I44" s="70">
        <v>46276</v>
      </c>
      <c r="J44" s="87" t="s">
        <v>28</v>
      </c>
      <c r="K44" s="29" t="s">
        <v>18</v>
      </c>
      <c r="L44" s="16" t="str">
        <f>'[1]2нед'!K44</f>
        <v>пр</v>
      </c>
      <c r="M44" s="19" t="str">
        <f>'[1]2нед'!L44</f>
        <v xml:space="preserve"> Основы российской государственности</v>
      </c>
      <c r="N44" s="17" t="str">
        <f>'[1]2нед'!O44</f>
        <v>Лысенко Е.Г.</v>
      </c>
      <c r="O44" s="18" t="str">
        <f>'[1]2нед'!P44</f>
        <v>доцент, канд. наук</v>
      </c>
      <c r="P44" s="56" t="str">
        <f>HYPERLINK(VLOOKUP(M44,$R$11:$S$179,2,FALSE))</f>
        <v>https://max.ru/join/PF9p4nxFpYkpyJZDiJCXITBLRp8ioqfTBXE3wfeJlHs</v>
      </c>
    </row>
    <row r="45" spans="1:16" ht="37.5" x14ac:dyDescent="0.2">
      <c r="A45" s="82"/>
      <c r="B45" s="85"/>
      <c r="C45" s="14" t="s">
        <v>19</v>
      </c>
      <c r="D45" s="20">
        <f>'[1]1нед'!K45</f>
        <v>0</v>
      </c>
      <c r="E45" s="23">
        <f>'[1]1нед'!L45</f>
        <v>0</v>
      </c>
      <c r="F45" s="21">
        <f>'[1]1нед'!O45</f>
        <v>0</v>
      </c>
      <c r="G45" s="22" t="str">
        <f>'[1]1нед'!P45</f>
        <v/>
      </c>
      <c r="H45" s="57" t="str">
        <f>HYPERLINK(VLOOKUP(E45,$R$12:$S$179,2,FALSE))</f>
        <v/>
      </c>
      <c r="I45" s="71"/>
      <c r="J45" s="88"/>
      <c r="K45" s="14" t="s">
        <v>19</v>
      </c>
      <c r="L45" s="20" t="str">
        <f>'[1]2нед'!K45</f>
        <v>пр</v>
      </c>
      <c r="M45" s="23" t="str">
        <f>'[1]2нед'!L45</f>
        <v xml:space="preserve"> Математический анализ</v>
      </c>
      <c r="N45" s="21" t="str">
        <f>'[1]2нед'!O45</f>
        <v>Якимова В.В.</v>
      </c>
      <c r="O45" s="22" t="str">
        <f>'[1]2нед'!P45</f>
        <v>ст. преподаватель</v>
      </c>
      <c r="P45" s="57" t="str">
        <f>HYPERLINK(VLOOKUP(M45,$R$11:$S$179,2,FALSE))</f>
        <v>https://max.ru/join/PF9p4nxFpYkpyJZDiJCXITBLRp8ioqfTBXE3wfeJlHs</v>
      </c>
    </row>
    <row r="46" spans="1:16" ht="37.5" x14ac:dyDescent="0.2">
      <c r="A46" s="82"/>
      <c r="B46" s="85"/>
      <c r="C46" s="14" t="s">
        <v>20</v>
      </c>
      <c r="D46" s="20" t="str">
        <f>'[1]1нед'!K46</f>
        <v>пр</v>
      </c>
      <c r="E46" s="23" t="str">
        <f>'[1]1нед'!L46</f>
        <v>Алгебра и Геометрия</v>
      </c>
      <c r="F46" s="21" t="str">
        <f>'[1]1нед'!O46</f>
        <v>Овчинникова М.В.</v>
      </c>
      <c r="G46" s="22" t="str">
        <f>'[1]1нед'!P46</f>
        <v>доцент, канд. наук</v>
      </c>
      <c r="H46" s="57" t="str">
        <f>HYPERLINK(VLOOKUP(E46,$R$12:$S$179,2,FALSE))</f>
        <v>https://max.ru/join/PF9p4nxFpYkpyJZDiJCXITBLRp8ioqfTBXE3wfeJlHs</v>
      </c>
      <c r="I46" s="71"/>
      <c r="J46" s="88"/>
      <c r="K46" s="14" t="s">
        <v>20</v>
      </c>
      <c r="L46" s="20" t="str">
        <f>'[1]2нед'!K46</f>
        <v>пр</v>
      </c>
      <c r="M46" s="23" t="str">
        <f>'[1]2нед'!L46</f>
        <v>Алгебра и Геометрия</v>
      </c>
      <c r="N46" s="21" t="str">
        <f>'[1]2нед'!O46</f>
        <v>Овчинникова М.В.</v>
      </c>
      <c r="O46" s="22" t="str">
        <f>'[1]2нед'!P46</f>
        <v>доцент, канд. наук</v>
      </c>
      <c r="P46" s="57" t="str">
        <f>HYPERLINK(VLOOKUP(M46,$R$11:$S$179,2,FALSE))</f>
        <v>https://max.ru/join/PF9p4nxFpYkpyJZDiJCXITBLRp8ioqfTBXE3wfeJlHs</v>
      </c>
    </row>
    <row r="47" spans="1:16" ht="31.5" x14ac:dyDescent="0.2">
      <c r="A47" s="82"/>
      <c r="B47" s="85"/>
      <c r="C47" s="14" t="s">
        <v>21</v>
      </c>
      <c r="D47" s="20">
        <f>'[1]1нед'!K47</f>
        <v>0</v>
      </c>
      <c r="E47" s="23">
        <f>'[1]1нед'!L47</f>
        <v>0</v>
      </c>
      <c r="F47" s="21">
        <f>'[1]1нед'!O47</f>
        <v>0</v>
      </c>
      <c r="G47" s="22" t="str">
        <f>'[1]1нед'!P47</f>
        <v/>
      </c>
      <c r="H47" s="57" t="str">
        <f>HYPERLINK(VLOOKUP(E47,$R$12:$S$179,2,FALSE))</f>
        <v/>
      </c>
      <c r="I47" s="71"/>
      <c r="J47" s="88"/>
      <c r="K47" s="14" t="s">
        <v>21</v>
      </c>
      <c r="L47" s="20">
        <f>'[1]2нед'!K47</f>
        <v>0</v>
      </c>
      <c r="M47" s="23">
        <f>'[1]2нед'!L47</f>
        <v>0</v>
      </c>
      <c r="N47" s="21">
        <f>'[1]2нед'!O47</f>
        <v>0</v>
      </c>
      <c r="O47" s="22" t="str">
        <f>'[1]2нед'!P47</f>
        <v/>
      </c>
      <c r="P47" s="57" t="str">
        <f>HYPERLINK(VLOOKUP(M47,$R$11:$S$179,2,FALSE))</f>
        <v/>
      </c>
    </row>
    <row r="48" spans="1:16" ht="31.5" x14ac:dyDescent="0.2">
      <c r="A48" s="82"/>
      <c r="B48" s="85"/>
      <c r="C48" s="14" t="s">
        <v>22</v>
      </c>
      <c r="D48" s="20">
        <f>'[1]1нед'!K48</f>
        <v>0</v>
      </c>
      <c r="E48" s="23">
        <f>'[1]1нед'!L48</f>
        <v>0</v>
      </c>
      <c r="F48" s="21">
        <f>'[1]1нед'!O48</f>
        <v>0</v>
      </c>
      <c r="G48" s="22" t="str">
        <f>'[1]1нед'!P48</f>
        <v/>
      </c>
      <c r="H48" s="57" t="str">
        <f>HYPERLINK(VLOOKUP(E48,$R$12:$S$179,2,FALSE))</f>
        <v/>
      </c>
      <c r="I48" s="71"/>
      <c r="J48" s="88"/>
      <c r="K48" s="14" t="s">
        <v>22</v>
      </c>
      <c r="L48" s="20">
        <f>'[1]2нед'!K48</f>
        <v>0</v>
      </c>
      <c r="M48" s="23">
        <f>'[1]2нед'!L48</f>
        <v>0</v>
      </c>
      <c r="N48" s="21">
        <f>'[1]2нед'!O48</f>
        <v>0</v>
      </c>
      <c r="O48" s="22" t="str">
        <f>'[1]2нед'!P48</f>
        <v/>
      </c>
      <c r="P48" s="57" t="str">
        <f>HYPERLINK(VLOOKUP(M48,$R$11:$S$179,2,FALSE))</f>
        <v/>
      </c>
    </row>
    <row r="49" spans="1:16" ht="31.5" x14ac:dyDescent="0.2">
      <c r="A49" s="82"/>
      <c r="B49" s="85"/>
      <c r="C49" s="14" t="s">
        <v>23</v>
      </c>
      <c r="D49" s="20">
        <f>'[1]1нед'!K49</f>
        <v>0</v>
      </c>
      <c r="E49" s="23">
        <f>'[1]1нед'!L49</f>
        <v>0</v>
      </c>
      <c r="F49" s="21">
        <f>'[1]1нед'!O49</f>
        <v>0</v>
      </c>
      <c r="G49" s="22" t="str">
        <f>'[1]1нед'!P49</f>
        <v/>
      </c>
      <c r="H49" s="57" t="str">
        <f>HYPERLINK(VLOOKUP(E49,$R$12:$S$179,2,FALSE))</f>
        <v/>
      </c>
      <c r="I49" s="71"/>
      <c r="J49" s="88"/>
      <c r="K49" s="14" t="s">
        <v>23</v>
      </c>
      <c r="L49" s="20">
        <f>'[1]2нед'!K49</f>
        <v>0</v>
      </c>
      <c r="M49" s="23">
        <f>'[1]2нед'!L49</f>
        <v>0</v>
      </c>
      <c r="N49" s="21">
        <f>'[1]2нед'!O49</f>
        <v>0</v>
      </c>
      <c r="O49" s="22" t="str">
        <f>'[1]2нед'!P49</f>
        <v/>
      </c>
      <c r="P49" s="57" t="str">
        <f>HYPERLINK(VLOOKUP(M49,$R$11:$S$179,2,FALSE))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'[1]1нед'!K50</f>
        <v>0</v>
      </c>
      <c r="E50" s="23">
        <f>'[1]1нед'!L50</f>
        <v>0</v>
      </c>
      <c r="F50" s="21">
        <f>'[1]1нед'!O50</f>
        <v>0</v>
      </c>
      <c r="G50" s="22" t="str">
        <f>'[1]1нед'!P50</f>
        <v/>
      </c>
      <c r="H50" s="57" t="str">
        <f>HYPERLINK(VLOOKUP(E50,$R$12:$S$179,2,FALSE))</f>
        <v/>
      </c>
      <c r="I50" s="71"/>
      <c r="J50" s="88"/>
      <c r="K50" s="14" t="s">
        <v>24</v>
      </c>
      <c r="L50" s="20">
        <f>'[1]2нед'!K50</f>
        <v>0</v>
      </c>
      <c r="M50" s="23">
        <f>'[1]2нед'!L50</f>
        <v>0</v>
      </c>
      <c r="N50" s="21">
        <f>'[1]2нед'!O50</f>
        <v>0</v>
      </c>
      <c r="O50" s="22" t="str">
        <f>'[1]2нед'!P50</f>
        <v/>
      </c>
      <c r="P50" s="57" t="str">
        <f>HYPERLINK(VLOOKUP(M50,$R$11:$S$179,2,FALSE))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'[1]1нед'!K51</f>
        <v>0</v>
      </c>
      <c r="E51" s="25">
        <f>'[1]1нед'!L51</f>
        <v>0</v>
      </c>
      <c r="F51" s="26">
        <f>'[1]1нед'!O51</f>
        <v>0</v>
      </c>
      <c r="G51" s="27" t="str">
        <f>'[1]1нед'!P51</f>
        <v/>
      </c>
      <c r="H51" s="58" t="str">
        <f>HYPERLINK(VLOOKUP(E51,$R$12:$S$179,2,FALSE))</f>
        <v/>
      </c>
      <c r="I51" s="72"/>
      <c r="J51" s="89"/>
      <c r="K51" s="15"/>
      <c r="L51" s="24">
        <f>'[1]2нед'!K51</f>
        <v>0</v>
      </c>
      <c r="M51" s="25">
        <f>'[1]2нед'!L51</f>
        <v>0</v>
      </c>
      <c r="N51" s="26">
        <f>'[1]2нед'!O51</f>
        <v>0</v>
      </c>
      <c r="O51" s="27" t="str">
        <f>'[1]2нед'!P51</f>
        <v/>
      </c>
      <c r="P51" s="58" t="str">
        <f>HYPERLINK(VLOOKUP(M51,$R$11:$S$179,2,FALSE))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'[1]1нед'!K52</f>
        <v>0</v>
      </c>
      <c r="E52" s="19">
        <f>'[1]1нед'!L52</f>
        <v>0</v>
      </c>
      <c r="F52" s="17">
        <f>'[1]1нед'!O52</f>
        <v>0</v>
      </c>
      <c r="G52" s="18" t="str">
        <f>'[1]1нед'!P52</f>
        <v/>
      </c>
      <c r="H52" s="56" t="str">
        <f>HYPERLINK(VLOOKUP(E52,$R$12:$S$179,2,FALSE))</f>
        <v/>
      </c>
      <c r="I52" s="70">
        <v>46277</v>
      </c>
      <c r="J52" s="87" t="s">
        <v>29</v>
      </c>
      <c r="K52" s="29" t="s">
        <v>18</v>
      </c>
      <c r="L52" s="16">
        <f>'[1]2нед'!K52</f>
        <v>0</v>
      </c>
      <c r="M52" s="19">
        <f>'[1]2нед'!L52</f>
        <v>0</v>
      </c>
      <c r="N52" s="17">
        <f>'[1]2нед'!O52</f>
        <v>0</v>
      </c>
      <c r="O52" s="18" t="str">
        <f>'[1]2нед'!P52</f>
        <v/>
      </c>
      <c r="P52" s="56" t="str">
        <f>HYPERLINK(VLOOKUP(M52,$R$11:$S$179,2,FALSE))</f>
        <v/>
      </c>
    </row>
    <row r="53" spans="1:16" ht="31.5" x14ac:dyDescent="0.2">
      <c r="A53" s="82"/>
      <c r="B53" s="85"/>
      <c r="C53" s="14" t="s">
        <v>19</v>
      </c>
      <c r="D53" s="20">
        <f>'[1]1нед'!K53</f>
        <v>0</v>
      </c>
      <c r="E53" s="23">
        <f>'[1]1нед'!L53</f>
        <v>0</v>
      </c>
      <c r="F53" s="21">
        <f>'[1]1нед'!O53</f>
        <v>0</v>
      </c>
      <c r="G53" s="22" t="str">
        <f>'[1]1нед'!P53</f>
        <v/>
      </c>
      <c r="H53" s="57" t="str">
        <f>HYPERLINK(VLOOKUP(E53,$R$12:$S$179,2,FALSE))</f>
        <v/>
      </c>
      <c r="I53" s="71"/>
      <c r="J53" s="88"/>
      <c r="K53" s="14" t="s">
        <v>19</v>
      </c>
      <c r="L53" s="20">
        <f>'[1]2нед'!K53</f>
        <v>0</v>
      </c>
      <c r="M53" s="23">
        <f>'[1]2нед'!L53</f>
        <v>0</v>
      </c>
      <c r="N53" s="21">
        <f>'[1]2нед'!O53</f>
        <v>0</v>
      </c>
      <c r="O53" s="22" t="str">
        <f>'[1]2нед'!P53</f>
        <v/>
      </c>
      <c r="P53" s="57" t="str">
        <f>HYPERLINK(VLOOKUP(M53,$R$11:$S$179,2,FALSE))</f>
        <v/>
      </c>
    </row>
    <row r="54" spans="1:16" ht="31.5" x14ac:dyDescent="0.2">
      <c r="A54" s="82"/>
      <c r="B54" s="85"/>
      <c r="C54" s="14" t="s">
        <v>20</v>
      </c>
      <c r="D54" s="20">
        <f>'[1]1нед'!K54</f>
        <v>0</v>
      </c>
      <c r="E54" s="23">
        <f>'[1]1нед'!L54</f>
        <v>0</v>
      </c>
      <c r="F54" s="21">
        <f>'[1]1нед'!O54</f>
        <v>0</v>
      </c>
      <c r="G54" s="22" t="str">
        <f>'[1]1нед'!P54</f>
        <v/>
      </c>
      <c r="H54" s="57" t="str">
        <f>HYPERLINK(VLOOKUP(E54,$R$12:$S$179,2,FALSE))</f>
        <v/>
      </c>
      <c r="I54" s="71"/>
      <c r="J54" s="88"/>
      <c r="K54" s="14" t="s">
        <v>20</v>
      </c>
      <c r="L54" s="20">
        <f>'[1]2нед'!K54</f>
        <v>0</v>
      </c>
      <c r="M54" s="23">
        <f>'[1]2нед'!L54</f>
        <v>0</v>
      </c>
      <c r="N54" s="21">
        <f>'[1]2нед'!O54</f>
        <v>0</v>
      </c>
      <c r="O54" s="22" t="str">
        <f>'[1]2нед'!P54</f>
        <v/>
      </c>
      <c r="P54" s="57" t="str">
        <f>HYPERLINK(VLOOKUP(M54,$R$11:$S$179,2,FALSE))</f>
        <v/>
      </c>
    </row>
    <row r="55" spans="1:16" ht="31.5" x14ac:dyDescent="0.2">
      <c r="A55" s="82"/>
      <c r="B55" s="85"/>
      <c r="C55" s="14" t="s">
        <v>21</v>
      </c>
      <c r="D55" s="20">
        <f>'[1]1нед'!K55</f>
        <v>0</v>
      </c>
      <c r="E55" s="23">
        <f>'[1]1нед'!L55</f>
        <v>0</v>
      </c>
      <c r="F55" s="21">
        <f>'[1]1нед'!O55</f>
        <v>0</v>
      </c>
      <c r="G55" s="22" t="str">
        <f>'[1]1нед'!P55</f>
        <v/>
      </c>
      <c r="H55" s="57" t="str">
        <f>HYPERLINK(VLOOKUP(E55,$R$12:$S$179,2,FALSE))</f>
        <v/>
      </c>
      <c r="I55" s="71"/>
      <c r="J55" s="88"/>
      <c r="K55" s="14" t="s">
        <v>21</v>
      </c>
      <c r="L55" s="20">
        <f>'[1]2нед'!K55</f>
        <v>0</v>
      </c>
      <c r="M55" s="23">
        <f>'[1]2нед'!L55</f>
        <v>0</v>
      </c>
      <c r="N55" s="21">
        <f>'[1]2нед'!O55</f>
        <v>0</v>
      </c>
      <c r="O55" s="22" t="str">
        <f>'[1]2нед'!P55</f>
        <v/>
      </c>
      <c r="P55" s="57" t="str">
        <f>HYPERLINK(VLOOKUP(M55,$R$11:$S$179,2,FALSE))</f>
        <v/>
      </c>
    </row>
    <row r="56" spans="1:16" ht="31.5" x14ac:dyDescent="0.2">
      <c r="A56" s="82"/>
      <c r="B56" s="85"/>
      <c r="C56" s="14" t="s">
        <v>22</v>
      </c>
      <c r="D56" s="20">
        <f>'[1]1нед'!K56</f>
        <v>0</v>
      </c>
      <c r="E56" s="23">
        <f>'[1]1нед'!L56</f>
        <v>0</v>
      </c>
      <c r="F56" s="21">
        <f>'[1]1нед'!O56</f>
        <v>0</v>
      </c>
      <c r="G56" s="22" t="str">
        <f>'[1]1нед'!P56</f>
        <v/>
      </c>
      <c r="H56" s="57" t="str">
        <f>HYPERLINK(VLOOKUP(E56,$R$12:$S$179,2,FALSE))</f>
        <v/>
      </c>
      <c r="I56" s="71"/>
      <c r="J56" s="88"/>
      <c r="K56" s="14" t="s">
        <v>22</v>
      </c>
      <c r="L56" s="20">
        <f>'[1]2нед'!K56</f>
        <v>0</v>
      </c>
      <c r="M56" s="23">
        <f>'[1]2нед'!L56</f>
        <v>0</v>
      </c>
      <c r="N56" s="21">
        <f>'[1]2нед'!O56</f>
        <v>0</v>
      </c>
      <c r="O56" s="22" t="str">
        <f>'[1]2нед'!P56</f>
        <v/>
      </c>
      <c r="P56" s="57" t="str">
        <f>HYPERLINK(VLOOKUP(M56,$R$11:$S$179,2,FALSE))</f>
        <v/>
      </c>
    </row>
    <row r="57" spans="1:16" ht="31.5" x14ac:dyDescent="0.2">
      <c r="A57" s="82"/>
      <c r="B57" s="85"/>
      <c r="C57" s="14" t="s">
        <v>23</v>
      </c>
      <c r="D57" s="20">
        <f>'[1]1нед'!K57</f>
        <v>0</v>
      </c>
      <c r="E57" s="23">
        <f>'[1]1нед'!L57</f>
        <v>0</v>
      </c>
      <c r="F57" s="21">
        <f>'[1]1нед'!O57</f>
        <v>0</v>
      </c>
      <c r="G57" s="22" t="str">
        <f>'[1]1нед'!P57</f>
        <v/>
      </c>
      <c r="H57" s="57" t="str">
        <f>HYPERLINK(VLOOKUP(E57,$R$12:$S$179,2,FALSE))</f>
        <v/>
      </c>
      <c r="I57" s="71"/>
      <c r="J57" s="88"/>
      <c r="K57" s="14" t="s">
        <v>23</v>
      </c>
      <c r="L57" s="20">
        <f>'[1]2нед'!K57</f>
        <v>0</v>
      </c>
      <c r="M57" s="23">
        <f>'[1]2нед'!L57</f>
        <v>0</v>
      </c>
      <c r="N57" s="21">
        <f>'[1]2нед'!O57</f>
        <v>0</v>
      </c>
      <c r="O57" s="22" t="str">
        <f>'[1]2нед'!P57</f>
        <v/>
      </c>
      <c r="P57" s="57" t="str">
        <f>HYPERLINK(VLOOKUP(M57,$R$11:$S$179,2,FALSE))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'[1]1нед'!K58</f>
        <v>0</v>
      </c>
      <c r="E58" s="23">
        <f>'[1]1нед'!L58</f>
        <v>0</v>
      </c>
      <c r="F58" s="21">
        <f>'[1]1нед'!O58</f>
        <v>0</v>
      </c>
      <c r="G58" s="22" t="str">
        <f>'[1]1нед'!P58</f>
        <v/>
      </c>
      <c r="H58" s="57" t="str">
        <f>HYPERLINK(VLOOKUP(E58,$R$12:$S$179,2,FALSE))</f>
        <v/>
      </c>
      <c r="I58" s="71"/>
      <c r="J58" s="88"/>
      <c r="K58" s="14" t="s">
        <v>24</v>
      </c>
      <c r="L58" s="20">
        <f>'[1]2нед'!K58</f>
        <v>0</v>
      </c>
      <c r="M58" s="23">
        <f>'[1]2нед'!L58</f>
        <v>0</v>
      </c>
      <c r="N58" s="21">
        <f>'[1]2нед'!O58</f>
        <v>0</v>
      </c>
      <c r="O58" s="22" t="str">
        <f>'[1]2нед'!P58</f>
        <v/>
      </c>
      <c r="P58" s="57" t="str">
        <f>HYPERLINK(VLOOKUP(M58,$R$11:$S$179,2,FALSE))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28"/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28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32"/>
      <c r="I60" s="47"/>
      <c r="J60" s="30"/>
      <c r="K60" s="31"/>
      <c r="L60" s="32"/>
      <c r="M60" s="32" t="s">
        <v>30</v>
      </c>
      <c r="N60" s="32"/>
      <c r="O60" s="33" t="s">
        <v>31</v>
      </c>
      <c r="P60" s="32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12-26ПИ</v>
      </c>
      <c r="H67" s="8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12-26ПИ</v>
      </c>
      <c r="P67" s="8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9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9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'[1]3нед'!K12</f>
        <v>л</v>
      </c>
      <c r="E72" s="19" t="str">
        <f>'[1]3нед'!L12</f>
        <v>История России</v>
      </c>
      <c r="F72" s="17" t="str">
        <f>'[1]3нед'!O12</f>
        <v>Сальников В.И.</v>
      </c>
      <c r="G72" s="18" t="str">
        <f>'[1]3нед'!P12</f>
        <v>доцент, канд. наук</v>
      </c>
      <c r="H72" s="56" t="str">
        <f>HYPERLINK(VLOOKUP(E72,$R$12:$S$179,2,FALSE))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'[1]4нед'!K12</f>
        <v>л</v>
      </c>
      <c r="M72" s="19" t="str">
        <f>'[1]4нед'!L12</f>
        <v>История России</v>
      </c>
      <c r="N72" s="17" t="str">
        <f>'[1]4нед'!O12</f>
        <v>Сальников В.И.</v>
      </c>
      <c r="O72" s="18" t="str">
        <f>'[1]4нед'!P12</f>
        <v>доцент, канд. наук</v>
      </c>
      <c r="P72" s="56" t="str">
        <f>HYPERLINK(VLOOKUP(M72,$R$12:$S$179,2,FALSE))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'[1]3нед'!K13</f>
        <v>пр</v>
      </c>
      <c r="E73" s="23" t="str">
        <f>'[1]3нед'!L13</f>
        <v xml:space="preserve"> Обучение служением</v>
      </c>
      <c r="F73" s="21" t="str">
        <f>'[1]3нед'!O13</f>
        <v>Кобзева Е.В.</v>
      </c>
      <c r="G73" s="22" t="str">
        <f>'[1]3нед'!P13</f>
        <v>преподаватель</v>
      </c>
      <c r="H73" s="57" t="str">
        <f>HYPERLINK(VLOOKUP(E73,$R$12:$S$179,2,FALSE))</f>
        <v>https://max.ru/join/PF9p4nxFpYkpyJZDiJCXITBLRp8ioqfTBXE3wfeJlHs</v>
      </c>
      <c r="I73" s="71"/>
      <c r="J73" s="88"/>
      <c r="K73" s="14" t="s">
        <v>19</v>
      </c>
      <c r="L73" s="20" t="str">
        <f>'[1]4нед'!K13</f>
        <v>пр</v>
      </c>
      <c r="M73" s="23" t="str">
        <f>'[1]4нед'!L13</f>
        <v>Английский язык для специальных целей</v>
      </c>
      <c r="N73" s="21" t="str">
        <f>'[1]4нед'!O13</f>
        <v>Суворова С.Г.</v>
      </c>
      <c r="O73" s="22" t="str">
        <f>'[1]4нед'!P13</f>
        <v>ст. преподаватель</v>
      </c>
      <c r="P73" s="57" t="str">
        <f>HYPERLINK(VLOOKUP(M73,$R$12:$S$179,2,FALSE))</f>
        <v>https://max.ru/join/PF9p4nxFpYkpyJZDiJCXITBLRp8ioqfTBXE3wfeJlHs</v>
      </c>
    </row>
    <row r="74" spans="1:16" ht="37.5" x14ac:dyDescent="0.2">
      <c r="A74" s="82"/>
      <c r="B74" s="85"/>
      <c r="C74" s="14" t="s">
        <v>20</v>
      </c>
      <c r="D74" s="20" t="str">
        <f>'[1]3нед'!K14</f>
        <v>пр</v>
      </c>
      <c r="E74" s="23" t="str">
        <f>'[1]3нед'!L14</f>
        <v>Физическая культура и спорт</v>
      </c>
      <c r="F74" s="21" t="str">
        <f>'[1]3нед'!O14</f>
        <v>Набока В.И.</v>
      </c>
      <c r="G74" s="22" t="str">
        <f>'[1]3нед'!P14</f>
        <v>преподаватель</v>
      </c>
      <c r="H74" s="57" t="str">
        <f>HYPERLINK(VLOOKUP(E74,$R$12:$S$179,2,FALSE))</f>
        <v>https://max.ru/join/PF9p4nxFpYkpyJZDiJCXITBLRp8ioqfTBXE3wfeJlHs</v>
      </c>
      <c r="I74" s="71"/>
      <c r="J74" s="88"/>
      <c r="K74" s="14" t="s">
        <v>20</v>
      </c>
      <c r="L74" s="20" t="str">
        <f>'[1]4нед'!K14</f>
        <v>пр</v>
      </c>
      <c r="M74" s="23" t="str">
        <f>'[1]4нед'!L14</f>
        <v>Физическая культура и спорт</v>
      </c>
      <c r="N74" s="21" t="str">
        <f>'[1]4нед'!O14</f>
        <v>Набока В.И.</v>
      </c>
      <c r="O74" s="22" t="str">
        <f>'[1]4нед'!P14</f>
        <v>преподаватель</v>
      </c>
      <c r="P74" s="57" t="str">
        <f>HYPERLINK(VLOOKUP(M74,$R$12:$S$179,2,FALSE))</f>
        <v>https://max.ru/join/PF9p4nxFpYkpyJZDiJCXITBLRp8ioqfTBXE3wfeJlHs</v>
      </c>
    </row>
    <row r="75" spans="1:16" ht="31.5" x14ac:dyDescent="0.2">
      <c r="A75" s="82"/>
      <c r="B75" s="85"/>
      <c r="C75" s="14" t="s">
        <v>21</v>
      </c>
      <c r="D75" s="20">
        <f>'[1]3нед'!K15</f>
        <v>0</v>
      </c>
      <c r="E75" s="23">
        <f>'[1]3нед'!L15</f>
        <v>0</v>
      </c>
      <c r="F75" s="21">
        <f>'[1]3нед'!O15</f>
        <v>0</v>
      </c>
      <c r="G75" s="22" t="str">
        <f>'[1]3нед'!P15</f>
        <v/>
      </c>
      <c r="H75" s="57" t="str">
        <f>HYPERLINK(VLOOKUP(E75,$R$12:$S$179,2,FALSE))</f>
        <v/>
      </c>
      <c r="I75" s="71"/>
      <c r="J75" s="88"/>
      <c r="K75" s="14" t="s">
        <v>21</v>
      </c>
      <c r="L75" s="20">
        <f>'[1]4нед'!K15</f>
        <v>0</v>
      </c>
      <c r="M75" s="23">
        <f>'[1]4нед'!L15</f>
        <v>0</v>
      </c>
      <c r="N75" s="21">
        <f>'[1]4нед'!O15</f>
        <v>0</v>
      </c>
      <c r="O75" s="22" t="str">
        <f>'[1]4нед'!P15</f>
        <v/>
      </c>
      <c r="P75" s="57" t="str">
        <f>HYPERLINK(VLOOKUP(M75,$R$12:$S$179,2,FALSE))</f>
        <v/>
      </c>
    </row>
    <row r="76" spans="1:16" ht="31.5" x14ac:dyDescent="0.2">
      <c r="A76" s="82"/>
      <c r="B76" s="85"/>
      <c r="C76" s="14" t="s">
        <v>22</v>
      </c>
      <c r="D76" s="20">
        <f>'[1]3нед'!K16</f>
        <v>0</v>
      </c>
      <c r="E76" s="23">
        <f>'[1]3нед'!L16</f>
        <v>0</v>
      </c>
      <c r="F76" s="21">
        <f>'[1]3нед'!O16</f>
        <v>0</v>
      </c>
      <c r="G76" s="22" t="str">
        <f>'[1]3нед'!P16</f>
        <v/>
      </c>
      <c r="H76" s="57" t="str">
        <f>HYPERLINK(VLOOKUP(E76,$R$12:$S$179,2,FALSE))</f>
        <v/>
      </c>
      <c r="I76" s="71"/>
      <c r="J76" s="88"/>
      <c r="K76" s="14" t="s">
        <v>22</v>
      </c>
      <c r="L76" s="20">
        <f>'[1]4нед'!K16</f>
        <v>0</v>
      </c>
      <c r="M76" s="23">
        <f>'[1]4нед'!L16</f>
        <v>0</v>
      </c>
      <c r="N76" s="21">
        <f>'[1]4нед'!O16</f>
        <v>0</v>
      </c>
      <c r="O76" s="22" t="str">
        <f>'[1]4нед'!P16</f>
        <v/>
      </c>
      <c r="P76" s="57" t="str">
        <f>HYPERLINK(VLOOKUP(M76,$R$12:$S$179,2,FALSE))</f>
        <v/>
      </c>
    </row>
    <row r="77" spans="1:16" ht="31.5" x14ac:dyDescent="0.2">
      <c r="A77" s="82"/>
      <c r="B77" s="85"/>
      <c r="C77" s="14" t="s">
        <v>23</v>
      </c>
      <c r="D77" s="20">
        <f>'[1]3нед'!K17</f>
        <v>0</v>
      </c>
      <c r="E77" s="23">
        <f>'[1]3нед'!L17</f>
        <v>0</v>
      </c>
      <c r="F77" s="21">
        <f>'[1]3нед'!O17</f>
        <v>0</v>
      </c>
      <c r="G77" s="22" t="str">
        <f>'[1]3нед'!P17</f>
        <v/>
      </c>
      <c r="H77" s="55" t="str">
        <f>HYPERLINK(VLOOKUP(E77,$R$12:$S$179,2,FALSE))</f>
        <v/>
      </c>
      <c r="I77" s="71"/>
      <c r="J77" s="88"/>
      <c r="K77" s="14" t="s">
        <v>23</v>
      </c>
      <c r="L77" s="20">
        <f>'[1]4нед'!K17</f>
        <v>0</v>
      </c>
      <c r="M77" s="23">
        <f>'[1]4нед'!L17</f>
        <v>0</v>
      </c>
      <c r="N77" s="21">
        <f>'[1]4нед'!O17</f>
        <v>0</v>
      </c>
      <c r="O77" s="22" t="str">
        <f>'[1]4нед'!P17</f>
        <v/>
      </c>
      <c r="P77" s="55" t="str">
        <f>HYPERLINK(VLOOKUP(M77,$R$12:$S$179,2,FALSE))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'[1]3нед'!K18</f>
        <v>0</v>
      </c>
      <c r="E78" s="23">
        <f>'[1]3нед'!L18</f>
        <v>0</v>
      </c>
      <c r="F78" s="21">
        <f>'[1]3нед'!O18</f>
        <v>0</v>
      </c>
      <c r="G78" s="22" t="str">
        <f>'[1]3нед'!P18</f>
        <v/>
      </c>
      <c r="H78" s="55" t="str">
        <f>HYPERLINK(VLOOKUP(E78,$R$12:$S$179,2,FALSE))</f>
        <v/>
      </c>
      <c r="I78" s="71"/>
      <c r="J78" s="88"/>
      <c r="K78" s="14" t="s">
        <v>24</v>
      </c>
      <c r="L78" s="20">
        <f>'[1]4нед'!K18</f>
        <v>0</v>
      </c>
      <c r="M78" s="23">
        <f>'[1]4нед'!L18</f>
        <v>0</v>
      </c>
      <c r="N78" s="21">
        <f>'[1]4нед'!O18</f>
        <v>0</v>
      </c>
      <c r="O78" s="22" t="str">
        <f>'[1]4нед'!P18</f>
        <v/>
      </c>
      <c r="P78" s="55" t="str">
        <f>HYPERLINK(VLOOKUP(M78,$R$12:$S$179,2,FALSE))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'[1]3нед'!K19</f>
        <v>0</v>
      </c>
      <c r="E79" s="25">
        <f>'[1]3нед'!L19</f>
        <v>0</v>
      </c>
      <c r="F79" s="26">
        <f>'[1]3нед'!O19</f>
        <v>0</v>
      </c>
      <c r="G79" s="27" t="str">
        <f>'[1]3нед'!P19</f>
        <v/>
      </c>
      <c r="H79" s="58" t="str">
        <f>HYPERLINK(VLOOKUP(E79,$R$12:$S$179,2,FALSE))</f>
        <v/>
      </c>
      <c r="I79" s="72"/>
      <c r="J79" s="89"/>
      <c r="K79" s="15"/>
      <c r="L79" s="24">
        <f>'[1]4нед'!K19</f>
        <v>0</v>
      </c>
      <c r="M79" s="25">
        <f>'[1]4нед'!L19</f>
        <v>0</v>
      </c>
      <c r="N79" s="26">
        <f>'[1]4нед'!O19</f>
        <v>0</v>
      </c>
      <c r="O79" s="27" t="str">
        <f>'[1]4нед'!P19</f>
        <v/>
      </c>
      <c r="P79" s="58" t="str">
        <f>HYPERLINK(VLOOKUP(M79,$R$12:$S$179,2,FALSE))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</f>
        <v>0</v>
      </c>
      <c r="E80" s="19">
        <f>'[1]3нед'!L20</f>
        <v>0</v>
      </c>
      <c r="F80" s="17">
        <f>'[1]3нед'!O20</f>
        <v>0</v>
      </c>
      <c r="G80" s="18" t="str">
        <f>'[1]3нед'!P20</f>
        <v/>
      </c>
      <c r="H80" s="56" t="str">
        <f>HYPERLINK(VLOOKUP(E80,$R$12:$S$179,2,FALSE))</f>
        <v/>
      </c>
      <c r="I80" s="70">
        <v>46287</v>
      </c>
      <c r="J80" s="87" t="s">
        <v>25</v>
      </c>
      <c r="K80" s="29" t="s">
        <v>18</v>
      </c>
      <c r="L80" s="16" t="str">
        <f>'[1]4нед'!K20</f>
        <v>пр</v>
      </c>
      <c r="M80" s="19" t="str">
        <f>'[1]4нед'!L20</f>
        <v xml:space="preserve"> Основы российской государственности</v>
      </c>
      <c r="N80" s="17" t="str">
        <f>'[1]4нед'!O20</f>
        <v>Лысенко Е.Г.</v>
      </c>
      <c r="O80" s="18" t="str">
        <f>'[1]4нед'!P20</f>
        <v>доцент, канд. наук</v>
      </c>
      <c r="P80" s="56" t="str">
        <f>HYPERLINK(VLOOKUP(M80,$R$12:$S$179,2,FALSE))</f>
        <v>https://max.ru/join/PF9p4nxFpYkpyJZDiJCXITBLRp8ioqfTBXE3wfeJlHs</v>
      </c>
    </row>
    <row r="81" spans="1:16" ht="37.5" x14ac:dyDescent="0.2">
      <c r="A81" s="82"/>
      <c r="B81" s="85"/>
      <c r="C81" s="14" t="s">
        <v>19</v>
      </c>
      <c r="D81" s="20" t="str">
        <f>'[1]3нед'!K21</f>
        <v>пр</v>
      </c>
      <c r="E81" s="23" t="str">
        <f>'[1]3нед'!L21</f>
        <v>Иностранный язык</v>
      </c>
      <c r="F81" s="21" t="str">
        <f>'[1]3нед'!O21</f>
        <v>Суворова С.Г.</v>
      </c>
      <c r="G81" s="22" t="str">
        <f>'[1]3нед'!P21</f>
        <v>ст. преподаватель</v>
      </c>
      <c r="H81" s="57" t="str">
        <f>HYPERLINK(VLOOKUP(E81,$R$12:$S$179,2,FALSE))</f>
        <v>https://max.ru/join/PF9p4nxFpYkpyJZDiJCXITBLRp8ioqfTBXE3wfeJlHs</v>
      </c>
      <c r="I81" s="71"/>
      <c r="J81" s="88"/>
      <c r="K81" s="14" t="s">
        <v>19</v>
      </c>
      <c r="L81" s="20" t="str">
        <f>'[1]4нед'!K21</f>
        <v>пр</v>
      </c>
      <c r="M81" s="23" t="str">
        <f>'[1]4нед'!L21</f>
        <v>Иностранный язык</v>
      </c>
      <c r="N81" s="21" t="str">
        <f>'[1]4нед'!O21</f>
        <v>Суворова С.Г.</v>
      </c>
      <c r="O81" s="22" t="str">
        <f>'[1]4нед'!P21</f>
        <v>ст. преподаватель</v>
      </c>
      <c r="P81" s="57" t="str">
        <f>HYPERLINK(VLOOKUP(M81,$R$12:$S$179,2,FALSE))</f>
        <v>https://max.ru/join/PF9p4nxFpYkpyJZDiJCXITBLRp8ioqfTBXE3wfeJlHs</v>
      </c>
    </row>
    <row r="82" spans="1:16" ht="37.5" x14ac:dyDescent="0.2">
      <c r="A82" s="82"/>
      <c r="B82" s="85"/>
      <c r="C82" s="14" t="s">
        <v>20</v>
      </c>
      <c r="D82" s="20" t="str">
        <f>'[1]3нед'!K22</f>
        <v>л</v>
      </c>
      <c r="E82" s="23" t="str">
        <f>'[1]3нед'!L22</f>
        <v>Технологии цифрового образования</v>
      </c>
      <c r="F82" s="21" t="str">
        <f>'[1]3нед'!O22</f>
        <v>Шевченко Е.Н.</v>
      </c>
      <c r="G82" s="22" t="str">
        <f>'[1]3нед'!P22</f>
        <v>ст. преподаватель</v>
      </c>
      <c r="H82" s="57" t="str">
        <f>HYPERLINK(VLOOKUP(E82,$R$12:$S$179,2,FALSE))</f>
        <v>https://max.ru/join/QktsjGaw5ToZMymwQv4u7TZ1a5jhx2Meh1Xg11Ht-o8</v>
      </c>
      <c r="I82" s="71"/>
      <c r="J82" s="88"/>
      <c r="K82" s="14" t="s">
        <v>20</v>
      </c>
      <c r="L82" s="20">
        <f>'[1]4нед'!K22</f>
        <v>0</v>
      </c>
      <c r="M82" s="23">
        <f>'[1]4нед'!L22</f>
        <v>0</v>
      </c>
      <c r="N82" s="21">
        <f>'[1]4нед'!O22</f>
        <v>0</v>
      </c>
      <c r="O82" s="22" t="str">
        <f>'[1]4нед'!P22</f>
        <v/>
      </c>
      <c r="P82" s="57" t="str">
        <f>HYPERLINK(VLOOKUP(M82,$R$12:$S$179,2,FALSE))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'[1]3нед'!K23</f>
        <v>л</v>
      </c>
      <c r="E83" s="23" t="str">
        <f>'[1]3нед'!L23</f>
        <v>Обучение служением</v>
      </c>
      <c r="F83" s="21" t="str">
        <f>'[1]3нед'!O23</f>
        <v>Вишневский В.А.</v>
      </c>
      <c r="G83" s="22" t="str">
        <f>'[1]3нед'!P23</f>
        <v>доцент, канд. наук</v>
      </c>
      <c r="H83" s="57" t="str">
        <f>HYPERLINK(VLOOKUP(E83,$R$12:$S$179,2,FALSE))</f>
        <v>https://max.ru/join/0MiRK0GUpSTCrtKMGu5ke9BatSupdkYkm3PEezrq5xw</v>
      </c>
      <c r="I83" s="71"/>
      <c r="J83" s="88"/>
      <c r="K83" s="14" t="s">
        <v>21</v>
      </c>
      <c r="L83" s="20">
        <f>'[1]4нед'!K23</f>
        <v>0</v>
      </c>
      <c r="M83" s="23">
        <f>'[1]4нед'!L23</f>
        <v>0</v>
      </c>
      <c r="N83" s="21">
        <f>'[1]4нед'!O23</f>
        <v>0</v>
      </c>
      <c r="O83" s="22" t="str">
        <f>'[1]4нед'!P23</f>
        <v/>
      </c>
      <c r="P83" s="57" t="str">
        <f>HYPERLINK(VLOOKUP(M83,$R$12:$S$179,2,FALSE))</f>
        <v/>
      </c>
    </row>
    <row r="84" spans="1:16" ht="31.5" x14ac:dyDescent="0.2">
      <c r="A84" s="82"/>
      <c r="B84" s="85"/>
      <c r="C84" s="14" t="s">
        <v>22</v>
      </c>
      <c r="D84" s="20">
        <f>'[1]3нед'!K24</f>
        <v>0</v>
      </c>
      <c r="E84" s="23">
        <f>'[1]3нед'!L24</f>
        <v>0</v>
      </c>
      <c r="F84" s="21">
        <f>'[1]3нед'!O24</f>
        <v>0</v>
      </c>
      <c r="G84" s="22" t="str">
        <f>'[1]3нед'!P24</f>
        <v/>
      </c>
      <c r="H84" s="57" t="str">
        <f>HYPERLINK(VLOOKUP(E84,$R$12:$S$179,2,FALSE))</f>
        <v/>
      </c>
      <c r="I84" s="71"/>
      <c r="J84" s="88"/>
      <c r="K84" s="14" t="s">
        <v>22</v>
      </c>
      <c r="L84" s="20">
        <f>'[1]4нед'!K24</f>
        <v>0</v>
      </c>
      <c r="M84" s="23">
        <f>'[1]4нед'!L24</f>
        <v>0</v>
      </c>
      <c r="N84" s="21">
        <f>'[1]4нед'!O24</f>
        <v>0</v>
      </c>
      <c r="O84" s="22" t="str">
        <f>'[1]4нед'!P24</f>
        <v/>
      </c>
      <c r="P84" s="57" t="str">
        <f>HYPERLINK(VLOOKUP(M84,$R$12:$S$179,2,FALSE))</f>
        <v/>
      </c>
    </row>
    <row r="85" spans="1:16" ht="31.5" x14ac:dyDescent="0.2">
      <c r="A85" s="82"/>
      <c r="B85" s="85"/>
      <c r="C85" s="14" t="s">
        <v>23</v>
      </c>
      <c r="D85" s="20">
        <f>'[1]3нед'!K25</f>
        <v>0</v>
      </c>
      <c r="E85" s="23">
        <f>'[1]3нед'!L25</f>
        <v>0</v>
      </c>
      <c r="F85" s="21">
        <f>'[1]3нед'!O25</f>
        <v>0</v>
      </c>
      <c r="G85" s="22" t="str">
        <f>'[1]3нед'!P25</f>
        <v/>
      </c>
      <c r="H85" s="57" t="str">
        <f>HYPERLINK(VLOOKUP(E85,$R$12:$S$179,2,FALSE))</f>
        <v/>
      </c>
      <c r="I85" s="71"/>
      <c r="J85" s="88"/>
      <c r="K85" s="14" t="s">
        <v>23</v>
      </c>
      <c r="L85" s="20">
        <f>'[1]4нед'!K25</f>
        <v>0</v>
      </c>
      <c r="M85" s="23">
        <f>'[1]4нед'!L25</f>
        <v>0</v>
      </c>
      <c r="N85" s="21">
        <f>'[1]4нед'!O25</f>
        <v>0</v>
      </c>
      <c r="O85" s="22" t="str">
        <f>'[1]4нед'!P25</f>
        <v/>
      </c>
      <c r="P85" s="57" t="str">
        <f>HYPERLINK(VLOOKUP(M85,$R$12:$S$179,2,FALSE))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'[1]3нед'!K26</f>
        <v>0</v>
      </c>
      <c r="E86" s="23">
        <f>'[1]3нед'!L26</f>
        <v>0</v>
      </c>
      <c r="F86" s="21">
        <f>'[1]3нед'!O26</f>
        <v>0</v>
      </c>
      <c r="G86" s="22" t="str">
        <f>'[1]3нед'!P26</f>
        <v/>
      </c>
      <c r="H86" s="57" t="str">
        <f>HYPERLINK(VLOOKUP(E86,$R$12:$S$179,2,FALSE))</f>
        <v/>
      </c>
      <c r="I86" s="71"/>
      <c r="J86" s="88"/>
      <c r="K86" s="14" t="s">
        <v>24</v>
      </c>
      <c r="L86" s="20">
        <f>'[1]4нед'!K26</f>
        <v>0</v>
      </c>
      <c r="M86" s="23">
        <f>'[1]4нед'!L26</f>
        <v>0</v>
      </c>
      <c r="N86" s="21">
        <f>'[1]4нед'!O26</f>
        <v>0</v>
      </c>
      <c r="O86" s="22" t="str">
        <f>'[1]4нед'!P26</f>
        <v/>
      </c>
      <c r="P86" s="57" t="str">
        <f>HYPERLINK(VLOOKUP(M86,$R$12:$S$179,2,FALSE))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'[1]3нед'!K27</f>
        <v>0</v>
      </c>
      <c r="E87" s="25">
        <f>'[1]3нед'!L27</f>
        <v>0</v>
      </c>
      <c r="F87" s="26">
        <f>'[1]3нед'!O27</f>
        <v>0</v>
      </c>
      <c r="G87" s="27" t="str">
        <f>'[1]3нед'!P27</f>
        <v/>
      </c>
      <c r="H87" s="58" t="str">
        <f>HYPERLINK(VLOOKUP(E87,$R$12:$S$179,2,FALSE))</f>
        <v/>
      </c>
      <c r="I87" s="72"/>
      <c r="J87" s="89"/>
      <c r="K87" s="15"/>
      <c r="L87" s="24">
        <f>'[1]4нед'!K27</f>
        <v>0</v>
      </c>
      <c r="M87" s="25">
        <f>'[1]4нед'!L27</f>
        <v>0</v>
      </c>
      <c r="N87" s="26">
        <f>'[1]4нед'!O27</f>
        <v>0</v>
      </c>
      <c r="O87" s="27" t="str">
        <f>'[1]4нед'!P27</f>
        <v/>
      </c>
      <c r="P87" s="58" t="str">
        <f>HYPERLINK(VLOOKUP(M87,$R$12:$S$179,2,FALSE))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'[1]3нед'!K28</f>
        <v>л</v>
      </c>
      <c r="E88" s="19" t="str">
        <f>'[1]3нед'!L28</f>
        <v>Основы российской государственности</v>
      </c>
      <c r="F88" s="17" t="str">
        <f>'[1]3нед'!O28</f>
        <v>Вишневский С.А.</v>
      </c>
      <c r="G88" s="18" t="str">
        <f>'[1]3нед'!P28</f>
        <v>доцент, канд. наук</v>
      </c>
      <c r="H88" s="56" t="str">
        <f>HYPERLINK(VLOOKUP(E88,$R$12:$S$179,2,FALSE))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'[1]4нед'!K28</f>
        <v>л</v>
      </c>
      <c r="M88" s="19" t="str">
        <f>'[1]4нед'!L28</f>
        <v>Основы российской государственности</v>
      </c>
      <c r="N88" s="17" t="str">
        <f>'[1]4нед'!O28</f>
        <v>Вишневский С.А.</v>
      </c>
      <c r="O88" s="18" t="str">
        <f>'[1]4нед'!P28</f>
        <v>доцент, канд. наук</v>
      </c>
      <c r="P88" s="56" t="str">
        <f>HYPERLINK(VLOOKUP(M88,$R$12:$S$179,2,FALSE))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'[1]3нед'!K29</f>
        <v>пр</v>
      </c>
      <c r="E89" s="23" t="str">
        <f>'[1]3нед'!L29</f>
        <v>Основы и методология программирования</v>
      </c>
      <c r="F89" s="21" t="str">
        <f>'[1]3нед'!O29</f>
        <v>Криницкий Ю.В.</v>
      </c>
      <c r="G89" s="22" t="str">
        <f>'[1]3нед'!P29</f>
        <v>преподаватель</v>
      </c>
      <c r="H89" s="57" t="str">
        <f>HYPERLINK(VLOOKUP(E89,$R$12:$S$179,2,FALSE))</f>
        <v>https://max.ru/join/PF9p4nxFpYkpyJZDiJCXITBLRp8ioqfTBXE3wfeJlHs</v>
      </c>
      <c r="I89" s="71"/>
      <c r="J89" s="74"/>
      <c r="K89" s="14" t="s">
        <v>19</v>
      </c>
      <c r="L89" s="20" t="str">
        <f>'[1]4нед'!K29</f>
        <v>л</v>
      </c>
      <c r="M89" s="23" t="str">
        <f>'[1]4нед'!L29</f>
        <v>Основы и методология программирования</v>
      </c>
      <c r="N89" s="21" t="str">
        <f>'[1]4нед'!O29</f>
        <v>Криницкий Ю.В.</v>
      </c>
      <c r="O89" s="22" t="str">
        <f>'[1]4нед'!P29</f>
        <v>преподаватель</v>
      </c>
      <c r="P89" s="57" t="str">
        <f>HYPERLINK(VLOOKUP(M89,$R$12:$S$179,2,FALSE))</f>
        <v>https://max.ru/join/PF9p4nxFpYkpyJZDiJCXITBLRp8ioqfTBXE3wfeJlHs</v>
      </c>
    </row>
    <row r="90" spans="1:16" ht="37.5" x14ac:dyDescent="0.2">
      <c r="A90" s="82"/>
      <c r="B90" s="68"/>
      <c r="C90" s="14" t="s">
        <v>20</v>
      </c>
      <c r="D90" s="20" t="str">
        <f>'[1]3нед'!K30</f>
        <v>пр</v>
      </c>
      <c r="E90" s="23" t="str">
        <f>'[1]3нед'!L30</f>
        <v>Основы и методология программирования</v>
      </c>
      <c r="F90" s="21" t="str">
        <f>'[1]3нед'!O30</f>
        <v>Криницкий Ю.В.</v>
      </c>
      <c r="G90" s="22" t="str">
        <f>'[1]3нед'!P30</f>
        <v>преподаватель</v>
      </c>
      <c r="H90" s="57" t="str">
        <f>HYPERLINK(VLOOKUP(E90,$R$12:$S$179,2,FALSE))</f>
        <v>https://max.ru/join/PF9p4nxFpYkpyJZDiJCXITBLRp8ioqfTBXE3wfeJlHs</v>
      </c>
      <c r="I90" s="71"/>
      <c r="J90" s="74"/>
      <c r="K90" s="14" t="s">
        <v>20</v>
      </c>
      <c r="L90" s="20" t="str">
        <f>'[1]4нед'!K30</f>
        <v>л</v>
      </c>
      <c r="M90" s="23" t="str">
        <f>'[1]4нед'!L30</f>
        <v>Основы и методология программирования</v>
      </c>
      <c r="N90" s="21" t="str">
        <f>'[1]4нед'!O30</f>
        <v>Криницкий Ю.В.</v>
      </c>
      <c r="O90" s="22" t="str">
        <f>'[1]4нед'!P30</f>
        <v>преподаватель</v>
      </c>
      <c r="P90" s="57" t="str">
        <f>HYPERLINK(VLOOKUP(M90,$R$12:$S$179,2,FALSE))</f>
        <v>https://max.ru/join/PF9p4nxFpYkpyJZDiJCXITBLRp8ioqfTBXE3wfeJlHs</v>
      </c>
    </row>
    <row r="91" spans="1:16" ht="31.5" x14ac:dyDescent="0.2">
      <c r="A91" s="82"/>
      <c r="B91" s="68"/>
      <c r="C91" s="14" t="s">
        <v>21</v>
      </c>
      <c r="D91" s="20">
        <f>'[1]3нед'!K31</f>
        <v>0</v>
      </c>
      <c r="E91" s="23">
        <f>'[1]3нед'!L31</f>
        <v>0</v>
      </c>
      <c r="F91" s="21">
        <f>'[1]3нед'!O31</f>
        <v>0</v>
      </c>
      <c r="G91" s="22" t="str">
        <f>'[1]3нед'!P31</f>
        <v/>
      </c>
      <c r="H91" s="57" t="str">
        <f>HYPERLINK(VLOOKUP(E91,$R$12:$S$179,2,FALSE))</f>
        <v/>
      </c>
      <c r="I91" s="71"/>
      <c r="J91" s="74"/>
      <c r="K91" s="14" t="s">
        <v>21</v>
      </c>
      <c r="L91" s="20">
        <f>'[1]4нед'!K31</f>
        <v>0</v>
      </c>
      <c r="M91" s="23">
        <f>'[1]4нед'!L31</f>
        <v>0</v>
      </c>
      <c r="N91" s="21">
        <f>'[1]4нед'!O31</f>
        <v>0</v>
      </c>
      <c r="O91" s="22" t="str">
        <f>'[1]4нед'!P31</f>
        <v/>
      </c>
      <c r="P91" s="57" t="str">
        <f>HYPERLINK(VLOOKUP(M91,$R$12:$S$179,2,FALSE))</f>
        <v/>
      </c>
    </row>
    <row r="92" spans="1:16" ht="31.5" x14ac:dyDescent="0.2">
      <c r="A92" s="82"/>
      <c r="B92" s="68"/>
      <c r="C92" s="14" t="s">
        <v>22</v>
      </c>
      <c r="D92" s="20">
        <f>'[1]3нед'!K32</f>
        <v>0</v>
      </c>
      <c r="E92" s="23">
        <f>'[1]3нед'!L32</f>
        <v>0</v>
      </c>
      <c r="F92" s="21">
        <f>'[1]3нед'!O32</f>
        <v>0</v>
      </c>
      <c r="G92" s="22" t="str">
        <f>'[1]3нед'!P32</f>
        <v/>
      </c>
      <c r="H92" s="57" t="str">
        <f>HYPERLINK(VLOOKUP(E92,$R$12:$S$179,2,FALSE))</f>
        <v/>
      </c>
      <c r="I92" s="71"/>
      <c r="J92" s="74"/>
      <c r="K92" s="14" t="s">
        <v>22</v>
      </c>
      <c r="L92" s="20">
        <f>'[1]4нед'!K32</f>
        <v>0</v>
      </c>
      <c r="M92" s="23">
        <f>'[1]4нед'!L32</f>
        <v>0</v>
      </c>
      <c r="N92" s="21">
        <f>'[1]4нед'!O32</f>
        <v>0</v>
      </c>
      <c r="O92" s="22" t="str">
        <f>'[1]4нед'!P32</f>
        <v/>
      </c>
      <c r="P92" s="57" t="str">
        <f>HYPERLINK(VLOOKUP(M92,$R$12:$S$179,2,FALSE))</f>
        <v/>
      </c>
    </row>
    <row r="93" spans="1:16" ht="31.5" x14ac:dyDescent="0.2">
      <c r="A93" s="82"/>
      <c r="B93" s="68"/>
      <c r="C93" s="14" t="s">
        <v>23</v>
      </c>
      <c r="D93" s="20">
        <f>'[1]3нед'!K33</f>
        <v>0</v>
      </c>
      <c r="E93" s="23">
        <f>'[1]3нед'!L33</f>
        <v>0</v>
      </c>
      <c r="F93" s="21">
        <f>'[1]3нед'!O33</f>
        <v>0</v>
      </c>
      <c r="G93" s="22" t="str">
        <f>'[1]3нед'!P33</f>
        <v/>
      </c>
      <c r="H93" s="55" t="str">
        <f>HYPERLINK(VLOOKUP(E93,$R$12:$S$179,2,FALSE))</f>
        <v/>
      </c>
      <c r="I93" s="71"/>
      <c r="J93" s="74"/>
      <c r="K93" s="14" t="s">
        <v>23</v>
      </c>
      <c r="L93" s="20">
        <f>'[1]4нед'!K33</f>
        <v>0</v>
      </c>
      <c r="M93" s="23">
        <f>'[1]4нед'!L33</f>
        <v>0</v>
      </c>
      <c r="N93" s="21">
        <f>'[1]4нед'!O33</f>
        <v>0</v>
      </c>
      <c r="O93" s="22" t="str">
        <f>'[1]4нед'!P33</f>
        <v/>
      </c>
      <c r="P93" s="55" t="str">
        <f>HYPERLINK(VLOOKUP(M93,$R$12:$S$179,2,FALSE))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'[1]3нед'!K34</f>
        <v>0</v>
      </c>
      <c r="E94" s="23">
        <f>'[1]3нед'!L34</f>
        <v>0</v>
      </c>
      <c r="F94" s="21">
        <f>'[1]3нед'!O34</f>
        <v>0</v>
      </c>
      <c r="G94" s="22" t="str">
        <f>'[1]3нед'!P34</f>
        <v/>
      </c>
      <c r="H94" s="55" t="str">
        <f>HYPERLINK(VLOOKUP(E94,$R$12:$S$179,2,FALSE))</f>
        <v/>
      </c>
      <c r="I94" s="71"/>
      <c r="J94" s="74"/>
      <c r="K94" s="14" t="s">
        <v>24</v>
      </c>
      <c r="L94" s="20">
        <f>'[1]4нед'!K34</f>
        <v>0</v>
      </c>
      <c r="M94" s="23">
        <f>'[1]4нед'!L34</f>
        <v>0</v>
      </c>
      <c r="N94" s="21">
        <f>'[1]4нед'!O34</f>
        <v>0</v>
      </c>
      <c r="O94" s="22" t="str">
        <f>'[1]4нед'!P34</f>
        <v/>
      </c>
      <c r="P94" s="55" t="str">
        <f>HYPERLINK(VLOOKUP(M94,$R$12:$S$179,2,FALSE))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'[1]3нед'!K35</f>
        <v>0</v>
      </c>
      <c r="E95" s="25">
        <f>'[1]3нед'!L35</f>
        <v>0</v>
      </c>
      <c r="F95" s="26">
        <f>'[1]3нед'!O35</f>
        <v>0</v>
      </c>
      <c r="G95" s="27" t="str">
        <f>'[1]3нед'!P35</f>
        <v/>
      </c>
      <c r="H95" s="58" t="str">
        <f>HYPERLINK(VLOOKUP(E95,$R$12:$S$179,2,FALSE))</f>
        <v/>
      </c>
      <c r="I95" s="72"/>
      <c r="J95" s="75"/>
      <c r="K95" s="15"/>
      <c r="L95" s="24">
        <f>'[1]4нед'!K35</f>
        <v>0</v>
      </c>
      <c r="M95" s="25">
        <f>'[1]4нед'!L35</f>
        <v>0</v>
      </c>
      <c r="N95" s="26">
        <f>'[1]4нед'!O35</f>
        <v>0</v>
      </c>
      <c r="O95" s="27" t="str">
        <f>'[1]4нед'!P35</f>
        <v/>
      </c>
      <c r="P95" s="58" t="str">
        <f>HYPERLINK(VLOOKUP(M95,$R$12:$S$179,2,FALSE))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'[1]3нед'!K36</f>
        <v>0</v>
      </c>
      <c r="E96" s="19">
        <f>'[1]3нед'!L36</f>
        <v>0</v>
      </c>
      <c r="F96" s="17">
        <f>'[1]3нед'!O36</f>
        <v>0</v>
      </c>
      <c r="G96" s="18" t="str">
        <f>'[1]3нед'!P36</f>
        <v/>
      </c>
      <c r="H96" s="56" t="str">
        <f>HYPERLINK(VLOOKUP(E96,$R$12:$S$179,2,FALSE))</f>
        <v/>
      </c>
      <c r="I96" s="70">
        <v>46289</v>
      </c>
      <c r="J96" s="87" t="s">
        <v>27</v>
      </c>
      <c r="K96" s="29" t="s">
        <v>18</v>
      </c>
      <c r="L96" s="16">
        <f>'[1]4нед'!K36</f>
        <v>0</v>
      </c>
      <c r="M96" s="19">
        <f>'[1]4нед'!L36</f>
        <v>0</v>
      </c>
      <c r="N96" s="17">
        <f>'[1]4нед'!O36</f>
        <v>0</v>
      </c>
      <c r="O96" s="18" t="str">
        <f>'[1]4нед'!P36</f>
        <v/>
      </c>
      <c r="P96" s="56" t="str">
        <f>HYPERLINK(VLOOKUP(M96,$R$12:$S$179,2,FALSE))</f>
        <v/>
      </c>
    </row>
    <row r="97" spans="1:16" ht="31.5" x14ac:dyDescent="0.2">
      <c r="A97" s="82"/>
      <c r="B97" s="85"/>
      <c r="C97" s="14" t="s">
        <v>19</v>
      </c>
      <c r="D97" s="20">
        <f>'[1]3нед'!K37</f>
        <v>0</v>
      </c>
      <c r="E97" s="23">
        <f>'[1]3нед'!L37</f>
        <v>0</v>
      </c>
      <c r="F97" s="21">
        <f>'[1]3нед'!O37</f>
        <v>0</v>
      </c>
      <c r="G97" s="22" t="str">
        <f>'[1]3нед'!P37</f>
        <v/>
      </c>
      <c r="H97" s="57" t="str">
        <f>HYPERLINK(VLOOKUP(E97,$R$12:$S$179,2,FALSE))</f>
        <v/>
      </c>
      <c r="I97" s="71"/>
      <c r="J97" s="88"/>
      <c r="K97" s="14" t="s">
        <v>19</v>
      </c>
      <c r="L97" s="20">
        <f>'[1]4нед'!K37</f>
        <v>0</v>
      </c>
      <c r="M97" s="23">
        <f>'[1]4нед'!L37</f>
        <v>0</v>
      </c>
      <c r="N97" s="21">
        <f>'[1]4нед'!O37</f>
        <v>0</v>
      </c>
      <c r="O97" s="22" t="str">
        <f>'[1]4нед'!P37</f>
        <v/>
      </c>
      <c r="P97" s="57" t="str">
        <f>HYPERLINK(VLOOKUP(M97,$R$12:$S$179,2,FALSE))</f>
        <v/>
      </c>
    </row>
    <row r="98" spans="1:16" ht="37.5" x14ac:dyDescent="0.2">
      <c r="A98" s="82"/>
      <c r="B98" s="85"/>
      <c r="C98" s="14" t="s">
        <v>20</v>
      </c>
      <c r="D98" s="20" t="str">
        <f>'[1]3нед'!K38</f>
        <v>л</v>
      </c>
      <c r="E98" s="23" t="str">
        <f>'[1]3нед'!L38</f>
        <v>Алгебра и Геометрия</v>
      </c>
      <c r="F98" s="21" t="str">
        <f>'[1]3нед'!O38</f>
        <v>Овчинникова М.В.</v>
      </c>
      <c r="G98" s="22" t="str">
        <f>'[1]3нед'!P38</f>
        <v>доцент, канд. наук</v>
      </c>
      <c r="H98" s="57" t="str">
        <f>HYPERLINK(VLOOKUP(E98,$R$12:$S$179,2,FALSE))</f>
        <v>https://max.ru/join/PF9p4nxFpYkpyJZDiJCXITBLRp8ioqfTBXE3wfeJlHs</v>
      </c>
      <c r="I98" s="71"/>
      <c r="J98" s="88"/>
      <c r="K98" s="14" t="s">
        <v>20</v>
      </c>
      <c r="L98" s="20">
        <f>'[1]4нед'!K38</f>
        <v>0</v>
      </c>
      <c r="M98" s="23">
        <f>'[1]4нед'!L38</f>
        <v>0</v>
      </c>
      <c r="N98" s="21">
        <f>'[1]4нед'!O38</f>
        <v>0</v>
      </c>
      <c r="O98" s="22" t="str">
        <f>'[1]4нед'!P38</f>
        <v/>
      </c>
      <c r="P98" s="57" t="str">
        <f>HYPERLINK(VLOOKUP(M98,$R$12:$S$179,2,FALSE))</f>
        <v/>
      </c>
    </row>
    <row r="99" spans="1:16" ht="37.5" x14ac:dyDescent="0.2">
      <c r="A99" s="82"/>
      <c r="B99" s="85"/>
      <c r="C99" s="14" t="s">
        <v>21</v>
      </c>
      <c r="D99" s="20" t="str">
        <f>'[1]3нед'!K39</f>
        <v>л</v>
      </c>
      <c r="E99" s="23" t="str">
        <f>'[1]3нед'!L39</f>
        <v>Математический анализ</v>
      </c>
      <c r="F99" s="21" t="str">
        <f>'[1]3нед'!O39</f>
        <v>Линник Е.П.</v>
      </c>
      <c r="G99" s="22" t="str">
        <f>'[1]3нед'!P39</f>
        <v>доцент, канд. наук</v>
      </c>
      <c r="H99" s="57" t="str">
        <f>HYPERLINK(VLOOKUP(E99,$R$12:$S$179,2,FALSE))</f>
        <v>https://max.ru/join/PF9p4nxFpYkpyJZDiJCXITBLRp8ioqfTBXE3wfeJlHs</v>
      </c>
      <c r="I99" s="71"/>
      <c r="J99" s="88"/>
      <c r="K99" s="14" t="s">
        <v>21</v>
      </c>
      <c r="L99" s="20" t="str">
        <f>'[1]4нед'!K39</f>
        <v>пр</v>
      </c>
      <c r="M99" s="23" t="str">
        <f>'[1]4нед'!L39</f>
        <v xml:space="preserve"> Технологии цифрового образования</v>
      </c>
      <c r="N99" s="21" t="str">
        <f>'[1]4нед'!O39</f>
        <v>Шевченко Е.Н.</v>
      </c>
      <c r="O99" s="22" t="str">
        <f>'[1]4нед'!P39</f>
        <v>ст. преподаватель</v>
      </c>
      <c r="P99" s="57" t="str">
        <f>HYPERLINK(VLOOKUP(M99,$R$12:$S$179,2,FALSE))</f>
        <v>https://max.ru/join/PF9p4nxFpYkpyJZDiJCXITBLRp8ioqfTBXE3wfeJlHs</v>
      </c>
    </row>
    <row r="100" spans="1:16" ht="37.5" x14ac:dyDescent="0.2">
      <c r="A100" s="82"/>
      <c r="B100" s="85"/>
      <c r="C100" s="14" t="s">
        <v>22</v>
      </c>
      <c r="D100" s="20" t="str">
        <f>'[1]3нед'!K40</f>
        <v>пр</v>
      </c>
      <c r="E100" s="23" t="str">
        <f>'[1]3нед'!L40</f>
        <v xml:space="preserve"> История России</v>
      </c>
      <c r="F100" s="21" t="str">
        <f>'[1]3нед'!O40</f>
        <v>Алфимов В.Э.</v>
      </c>
      <c r="G100" s="22" t="str">
        <f>'[1]3нед'!P40</f>
        <v>ст. преподаватель</v>
      </c>
      <c r="H100" s="57" t="str">
        <f>HYPERLINK(VLOOKUP(E100,$R$12:$S$179,2,FALSE))</f>
        <v>https://max.ru/join/PF9p4nxFpYkpyJZDiJCXITBLRp8ioqfTBXE3wfeJlHs</v>
      </c>
      <c r="I100" s="71"/>
      <c r="J100" s="88"/>
      <c r="K100" s="14" t="s">
        <v>22</v>
      </c>
      <c r="L100" s="20" t="str">
        <f>'[1]4нед'!K40</f>
        <v>пр</v>
      </c>
      <c r="M100" s="23" t="str">
        <f>'[1]4нед'!L40</f>
        <v xml:space="preserve"> История России</v>
      </c>
      <c r="N100" s="21" t="str">
        <f>'[1]4нед'!O40</f>
        <v>Алфимов В.Э.</v>
      </c>
      <c r="O100" s="22" t="str">
        <f>'[1]4нед'!P40</f>
        <v>ст. преподаватель</v>
      </c>
      <c r="P100" s="57" t="str">
        <f>HYPERLINK(VLOOKUP(M100,$R$12:$S$179,2,FALSE))</f>
        <v>https://max.ru/join/PF9p4nxFpYkpyJZDiJCXITBLRp8ioqfTBXE3wfeJlHs</v>
      </c>
    </row>
    <row r="101" spans="1:16" ht="31.5" x14ac:dyDescent="0.2">
      <c r="A101" s="82"/>
      <c r="B101" s="85"/>
      <c r="C101" s="14" t="s">
        <v>23</v>
      </c>
      <c r="D101" s="20">
        <f>'[1]3нед'!K41</f>
        <v>0</v>
      </c>
      <c r="E101" s="23">
        <f>'[1]3нед'!L41</f>
        <v>0</v>
      </c>
      <c r="F101" s="21">
        <f>'[1]3нед'!O41</f>
        <v>0</v>
      </c>
      <c r="G101" s="22" t="str">
        <f>'[1]3нед'!P41</f>
        <v/>
      </c>
      <c r="H101" s="55" t="str">
        <f>HYPERLINK(VLOOKUP(E101,$R$12:$S$179,2,FALSE))</f>
        <v/>
      </c>
      <c r="I101" s="71"/>
      <c r="J101" s="88"/>
      <c r="K101" s="14" t="s">
        <v>23</v>
      </c>
      <c r="L101" s="20">
        <f>'[1]4нед'!K41</f>
        <v>0</v>
      </c>
      <c r="M101" s="23">
        <f>'[1]4нед'!L41</f>
        <v>0</v>
      </c>
      <c r="N101" s="21">
        <f>'[1]4нед'!O41</f>
        <v>0</v>
      </c>
      <c r="O101" s="22" t="str">
        <f>'[1]4нед'!P41</f>
        <v/>
      </c>
      <c r="P101" s="55" t="str">
        <f>HYPERLINK(VLOOKUP(M101,$R$12:$S$179,2,FALSE))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'[1]3нед'!K42</f>
        <v>0</v>
      </c>
      <c r="E102" s="23">
        <f>'[1]3нед'!L42</f>
        <v>0</v>
      </c>
      <c r="F102" s="21">
        <f>'[1]3нед'!O42</f>
        <v>0</v>
      </c>
      <c r="G102" s="22" t="str">
        <f>'[1]3нед'!P42</f>
        <v/>
      </c>
      <c r="H102" s="55" t="str">
        <f>HYPERLINK(VLOOKUP(E102,$R$12:$S$179,2,FALSE))</f>
        <v/>
      </c>
      <c r="I102" s="71"/>
      <c r="J102" s="88"/>
      <c r="K102" s="14" t="s">
        <v>24</v>
      </c>
      <c r="L102" s="20">
        <f>'[1]4нед'!K42</f>
        <v>0</v>
      </c>
      <c r="M102" s="23">
        <f>'[1]4нед'!L42</f>
        <v>0</v>
      </c>
      <c r="N102" s="21">
        <f>'[1]4нед'!O42</f>
        <v>0</v>
      </c>
      <c r="O102" s="22" t="str">
        <f>'[1]4нед'!P42</f>
        <v/>
      </c>
      <c r="P102" s="55" t="str">
        <f>HYPERLINK(VLOOKUP(M102,$R$12:$S$179,2,FALSE))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'[1]3нед'!K43</f>
        <v>0</v>
      </c>
      <c r="E103" s="25">
        <f>'[1]3нед'!L43</f>
        <v>0</v>
      </c>
      <c r="F103" s="26">
        <f>'[1]3нед'!O43</f>
        <v>0</v>
      </c>
      <c r="G103" s="27" t="str">
        <f>'[1]3нед'!P43</f>
        <v/>
      </c>
      <c r="H103" s="58" t="str">
        <f>HYPERLINK(VLOOKUP(E103,$R$12:$S$179,2,FALSE))</f>
        <v/>
      </c>
      <c r="I103" s="72"/>
      <c r="J103" s="89"/>
      <c r="K103" s="15"/>
      <c r="L103" s="24">
        <f>'[1]4нед'!K43</f>
        <v>0</v>
      </c>
      <c r="M103" s="25">
        <f>'[1]4нед'!L43</f>
        <v>0</v>
      </c>
      <c r="N103" s="26">
        <f>'[1]4нед'!O43</f>
        <v>0</v>
      </c>
      <c r="O103" s="27" t="str">
        <f>'[1]4нед'!P43</f>
        <v/>
      </c>
      <c r="P103" s="58" t="str">
        <f>HYPERLINK(VLOOKUP(M103,$R$12:$S$179,2,FALSE))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'[1]3нед'!K44</f>
        <v>0</v>
      </c>
      <c r="E104" s="19">
        <f>'[1]3нед'!L44</f>
        <v>0</v>
      </c>
      <c r="F104" s="17">
        <f>'[1]3нед'!O44</f>
        <v>0</v>
      </c>
      <c r="G104" s="18" t="str">
        <f>'[1]3нед'!P44</f>
        <v/>
      </c>
      <c r="H104" s="56" t="str">
        <f>HYPERLINK(VLOOKUP(E104,$R$12:$S$179,2,FALSE))</f>
        <v/>
      </c>
      <c r="I104" s="70">
        <v>46290</v>
      </c>
      <c r="J104" s="87" t="s">
        <v>28</v>
      </c>
      <c r="K104" s="29" t="s">
        <v>18</v>
      </c>
      <c r="L104" s="16" t="str">
        <f>'[1]4нед'!K44</f>
        <v>пр</v>
      </c>
      <c r="M104" s="19" t="str">
        <f>'[1]4нед'!L44</f>
        <v xml:space="preserve"> Основы российской государственности</v>
      </c>
      <c r="N104" s="17" t="str">
        <f>'[1]4нед'!O44</f>
        <v>Лысенко Е.Г.</v>
      </c>
      <c r="O104" s="18" t="str">
        <f>'[1]4нед'!P44</f>
        <v>доцент, канд. наук</v>
      </c>
      <c r="P104" s="56" t="str">
        <f>HYPERLINK(VLOOKUP(M104,$R$12:$S$179,2,FALSE))</f>
        <v>https://max.ru/join/PF9p4nxFpYkpyJZDiJCXITBLRp8ioqfTBXE3wfeJlHs</v>
      </c>
    </row>
    <row r="105" spans="1:16" ht="37.5" x14ac:dyDescent="0.2">
      <c r="A105" s="82"/>
      <c r="B105" s="85"/>
      <c r="C105" s="14" t="s">
        <v>19</v>
      </c>
      <c r="D105" s="20" t="str">
        <f>'[1]3нед'!K45</f>
        <v>пр</v>
      </c>
      <c r="E105" s="23" t="str">
        <f>'[1]3нед'!L45</f>
        <v xml:space="preserve"> Математический анализ</v>
      </c>
      <c r="F105" s="21" t="str">
        <f>'[1]3нед'!O45</f>
        <v>Якимова В.В.</v>
      </c>
      <c r="G105" s="22" t="str">
        <f>'[1]3нед'!P45</f>
        <v>ст. преподаватель</v>
      </c>
      <c r="H105" s="57" t="str">
        <f>HYPERLINK(VLOOKUP(E105,$R$12:$S$179,2,FALSE))</f>
        <v>https://max.ru/join/PF9p4nxFpYkpyJZDiJCXITBLRp8ioqfTBXE3wfeJlHs</v>
      </c>
      <c r="I105" s="71"/>
      <c r="J105" s="88"/>
      <c r="K105" s="14" t="s">
        <v>19</v>
      </c>
      <c r="L105" s="20" t="str">
        <f>'[1]4нед'!K45</f>
        <v>пр</v>
      </c>
      <c r="M105" s="23" t="str">
        <f>'[1]4нед'!L45</f>
        <v xml:space="preserve"> Математический анализ</v>
      </c>
      <c r="N105" s="21" t="str">
        <f>'[1]4нед'!O45</f>
        <v>Якимова В.В.</v>
      </c>
      <c r="O105" s="22" t="str">
        <f>'[1]4нед'!P45</f>
        <v>ст. преподаватель</v>
      </c>
      <c r="P105" s="57" t="str">
        <f>HYPERLINK(VLOOKUP(M105,$R$12:$S$179,2,FALSE))</f>
        <v>https://max.ru/join/PF9p4nxFpYkpyJZDiJCXITBLRp8ioqfTBXE3wfeJlHs</v>
      </c>
    </row>
    <row r="106" spans="1:16" ht="37.5" x14ac:dyDescent="0.2">
      <c r="A106" s="82"/>
      <c r="B106" s="85"/>
      <c r="C106" s="14" t="s">
        <v>20</v>
      </c>
      <c r="D106" s="20" t="str">
        <f>'[1]3нед'!K46</f>
        <v>пр</v>
      </c>
      <c r="E106" s="23" t="str">
        <f>'[1]3нед'!L46</f>
        <v>Алгебра и Геометрия</v>
      </c>
      <c r="F106" s="21" t="str">
        <f>'[1]3нед'!O46</f>
        <v>Овчинникова М.В.</v>
      </c>
      <c r="G106" s="22" t="str">
        <f>'[1]3нед'!P46</f>
        <v>доцент, канд. наук</v>
      </c>
      <c r="H106" s="57" t="str">
        <f>HYPERLINK(VLOOKUP(E106,$R$12:$S$179,2,FALSE))</f>
        <v>https://max.ru/join/PF9p4nxFpYkpyJZDiJCXITBLRp8ioqfTBXE3wfeJlHs</v>
      </c>
      <c r="I106" s="71"/>
      <c r="J106" s="88"/>
      <c r="K106" s="14" t="s">
        <v>20</v>
      </c>
      <c r="L106" s="20" t="str">
        <f>'[1]4нед'!K46</f>
        <v>пр</v>
      </c>
      <c r="M106" s="23" t="str">
        <f>'[1]4нед'!L46</f>
        <v>Алгебра и Геометрия</v>
      </c>
      <c r="N106" s="21" t="str">
        <f>'[1]4нед'!O46</f>
        <v>Овчинникова М.В.</v>
      </c>
      <c r="O106" s="22" t="str">
        <f>'[1]4нед'!P46</f>
        <v>доцент, канд. наук</v>
      </c>
      <c r="P106" s="57" t="str">
        <f>HYPERLINK(VLOOKUP(M106,$R$12:$S$179,2,FALSE))</f>
        <v>https://max.ru/join/PF9p4nxFpYkpyJZDiJCXITBLRp8ioqfTBXE3wfeJlHs</v>
      </c>
    </row>
    <row r="107" spans="1:16" ht="31.5" x14ac:dyDescent="0.2">
      <c r="A107" s="82"/>
      <c r="B107" s="85"/>
      <c r="C107" s="14" t="s">
        <v>21</v>
      </c>
      <c r="D107" s="20">
        <f>'[1]3нед'!K47</f>
        <v>0</v>
      </c>
      <c r="E107" s="23">
        <f>'[1]3нед'!L47</f>
        <v>0</v>
      </c>
      <c r="F107" s="21">
        <f>'[1]3нед'!O47</f>
        <v>0</v>
      </c>
      <c r="G107" s="22" t="str">
        <f>'[1]3нед'!P47</f>
        <v/>
      </c>
      <c r="H107" s="57" t="str">
        <f>HYPERLINK(VLOOKUP(E107,$R$12:$S$179,2,FALSE))</f>
        <v/>
      </c>
      <c r="I107" s="71"/>
      <c r="J107" s="88"/>
      <c r="K107" s="14" t="s">
        <v>21</v>
      </c>
      <c r="L107" s="20">
        <f>'[1]4нед'!K47</f>
        <v>0</v>
      </c>
      <c r="M107" s="23">
        <f>'[1]4нед'!L47</f>
        <v>0</v>
      </c>
      <c r="N107" s="21">
        <f>'[1]4нед'!O47</f>
        <v>0</v>
      </c>
      <c r="O107" s="22" t="str">
        <f>'[1]4нед'!P47</f>
        <v/>
      </c>
      <c r="P107" s="57" t="str">
        <f>HYPERLINK(VLOOKUP(M107,$R$12:$S$179,2,FALSE))</f>
        <v/>
      </c>
    </row>
    <row r="108" spans="1:16" ht="31.5" x14ac:dyDescent="0.2">
      <c r="A108" s="82"/>
      <c r="B108" s="85"/>
      <c r="C108" s="14" t="s">
        <v>22</v>
      </c>
      <c r="D108" s="20">
        <f>'[1]3нед'!K48</f>
        <v>0</v>
      </c>
      <c r="E108" s="23">
        <f>'[1]3нед'!L48</f>
        <v>0</v>
      </c>
      <c r="F108" s="21">
        <f>'[1]3нед'!O48</f>
        <v>0</v>
      </c>
      <c r="G108" s="22" t="str">
        <f>'[1]3нед'!P48</f>
        <v/>
      </c>
      <c r="H108" s="57" t="str">
        <f>HYPERLINK(VLOOKUP(E108,$R$12:$S$179,2,FALSE))</f>
        <v/>
      </c>
      <c r="I108" s="71"/>
      <c r="J108" s="88"/>
      <c r="K108" s="14" t="s">
        <v>22</v>
      </c>
      <c r="L108" s="20">
        <f>'[1]4нед'!K48</f>
        <v>0</v>
      </c>
      <c r="M108" s="23">
        <f>'[1]4нед'!L48</f>
        <v>0</v>
      </c>
      <c r="N108" s="21">
        <f>'[1]4нед'!O48</f>
        <v>0</v>
      </c>
      <c r="O108" s="22" t="str">
        <f>'[1]4нед'!P48</f>
        <v/>
      </c>
      <c r="P108" s="57" t="str">
        <f>HYPERLINK(VLOOKUP(M108,$R$12:$S$179,2,FALSE))</f>
        <v/>
      </c>
    </row>
    <row r="109" spans="1:16" ht="31.5" x14ac:dyDescent="0.2">
      <c r="A109" s="82"/>
      <c r="B109" s="85"/>
      <c r="C109" s="14" t="s">
        <v>23</v>
      </c>
      <c r="D109" s="20">
        <f>'[1]3нед'!K49</f>
        <v>0</v>
      </c>
      <c r="E109" s="23">
        <f>'[1]3нед'!L49</f>
        <v>0</v>
      </c>
      <c r="F109" s="21">
        <f>'[1]3нед'!O49</f>
        <v>0</v>
      </c>
      <c r="G109" s="22" t="str">
        <f>'[1]3нед'!P49</f>
        <v/>
      </c>
      <c r="H109" s="57" t="str">
        <f>HYPERLINK(VLOOKUP(E109,$R$12:$S$179,2,FALSE))</f>
        <v/>
      </c>
      <c r="I109" s="71"/>
      <c r="J109" s="88"/>
      <c r="K109" s="14" t="s">
        <v>23</v>
      </c>
      <c r="L109" s="20">
        <f>'[1]4нед'!K49</f>
        <v>0</v>
      </c>
      <c r="M109" s="23">
        <f>'[1]4нед'!L49</f>
        <v>0</v>
      </c>
      <c r="N109" s="21">
        <f>'[1]4нед'!O49</f>
        <v>0</v>
      </c>
      <c r="O109" s="22" t="str">
        <f>'[1]4нед'!P49</f>
        <v/>
      </c>
      <c r="P109" s="57" t="str">
        <f>HYPERLINK(VLOOKUP(M109,$R$12:$S$179,2,FALSE))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'[1]3нед'!K50</f>
        <v>0</v>
      </c>
      <c r="E110" s="23">
        <f>'[1]3нед'!L50</f>
        <v>0</v>
      </c>
      <c r="F110" s="21">
        <f>'[1]3нед'!O50</f>
        <v>0</v>
      </c>
      <c r="G110" s="22" t="str">
        <f>'[1]3нед'!P50</f>
        <v/>
      </c>
      <c r="H110" s="57" t="str">
        <f>HYPERLINK(VLOOKUP(E110,$R$12:$S$179,2,FALSE))</f>
        <v/>
      </c>
      <c r="I110" s="71"/>
      <c r="J110" s="88"/>
      <c r="K110" s="14" t="s">
        <v>24</v>
      </c>
      <c r="L110" s="20">
        <f>'[1]4нед'!K50</f>
        <v>0</v>
      </c>
      <c r="M110" s="23">
        <f>'[1]4нед'!L50</f>
        <v>0</v>
      </c>
      <c r="N110" s="21">
        <f>'[1]4нед'!O50</f>
        <v>0</v>
      </c>
      <c r="O110" s="22" t="str">
        <f>'[1]4нед'!P50</f>
        <v/>
      </c>
      <c r="P110" s="57" t="str">
        <f>HYPERLINK(VLOOKUP(M110,$R$12:$S$179,2,FALSE))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'[1]3нед'!K51</f>
        <v>0</v>
      </c>
      <c r="E111" s="25">
        <f>'[1]3нед'!L51</f>
        <v>0</v>
      </c>
      <c r="F111" s="26">
        <f>'[1]3нед'!O51</f>
        <v>0</v>
      </c>
      <c r="G111" s="27" t="str">
        <f>'[1]3нед'!P51</f>
        <v/>
      </c>
      <c r="H111" s="58" t="str">
        <f>HYPERLINK(VLOOKUP(E111,$R$12:$S$179,2,FALSE))</f>
        <v/>
      </c>
      <c r="I111" s="72"/>
      <c r="J111" s="89"/>
      <c r="K111" s="15"/>
      <c r="L111" s="24">
        <f>'[1]4нед'!K51</f>
        <v>0</v>
      </c>
      <c r="M111" s="25">
        <f>'[1]4нед'!L51</f>
        <v>0</v>
      </c>
      <c r="N111" s="26">
        <f>'[1]4нед'!O51</f>
        <v>0</v>
      </c>
      <c r="O111" s="27" t="str">
        <f>'[1]4нед'!P51</f>
        <v/>
      </c>
      <c r="P111" s="58" t="str">
        <f>HYPERLINK(VLOOKUP(M111,$R$12:$S$179,2,FALSE))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'[1]3нед'!K52</f>
        <v>0</v>
      </c>
      <c r="E112" s="19">
        <f>'[1]3нед'!L52</f>
        <v>0</v>
      </c>
      <c r="F112" s="17">
        <f>'[1]3нед'!O52</f>
        <v>0</v>
      </c>
      <c r="G112" s="18" t="str">
        <f>'[1]3нед'!P52</f>
        <v/>
      </c>
      <c r="H112" s="56" t="str">
        <f>HYPERLINK(VLOOKUP(E112,$R$12:$S$179,2,FALSE))</f>
        <v/>
      </c>
      <c r="I112" s="70">
        <v>46291</v>
      </c>
      <c r="J112" s="87" t="s">
        <v>29</v>
      </c>
      <c r="K112" s="29" t="s">
        <v>18</v>
      </c>
      <c r="L112" s="16">
        <f>'[1]4нед'!K52</f>
        <v>0</v>
      </c>
      <c r="M112" s="19">
        <f>'[1]4нед'!L52</f>
        <v>0</v>
      </c>
      <c r="N112" s="17">
        <f>'[1]4нед'!O52</f>
        <v>0</v>
      </c>
      <c r="O112" s="18" t="str">
        <f>'[1]4нед'!P52</f>
        <v/>
      </c>
      <c r="P112" s="56" t="str">
        <f>HYPERLINK(VLOOKUP(M112,$R$12:$S$179,2,FALSE))</f>
        <v/>
      </c>
    </row>
    <row r="113" spans="1:16" ht="31.5" x14ac:dyDescent="0.2">
      <c r="A113" s="82"/>
      <c r="B113" s="85"/>
      <c r="C113" s="14" t="s">
        <v>19</v>
      </c>
      <c r="D113" s="20">
        <f>'[1]3нед'!K53</f>
        <v>0</v>
      </c>
      <c r="E113" s="23">
        <f>'[1]3нед'!L53</f>
        <v>0</v>
      </c>
      <c r="F113" s="21">
        <f>'[1]3нед'!O53</f>
        <v>0</v>
      </c>
      <c r="G113" s="22" t="str">
        <f>'[1]3нед'!P53</f>
        <v/>
      </c>
      <c r="H113" s="57" t="str">
        <f>HYPERLINK(VLOOKUP(E113,$R$12:$S$179,2,FALSE))</f>
        <v/>
      </c>
      <c r="I113" s="71"/>
      <c r="J113" s="88"/>
      <c r="K113" s="14" t="s">
        <v>19</v>
      </c>
      <c r="L113" s="20">
        <f>'[1]4нед'!K53</f>
        <v>0</v>
      </c>
      <c r="M113" s="23">
        <f>'[1]4нед'!L53</f>
        <v>0</v>
      </c>
      <c r="N113" s="21">
        <f>'[1]4нед'!O53</f>
        <v>0</v>
      </c>
      <c r="O113" s="22" t="str">
        <f>'[1]4нед'!P53</f>
        <v/>
      </c>
      <c r="P113" s="57" t="str">
        <f>HYPERLINK(VLOOKUP(M113,$R$12:$S$179,2,FALSE))</f>
        <v/>
      </c>
    </row>
    <row r="114" spans="1:16" ht="31.5" x14ac:dyDescent="0.2">
      <c r="A114" s="82"/>
      <c r="B114" s="85"/>
      <c r="C114" s="14" t="s">
        <v>20</v>
      </c>
      <c r="D114" s="20">
        <f>'[1]3нед'!K54</f>
        <v>0</v>
      </c>
      <c r="E114" s="23">
        <f>'[1]3нед'!L54</f>
        <v>0</v>
      </c>
      <c r="F114" s="21">
        <f>'[1]3нед'!O54</f>
        <v>0</v>
      </c>
      <c r="G114" s="22" t="str">
        <f>'[1]3нед'!P54</f>
        <v/>
      </c>
      <c r="H114" s="57" t="str">
        <f>HYPERLINK(VLOOKUP(E114,$R$12:$S$179,2,FALSE))</f>
        <v/>
      </c>
      <c r="I114" s="71"/>
      <c r="J114" s="88"/>
      <c r="K114" s="14" t="s">
        <v>20</v>
      </c>
      <c r="L114" s="20">
        <f>'[1]4нед'!K54</f>
        <v>0</v>
      </c>
      <c r="M114" s="23">
        <f>'[1]4нед'!L54</f>
        <v>0</v>
      </c>
      <c r="N114" s="21">
        <f>'[1]4нед'!O54</f>
        <v>0</v>
      </c>
      <c r="O114" s="22" t="str">
        <f>'[1]4нед'!P54</f>
        <v/>
      </c>
      <c r="P114" s="57" t="str">
        <f>HYPERLINK(VLOOKUP(M114,$R$12:$S$179,2,FALSE))</f>
        <v/>
      </c>
    </row>
    <row r="115" spans="1:16" ht="31.5" x14ac:dyDescent="0.2">
      <c r="A115" s="82"/>
      <c r="B115" s="85"/>
      <c r="C115" s="14" t="s">
        <v>21</v>
      </c>
      <c r="D115" s="20">
        <f>'[1]3нед'!K55</f>
        <v>0</v>
      </c>
      <c r="E115" s="23">
        <f>'[1]3нед'!L55</f>
        <v>0</v>
      </c>
      <c r="F115" s="21">
        <f>'[1]3нед'!O55</f>
        <v>0</v>
      </c>
      <c r="G115" s="22" t="str">
        <f>'[1]3нед'!P55</f>
        <v/>
      </c>
      <c r="H115" s="57" t="str">
        <f>HYPERLINK(VLOOKUP(E115,$R$12:$S$179,2,FALSE))</f>
        <v/>
      </c>
      <c r="I115" s="71"/>
      <c r="J115" s="88"/>
      <c r="K115" s="14" t="s">
        <v>21</v>
      </c>
      <c r="L115" s="20">
        <f>'[1]4нед'!K55</f>
        <v>0</v>
      </c>
      <c r="M115" s="23">
        <f>'[1]4нед'!L55</f>
        <v>0</v>
      </c>
      <c r="N115" s="21">
        <f>'[1]4нед'!O55</f>
        <v>0</v>
      </c>
      <c r="O115" s="22" t="str">
        <f>'[1]4нед'!P55</f>
        <v/>
      </c>
      <c r="P115" s="57" t="str">
        <f>HYPERLINK(VLOOKUP(M115,$R$12:$S$179,2,FALSE))</f>
        <v/>
      </c>
    </row>
    <row r="116" spans="1:16" ht="31.5" x14ac:dyDescent="0.2">
      <c r="A116" s="82"/>
      <c r="B116" s="85"/>
      <c r="C116" s="14" t="s">
        <v>22</v>
      </c>
      <c r="D116" s="20">
        <f>'[1]3нед'!K56</f>
        <v>0</v>
      </c>
      <c r="E116" s="23">
        <f>'[1]3нед'!L56</f>
        <v>0</v>
      </c>
      <c r="F116" s="21">
        <f>'[1]3нед'!O56</f>
        <v>0</v>
      </c>
      <c r="G116" s="22" t="str">
        <f>'[1]3нед'!P56</f>
        <v/>
      </c>
      <c r="H116" s="57" t="str">
        <f>HYPERLINK(VLOOKUP(E116,$R$12:$S$179,2,FALSE))</f>
        <v/>
      </c>
      <c r="I116" s="71"/>
      <c r="J116" s="88"/>
      <c r="K116" s="14" t="s">
        <v>22</v>
      </c>
      <c r="L116" s="20">
        <f>'[1]4нед'!K56</f>
        <v>0</v>
      </c>
      <c r="M116" s="23">
        <f>'[1]4нед'!L56</f>
        <v>0</v>
      </c>
      <c r="N116" s="21">
        <f>'[1]4нед'!O56</f>
        <v>0</v>
      </c>
      <c r="O116" s="22" t="str">
        <f>'[1]4нед'!P56</f>
        <v/>
      </c>
      <c r="P116" s="57" t="str">
        <f>HYPERLINK(VLOOKUP(M116,$R$12:$S$179,2,FALSE))</f>
        <v/>
      </c>
    </row>
    <row r="117" spans="1:16" ht="31.5" x14ac:dyDescent="0.2">
      <c r="A117" s="82"/>
      <c r="B117" s="85"/>
      <c r="C117" s="14" t="s">
        <v>23</v>
      </c>
      <c r="D117" s="20">
        <f>'[1]3нед'!K57</f>
        <v>0</v>
      </c>
      <c r="E117" s="23">
        <f>'[1]3нед'!L57</f>
        <v>0</v>
      </c>
      <c r="F117" s="21">
        <f>'[1]3нед'!O57</f>
        <v>0</v>
      </c>
      <c r="G117" s="22" t="str">
        <f>'[1]3нед'!P57</f>
        <v/>
      </c>
      <c r="H117" s="57" t="str">
        <f>HYPERLINK(VLOOKUP(E117,$R$12:$S$179,2,FALSE))</f>
        <v/>
      </c>
      <c r="I117" s="71"/>
      <c r="J117" s="88"/>
      <c r="K117" s="14" t="s">
        <v>23</v>
      </c>
      <c r="L117" s="20">
        <f>'[1]4нед'!K57</f>
        <v>0</v>
      </c>
      <c r="M117" s="23">
        <f>'[1]4нед'!L57</f>
        <v>0</v>
      </c>
      <c r="N117" s="21">
        <f>'[1]4нед'!O57</f>
        <v>0</v>
      </c>
      <c r="O117" s="22" t="str">
        <f>'[1]4нед'!P57</f>
        <v/>
      </c>
      <c r="P117" s="57" t="str">
        <f>HYPERLINK(VLOOKUP(M117,$R$12:$S$179,2,FALSE))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'[1]3нед'!K58</f>
        <v>0</v>
      </c>
      <c r="E118" s="23">
        <f>'[1]3нед'!L58</f>
        <v>0</v>
      </c>
      <c r="F118" s="21">
        <f>'[1]3нед'!O58</f>
        <v>0</v>
      </c>
      <c r="G118" s="22" t="str">
        <f>'[1]3нед'!P58</f>
        <v/>
      </c>
      <c r="H118" s="57" t="str">
        <f>HYPERLINK(VLOOKUP(E118,$R$12:$S$179,2,FALSE))</f>
        <v/>
      </c>
      <c r="I118" s="71"/>
      <c r="J118" s="88"/>
      <c r="K118" s="14" t="s">
        <v>24</v>
      </c>
      <c r="L118" s="20">
        <f>'[1]4нед'!K58</f>
        <v>0</v>
      </c>
      <c r="M118" s="23">
        <f>'[1]4нед'!L58</f>
        <v>0</v>
      </c>
      <c r="N118" s="21">
        <f>'[1]4нед'!O58</f>
        <v>0</v>
      </c>
      <c r="O118" s="22" t="str">
        <f>'[1]4нед'!P58</f>
        <v/>
      </c>
      <c r="P118" s="57" t="str">
        <f>HYPERLINK(VLOOKUP(M118,$R$12:$S$179,2,FALSE))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28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28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32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32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12-26ПИ</v>
      </c>
      <c r="H127" s="8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12-26ПИ</v>
      </c>
      <c r="P127" s="8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9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9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'[3]5нед'!K12</f>
        <v>л</v>
      </c>
      <c r="E132" s="19" t="str">
        <f>'[3]5нед'!L12</f>
        <v>История России</v>
      </c>
      <c r="F132" s="17" t="str">
        <f>'[3]5нед'!O12</f>
        <v>Сальников В.И.</v>
      </c>
      <c r="G132" s="18" t="str">
        <f>'[3]5нед'!P12</f>
        <v>доцент, канд. наук</v>
      </c>
      <c r="H132" s="56" t="str">
        <f>HYPERLINK(VLOOKUP(E132,$R$12:$S$179,2,FALSE))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'[3]6нед'!K12</f>
        <v>л</v>
      </c>
      <c r="M132" s="19" t="str">
        <f>'[3]6нед'!L12</f>
        <v>История России</v>
      </c>
      <c r="N132" s="17" t="str">
        <f>'[3]6нед'!O12</f>
        <v>Сальников В.И.</v>
      </c>
      <c r="O132" s="18" t="str">
        <f>'[3]6нед'!P12</f>
        <v>доцент, канд. наук</v>
      </c>
      <c r="P132" s="56" t="str">
        <f>HYPERLINK(VLOOKUP(M132,$R$12:$S$179,2,FALSE))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'[3]5нед'!K13</f>
        <v>пр</v>
      </c>
      <c r="E133" s="23" t="str">
        <f>'[3]5нед'!L13</f>
        <v xml:space="preserve"> Обучение служением</v>
      </c>
      <c r="F133" s="21" t="str">
        <f>'[3]5нед'!O13</f>
        <v>Кобзева Е.В.</v>
      </c>
      <c r="G133" s="22" t="str">
        <f>'[3]5нед'!P13</f>
        <v>преподаватель</v>
      </c>
      <c r="H133" s="57" t="str">
        <f>HYPERLINK(VLOOKUP(E133,$R$12:$S$179,2,FALSE))</f>
        <v>https://max.ru/join/PF9p4nxFpYkpyJZDiJCXITBLRp8ioqfTBXE3wfeJlHs</v>
      </c>
      <c r="I133" s="71"/>
      <c r="J133" s="88"/>
      <c r="K133" s="14" t="s">
        <v>19</v>
      </c>
      <c r="L133" s="20" t="str">
        <f>'[3]6нед'!K13</f>
        <v>пр</v>
      </c>
      <c r="M133" s="23" t="str">
        <f>'[3]6нед'!L13</f>
        <v>Английский язык для специальных целей</v>
      </c>
      <c r="N133" s="21" t="str">
        <f>'[3]6нед'!O13</f>
        <v>Суворова С.Г.</v>
      </c>
      <c r="O133" s="22" t="str">
        <f>'[3]6нед'!P13</f>
        <v>ст. преподаватель</v>
      </c>
      <c r="P133" s="57" t="str">
        <f>HYPERLINK(VLOOKUP(M133,$R$12:$S$179,2,FALSE))</f>
        <v>https://max.ru/join/PF9p4nxFpYkpyJZDiJCXITBLRp8ioqfTBXE3wfeJlHs</v>
      </c>
    </row>
    <row r="134" spans="1:16" ht="37.5" x14ac:dyDescent="0.2">
      <c r="A134" s="82"/>
      <c r="B134" s="85"/>
      <c r="C134" s="14" t="s">
        <v>20</v>
      </c>
      <c r="D134" s="20" t="str">
        <f>'[3]5нед'!K14</f>
        <v>пр</v>
      </c>
      <c r="E134" s="23" t="str">
        <f>'[3]5нед'!L14</f>
        <v>Физическая культура и спорт</v>
      </c>
      <c r="F134" s="21" t="str">
        <f>'[3]5нед'!O14</f>
        <v>Набока В.И.</v>
      </c>
      <c r="G134" s="22" t="str">
        <f>'[3]5нед'!P14</f>
        <v>преподаватель</v>
      </c>
      <c r="H134" s="57" t="str">
        <f>HYPERLINK(VLOOKUP(E134,$R$12:$S$179,2,FALSE))</f>
        <v>https://max.ru/join/PF9p4nxFpYkpyJZDiJCXITBLRp8ioqfTBXE3wfeJlHs</v>
      </c>
      <c r="I134" s="71"/>
      <c r="J134" s="88"/>
      <c r="K134" s="14" t="s">
        <v>20</v>
      </c>
      <c r="L134" s="20" t="str">
        <f>'[3]6нед'!K14</f>
        <v>пр</v>
      </c>
      <c r="M134" s="23" t="str">
        <f>'[3]6нед'!L14</f>
        <v>Физическая культура и спорт</v>
      </c>
      <c r="N134" s="21" t="str">
        <f>'[3]6нед'!O14</f>
        <v>Набока В.И.</v>
      </c>
      <c r="O134" s="22" t="str">
        <f>'[3]6нед'!P14</f>
        <v>преподаватель</v>
      </c>
      <c r="P134" s="57" t="str">
        <f>HYPERLINK(VLOOKUP(M134,$R$12:$S$179,2,FALSE))</f>
        <v>https://max.ru/join/PF9p4nxFpYkpyJZDiJCXITBLRp8ioqfTBXE3wfeJlHs</v>
      </c>
    </row>
    <row r="135" spans="1:16" ht="37.5" x14ac:dyDescent="0.2">
      <c r="A135" s="82"/>
      <c r="B135" s="85"/>
      <c r="C135" s="14" t="s">
        <v>21</v>
      </c>
      <c r="D135" s="20" t="str">
        <f>'[3]5нед'!K15</f>
        <v>пр</v>
      </c>
      <c r="E135" s="23" t="str">
        <f>'[3]5нед'!L15</f>
        <v>Основы и методология программирования</v>
      </c>
      <c r="F135" s="21" t="str">
        <f>'[3]5нед'!O15</f>
        <v>Криницкий Ю.В.</v>
      </c>
      <c r="G135" s="22" t="str">
        <f>'[3]5нед'!P15</f>
        <v>преподаватель</v>
      </c>
      <c r="H135" s="57" t="str">
        <f>HYPERLINK(VLOOKUP(E135,$R$12:$S$179,2,FALSE))</f>
        <v>https://max.ru/join/PF9p4nxFpYkpyJZDiJCXITBLRp8ioqfTBXE3wfeJlHs</v>
      </c>
      <c r="I135" s="71"/>
      <c r="J135" s="88"/>
      <c r="K135" s="14" t="s">
        <v>21</v>
      </c>
      <c r="L135" s="20">
        <f>'[3]6нед'!K15</f>
        <v>0</v>
      </c>
      <c r="M135" s="23">
        <f>'[3]6нед'!L15</f>
        <v>0</v>
      </c>
      <c r="N135" s="21">
        <f>'[3]6нед'!O15</f>
        <v>0</v>
      </c>
      <c r="O135" s="22" t="str">
        <f>'[3]6нед'!P15</f>
        <v/>
      </c>
      <c r="P135" s="57" t="str">
        <f>HYPERLINK(VLOOKUP(M135,$R$12:$S$179,2,FALSE))</f>
        <v/>
      </c>
    </row>
    <row r="136" spans="1:16" ht="31.5" x14ac:dyDescent="0.2">
      <c r="A136" s="82"/>
      <c r="B136" s="85"/>
      <c r="C136" s="14" t="s">
        <v>22</v>
      </c>
      <c r="D136" s="20">
        <f>'[3]5нед'!K16</f>
        <v>0</v>
      </c>
      <c r="E136" s="23">
        <f>'[3]5нед'!L16</f>
        <v>0</v>
      </c>
      <c r="F136" s="21">
        <f>'[3]5нед'!O16</f>
        <v>0</v>
      </c>
      <c r="G136" s="22" t="str">
        <f>'[3]5нед'!P16</f>
        <v/>
      </c>
      <c r="H136" s="57" t="str">
        <f>HYPERLINK(VLOOKUP(E136,$R$12:$S$179,2,FALSE))</f>
        <v/>
      </c>
      <c r="I136" s="71"/>
      <c r="J136" s="88"/>
      <c r="K136" s="14" t="s">
        <v>22</v>
      </c>
      <c r="L136" s="20">
        <f>'[3]6нед'!K16</f>
        <v>0</v>
      </c>
      <c r="M136" s="23">
        <f>'[3]6нед'!L16</f>
        <v>0</v>
      </c>
      <c r="N136" s="21">
        <f>'[3]6нед'!O16</f>
        <v>0</v>
      </c>
      <c r="O136" s="22" t="str">
        <f>'[3]6нед'!P16</f>
        <v/>
      </c>
      <c r="P136" s="57" t="str">
        <f>HYPERLINK(VLOOKUP(M136,$R$12:$S$179,2,FALSE))</f>
        <v/>
      </c>
    </row>
    <row r="137" spans="1:16" ht="31.5" x14ac:dyDescent="0.2">
      <c r="A137" s="82"/>
      <c r="B137" s="85"/>
      <c r="C137" s="14" t="s">
        <v>23</v>
      </c>
      <c r="D137" s="20">
        <f>'[3]5нед'!K17</f>
        <v>0</v>
      </c>
      <c r="E137" s="23">
        <f>'[3]5нед'!L17</f>
        <v>0</v>
      </c>
      <c r="F137" s="21">
        <f>'[3]5нед'!O17</f>
        <v>0</v>
      </c>
      <c r="G137" s="22" t="str">
        <f>'[3]5нед'!P17</f>
        <v/>
      </c>
      <c r="H137" s="55" t="str">
        <f>HYPERLINK(VLOOKUP(E137,$R$12:$S$179,2,FALSE))</f>
        <v/>
      </c>
      <c r="I137" s="71"/>
      <c r="J137" s="88"/>
      <c r="K137" s="14" t="s">
        <v>23</v>
      </c>
      <c r="L137" s="20">
        <f>'[3]6нед'!K17</f>
        <v>0</v>
      </c>
      <c r="M137" s="23">
        <f>'[3]6нед'!L17</f>
        <v>0</v>
      </c>
      <c r="N137" s="21">
        <f>'[3]6нед'!O17</f>
        <v>0</v>
      </c>
      <c r="O137" s="22" t="str">
        <f>'[3]6нед'!P17</f>
        <v/>
      </c>
      <c r="P137" s="55" t="str">
        <f>HYPERLINK(VLOOKUP(M137,$R$12:$S$179,2,FALSE))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'[3]5нед'!K18</f>
        <v>0</v>
      </c>
      <c r="E138" s="23">
        <f>'[3]5нед'!L18</f>
        <v>0</v>
      </c>
      <c r="F138" s="21">
        <f>'[3]5нед'!O18</f>
        <v>0</v>
      </c>
      <c r="G138" s="22" t="str">
        <f>'[3]5нед'!P18</f>
        <v/>
      </c>
      <c r="H138" s="55" t="str">
        <f>HYPERLINK(VLOOKUP(E138,$R$12:$S$179,2,FALSE))</f>
        <v/>
      </c>
      <c r="I138" s="71"/>
      <c r="J138" s="88"/>
      <c r="K138" s="14" t="s">
        <v>24</v>
      </c>
      <c r="L138" s="20">
        <f>'[3]6нед'!K18</f>
        <v>0</v>
      </c>
      <c r="M138" s="23">
        <f>'[3]6нед'!L18</f>
        <v>0</v>
      </c>
      <c r="N138" s="21">
        <f>'[3]6нед'!O18</f>
        <v>0</v>
      </c>
      <c r="O138" s="22" t="str">
        <f>'[3]6нед'!P18</f>
        <v/>
      </c>
      <c r="P138" s="55" t="str">
        <f>HYPERLINK(VLOOKUP(M138,$R$12:$S$179,2,FALSE))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'[3]5нед'!K19</f>
        <v>0</v>
      </c>
      <c r="E139" s="25">
        <f>'[3]5нед'!L19</f>
        <v>0</v>
      </c>
      <c r="F139" s="26">
        <f>'[3]5нед'!O19</f>
        <v>0</v>
      </c>
      <c r="G139" s="27" t="str">
        <f>'[3]5нед'!P19</f>
        <v/>
      </c>
      <c r="H139" s="58" t="str">
        <f>HYPERLINK(VLOOKUP(E139,$R$12:$S$179,2,FALSE))</f>
        <v/>
      </c>
      <c r="I139" s="72"/>
      <c r="J139" s="89"/>
      <c r="K139" s="15"/>
      <c r="L139" s="24">
        <f>'[3]6нед'!K19</f>
        <v>0</v>
      </c>
      <c r="M139" s="25">
        <f>'[3]6нед'!L19</f>
        <v>0</v>
      </c>
      <c r="N139" s="26">
        <f>'[3]6нед'!O19</f>
        <v>0</v>
      </c>
      <c r="O139" s="27" t="str">
        <f>'[3]6нед'!P19</f>
        <v/>
      </c>
      <c r="P139" s="58" t="str">
        <f>HYPERLINK(VLOOKUP(M139,$R$12:$S$179,2,FALSE))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</f>
        <v>0</v>
      </c>
      <c r="E140" s="19">
        <f>'[3]5нед'!L20</f>
        <v>0</v>
      </c>
      <c r="F140" s="17">
        <f>'[3]5нед'!O20</f>
        <v>0</v>
      </c>
      <c r="G140" s="18" t="str">
        <f>'[3]5нед'!P20</f>
        <v/>
      </c>
      <c r="H140" s="56" t="str">
        <f>HYPERLINK(VLOOKUP(E140,$R$12:$S$179,2,FALSE))</f>
        <v/>
      </c>
      <c r="I140" s="70">
        <v>46301</v>
      </c>
      <c r="J140" s="87" t="s">
        <v>25</v>
      </c>
      <c r="K140" s="29" t="s">
        <v>18</v>
      </c>
      <c r="L140" s="16" t="str">
        <f>'[3]6нед'!K20</f>
        <v>пр</v>
      </c>
      <c r="M140" s="19" t="str">
        <f>'[3]6нед'!L20</f>
        <v xml:space="preserve"> Основы российской государственности</v>
      </c>
      <c r="N140" s="17" t="str">
        <f>'[3]6нед'!O20</f>
        <v>Лысенко Е.Г.</v>
      </c>
      <c r="O140" s="18" t="str">
        <f>'[3]6нед'!P20</f>
        <v>доцент, канд. наук</v>
      </c>
      <c r="P140" s="56" t="str">
        <f>HYPERLINK(VLOOKUP(M140,$R$12:$S$179,2,FALSE))</f>
        <v>https://max.ru/join/PF9p4nxFpYkpyJZDiJCXITBLRp8ioqfTBXE3wfeJlHs</v>
      </c>
    </row>
    <row r="141" spans="1:16" ht="37.5" x14ac:dyDescent="0.2">
      <c r="A141" s="82"/>
      <c r="B141" s="85"/>
      <c r="C141" s="14" t="s">
        <v>19</v>
      </c>
      <c r="D141" s="20" t="str">
        <f>'[3]5нед'!K21</f>
        <v>пр</v>
      </c>
      <c r="E141" s="23" t="str">
        <f>'[3]5нед'!L21</f>
        <v>Иностранный язык</v>
      </c>
      <c r="F141" s="21" t="str">
        <f>'[3]5нед'!O21</f>
        <v>Суворова С.Г.</v>
      </c>
      <c r="G141" s="22" t="str">
        <f>'[3]5нед'!P21</f>
        <v>ст. преподаватель</v>
      </c>
      <c r="H141" s="57" t="str">
        <f>HYPERLINK(VLOOKUP(E141,$R$12:$S$179,2,FALSE))</f>
        <v>https://max.ru/join/PF9p4nxFpYkpyJZDiJCXITBLRp8ioqfTBXE3wfeJlHs</v>
      </c>
      <c r="I141" s="71"/>
      <c r="J141" s="88"/>
      <c r="K141" s="14" t="s">
        <v>19</v>
      </c>
      <c r="L141" s="20" t="str">
        <f>'[3]6нед'!K21</f>
        <v>пр</v>
      </c>
      <c r="M141" s="23" t="str">
        <f>'[3]6нед'!L21</f>
        <v>Иностранный язык</v>
      </c>
      <c r="N141" s="21" t="str">
        <f>'[3]6нед'!O21</f>
        <v>Суворова С.Г.</v>
      </c>
      <c r="O141" s="22" t="str">
        <f>'[3]6нед'!P21</f>
        <v>ст. преподаватель</v>
      </c>
      <c r="P141" s="57" t="str">
        <f>HYPERLINK(VLOOKUP(M141,$R$12:$S$179,2,FALSE))</f>
        <v>https://max.ru/join/PF9p4nxFpYkpyJZDiJCXITBLRp8ioqfTBXE3wfeJlHs</v>
      </c>
    </row>
    <row r="142" spans="1:16" ht="37.5" x14ac:dyDescent="0.2">
      <c r="A142" s="82"/>
      <c r="B142" s="85"/>
      <c r="C142" s="14" t="s">
        <v>20</v>
      </c>
      <c r="D142" s="20" t="str">
        <f>'[3]5нед'!K22</f>
        <v>л</v>
      </c>
      <c r="E142" s="23" t="str">
        <f>'[3]5нед'!L22</f>
        <v>Технологии цифрового образования</v>
      </c>
      <c r="F142" s="21" t="str">
        <f>'[3]5нед'!O22</f>
        <v>Шевченко Е.Н.</v>
      </c>
      <c r="G142" s="22" t="str">
        <f>'[3]5нед'!P22</f>
        <v>ст. преподаватель</v>
      </c>
      <c r="H142" s="57" t="str">
        <f>HYPERLINK(VLOOKUP(E142,$R$12:$S$179,2,FALSE))</f>
        <v>https://max.ru/join/QktsjGaw5ToZMymwQv4u7TZ1a5jhx2Meh1Xg11Ht-o8</v>
      </c>
      <c r="I142" s="71"/>
      <c r="J142" s="88"/>
      <c r="K142" s="14" t="s">
        <v>20</v>
      </c>
      <c r="L142" s="20">
        <f>'[3]6нед'!K22</f>
        <v>0</v>
      </c>
      <c r="M142" s="23">
        <f>'[3]6нед'!L22</f>
        <v>0</v>
      </c>
      <c r="N142" s="21">
        <f>'[3]6нед'!O22</f>
        <v>0</v>
      </c>
      <c r="O142" s="22" t="str">
        <f>'[3]6нед'!P22</f>
        <v/>
      </c>
      <c r="P142" s="57" t="str">
        <f>HYPERLINK(VLOOKUP(M142,$R$12:$S$179,2,FALSE))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'[3]5нед'!K23</f>
        <v>л</v>
      </c>
      <c r="E143" s="23" t="str">
        <f>'[3]5нед'!L23</f>
        <v>Обучение служением</v>
      </c>
      <c r="F143" s="21" t="str">
        <f>'[3]5нед'!O23</f>
        <v>Вишневский В.А.</v>
      </c>
      <c r="G143" s="22" t="str">
        <f>'[3]5нед'!P23</f>
        <v>доцент, канд. наук</v>
      </c>
      <c r="H143" s="57" t="str">
        <f>HYPERLINK(VLOOKUP(E143,$R$12:$S$179,2,FALSE))</f>
        <v>https://max.ru/join/0MiRK0GUpSTCrtKMGu5ke9BatSupdkYkm3PEezrq5xw</v>
      </c>
      <c r="I143" s="71"/>
      <c r="J143" s="88"/>
      <c r="K143" s="14" t="s">
        <v>21</v>
      </c>
      <c r="L143" s="20">
        <f>'[3]6нед'!K23</f>
        <v>0</v>
      </c>
      <c r="M143" s="23">
        <f>'[3]6нед'!L23</f>
        <v>0</v>
      </c>
      <c r="N143" s="21">
        <f>'[3]6нед'!O23</f>
        <v>0</v>
      </c>
      <c r="O143" s="22" t="str">
        <f>'[3]6нед'!P23</f>
        <v/>
      </c>
      <c r="P143" s="57" t="str">
        <f>HYPERLINK(VLOOKUP(M143,$R$12:$S$179,2,FALSE))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'[3]5нед'!K24</f>
        <v>0</v>
      </c>
      <c r="E144" s="23">
        <f>'[3]5нед'!L24</f>
        <v>0</v>
      </c>
      <c r="F144" s="21">
        <f>'[3]5нед'!O24</f>
        <v>0</v>
      </c>
      <c r="G144" s="22" t="str">
        <f>'[3]5нед'!P24</f>
        <v/>
      </c>
      <c r="H144" s="57" t="str">
        <f>HYPERLINK(VLOOKUP(E144,$R$12:$S$179,2,FALSE))</f>
        <v/>
      </c>
      <c r="I144" s="71"/>
      <c r="J144" s="88"/>
      <c r="K144" s="14" t="s">
        <v>22</v>
      </c>
      <c r="L144" s="20">
        <f>'[3]6нед'!K24</f>
        <v>0</v>
      </c>
      <c r="M144" s="23">
        <f>'[3]6нед'!L24</f>
        <v>0</v>
      </c>
      <c r="N144" s="21">
        <f>'[3]6нед'!O24</f>
        <v>0</v>
      </c>
      <c r="O144" s="22" t="str">
        <f>'[3]6нед'!P24</f>
        <v/>
      </c>
      <c r="P144" s="57" t="str">
        <f>HYPERLINK(VLOOKUP(M144,$R$12:$S$179,2,FALSE))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'[3]5нед'!K25</f>
        <v>0</v>
      </c>
      <c r="E145" s="23">
        <f>'[3]5нед'!L25</f>
        <v>0</v>
      </c>
      <c r="F145" s="21">
        <f>'[3]5нед'!O25</f>
        <v>0</v>
      </c>
      <c r="G145" s="22" t="str">
        <f>'[3]5нед'!P25</f>
        <v/>
      </c>
      <c r="H145" s="57" t="str">
        <f>HYPERLINK(VLOOKUP(E145,$R$12:$S$179,2,FALSE))</f>
        <v/>
      </c>
      <c r="I145" s="71"/>
      <c r="J145" s="88"/>
      <c r="K145" s="14" t="s">
        <v>23</v>
      </c>
      <c r="L145" s="20">
        <f>'[3]6нед'!K25</f>
        <v>0</v>
      </c>
      <c r="M145" s="23">
        <f>'[3]6нед'!L25</f>
        <v>0</v>
      </c>
      <c r="N145" s="21">
        <f>'[3]6нед'!O25</f>
        <v>0</v>
      </c>
      <c r="O145" s="22" t="str">
        <f>'[3]6нед'!P25</f>
        <v/>
      </c>
      <c r="P145" s="57" t="str">
        <f>HYPERLINK(VLOOKUP(M145,$R$12:$S$179,2,FALSE))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'[3]5нед'!K26</f>
        <v>0</v>
      </c>
      <c r="E146" s="23">
        <f>'[3]5нед'!L26</f>
        <v>0</v>
      </c>
      <c r="F146" s="21">
        <f>'[3]5нед'!O26</f>
        <v>0</v>
      </c>
      <c r="G146" s="22" t="str">
        <f>'[3]5нед'!P26</f>
        <v/>
      </c>
      <c r="H146" s="57" t="str">
        <f>HYPERLINK(VLOOKUP(E146,$R$12:$S$179,2,FALSE))</f>
        <v/>
      </c>
      <c r="I146" s="71"/>
      <c r="J146" s="88"/>
      <c r="K146" s="14" t="s">
        <v>24</v>
      </c>
      <c r="L146" s="20">
        <f>'[3]6нед'!K26</f>
        <v>0</v>
      </c>
      <c r="M146" s="23">
        <f>'[3]6нед'!L26</f>
        <v>0</v>
      </c>
      <c r="N146" s="21">
        <f>'[3]6нед'!O26</f>
        <v>0</v>
      </c>
      <c r="O146" s="22" t="str">
        <f>'[3]6нед'!P26</f>
        <v/>
      </c>
      <c r="P146" s="57" t="str">
        <f>HYPERLINK(VLOOKUP(M146,$R$12:$S$179,2,FALSE))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'[3]5нед'!K27</f>
        <v>0</v>
      </c>
      <c r="E147" s="25">
        <f>'[3]5нед'!L27</f>
        <v>0</v>
      </c>
      <c r="F147" s="26">
        <f>'[3]5нед'!O27</f>
        <v>0</v>
      </c>
      <c r="G147" s="27" t="str">
        <f>'[3]5нед'!P27</f>
        <v/>
      </c>
      <c r="H147" s="58" t="str">
        <f>HYPERLINK(VLOOKUP(E147,$R$12:$S$179,2,FALSE))</f>
        <v/>
      </c>
      <c r="I147" s="72"/>
      <c r="J147" s="89"/>
      <c r="K147" s="15"/>
      <c r="L147" s="24">
        <f>'[3]6нед'!K27</f>
        <v>0</v>
      </c>
      <c r="M147" s="25">
        <f>'[3]6нед'!L27</f>
        <v>0</v>
      </c>
      <c r="N147" s="26">
        <f>'[3]6нед'!O27</f>
        <v>0</v>
      </c>
      <c r="O147" s="27" t="str">
        <f>'[3]6нед'!P27</f>
        <v/>
      </c>
      <c r="P147" s="58" t="str">
        <f>HYPERLINK(VLOOKUP(M147,$R$12:$S$179,2,FALSE))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'[3]5нед'!K28</f>
        <v>0</v>
      </c>
      <c r="E148" s="94" t="s">
        <v>32</v>
      </c>
      <c r="F148" s="17">
        <f>'[3]5нед'!O28</f>
        <v>0</v>
      </c>
      <c r="G148" s="18" t="str">
        <f>'[3]5нед'!P28</f>
        <v/>
      </c>
      <c r="H148" s="56"/>
      <c r="I148" s="70">
        <v>46302</v>
      </c>
      <c r="J148" s="73" t="s">
        <v>26</v>
      </c>
      <c r="K148" s="29" t="s">
        <v>18</v>
      </c>
      <c r="L148" s="16">
        <f>'[3]6нед'!K28</f>
        <v>0</v>
      </c>
      <c r="M148" s="19">
        <f>'[3]6нед'!L28</f>
        <v>0</v>
      </c>
      <c r="N148" s="17">
        <f>'[3]6нед'!O28</f>
        <v>0</v>
      </c>
      <c r="O148" s="18" t="str">
        <f>'[3]6нед'!P28</f>
        <v/>
      </c>
      <c r="P148" s="56" t="str">
        <f>HYPERLINK(VLOOKUP(M148,$R$12:$S$179,2,FALSE))</f>
        <v/>
      </c>
    </row>
    <row r="149" spans="1:16" ht="37.5" x14ac:dyDescent="0.2">
      <c r="A149" s="82"/>
      <c r="B149" s="68"/>
      <c r="C149" s="14" t="s">
        <v>19</v>
      </c>
      <c r="D149" s="20">
        <f>'[3]5нед'!K29</f>
        <v>0</v>
      </c>
      <c r="E149" s="95"/>
      <c r="F149" s="21">
        <f>'[3]5нед'!O29</f>
        <v>0</v>
      </c>
      <c r="G149" s="22" t="str">
        <f>'[3]5нед'!P29</f>
        <v/>
      </c>
      <c r="H149" s="57"/>
      <c r="I149" s="71"/>
      <c r="J149" s="74"/>
      <c r="K149" s="14" t="s">
        <v>19</v>
      </c>
      <c r="L149" s="20" t="str">
        <f>'[3]6нед'!K29</f>
        <v>л</v>
      </c>
      <c r="M149" s="23" t="str">
        <f>'[3]6нед'!L29</f>
        <v>Основы и методология программирования</v>
      </c>
      <c r="N149" s="21" t="str">
        <f>'[3]6нед'!O29</f>
        <v>Криницкий Ю.В.</v>
      </c>
      <c r="O149" s="22" t="str">
        <f>'[3]6нед'!P29</f>
        <v>преподаватель</v>
      </c>
      <c r="P149" s="57" t="str">
        <f>HYPERLINK(VLOOKUP(M149,$R$12:$S$179,2,FALSE))</f>
        <v>https://max.ru/join/PF9p4nxFpYkpyJZDiJCXITBLRp8ioqfTBXE3wfeJlHs</v>
      </c>
    </row>
    <row r="150" spans="1:16" ht="37.5" x14ac:dyDescent="0.2">
      <c r="A150" s="82"/>
      <c r="B150" s="68"/>
      <c r="C150" s="14" t="s">
        <v>20</v>
      </c>
      <c r="D150" s="20">
        <f>'[3]5нед'!K30</f>
        <v>0</v>
      </c>
      <c r="E150" s="95"/>
      <c r="F150" s="21">
        <f>'[3]5нед'!O30</f>
        <v>0</v>
      </c>
      <c r="G150" s="22" t="str">
        <f>'[3]5нед'!P30</f>
        <v/>
      </c>
      <c r="H150" s="57"/>
      <c r="I150" s="71"/>
      <c r="J150" s="74"/>
      <c r="K150" s="14" t="s">
        <v>20</v>
      </c>
      <c r="L150" s="20" t="str">
        <f>'[3]6нед'!K30</f>
        <v>л</v>
      </c>
      <c r="M150" s="23" t="str">
        <f>'[3]6нед'!L30</f>
        <v>Основы и методология программирования</v>
      </c>
      <c r="N150" s="21" t="str">
        <f>'[3]6нед'!O30</f>
        <v>Криницкий Ю.В.</v>
      </c>
      <c r="O150" s="22" t="str">
        <f>'[3]6нед'!P30</f>
        <v>преподаватель</v>
      </c>
      <c r="P150" s="57" t="str">
        <f>HYPERLINK(VLOOKUP(M150,$R$12:$S$179,2,FALSE))</f>
        <v>https://max.ru/join/PF9p4nxFpYkpyJZDiJCXITBLRp8ioqfTBXE3wfeJlHs</v>
      </c>
    </row>
    <row r="151" spans="1:16" ht="31.5" x14ac:dyDescent="0.2">
      <c r="A151" s="82"/>
      <c r="B151" s="68"/>
      <c r="C151" s="14" t="s">
        <v>21</v>
      </c>
      <c r="D151" s="20">
        <f>'[3]5нед'!K31</f>
        <v>0</v>
      </c>
      <c r="E151" s="95"/>
      <c r="F151" s="21">
        <f>'[3]5нед'!O31</f>
        <v>0</v>
      </c>
      <c r="G151" s="22" t="str">
        <f>'[3]5нед'!P31</f>
        <v/>
      </c>
      <c r="H151" s="57"/>
      <c r="I151" s="71"/>
      <c r="J151" s="74"/>
      <c r="K151" s="14" t="s">
        <v>21</v>
      </c>
      <c r="L151" s="20">
        <f>'[3]6нед'!K31</f>
        <v>0</v>
      </c>
      <c r="M151" s="23">
        <f>'[3]6нед'!L31</f>
        <v>0</v>
      </c>
      <c r="N151" s="21">
        <f>'[3]6нед'!O31</f>
        <v>0</v>
      </c>
      <c r="O151" s="22" t="str">
        <f>'[3]6нед'!P31</f>
        <v/>
      </c>
      <c r="P151" s="57" t="str">
        <f>HYPERLINK(VLOOKUP(M151,$R$12:$S$179,2,FALSE))</f>
        <v/>
      </c>
    </row>
    <row r="152" spans="1:16" ht="31.5" x14ac:dyDescent="0.2">
      <c r="A152" s="82"/>
      <c r="B152" s="68"/>
      <c r="C152" s="14" t="s">
        <v>22</v>
      </c>
      <c r="D152" s="20">
        <f>'[3]5нед'!K32</f>
        <v>0</v>
      </c>
      <c r="E152" s="95"/>
      <c r="F152" s="21">
        <f>'[3]5нед'!O32</f>
        <v>0</v>
      </c>
      <c r="G152" s="22" t="str">
        <f>'[3]5нед'!P32</f>
        <v/>
      </c>
      <c r="H152" s="57"/>
      <c r="I152" s="71"/>
      <c r="J152" s="74"/>
      <c r="K152" s="14" t="s">
        <v>22</v>
      </c>
      <c r="L152" s="20">
        <f>'[3]6нед'!K32</f>
        <v>0</v>
      </c>
      <c r="M152" s="23">
        <f>'[3]6нед'!L32</f>
        <v>0</v>
      </c>
      <c r="N152" s="21">
        <f>'[3]6нед'!O32</f>
        <v>0</v>
      </c>
      <c r="O152" s="22" t="str">
        <f>'[3]6нед'!P32</f>
        <v/>
      </c>
      <c r="P152" s="57" t="str">
        <f>HYPERLINK(VLOOKUP(M152,$R$12:$S$179,2,FALSE))</f>
        <v/>
      </c>
    </row>
    <row r="153" spans="1:16" ht="31.5" x14ac:dyDescent="0.2">
      <c r="A153" s="82"/>
      <c r="B153" s="68"/>
      <c r="C153" s="14" t="s">
        <v>23</v>
      </c>
      <c r="D153" s="20">
        <f>'[3]5нед'!K33</f>
        <v>0</v>
      </c>
      <c r="E153" s="95"/>
      <c r="F153" s="21">
        <f>'[3]5нед'!O33</f>
        <v>0</v>
      </c>
      <c r="G153" s="22" t="str">
        <f>'[3]5нед'!P33</f>
        <v/>
      </c>
      <c r="H153" s="55"/>
      <c r="I153" s="71"/>
      <c r="J153" s="74"/>
      <c r="K153" s="14" t="s">
        <v>23</v>
      </c>
      <c r="L153" s="20">
        <f>'[3]6нед'!K33</f>
        <v>0</v>
      </c>
      <c r="M153" s="23">
        <f>'[3]6нед'!L33</f>
        <v>0</v>
      </c>
      <c r="N153" s="21">
        <f>'[3]6нед'!O33</f>
        <v>0</v>
      </c>
      <c r="O153" s="22" t="str">
        <f>'[3]6нед'!P33</f>
        <v/>
      </c>
      <c r="P153" s="55" t="str">
        <f>HYPERLINK(VLOOKUP(M153,$R$12:$S$179,2,FALSE))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'[3]5нед'!K34</f>
        <v>0</v>
      </c>
      <c r="E154" s="96"/>
      <c r="F154" s="21">
        <f>'[3]5нед'!O34</f>
        <v>0</v>
      </c>
      <c r="G154" s="22" t="str">
        <f>'[3]5нед'!P34</f>
        <v/>
      </c>
      <c r="H154" s="55"/>
      <c r="I154" s="71"/>
      <c r="J154" s="74"/>
      <c r="K154" s="14" t="s">
        <v>24</v>
      </c>
      <c r="L154" s="20">
        <f>'[3]6нед'!K34</f>
        <v>0</v>
      </c>
      <c r="M154" s="23">
        <f>'[3]6нед'!L34</f>
        <v>0</v>
      </c>
      <c r="N154" s="21">
        <f>'[3]6нед'!O34</f>
        <v>0</v>
      </c>
      <c r="O154" s="22" t="str">
        <f>'[3]6нед'!P34</f>
        <v/>
      </c>
      <c r="P154" s="55" t="str">
        <f>HYPERLINK(VLOOKUP(M154,$R$12:$S$179,2,FALSE))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'[3]5нед'!K35</f>
        <v>0</v>
      </c>
      <c r="E155" s="25">
        <f>'[3]5нед'!L35</f>
        <v>0</v>
      </c>
      <c r="F155" s="26">
        <f>'[3]5нед'!O35</f>
        <v>0</v>
      </c>
      <c r="G155" s="27" t="str">
        <f>'[3]5нед'!P35</f>
        <v/>
      </c>
      <c r="H155" s="58" t="str">
        <f>HYPERLINK(VLOOKUP(E155,$R$12:$S$179,2,FALSE))</f>
        <v/>
      </c>
      <c r="I155" s="72"/>
      <c r="J155" s="75"/>
      <c r="K155" s="15"/>
      <c r="L155" s="24">
        <f>'[3]6нед'!K35</f>
        <v>0</v>
      </c>
      <c r="M155" s="25">
        <f>'[3]6нед'!L35</f>
        <v>0</v>
      </c>
      <c r="N155" s="26">
        <f>'[3]6нед'!O35</f>
        <v>0</v>
      </c>
      <c r="O155" s="27" t="str">
        <f>'[3]6нед'!P35</f>
        <v/>
      </c>
      <c r="P155" s="58" t="str">
        <f>HYPERLINK(VLOOKUP(M155,$R$12:$S$179,2,FALSE))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'[3]5нед'!K36</f>
        <v>0</v>
      </c>
      <c r="E156" s="19">
        <f>'[3]5нед'!L36</f>
        <v>0</v>
      </c>
      <c r="F156" s="17">
        <f>'[3]5нед'!O36</f>
        <v>0</v>
      </c>
      <c r="G156" s="18" t="str">
        <f>'[3]5нед'!P36</f>
        <v/>
      </c>
      <c r="H156" s="56" t="str">
        <f>HYPERLINK(VLOOKUP(E156,$R$12:$S$179,2,FALSE))</f>
        <v/>
      </c>
      <c r="I156" s="70">
        <v>46303</v>
      </c>
      <c r="J156" s="87" t="s">
        <v>27</v>
      </c>
      <c r="K156" s="29" t="s">
        <v>18</v>
      </c>
      <c r="L156" s="16">
        <f>'[3]6нед'!K36</f>
        <v>0</v>
      </c>
      <c r="M156" s="19">
        <f>'[3]6нед'!L36</f>
        <v>0</v>
      </c>
      <c r="N156" s="17">
        <f>'[3]6нед'!O36</f>
        <v>0</v>
      </c>
      <c r="O156" s="18" t="str">
        <f>'[3]6нед'!P36</f>
        <v/>
      </c>
      <c r="P156" s="56" t="str">
        <f>HYPERLINK(VLOOKUP(M156,$R$12:$S$179,2,FALSE))</f>
        <v/>
      </c>
    </row>
    <row r="157" spans="1:16" ht="31.5" x14ac:dyDescent="0.2">
      <c r="A157" s="82"/>
      <c r="B157" s="85"/>
      <c r="C157" s="14" t="s">
        <v>19</v>
      </c>
      <c r="D157" s="20">
        <f>'[3]5нед'!K37</f>
        <v>0</v>
      </c>
      <c r="E157" s="23">
        <f>'[3]5нед'!L37</f>
        <v>0</v>
      </c>
      <c r="F157" s="21">
        <f>'[3]5нед'!O37</f>
        <v>0</v>
      </c>
      <c r="G157" s="22" t="str">
        <f>'[3]5нед'!P37</f>
        <v/>
      </c>
      <c r="H157" s="57" t="str">
        <f>HYPERLINK(VLOOKUP(E157,$R$12:$S$179,2,FALSE))</f>
        <v/>
      </c>
      <c r="I157" s="71"/>
      <c r="J157" s="88"/>
      <c r="K157" s="14" t="s">
        <v>19</v>
      </c>
      <c r="L157" s="20">
        <f>'[3]6нед'!K37</f>
        <v>0</v>
      </c>
      <c r="M157" s="23">
        <f>'[3]6нед'!L37</f>
        <v>0</v>
      </c>
      <c r="N157" s="21">
        <f>'[3]6нед'!O37</f>
        <v>0</v>
      </c>
      <c r="O157" s="22" t="str">
        <f>'[3]6нед'!P37</f>
        <v/>
      </c>
      <c r="P157" s="57" t="str">
        <f>HYPERLINK(VLOOKUP(M157,$R$12:$S$179,2,FALSE))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'[3]5нед'!K38</f>
        <v>л</v>
      </c>
      <c r="E158" s="23" t="str">
        <f>'[3]5нед'!L38</f>
        <v>Алгебра и Геометрия</v>
      </c>
      <c r="F158" s="21" t="str">
        <f>'[3]5нед'!O38</f>
        <v>Овчинникова М.В.</v>
      </c>
      <c r="G158" s="22" t="str">
        <f>'[3]5нед'!P38</f>
        <v>доцент, канд. наук</v>
      </c>
      <c r="H158" s="57" t="str">
        <f>HYPERLINK(VLOOKUP(E158,$R$12:$S$179,2,FALSE))</f>
        <v>https://max.ru/join/PF9p4nxFpYkpyJZDiJCXITBLRp8ioqfTBXE3wfeJlHs</v>
      </c>
      <c r="I158" s="71"/>
      <c r="J158" s="88"/>
      <c r="K158" s="14" t="s">
        <v>20</v>
      </c>
      <c r="L158" s="20">
        <f>'[3]6нед'!K38</f>
        <v>0</v>
      </c>
      <c r="M158" s="23">
        <f>'[3]6нед'!L38</f>
        <v>0</v>
      </c>
      <c r="N158" s="21">
        <f>'[3]6нед'!O38</f>
        <v>0</v>
      </c>
      <c r="O158" s="22" t="str">
        <f>'[3]6нед'!P38</f>
        <v/>
      </c>
      <c r="P158" s="57" t="str">
        <f>HYPERLINK(VLOOKUP(M158,$R$12:$S$179,2,FALSE))</f>
        <v/>
      </c>
    </row>
    <row r="159" spans="1:16" ht="37.5" x14ac:dyDescent="0.2">
      <c r="A159" s="82"/>
      <c r="B159" s="85"/>
      <c r="C159" s="14" t="s">
        <v>21</v>
      </c>
      <c r="D159" s="20" t="str">
        <f>'[3]5нед'!K39</f>
        <v>л</v>
      </c>
      <c r="E159" s="23" t="str">
        <f>'[3]5нед'!L39</f>
        <v>Математический анализ</v>
      </c>
      <c r="F159" s="21" t="str">
        <f>'[3]5нед'!O39</f>
        <v>Линник Е.П.</v>
      </c>
      <c r="G159" s="22" t="str">
        <f>'[3]5нед'!P39</f>
        <v>доцент, канд. наук</v>
      </c>
      <c r="H159" s="57" t="str">
        <f>HYPERLINK(VLOOKUP(E159,$R$12:$S$179,2,FALSE))</f>
        <v>https://max.ru/join/PF9p4nxFpYkpyJZDiJCXITBLRp8ioqfTBXE3wfeJlHs</v>
      </c>
      <c r="I159" s="71"/>
      <c r="J159" s="88"/>
      <c r="K159" s="14" t="s">
        <v>21</v>
      </c>
      <c r="L159" s="20" t="str">
        <f>'[3]6нед'!K39</f>
        <v>пр</v>
      </c>
      <c r="M159" s="23" t="str">
        <f>'[3]6нед'!L39</f>
        <v xml:space="preserve"> Технологии цифрового образования</v>
      </c>
      <c r="N159" s="21" t="str">
        <f>'[3]6нед'!O39</f>
        <v>Шевченко Е.Н.</v>
      </c>
      <c r="O159" s="22" t="str">
        <f>'[3]6нед'!P39</f>
        <v>ст. преподаватель</v>
      </c>
      <c r="P159" s="57" t="str">
        <f>HYPERLINK(VLOOKUP(M159,$R$12:$S$179,2,FALSE))</f>
        <v>https://max.ru/join/PF9p4nxFpYkpyJZDiJCXITBLRp8ioqfTBXE3wfeJlHs</v>
      </c>
    </row>
    <row r="160" spans="1:16" ht="37.5" x14ac:dyDescent="0.2">
      <c r="A160" s="82"/>
      <c r="B160" s="85"/>
      <c r="C160" s="14" t="s">
        <v>22</v>
      </c>
      <c r="D160" s="20" t="str">
        <f>'[3]5нед'!K40</f>
        <v>пр</v>
      </c>
      <c r="E160" s="23" t="str">
        <f>'[3]5нед'!L40</f>
        <v xml:space="preserve"> История России</v>
      </c>
      <c r="F160" s="21" t="str">
        <f>'[3]5нед'!O40</f>
        <v>Алфимов В.Э.</v>
      </c>
      <c r="G160" s="22" t="str">
        <f>'[3]5нед'!P40</f>
        <v>ст. преподаватель</v>
      </c>
      <c r="H160" s="57" t="str">
        <f>HYPERLINK(VLOOKUP(E160,$R$12:$S$179,2,FALSE))</f>
        <v>https://max.ru/join/PF9p4nxFpYkpyJZDiJCXITBLRp8ioqfTBXE3wfeJlHs</v>
      </c>
      <c r="I160" s="71"/>
      <c r="J160" s="88"/>
      <c r="K160" s="14" t="s">
        <v>22</v>
      </c>
      <c r="L160" s="20" t="str">
        <f>'[3]6нед'!K40</f>
        <v>пр</v>
      </c>
      <c r="M160" s="23" t="str">
        <f>'[3]6нед'!L40</f>
        <v xml:space="preserve"> История России</v>
      </c>
      <c r="N160" s="21" t="str">
        <f>'[3]6нед'!O40</f>
        <v>Алфимов В.Э.</v>
      </c>
      <c r="O160" s="22" t="str">
        <f>'[3]6нед'!P40</f>
        <v>ст. преподаватель</v>
      </c>
      <c r="P160" s="57" t="str">
        <f>HYPERLINK(VLOOKUP(M160,$R$12:$S$179,2,FALSE))</f>
        <v>https://max.ru/join/PF9p4nxFpYkpyJZDiJCXITBLRp8ioqfTBXE3wfeJlHs</v>
      </c>
    </row>
    <row r="161" spans="1:16" ht="31.5" x14ac:dyDescent="0.2">
      <c r="A161" s="82"/>
      <c r="B161" s="85"/>
      <c r="C161" s="14" t="s">
        <v>23</v>
      </c>
      <c r="D161" s="20">
        <f>'[3]5нед'!K41</f>
        <v>0</v>
      </c>
      <c r="E161" s="23">
        <f>'[3]5нед'!L41</f>
        <v>0</v>
      </c>
      <c r="F161" s="21">
        <f>'[3]5нед'!O41</f>
        <v>0</v>
      </c>
      <c r="G161" s="22" t="str">
        <f>'[3]5нед'!P41</f>
        <v/>
      </c>
      <c r="H161" s="55" t="str">
        <f>HYPERLINK(VLOOKUP(E161,$R$12:$S$179,2,FALSE))</f>
        <v/>
      </c>
      <c r="I161" s="71"/>
      <c r="J161" s="88"/>
      <c r="K161" s="14" t="s">
        <v>23</v>
      </c>
      <c r="L161" s="20">
        <f>'[3]6нед'!K41</f>
        <v>0</v>
      </c>
      <c r="M161" s="23">
        <f>'[3]6нед'!L41</f>
        <v>0</v>
      </c>
      <c r="N161" s="21">
        <f>'[3]6нед'!O41</f>
        <v>0</v>
      </c>
      <c r="O161" s="22" t="str">
        <f>'[3]6нед'!P41</f>
        <v/>
      </c>
      <c r="P161" s="55" t="str">
        <f>HYPERLINK(VLOOKUP(M161,$R$12:$S$179,2,FALSE))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'[3]5нед'!K42</f>
        <v>0</v>
      </c>
      <c r="E162" s="23">
        <f>'[3]5нед'!L42</f>
        <v>0</v>
      </c>
      <c r="F162" s="21">
        <f>'[3]5нед'!O42</f>
        <v>0</v>
      </c>
      <c r="G162" s="22" t="str">
        <f>'[3]5нед'!P42</f>
        <v/>
      </c>
      <c r="H162" s="55" t="str">
        <f>HYPERLINK(VLOOKUP(E162,$R$12:$S$179,2,FALSE))</f>
        <v/>
      </c>
      <c r="I162" s="71"/>
      <c r="J162" s="88"/>
      <c r="K162" s="14" t="s">
        <v>24</v>
      </c>
      <c r="L162" s="20">
        <f>'[3]6нед'!K42</f>
        <v>0</v>
      </c>
      <c r="M162" s="23">
        <f>'[3]6нед'!L42</f>
        <v>0</v>
      </c>
      <c r="N162" s="21">
        <f>'[3]6нед'!O42</f>
        <v>0</v>
      </c>
      <c r="O162" s="22" t="str">
        <f>'[3]6нед'!P42</f>
        <v/>
      </c>
      <c r="P162" s="55" t="str">
        <f>HYPERLINK(VLOOKUP(M162,$R$12:$S$179,2,FALSE))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'[3]5нед'!K43</f>
        <v>0</v>
      </c>
      <c r="E163" s="25">
        <f>'[3]5нед'!L43</f>
        <v>0</v>
      </c>
      <c r="F163" s="26">
        <f>'[3]5нед'!O43</f>
        <v>0</v>
      </c>
      <c r="G163" s="27" t="str">
        <f>'[3]5нед'!P43</f>
        <v/>
      </c>
      <c r="H163" s="58" t="str">
        <f>HYPERLINK(VLOOKUP(E163,$R$12:$S$179,2,FALSE))</f>
        <v/>
      </c>
      <c r="I163" s="72"/>
      <c r="J163" s="89"/>
      <c r="K163" s="15"/>
      <c r="L163" s="24">
        <f>'[3]6нед'!K43</f>
        <v>0</v>
      </c>
      <c r="M163" s="25">
        <f>'[3]6нед'!L43</f>
        <v>0</v>
      </c>
      <c r="N163" s="26">
        <f>'[3]6нед'!O43</f>
        <v>0</v>
      </c>
      <c r="O163" s="27" t="str">
        <f>'[3]6нед'!P43</f>
        <v/>
      </c>
      <c r="P163" s="58" t="str">
        <f>HYPERLINK(VLOOKUP(M163,$R$12:$S$179,2,FALSE))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'[3]5нед'!K44</f>
        <v>0</v>
      </c>
      <c r="E164" s="19">
        <f>'[3]5нед'!L44</f>
        <v>0</v>
      </c>
      <c r="F164" s="17">
        <f>'[3]5нед'!O44</f>
        <v>0</v>
      </c>
      <c r="G164" s="18" t="str">
        <f>'[3]5нед'!P44</f>
        <v/>
      </c>
      <c r="H164" s="56" t="str">
        <f>HYPERLINK(VLOOKUP(E164,$R$12:$S$179,2,FALSE))</f>
        <v/>
      </c>
      <c r="I164" s="70">
        <v>46304</v>
      </c>
      <c r="J164" s="87" t="s">
        <v>28</v>
      </c>
      <c r="K164" s="29" t="s">
        <v>18</v>
      </c>
      <c r="L164" s="16" t="str">
        <f>'[3]6нед'!K44</f>
        <v>пр</v>
      </c>
      <c r="M164" s="19" t="str">
        <f>'[3]6нед'!L44</f>
        <v xml:space="preserve"> Основы российской государственности</v>
      </c>
      <c r="N164" s="17" t="str">
        <f>'[3]6нед'!O44</f>
        <v>Лысенко Е.Г.</v>
      </c>
      <c r="O164" s="18" t="str">
        <f>'[3]6нед'!P44</f>
        <v>доцент, канд. наук</v>
      </c>
      <c r="P164" s="56" t="str">
        <f>HYPERLINK(VLOOKUP(M164,$R$12:$S$179,2,FALSE))</f>
        <v>https://max.ru/join/PF9p4nxFpYkpyJZDiJCXITBLRp8ioqfTBXE3wfeJlHs</v>
      </c>
    </row>
    <row r="165" spans="1:16" ht="37.5" x14ac:dyDescent="0.2">
      <c r="A165" s="82"/>
      <c r="B165" s="85"/>
      <c r="C165" s="14" t="s">
        <v>19</v>
      </c>
      <c r="D165" s="20" t="str">
        <f>'[3]5нед'!K45</f>
        <v>пр</v>
      </c>
      <c r="E165" s="23" t="str">
        <f>'[3]5нед'!L45</f>
        <v xml:space="preserve"> Математический анализ</v>
      </c>
      <c r="F165" s="21" t="str">
        <f>'[3]5нед'!O45</f>
        <v>Якимова В.В.</v>
      </c>
      <c r="G165" s="22" t="str">
        <f>'[3]5нед'!P45</f>
        <v>ст. преподаватель</v>
      </c>
      <c r="H165" s="57" t="str">
        <f>HYPERLINK(VLOOKUP(E165,$R$12:$S$179,2,FALSE))</f>
        <v>https://max.ru/join/PF9p4nxFpYkpyJZDiJCXITBLRp8ioqfTBXE3wfeJlHs</v>
      </c>
      <c r="I165" s="71"/>
      <c r="J165" s="88"/>
      <c r="K165" s="14" t="s">
        <v>19</v>
      </c>
      <c r="L165" s="20" t="str">
        <f>'[3]6нед'!K45</f>
        <v>пр</v>
      </c>
      <c r="M165" s="23" t="str">
        <f>'[3]6нед'!L45</f>
        <v xml:space="preserve"> Математический анализ</v>
      </c>
      <c r="N165" s="21" t="str">
        <f>'[3]6нед'!O45</f>
        <v>Якимова В.В.</v>
      </c>
      <c r="O165" s="22" t="str">
        <f>'[3]6нед'!P45</f>
        <v>ст. преподаватель</v>
      </c>
      <c r="P165" s="57" t="str">
        <f>HYPERLINK(VLOOKUP(M165,$R$12:$S$179,2,FALSE))</f>
        <v>https://max.ru/join/PF9p4nxFpYkpyJZDiJCXITBLRp8ioqfTBXE3wfeJlHs</v>
      </c>
    </row>
    <row r="166" spans="1:16" ht="37.5" x14ac:dyDescent="0.2">
      <c r="A166" s="82"/>
      <c r="B166" s="85"/>
      <c r="C166" s="14" t="s">
        <v>20</v>
      </c>
      <c r="D166" s="20" t="str">
        <f>'[3]5нед'!K46</f>
        <v>пр</v>
      </c>
      <c r="E166" s="23" t="str">
        <f>'[3]5нед'!L46</f>
        <v>Алгебра и Геометрия</v>
      </c>
      <c r="F166" s="21" t="str">
        <f>'[3]5нед'!O46</f>
        <v>Овчинникова М.В.</v>
      </c>
      <c r="G166" s="22" t="str">
        <f>'[3]5нед'!P46</f>
        <v>доцент, канд. наук</v>
      </c>
      <c r="H166" s="57" t="str">
        <f>HYPERLINK(VLOOKUP(E166,$R$12:$S$179,2,FALSE))</f>
        <v>https://max.ru/join/PF9p4nxFpYkpyJZDiJCXITBLRp8ioqfTBXE3wfeJlHs</v>
      </c>
      <c r="I166" s="71"/>
      <c r="J166" s="88"/>
      <c r="K166" s="14" t="s">
        <v>20</v>
      </c>
      <c r="L166" s="20" t="str">
        <f>'[3]6нед'!K46</f>
        <v>пр</v>
      </c>
      <c r="M166" s="23" t="str">
        <f>'[3]6нед'!L46</f>
        <v>Алгебра и Геометрия</v>
      </c>
      <c r="N166" s="21" t="str">
        <f>'[3]6нед'!O46</f>
        <v>Овчинникова М.В.</v>
      </c>
      <c r="O166" s="22" t="str">
        <f>'[3]6нед'!P46</f>
        <v>доцент, канд. наук</v>
      </c>
      <c r="P166" s="57" t="str">
        <f>HYPERLINK(VLOOKUP(M166,$R$12:$S$179,2,FALSE))</f>
        <v>https://max.ru/join/PF9p4nxFpYkpyJZDiJCXITBLRp8ioqfTBXE3wfeJlHs</v>
      </c>
    </row>
    <row r="167" spans="1:16" ht="37.5" x14ac:dyDescent="0.2">
      <c r="A167" s="82"/>
      <c r="B167" s="85"/>
      <c r="C167" s="14" t="s">
        <v>21</v>
      </c>
      <c r="D167" s="20" t="str">
        <f>'[3]5нед'!K47</f>
        <v>пр</v>
      </c>
      <c r="E167" s="23" t="str">
        <f>'[3]5нед'!L47</f>
        <v>Основы и методология программирования</v>
      </c>
      <c r="F167" s="21" t="str">
        <f>'[3]5нед'!O47</f>
        <v>Криницкий Ю.В.</v>
      </c>
      <c r="G167" s="22" t="str">
        <f>'[3]5нед'!P47</f>
        <v>преподаватель</v>
      </c>
      <c r="H167" s="57" t="str">
        <f>HYPERLINK(VLOOKUP(E167,$R$12:$S$179,2,FALSE))</f>
        <v>https://max.ru/join/PF9p4nxFpYkpyJZDiJCXITBLRp8ioqfTBXE3wfeJlHs</v>
      </c>
      <c r="I167" s="71"/>
      <c r="J167" s="88"/>
      <c r="K167" s="14" t="s">
        <v>21</v>
      </c>
      <c r="L167" s="20">
        <f>'[3]6нед'!K47</f>
        <v>0</v>
      </c>
      <c r="M167" s="23">
        <f>'[3]6нед'!L47</f>
        <v>0</v>
      </c>
      <c r="N167" s="21">
        <f>'[3]6нед'!O47</f>
        <v>0</v>
      </c>
      <c r="O167" s="22" t="str">
        <f>'[3]6нед'!P47</f>
        <v/>
      </c>
      <c r="P167" s="57" t="str">
        <f>HYPERLINK(VLOOKUP(M167,$R$12:$S$179,2,FALSE))</f>
        <v/>
      </c>
    </row>
    <row r="168" spans="1:16" ht="31.5" x14ac:dyDescent="0.2">
      <c r="A168" s="82"/>
      <c r="B168" s="85"/>
      <c r="C168" s="14" t="s">
        <v>22</v>
      </c>
      <c r="D168" s="20">
        <f>'[3]5нед'!K48</f>
        <v>0</v>
      </c>
      <c r="E168" s="23">
        <f>'[3]5нед'!L48</f>
        <v>0</v>
      </c>
      <c r="F168" s="21">
        <f>'[3]5нед'!O48</f>
        <v>0</v>
      </c>
      <c r="G168" s="22" t="str">
        <f>'[3]5нед'!P48</f>
        <v/>
      </c>
      <c r="H168" s="57" t="str">
        <f>HYPERLINK(VLOOKUP(E168,$R$12:$S$179,2,FALSE))</f>
        <v/>
      </c>
      <c r="I168" s="71"/>
      <c r="J168" s="88"/>
      <c r="K168" s="14" t="s">
        <v>22</v>
      </c>
      <c r="L168" s="20">
        <f>'[3]6нед'!K48</f>
        <v>0</v>
      </c>
      <c r="M168" s="23">
        <f>'[3]6нед'!L48</f>
        <v>0</v>
      </c>
      <c r="N168" s="21">
        <f>'[3]6нед'!O48</f>
        <v>0</v>
      </c>
      <c r="O168" s="22" t="str">
        <f>'[3]6нед'!P48</f>
        <v/>
      </c>
      <c r="P168" s="57" t="str">
        <f>HYPERLINK(VLOOKUP(M168,$R$12:$S$179,2,FALSE))</f>
        <v/>
      </c>
    </row>
    <row r="169" spans="1:16" ht="31.5" x14ac:dyDescent="0.2">
      <c r="A169" s="82"/>
      <c r="B169" s="85"/>
      <c r="C169" s="14" t="s">
        <v>23</v>
      </c>
      <c r="D169" s="20">
        <f>'[3]5нед'!K49</f>
        <v>0</v>
      </c>
      <c r="E169" s="23">
        <f>'[3]5нед'!L49</f>
        <v>0</v>
      </c>
      <c r="F169" s="21">
        <f>'[3]5нед'!O49</f>
        <v>0</v>
      </c>
      <c r="G169" s="22" t="str">
        <f>'[3]5нед'!P49</f>
        <v/>
      </c>
      <c r="H169" s="57" t="str">
        <f>HYPERLINK(VLOOKUP(E169,$R$12:$S$179,2,FALSE))</f>
        <v/>
      </c>
      <c r="I169" s="71"/>
      <c r="J169" s="88"/>
      <c r="K169" s="14" t="s">
        <v>23</v>
      </c>
      <c r="L169" s="20">
        <f>'[3]6нед'!K49</f>
        <v>0</v>
      </c>
      <c r="M169" s="23">
        <f>'[3]6нед'!L49</f>
        <v>0</v>
      </c>
      <c r="N169" s="21">
        <f>'[3]6нед'!O49</f>
        <v>0</v>
      </c>
      <c r="O169" s="22" t="str">
        <f>'[3]6нед'!P49</f>
        <v/>
      </c>
      <c r="P169" s="57" t="str">
        <f>HYPERLINK(VLOOKUP(M169,$R$12:$S$179,2,FALSE))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'[3]5нед'!K50</f>
        <v>0</v>
      </c>
      <c r="E170" s="23">
        <f>'[3]5нед'!L50</f>
        <v>0</v>
      </c>
      <c r="F170" s="21">
        <f>'[3]5нед'!O50</f>
        <v>0</v>
      </c>
      <c r="G170" s="22" t="str">
        <f>'[3]5нед'!P50</f>
        <v/>
      </c>
      <c r="H170" s="57" t="str">
        <f>HYPERLINK(VLOOKUP(E170,$R$12:$S$179,2,FALSE))</f>
        <v/>
      </c>
      <c r="I170" s="71"/>
      <c r="J170" s="88"/>
      <c r="K170" s="14" t="s">
        <v>24</v>
      </c>
      <c r="L170" s="20">
        <f>'[3]6нед'!K50</f>
        <v>0</v>
      </c>
      <c r="M170" s="23">
        <f>'[3]6нед'!L50</f>
        <v>0</v>
      </c>
      <c r="N170" s="21">
        <f>'[3]6нед'!O50</f>
        <v>0</v>
      </c>
      <c r="O170" s="22" t="str">
        <f>'[3]6нед'!P50</f>
        <v/>
      </c>
      <c r="P170" s="57" t="str">
        <f>HYPERLINK(VLOOKUP(M170,$R$12:$S$179,2,FALSE))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'[3]5нед'!K51</f>
        <v>0</v>
      </c>
      <c r="E171" s="25">
        <f>'[3]5нед'!L51</f>
        <v>0</v>
      </c>
      <c r="F171" s="26">
        <f>'[3]5нед'!O51</f>
        <v>0</v>
      </c>
      <c r="G171" s="27" t="str">
        <f>'[3]5нед'!P51</f>
        <v/>
      </c>
      <c r="H171" s="58" t="str">
        <f>HYPERLINK(VLOOKUP(E171,$R$12:$S$179,2,FALSE))</f>
        <v/>
      </c>
      <c r="I171" s="72"/>
      <c r="J171" s="89"/>
      <c r="K171" s="15"/>
      <c r="L171" s="24">
        <f>'[3]6нед'!K51</f>
        <v>0</v>
      </c>
      <c r="M171" s="25">
        <f>'[3]6нед'!L51</f>
        <v>0</v>
      </c>
      <c r="N171" s="26">
        <f>'[3]6нед'!O51</f>
        <v>0</v>
      </c>
      <c r="O171" s="27" t="str">
        <f>'[3]6нед'!P51</f>
        <v/>
      </c>
      <c r="P171" s="58" t="str">
        <f>HYPERLINK(VLOOKUP(M171,$R$12:$S$179,2,FALSE))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'[3]5нед'!K52</f>
        <v>0</v>
      </c>
      <c r="E172" s="19">
        <f>'[3]5нед'!L52</f>
        <v>0</v>
      </c>
      <c r="F172" s="17">
        <f>'[3]5нед'!O52</f>
        <v>0</v>
      </c>
      <c r="G172" s="18" t="str">
        <f>'[3]5нед'!P52</f>
        <v/>
      </c>
      <c r="H172" s="56" t="str">
        <f>HYPERLINK(VLOOKUP(E172,$R$12:$S$179,2,FALSE))</f>
        <v/>
      </c>
      <c r="I172" s="70">
        <v>46305</v>
      </c>
      <c r="J172" s="87" t="s">
        <v>29</v>
      </c>
      <c r="K172" s="29" t="s">
        <v>18</v>
      </c>
      <c r="L172" s="16">
        <f>'[3]6нед'!K52</f>
        <v>0</v>
      </c>
      <c r="M172" s="19">
        <f>'[3]6нед'!L52</f>
        <v>0</v>
      </c>
      <c r="N172" s="17">
        <f>'[3]6нед'!O52</f>
        <v>0</v>
      </c>
      <c r="O172" s="18" t="str">
        <f>'[3]6нед'!P52</f>
        <v/>
      </c>
      <c r="P172" s="56" t="str">
        <f>HYPERLINK(VLOOKUP(M172,$R$12:$S$179,2,FALSE))</f>
        <v/>
      </c>
    </row>
    <row r="173" spans="1:16" ht="31.5" x14ac:dyDescent="0.2">
      <c r="A173" s="82"/>
      <c r="B173" s="85"/>
      <c r="C173" s="14" t="s">
        <v>19</v>
      </c>
      <c r="D173" s="20">
        <f>'[3]5нед'!K53</f>
        <v>0</v>
      </c>
      <c r="E173" s="23">
        <f>'[3]5нед'!L53</f>
        <v>0</v>
      </c>
      <c r="F173" s="21">
        <f>'[3]5нед'!O53</f>
        <v>0</v>
      </c>
      <c r="G173" s="22" t="str">
        <f>'[3]5нед'!P53</f>
        <v/>
      </c>
      <c r="H173" s="57" t="str">
        <f>HYPERLINK(VLOOKUP(E173,$R$12:$S$179,2,FALSE))</f>
        <v/>
      </c>
      <c r="I173" s="71"/>
      <c r="J173" s="88"/>
      <c r="K173" s="14" t="s">
        <v>19</v>
      </c>
      <c r="L173" s="20">
        <f>'[3]6нед'!K53</f>
        <v>0</v>
      </c>
      <c r="M173" s="23">
        <f>'[3]6нед'!L53</f>
        <v>0</v>
      </c>
      <c r="N173" s="21">
        <f>'[3]6нед'!O53</f>
        <v>0</v>
      </c>
      <c r="O173" s="22" t="str">
        <f>'[3]6нед'!P53</f>
        <v/>
      </c>
      <c r="P173" s="57" t="str">
        <f>HYPERLINK(VLOOKUP(M173,$R$12:$S$179,2,FALSE))</f>
        <v/>
      </c>
    </row>
    <row r="174" spans="1:16" ht="31.5" x14ac:dyDescent="0.2">
      <c r="A174" s="82"/>
      <c r="B174" s="85"/>
      <c r="C174" s="14" t="s">
        <v>20</v>
      </c>
      <c r="D174" s="20">
        <f>'[3]5нед'!K54</f>
        <v>0</v>
      </c>
      <c r="E174" s="23">
        <f>'[3]5нед'!L54</f>
        <v>0</v>
      </c>
      <c r="F174" s="21">
        <f>'[3]5нед'!O54</f>
        <v>0</v>
      </c>
      <c r="G174" s="22" t="str">
        <f>'[3]5нед'!P54</f>
        <v/>
      </c>
      <c r="H174" s="57" t="str">
        <f>HYPERLINK(VLOOKUP(E174,$R$12:$S$179,2,FALSE))</f>
        <v/>
      </c>
      <c r="I174" s="71"/>
      <c r="J174" s="88"/>
      <c r="K174" s="14" t="s">
        <v>20</v>
      </c>
      <c r="L174" s="20">
        <f>'[3]6нед'!K54</f>
        <v>0</v>
      </c>
      <c r="M174" s="23">
        <f>'[3]6нед'!L54</f>
        <v>0</v>
      </c>
      <c r="N174" s="21">
        <f>'[3]6нед'!O54</f>
        <v>0</v>
      </c>
      <c r="O174" s="22" t="str">
        <f>'[3]6нед'!P54</f>
        <v/>
      </c>
      <c r="P174" s="57" t="str">
        <f>HYPERLINK(VLOOKUP(M174,$R$12:$S$179,2,FALSE))</f>
        <v/>
      </c>
    </row>
    <row r="175" spans="1:16" ht="31.5" x14ac:dyDescent="0.2">
      <c r="A175" s="82"/>
      <c r="B175" s="85"/>
      <c r="C175" s="14" t="s">
        <v>21</v>
      </c>
      <c r="D175" s="20">
        <f>'[3]5нед'!K55</f>
        <v>0</v>
      </c>
      <c r="E175" s="23">
        <f>'[3]5нед'!L55</f>
        <v>0</v>
      </c>
      <c r="F175" s="21">
        <f>'[3]5нед'!O55</f>
        <v>0</v>
      </c>
      <c r="G175" s="22" t="str">
        <f>'[3]5нед'!P55</f>
        <v/>
      </c>
      <c r="H175" s="57" t="str">
        <f>HYPERLINK(VLOOKUP(E175,$R$12:$S$179,2,FALSE))</f>
        <v/>
      </c>
      <c r="I175" s="71"/>
      <c r="J175" s="88"/>
      <c r="K175" s="14" t="s">
        <v>21</v>
      </c>
      <c r="L175" s="20">
        <f>'[3]6нед'!K55</f>
        <v>0</v>
      </c>
      <c r="M175" s="23">
        <f>'[3]6нед'!L55</f>
        <v>0</v>
      </c>
      <c r="N175" s="21">
        <f>'[3]6нед'!O55</f>
        <v>0</v>
      </c>
      <c r="O175" s="22" t="str">
        <f>'[3]6нед'!P55</f>
        <v/>
      </c>
      <c r="P175" s="57" t="str">
        <f>HYPERLINK(VLOOKUP(M175,$R$12:$S$179,2,FALSE))</f>
        <v/>
      </c>
    </row>
    <row r="176" spans="1:16" ht="31.5" x14ac:dyDescent="0.2">
      <c r="A176" s="82"/>
      <c r="B176" s="85"/>
      <c r="C176" s="14" t="s">
        <v>22</v>
      </c>
      <c r="D176" s="20">
        <f>'[3]5нед'!K56</f>
        <v>0</v>
      </c>
      <c r="E176" s="23">
        <f>'[3]5нед'!L56</f>
        <v>0</v>
      </c>
      <c r="F176" s="21">
        <f>'[3]5нед'!O56</f>
        <v>0</v>
      </c>
      <c r="G176" s="22" t="str">
        <f>'[3]5нед'!P56</f>
        <v/>
      </c>
      <c r="H176" s="57" t="str">
        <f>HYPERLINK(VLOOKUP(E176,$R$12:$S$179,2,FALSE))</f>
        <v/>
      </c>
      <c r="I176" s="71"/>
      <c r="J176" s="88"/>
      <c r="K176" s="14" t="s">
        <v>22</v>
      </c>
      <c r="L176" s="20">
        <f>'[3]6нед'!K56</f>
        <v>0</v>
      </c>
      <c r="M176" s="23">
        <f>'[3]6нед'!L56</f>
        <v>0</v>
      </c>
      <c r="N176" s="21">
        <f>'[3]6нед'!O56</f>
        <v>0</v>
      </c>
      <c r="O176" s="22" t="str">
        <f>'[3]6нед'!P56</f>
        <v/>
      </c>
      <c r="P176" s="57" t="str">
        <f>HYPERLINK(VLOOKUP(M176,$R$12:$S$179,2,FALSE))</f>
        <v/>
      </c>
    </row>
    <row r="177" spans="1:16" ht="31.5" x14ac:dyDescent="0.2">
      <c r="A177" s="82"/>
      <c r="B177" s="85"/>
      <c r="C177" s="14" t="s">
        <v>23</v>
      </c>
      <c r="D177" s="20">
        <f>'[3]5нед'!K57</f>
        <v>0</v>
      </c>
      <c r="E177" s="23">
        <f>'[3]5нед'!L57</f>
        <v>0</v>
      </c>
      <c r="F177" s="21">
        <f>'[3]5нед'!O57</f>
        <v>0</v>
      </c>
      <c r="G177" s="22" t="str">
        <f>'[3]5нед'!P57</f>
        <v/>
      </c>
      <c r="H177" s="57" t="str">
        <f>HYPERLINK(VLOOKUP(E177,$R$12:$S$179,2,FALSE))</f>
        <v/>
      </c>
      <c r="I177" s="71"/>
      <c r="J177" s="88"/>
      <c r="K177" s="14" t="s">
        <v>23</v>
      </c>
      <c r="L177" s="20">
        <f>'[3]6нед'!K57</f>
        <v>0</v>
      </c>
      <c r="M177" s="23">
        <f>'[3]6нед'!L57</f>
        <v>0</v>
      </c>
      <c r="N177" s="21">
        <f>'[3]6нед'!O57</f>
        <v>0</v>
      </c>
      <c r="O177" s="22" t="str">
        <f>'[3]6нед'!P57</f>
        <v/>
      </c>
      <c r="P177" s="57" t="str">
        <f>HYPERLINK(VLOOKUP(M177,$R$12:$S$179,2,FALSE))</f>
        <v/>
      </c>
    </row>
    <row r="178" spans="1:16" ht="31.5" x14ac:dyDescent="0.2">
      <c r="A178" s="82"/>
      <c r="B178" s="85"/>
      <c r="C178" s="14" t="s">
        <v>24</v>
      </c>
      <c r="D178" s="20">
        <f>'[3]5нед'!K58</f>
        <v>0</v>
      </c>
      <c r="E178" s="23">
        <f>'[3]5нед'!L58</f>
        <v>0</v>
      </c>
      <c r="F178" s="21">
        <f>'[3]5нед'!O58</f>
        <v>0</v>
      </c>
      <c r="G178" s="22" t="str">
        <f>'[3]5нед'!P58</f>
        <v/>
      </c>
      <c r="H178" s="57" t="str">
        <f>HYPERLINK(VLOOKUP(E178,$R$12:$S$179,2,FALSE))</f>
        <v/>
      </c>
      <c r="I178" s="71"/>
      <c r="J178" s="88"/>
      <c r="K178" s="14" t="s">
        <v>24</v>
      </c>
      <c r="L178" s="20">
        <f>'[3]6нед'!K58</f>
        <v>0</v>
      </c>
      <c r="M178" s="23">
        <f>'[3]6нед'!L58</f>
        <v>0</v>
      </c>
      <c r="N178" s="21">
        <f>'[3]6нед'!O58</f>
        <v>0</v>
      </c>
      <c r="O178" s="22" t="str">
        <f>'[3]6нед'!P58</f>
        <v/>
      </c>
      <c r="P178" s="57" t="str">
        <f>HYPERLINK(VLOOKUP(M178,$R$12:$S$179,2,FALSE))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28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28"/>
    </row>
  </sheetData>
  <mergeCells count="115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E148:E154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4" r:id="rId1" xr:uid="{7E828C51-890B-4699-8E9F-8C2114846A5D}"/>
    <hyperlink ref="S15" r:id="rId2" xr:uid="{76D445A8-39BA-4055-A079-BD166430C357}"/>
    <hyperlink ref="S16" r:id="rId3" xr:uid="{C39B7770-8370-41E1-B062-5BF1B1317160}"/>
    <hyperlink ref="S12" r:id="rId4" xr:uid="{DF6A9B9C-4300-4887-8681-56260F3692EB}"/>
    <hyperlink ref="S13" r:id="rId5" xr:uid="{98CAB49A-924D-4066-9722-7BE2EFE8FE5A}"/>
    <hyperlink ref="S17" r:id="rId6" xr:uid="{CDB29E04-F788-4B55-8099-2E6A90683D51}"/>
    <hyperlink ref="S18" r:id="rId7" xr:uid="{17ED6297-C325-4AED-86C4-7AB51A7A22A4}"/>
    <hyperlink ref="S19" r:id="rId8" xr:uid="{5742A798-5E4B-4048-9D6D-55C9D3DD25C9}"/>
    <hyperlink ref="S20" r:id="rId9" xr:uid="{B7689F60-041A-42DF-ADC0-8EA307184603}"/>
    <hyperlink ref="S26" r:id="rId10" xr:uid="{9544DA7F-7122-412F-BD98-045C11C63EDC}"/>
    <hyperlink ref="S25" r:id="rId11" xr:uid="{3B8180A9-2387-4E56-837B-F57D460DE5FC}"/>
    <hyperlink ref="S24" r:id="rId12" xr:uid="{F2D78D7E-2D6A-4C67-897D-A8DF74E770CA}"/>
    <hyperlink ref="S23" r:id="rId13" xr:uid="{9866F96B-68C1-4AB4-BA1F-232E6B1DF07C}"/>
    <hyperlink ref="S22" r:id="rId14" xr:uid="{7FF93228-1ED0-4F8D-869E-D844345FCA08}"/>
    <hyperlink ref="S21" r:id="rId15" xr:uid="{9EA01283-BF9C-44C8-A0FB-11F685AF38E2}"/>
  </hyperlinks>
  <pageMargins left="0.70866141732283472" right="0.70866141732283472" top="0.74803149606299213" bottom="0.74803149606299213" header="0.31496062992125984" footer="0.31496062992125984"/>
  <pageSetup paperSize="9" scale="34" orientation="portrait" r:id="rId16"/>
  <rowBreaks count="2" manualBreakCount="2">
    <brk id="60" max="16383" man="1"/>
    <brk id="120" max="15" man="1"/>
  </rowBreaks>
  <colBreaks count="1" manualBreakCount="1">
    <brk id="8" max="1048575" man="1"/>
  </colBreaks>
  <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80"/>
  <sheetViews>
    <sheetView view="pageBreakPreview" topLeftCell="F123" zoomScale="50" zoomScaleNormal="55" zoomScaleSheetLayoutView="50" workbookViewId="0">
      <selection activeCell="G194" sqref="G194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31.28515625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4.42578125" customWidth="1"/>
    <col min="19" max="19" width="52.42578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</f>
        <v>44.03.05Педагогическое образование (с двумя профилями подготовки) (Математика и Информатика)</v>
      </c>
      <c r="F7" s="7"/>
      <c r="G7" s="7" t="str">
        <f>'[1]1нед'!$T$10</f>
        <v>12-26МИ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 t="str">
        <f>G7</f>
        <v>12-26МИ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'[1]1нед'!S12</f>
        <v>0</v>
      </c>
      <c r="E12" s="19">
        <f>'[1]1нед'!T12</f>
        <v>0</v>
      </c>
      <c r="F12" s="17">
        <f>'[1]1нед'!W12</f>
        <v>0</v>
      </c>
      <c r="G12" s="18" t="str">
        <f>'[1]1нед'!X12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'[1]2нед'!S12</f>
        <v>л</v>
      </c>
      <c r="M12" s="19" t="str">
        <f>'[1]2нед'!T12</f>
        <v>История России</v>
      </c>
      <c r="N12" s="17" t="str">
        <f>'[1]2нед'!W12</f>
        <v>Сальников В.И.</v>
      </c>
      <c r="O12" s="18" t="str">
        <f>'[1]2нед'!X12</f>
        <v>доцент, канд. наук</v>
      </c>
      <c r="P12" s="56" t="str">
        <f>HYPERLINK(VLOOKUP(M12,$R$12:$S$180,2,FALSE))</f>
        <v>https://max.ru/join/o85unk1KbqCN1-IxGCSAqfdKA8ikJBwHtOsEG2C_ftA</v>
      </c>
      <c r="R12" s="51" t="str">
        <f>[2]Уч.План!B110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'[1]1нед'!S13</f>
        <v>0</v>
      </c>
      <c r="E13" s="23">
        <f>'[1]1нед'!T13</f>
        <v>0</v>
      </c>
      <c r="F13" s="21">
        <f>'[1]1нед'!W13</f>
        <v>0</v>
      </c>
      <c r="G13" s="22" t="str">
        <f>'[1]1нед'!X13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'[1]2нед'!S13</f>
        <v>л</v>
      </c>
      <c r="M13" s="23" t="str">
        <f>'[1]2нед'!T13</f>
        <v>Математический анализ</v>
      </c>
      <c r="N13" s="21" t="str">
        <f>'[1]2нед'!W13</f>
        <v>Линник Е.П.</v>
      </c>
      <c r="O13" s="22" t="str">
        <f>'[1]2нед'!X13</f>
        <v>доцент, канд. наук</v>
      </c>
      <c r="P13" s="57" t="str">
        <f>HYPERLINK(VLOOKUP(M13,$R$12:$S$180,2,FALSE))</f>
        <v>https://max.ru/join/OH6fDuRVjPmIa0jo8bkpQ88VaCOt5qUj0lgw60QfR6E</v>
      </c>
      <c r="R13" s="51" t="str">
        <f>[2]Уч.План!B111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'[1]1нед'!S14</f>
        <v>0</v>
      </c>
      <c r="E14" s="23">
        <f>'[1]1нед'!T14</f>
        <v>0</v>
      </c>
      <c r="F14" s="21">
        <f>'[1]1нед'!W14</f>
        <v>0</v>
      </c>
      <c r="G14" s="22" t="str">
        <f>'[1]1нед'!X14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'[1]2нед'!S14</f>
        <v>пр</v>
      </c>
      <c r="M14" s="23" t="str">
        <f>'[1]2нед'!T14</f>
        <v>Иностранный язык</v>
      </c>
      <c r="N14" s="21" t="str">
        <f>'[1]2нед'!W14</f>
        <v>Суворова С.Г.</v>
      </c>
      <c r="O14" s="22" t="str">
        <f>'[1]2нед'!X14</f>
        <v>ст. преподаватель</v>
      </c>
      <c r="P14" s="57" t="str">
        <f>HYPERLINK(VLOOKUP(M14,$R$12:$S$180,2,FALSE))</f>
        <v>https://max.ru/join/otW8lgS1PqJ5ZhmtKc1Abb8BfYMXnmtaMD7qcLUGCxg</v>
      </c>
      <c r="R14" s="51" t="str">
        <f>[2]Уч.План!B112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'[1]1нед'!S15</f>
        <v>0</v>
      </c>
      <c r="E15" s="23">
        <f>'[1]1нед'!T15</f>
        <v>0</v>
      </c>
      <c r="F15" s="21">
        <f>'[1]1нед'!W15</f>
        <v>0</v>
      </c>
      <c r="G15" s="22" t="str">
        <f>'[1]1нед'!X15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'[1]2нед'!S15</f>
        <v>л</v>
      </c>
      <c r="M15" s="23" t="str">
        <f>'[1]2нед'!T15</f>
        <v>Возрастная анатомия, физиология и культура здоровья</v>
      </c>
      <c r="N15" s="21" t="str">
        <f>'[1]2нед'!W15</f>
        <v>Тотоева О.Н.</v>
      </c>
      <c r="O15" s="22" t="str">
        <f>'[1]2нед'!X15</f>
        <v>доцент, канд. наук</v>
      </c>
      <c r="P15" s="57" t="str">
        <f>HYPERLINK(VLOOKUP(M15,$R$12:$S$180,2,FALSE))</f>
        <v>https://max.ru/join/NU2edX9oXun4G550gjffmEH6rRcZcTV_m4i8V_Iscos</v>
      </c>
      <c r="R15" s="51" t="str">
        <f>[2]Уч.План!B113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'[1]1нед'!S16</f>
        <v>0</v>
      </c>
      <c r="E16" s="23">
        <f>'[1]1нед'!T16</f>
        <v>0</v>
      </c>
      <c r="F16" s="21">
        <f>'[1]1нед'!W16</f>
        <v>0</v>
      </c>
      <c r="G16" s="22" t="str">
        <f>'[1]1нед'!X16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'[1]2нед'!S16</f>
        <v>0</v>
      </c>
      <c r="M16" s="23">
        <f>'[1]2нед'!T16</f>
        <v>0</v>
      </c>
      <c r="N16" s="21">
        <f>'[1]2нед'!W16</f>
        <v>0</v>
      </c>
      <c r="O16" s="22" t="str">
        <f>'[1]2нед'!X16</f>
        <v/>
      </c>
      <c r="P16" s="57" t="str">
        <f>HYPERLINK(VLOOKUP(M16,$R$12:$S$180,2,FALSE))</f>
        <v/>
      </c>
      <c r="R16" s="51" t="str">
        <f>[2]Уч.План!B114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'[1]1нед'!S17</f>
        <v>0</v>
      </c>
      <c r="E17" s="23">
        <f>'[1]1нед'!T17</f>
        <v>0</v>
      </c>
      <c r="F17" s="21">
        <f>'[1]1нед'!W17</f>
        <v>0</v>
      </c>
      <c r="G17" s="22" t="str">
        <f>'[1]1нед'!X17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'[1]2нед'!S17</f>
        <v>0</v>
      </c>
      <c r="M17" s="23">
        <f>'[1]2нед'!T17</f>
        <v>0</v>
      </c>
      <c r="N17" s="21">
        <f>'[1]2нед'!W17</f>
        <v>0</v>
      </c>
      <c r="O17" s="22" t="str">
        <f>'[1]2нед'!X17</f>
        <v/>
      </c>
      <c r="P17" s="55" t="str">
        <f>HYPERLINK(VLOOKUP(M17,$R$12:$S$180,2,FALSE))</f>
        <v/>
      </c>
      <c r="R17" s="51" t="str">
        <f>[2]Уч.План!B115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'[1]1нед'!S18</f>
        <v>0</v>
      </c>
      <c r="E18" s="23">
        <f>'[1]1нед'!T18</f>
        <v>0</v>
      </c>
      <c r="F18" s="21">
        <f>'[1]1нед'!W18</f>
        <v>0</v>
      </c>
      <c r="G18" s="22" t="str">
        <f>'[1]1нед'!X18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'[1]2нед'!S18</f>
        <v>0</v>
      </c>
      <c r="M18" s="23">
        <f>'[1]2нед'!T18</f>
        <v>0</v>
      </c>
      <c r="N18" s="21">
        <f>'[1]2нед'!W18</f>
        <v>0</v>
      </c>
      <c r="O18" s="22" t="str">
        <f>'[1]2нед'!X18</f>
        <v/>
      </c>
      <c r="P18" s="55" t="str">
        <f>HYPERLINK(VLOOKUP(M18,$R$12:$S$180,2,FALSE))</f>
        <v/>
      </c>
      <c r="R18" s="51" t="str">
        <f>[2]Уч.План!B116</f>
        <v>Программное обеспечение систем и сетей</v>
      </c>
      <c r="S18" s="60" t="s">
        <v>42</v>
      </c>
    </row>
    <row r="19" spans="1:19" ht="32.25" customHeight="1" thickBot="1" x14ac:dyDescent="0.25">
      <c r="A19" s="83"/>
      <c r="B19" s="86"/>
      <c r="C19" s="15"/>
      <c r="D19" s="24">
        <f>'[1]1нед'!S19</f>
        <v>0</v>
      </c>
      <c r="E19" s="25">
        <f>'[1]1нед'!T19</f>
        <v>0</v>
      </c>
      <c r="F19" s="26">
        <f>'[1]1нед'!W19</f>
        <v>0</v>
      </c>
      <c r="G19" s="27" t="str">
        <f>'[1]1нед'!X19</f>
        <v/>
      </c>
      <c r="H19" s="58" t="str">
        <f>HYPERLINK(VLOOKUP(E19,$R$12:$S$180,2,FALSE))</f>
        <v/>
      </c>
      <c r="I19" s="72"/>
      <c r="J19" s="89"/>
      <c r="K19" s="15"/>
      <c r="L19" s="24">
        <f>'[1]2нед'!S19</f>
        <v>0</v>
      </c>
      <c r="M19" s="25">
        <f>'[1]2нед'!T19</f>
        <v>0</v>
      </c>
      <c r="N19" s="26">
        <f>'[1]2нед'!W19</f>
        <v>0</v>
      </c>
      <c r="O19" s="27" t="str">
        <f>'[1]2нед'!X19</f>
        <v/>
      </c>
      <c r="P19" s="58" t="str">
        <f>HYPERLINK(VLOOKUP(M19,$R$12:$S$180,2,FALSE))</f>
        <v/>
      </c>
      <c r="R19" s="51" t="str">
        <f>[2]Уч.План!B117</f>
        <v>Математический анализ</v>
      </c>
      <c r="S19" s="60" t="s">
        <v>42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</f>
        <v>0</v>
      </c>
      <c r="E20" s="19">
        <f>'[1]1нед'!T20</f>
        <v>0</v>
      </c>
      <c r="F20" s="17">
        <f>'[1]1нед'!W20</f>
        <v>0</v>
      </c>
      <c r="G20" s="18" t="str">
        <f>'[1]1нед'!X20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'[1]2нед'!S20</f>
        <v>0</v>
      </c>
      <c r="M20" s="19">
        <f>'[1]2нед'!T20</f>
        <v>0</v>
      </c>
      <c r="N20" s="17">
        <f>'[1]2нед'!W20</f>
        <v>0</v>
      </c>
      <c r="O20" s="18" t="str">
        <f>'[1]2нед'!X20</f>
        <v/>
      </c>
      <c r="P20" s="56" t="str">
        <f>HYPERLINK(VLOOKUP(M20,$R$12:$S$180,2,FALSE))</f>
        <v/>
      </c>
      <c r="R20" s="51" t="str">
        <f>[2]Уч.План!B118</f>
        <v>Геометрия</v>
      </c>
      <c r="S20" s="60" t="s">
        <v>42</v>
      </c>
    </row>
    <row r="21" spans="1:19" ht="31.5" x14ac:dyDescent="0.2">
      <c r="A21" s="82"/>
      <c r="B21" s="85"/>
      <c r="C21" s="14" t="s">
        <v>19</v>
      </c>
      <c r="D21" s="20">
        <f>'[1]1нед'!S21</f>
        <v>0</v>
      </c>
      <c r="E21" s="23">
        <f>'[1]1нед'!T21</f>
        <v>0</v>
      </c>
      <c r="F21" s="21">
        <f>'[1]1нед'!W21</f>
        <v>0</v>
      </c>
      <c r="G21" s="22" t="str">
        <f>'[1]1нед'!X21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'[1]2нед'!S21</f>
        <v>0</v>
      </c>
      <c r="M21" s="23">
        <f>'[1]2нед'!T21</f>
        <v>0</v>
      </c>
      <c r="N21" s="21">
        <f>'[1]2нед'!W21</f>
        <v>0</v>
      </c>
      <c r="O21" s="22" t="str">
        <f>'[1]2нед'!X21</f>
        <v/>
      </c>
      <c r="P21" s="57" t="str">
        <f>HYPERLINK(VLOOKUP(M21,$R$12:$S$180,2,FALSE))</f>
        <v/>
      </c>
      <c r="R21" s="51" t="str">
        <f>[2]Уч.План!B119</f>
        <v>Алгебра</v>
      </c>
      <c r="S21" s="60" t="s">
        <v>42</v>
      </c>
    </row>
    <row r="22" spans="1:19" ht="37.5" x14ac:dyDescent="0.2">
      <c r="A22" s="82"/>
      <c r="B22" s="85"/>
      <c r="C22" s="14" t="s">
        <v>20</v>
      </c>
      <c r="D22" s="20">
        <f>'[1]1нед'!S22</f>
        <v>0</v>
      </c>
      <c r="E22" s="23">
        <f>'[1]1нед'!T22</f>
        <v>0</v>
      </c>
      <c r="F22" s="21">
        <f>'[1]1нед'!W22</f>
        <v>0</v>
      </c>
      <c r="G22" s="22" t="str">
        <f>'[1]1нед'!X22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'[1]2нед'!S22</f>
        <v>л</v>
      </c>
      <c r="M22" s="23" t="str">
        <f>'[1]2нед'!T22</f>
        <v>Технологии цифрового образования</v>
      </c>
      <c r="N22" s="21" t="str">
        <f>'[1]2нед'!W22</f>
        <v>Шевченко Е.Н.</v>
      </c>
      <c r="O22" s="22" t="str">
        <f>'[1]2нед'!X22</f>
        <v>ст. преподаватель</v>
      </c>
      <c r="P22" s="57" t="str">
        <f>HYPERLINK(VLOOKUP(M22,$R$12:$S$180,2,FALSE))</f>
        <v>https://max.ru/join/QktsjGaw5ToZMymwQv4u7TZ1a5jhx2Meh1Xg11Ht-o8</v>
      </c>
      <c r="R22" s="51" t="str">
        <f>[2]Уч.План!B120</f>
        <v>Обучение служением</v>
      </c>
      <c r="S22" s="54" t="s">
        <v>37</v>
      </c>
    </row>
    <row r="23" spans="1:19" ht="35.25" customHeight="1" x14ac:dyDescent="0.2">
      <c r="A23" s="82"/>
      <c r="B23" s="85"/>
      <c r="C23" s="14" t="s">
        <v>21</v>
      </c>
      <c r="D23" s="20">
        <f>'[1]1нед'!S23</f>
        <v>0</v>
      </c>
      <c r="E23" s="23">
        <f>'[1]1нед'!T23</f>
        <v>0</v>
      </c>
      <c r="F23" s="21">
        <f>'[1]1нед'!W23</f>
        <v>0</v>
      </c>
      <c r="G23" s="22" t="str">
        <f>'[1]1нед'!X23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'[1]2нед'!S23</f>
        <v>л</v>
      </c>
      <c r="M23" s="23" t="str">
        <f>'[1]2нед'!T23</f>
        <v>Обучение служением</v>
      </c>
      <c r="N23" s="21" t="str">
        <f>'[1]2нед'!W23</f>
        <v>Вишневский В.А.</v>
      </c>
      <c r="O23" s="22" t="str">
        <f>'[1]2нед'!X23</f>
        <v>доцент, канд. наук</v>
      </c>
      <c r="P23" s="57" t="str">
        <f>HYPERLINK(VLOOKUP(M23,$R$12:$S$180,2,FALSE))</f>
        <v>https://max.ru/join/0MiRK0GUpSTCrtKMGu5ke9BatSupdkYkm3PEezrq5xw</v>
      </c>
      <c r="R23" s="51" t="str">
        <f>[2]Уч.План!B121</f>
        <v xml:space="preserve"> Математический анализ</v>
      </c>
      <c r="S23" s="60" t="s">
        <v>42</v>
      </c>
    </row>
    <row r="24" spans="1:19" ht="31.5" x14ac:dyDescent="0.2">
      <c r="A24" s="82"/>
      <c r="B24" s="85"/>
      <c r="C24" s="14" t="s">
        <v>22</v>
      </c>
      <c r="D24" s="20">
        <f>'[1]1нед'!S24</f>
        <v>0</v>
      </c>
      <c r="E24" s="23">
        <f>'[1]1нед'!T24</f>
        <v>0</v>
      </c>
      <c r="F24" s="21">
        <f>'[1]1нед'!W24</f>
        <v>0</v>
      </c>
      <c r="G24" s="22" t="str">
        <f>'[1]1нед'!X24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'[1]2нед'!S24</f>
        <v>0</v>
      </c>
      <c r="M24" s="23">
        <f>'[1]2нед'!T24</f>
        <v>0</v>
      </c>
      <c r="N24" s="21">
        <f>'[1]2нед'!W24</f>
        <v>0</v>
      </c>
      <c r="O24" s="22" t="str">
        <f>'[1]2нед'!X24</f>
        <v/>
      </c>
      <c r="P24" s="57" t="str">
        <f>HYPERLINK(VLOOKUP(M24,$R$12:$S$180,2,FALSE))</f>
        <v/>
      </c>
      <c r="R24" s="51" t="str">
        <f>[2]Уч.План!B122</f>
        <v xml:space="preserve"> Обучение служением</v>
      </c>
      <c r="S24" s="60" t="s">
        <v>40</v>
      </c>
    </row>
    <row r="25" spans="1:19" ht="31.5" x14ac:dyDescent="0.2">
      <c r="A25" s="82"/>
      <c r="B25" s="85"/>
      <c r="C25" s="14" t="s">
        <v>23</v>
      </c>
      <c r="D25" s="20">
        <f>'[1]1нед'!S25</f>
        <v>0</v>
      </c>
      <c r="E25" s="23">
        <f>'[1]1нед'!T25</f>
        <v>0</v>
      </c>
      <c r="F25" s="21">
        <f>'[1]1нед'!W25</f>
        <v>0</v>
      </c>
      <c r="G25" s="22" t="str">
        <f>'[1]1нед'!X25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'[1]2нед'!S25</f>
        <v>0</v>
      </c>
      <c r="M25" s="23">
        <f>'[1]2нед'!T25</f>
        <v>0</v>
      </c>
      <c r="N25" s="21">
        <f>'[1]2нед'!W25</f>
        <v>0</v>
      </c>
      <c r="O25" s="22" t="str">
        <f>'[1]2нед'!X25</f>
        <v/>
      </c>
      <c r="P25" s="57" t="str">
        <f>HYPERLINK(VLOOKUP(M25,$R$12:$S$180,2,FALSE))</f>
        <v/>
      </c>
      <c r="R25" s="51" t="str">
        <f>[2]Уч.План!B123</f>
        <v xml:space="preserve"> Основы российской государственности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'[1]1нед'!S26</f>
        <v>0</v>
      </c>
      <c r="E26" s="23">
        <f>'[1]1нед'!T26</f>
        <v>0</v>
      </c>
      <c r="F26" s="21">
        <f>'[1]1нед'!W26</f>
        <v>0</v>
      </c>
      <c r="G26" s="22" t="str">
        <f>'[1]1нед'!X26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'[1]2нед'!S26</f>
        <v>0</v>
      </c>
      <c r="M26" s="23">
        <f>'[1]2нед'!T26</f>
        <v>0</v>
      </c>
      <c r="N26" s="21">
        <f>'[1]2нед'!W26</f>
        <v>0</v>
      </c>
      <c r="O26" s="22" t="str">
        <f>'[1]2нед'!X26</f>
        <v/>
      </c>
      <c r="P26" s="57" t="str">
        <f>HYPERLINK(VLOOKUP(M26,$R$12:$S$180,2,FALSE))</f>
        <v/>
      </c>
      <c r="R26" s="51" t="str">
        <f>[2]Уч.План!B124</f>
        <v xml:space="preserve"> Технологии цифрового образования</v>
      </c>
      <c r="S26" s="60" t="s">
        <v>40</v>
      </c>
    </row>
    <row r="27" spans="1:19" ht="33.4" customHeight="1" thickBot="1" x14ac:dyDescent="0.25">
      <c r="A27" s="83"/>
      <c r="B27" s="86"/>
      <c r="C27" s="15"/>
      <c r="D27" s="24">
        <f>'[1]1нед'!S27</f>
        <v>0</v>
      </c>
      <c r="E27" s="25">
        <f>'[1]1нед'!T27</f>
        <v>0</v>
      </c>
      <c r="F27" s="26">
        <f>'[1]1нед'!W27</f>
        <v>0</v>
      </c>
      <c r="G27" s="27" t="str">
        <f>'[1]1нед'!X27</f>
        <v/>
      </c>
      <c r="H27" s="58" t="str">
        <f>HYPERLINK(VLOOKUP(E27,$R$12:$S$180,2,FALSE))</f>
        <v/>
      </c>
      <c r="I27" s="72"/>
      <c r="J27" s="89"/>
      <c r="K27" s="15"/>
      <c r="L27" s="24">
        <f>'[1]2нед'!S27</f>
        <v>0</v>
      </c>
      <c r="M27" s="25">
        <f>'[1]2нед'!T27</f>
        <v>0</v>
      </c>
      <c r="N27" s="26">
        <f>'[1]2нед'!W27</f>
        <v>0</v>
      </c>
      <c r="O27" s="27" t="str">
        <f>'[1]2нед'!X27</f>
        <v/>
      </c>
      <c r="P27" s="58" t="str">
        <f>HYPERLINK(VLOOKUP(M27,$R$12:$S$180,2,FALSE))</f>
        <v/>
      </c>
      <c r="R27" s="51" t="str">
        <f>[2]Уч.План!B125</f>
        <v xml:space="preserve"> История России</v>
      </c>
      <c r="S27" s="60" t="s">
        <v>40</v>
      </c>
    </row>
    <row r="28" spans="1:19" ht="42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'[1]1нед'!S28</f>
        <v>л</v>
      </c>
      <c r="E28" s="19" t="str">
        <f>'[1]1нед'!T28</f>
        <v>Основы российской государственности</v>
      </c>
      <c r="F28" s="17" t="str">
        <f>'[1]1нед'!W28</f>
        <v>Вишневский С.А.</v>
      </c>
      <c r="G28" s="18" t="str">
        <f>'[1]1нед'!X28</f>
        <v>доцент, канд. наук</v>
      </c>
      <c r="H28" s="56" t="str">
        <f>HYPERLINK(VLOOKUP(E28,$R$12:$S$180,2,FALSE))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'[1]2нед'!S28</f>
        <v>л</v>
      </c>
      <c r="M28" s="19" t="str">
        <f>'[1]2нед'!T28</f>
        <v>Основы российской государственности</v>
      </c>
      <c r="N28" s="17" t="str">
        <f>'[1]2нед'!W28</f>
        <v>Вишневский С.А.</v>
      </c>
      <c r="O28" s="18" t="str">
        <f>'[1]2нед'!X28</f>
        <v>доцент, канд. наук</v>
      </c>
      <c r="P28" s="56" t="str">
        <f>HYPERLINK(VLOOKUP(M28,$R$12:$S$180,2,FALSE))</f>
        <v>https://max.ru/join/UK1-XZ_XTqTQMkUzITZ-AvDWmTQjDawZvR5fkupR8eE</v>
      </c>
      <c r="R28" s="51" t="str">
        <f>[2]Уч.План!B126</f>
        <v xml:space="preserve"> Возрастная анатомия, физиология и культура здоровья</v>
      </c>
      <c r="S28" s="60" t="s">
        <v>43</v>
      </c>
    </row>
    <row r="29" spans="1:19" ht="31.5" x14ac:dyDescent="0.2">
      <c r="A29" s="82"/>
      <c r="B29" s="68"/>
      <c r="C29" s="14" t="s">
        <v>19</v>
      </c>
      <c r="D29" s="20">
        <f>'[1]1нед'!S29</f>
        <v>0</v>
      </c>
      <c r="E29" s="23">
        <f>'[1]1нед'!T29</f>
        <v>0</v>
      </c>
      <c r="F29" s="21">
        <f>'[1]1нед'!W29</f>
        <v>0</v>
      </c>
      <c r="G29" s="22" t="str">
        <f>'[1]1нед'!X29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'[1]2нед'!S29</f>
        <v>0</v>
      </c>
      <c r="M29" s="23">
        <f>'[1]2нед'!T29</f>
        <v>0</v>
      </c>
      <c r="N29" s="21">
        <f>'[1]2нед'!W29</f>
        <v>0</v>
      </c>
      <c r="O29" s="22" t="str">
        <f>'[1]2нед'!X29</f>
        <v/>
      </c>
      <c r="P29" s="57" t="str">
        <f>HYPERLINK(VLOOKUP(M29,$R$12:$S$180,2,FALSE))</f>
        <v/>
      </c>
      <c r="R29" s="51">
        <f>[2]Уч.План!B127</f>
        <v>0</v>
      </c>
      <c r="S29" s="51"/>
    </row>
    <row r="30" spans="1:19" ht="37.5" x14ac:dyDescent="0.2">
      <c r="A30" s="82"/>
      <c r="B30" s="68"/>
      <c r="C30" s="14" t="s">
        <v>20</v>
      </c>
      <c r="D30" s="20">
        <f>'[1]1нед'!S30</f>
        <v>0</v>
      </c>
      <c r="E30" s="23">
        <f>'[1]1нед'!T30</f>
        <v>0</v>
      </c>
      <c r="F30" s="21">
        <f>'[1]1нед'!W30</f>
        <v>0</v>
      </c>
      <c r="G30" s="22" t="str">
        <f>'[1]1нед'!X30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 t="str">
        <f>'[1]2нед'!S30</f>
        <v>л</v>
      </c>
      <c r="M30" s="23" t="str">
        <f>'[1]2нед'!T30</f>
        <v>Геометрия</v>
      </c>
      <c r="N30" s="21" t="str">
        <f>'[1]2нед'!W30</f>
        <v>Казанцев Ю.А.</v>
      </c>
      <c r="O30" s="22" t="str">
        <f>'[1]2нед'!X30</f>
        <v>ст. преподаватель</v>
      </c>
      <c r="P30" s="57" t="str">
        <f>HYPERLINK(VLOOKUP(M30,$R$12:$S$180,2,FALSE))</f>
        <v>https://max.ru/join/OH6fDuRVjPmIa0jo8bkpQ88VaCOt5qUj0lgw60QfR6E</v>
      </c>
      <c r="R30" s="51">
        <f>[2]Уч.План!B128</f>
        <v>0</v>
      </c>
      <c r="S30" s="51"/>
    </row>
    <row r="31" spans="1:19" ht="37.5" x14ac:dyDescent="0.2">
      <c r="A31" s="82"/>
      <c r="B31" s="68"/>
      <c r="C31" s="14" t="s">
        <v>21</v>
      </c>
      <c r="D31" s="20">
        <f>'[1]1нед'!S31</f>
        <v>0</v>
      </c>
      <c r="E31" s="23">
        <f>'[1]1нед'!T31</f>
        <v>0</v>
      </c>
      <c r="F31" s="21">
        <f>'[1]1нед'!W31</f>
        <v>0</v>
      </c>
      <c r="G31" s="22" t="str">
        <f>'[1]1нед'!X31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 t="str">
        <f>'[1]2нед'!S31</f>
        <v>л</v>
      </c>
      <c r="M31" s="23" t="str">
        <f>'[1]2нед'!T31</f>
        <v>Алгебра</v>
      </c>
      <c r="N31" s="21" t="str">
        <f>'[1]2нед'!W31</f>
        <v>Овчинникова М.В.</v>
      </c>
      <c r="O31" s="22" t="str">
        <f>'[1]2нед'!X31</f>
        <v>доцент, канд. наук</v>
      </c>
      <c r="P31" s="57" t="str">
        <f>HYPERLINK(VLOOKUP(M31,$R$12:$S$180,2,FALSE))</f>
        <v>https://max.ru/join/OH6fDuRVjPmIa0jo8bkpQ88VaCOt5qUj0lgw60QfR6E</v>
      </c>
    </row>
    <row r="32" spans="1:19" ht="31.5" x14ac:dyDescent="0.2">
      <c r="A32" s="82"/>
      <c r="B32" s="68"/>
      <c r="C32" s="14" t="s">
        <v>22</v>
      </c>
      <c r="D32" s="20">
        <f>'[1]1нед'!S32</f>
        <v>0</v>
      </c>
      <c r="E32" s="23">
        <f>'[1]1нед'!T32</f>
        <v>0</v>
      </c>
      <c r="F32" s="21">
        <f>'[1]1нед'!W32</f>
        <v>0</v>
      </c>
      <c r="G32" s="22" t="str">
        <f>'[1]1нед'!X32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'[1]2нед'!S32</f>
        <v>0</v>
      </c>
      <c r="M32" s="23">
        <f>'[1]2нед'!T32</f>
        <v>0</v>
      </c>
      <c r="N32" s="21">
        <f>'[1]2нед'!W32</f>
        <v>0</v>
      </c>
      <c r="O32" s="22" t="str">
        <f>'[1]2нед'!X32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'[1]1нед'!S33</f>
        <v>0</v>
      </c>
      <c r="E33" s="23">
        <f>'[1]1нед'!T33</f>
        <v>0</v>
      </c>
      <c r="F33" s="21">
        <f>'[1]1нед'!W33</f>
        <v>0</v>
      </c>
      <c r="G33" s="22" t="str">
        <f>'[1]1нед'!X33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'[1]2нед'!S33</f>
        <v>0</v>
      </c>
      <c r="M33" s="23">
        <f>'[1]2нед'!T33</f>
        <v>0</v>
      </c>
      <c r="N33" s="21">
        <f>'[1]2нед'!W33</f>
        <v>0</v>
      </c>
      <c r="O33" s="22" t="str">
        <f>'[1]2нед'!X33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'[1]1нед'!S34</f>
        <v>0</v>
      </c>
      <c r="E34" s="23">
        <f>'[1]1нед'!T34</f>
        <v>0</v>
      </c>
      <c r="F34" s="21">
        <f>'[1]1нед'!W34</f>
        <v>0</v>
      </c>
      <c r="G34" s="22" t="str">
        <f>'[1]1нед'!X34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'[1]2нед'!S34</f>
        <v>0</v>
      </c>
      <c r="M34" s="23">
        <f>'[1]2нед'!T34</f>
        <v>0</v>
      </c>
      <c r="N34" s="21">
        <f>'[1]2нед'!W34</f>
        <v>0</v>
      </c>
      <c r="O34" s="22" t="str">
        <f>'[1]2нед'!X34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'[1]1нед'!S35</f>
        <v>0</v>
      </c>
      <c r="E35" s="25">
        <f>'[1]1нед'!T35</f>
        <v>0</v>
      </c>
      <c r="F35" s="26">
        <f>'[1]1нед'!W35</f>
        <v>0</v>
      </c>
      <c r="G35" s="27" t="str">
        <f>'[1]1нед'!X35</f>
        <v/>
      </c>
      <c r="H35" s="58" t="str">
        <f>HYPERLINK(VLOOKUP(E35,$R$12:$S$180,2,FALSE))</f>
        <v/>
      </c>
      <c r="I35" s="72"/>
      <c r="J35" s="75"/>
      <c r="K35" s="15"/>
      <c r="L35" s="24">
        <f>'[1]2нед'!S35</f>
        <v>0</v>
      </c>
      <c r="M35" s="25">
        <f>'[1]2нед'!T35</f>
        <v>0</v>
      </c>
      <c r="N35" s="26">
        <f>'[1]2нед'!W35</f>
        <v>0</v>
      </c>
      <c r="O35" s="27" t="str">
        <f>'[1]2нед'!X35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'[1]1нед'!S36</f>
        <v>0</v>
      </c>
      <c r="E36" s="19">
        <f>'[1]1нед'!T36</f>
        <v>0</v>
      </c>
      <c r="F36" s="17">
        <f>'[1]1нед'!W36</f>
        <v>0</v>
      </c>
      <c r="G36" s="18" t="str">
        <f>'[1]1нед'!X36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 t="str">
        <f>'[1]2нед'!S36</f>
        <v>пр</v>
      </c>
      <c r="M36" s="19" t="str">
        <f>'[1]2нед'!T36</f>
        <v xml:space="preserve"> Основы российской государственности</v>
      </c>
      <c r="N36" s="17" t="str">
        <f>'[1]2нед'!W36</f>
        <v>Лысенко Е.Г.</v>
      </c>
      <c r="O36" s="18" t="str">
        <f>'[1]2нед'!X36</f>
        <v>доцент, канд. наук</v>
      </c>
      <c r="P36" s="56" t="str">
        <f>HYPERLINK(VLOOKUP(M36,$R$12:$S$180,2,FALSE))</f>
        <v>https://max.ru/join/otW8lgS1PqJ5ZhmtKc1Abb8BfYMXnmtaMD7qcLUGCxg</v>
      </c>
    </row>
    <row r="37" spans="1:16" ht="37.5" x14ac:dyDescent="0.2">
      <c r="A37" s="82"/>
      <c r="B37" s="85"/>
      <c r="C37" s="14" t="s">
        <v>19</v>
      </c>
      <c r="D37" s="20" t="str">
        <f>'[1]1нед'!S37</f>
        <v>л</v>
      </c>
      <c r="E37" s="23" t="str">
        <f>'[1]1нед'!T37</f>
        <v>Геометрия</v>
      </c>
      <c r="F37" s="21" t="str">
        <f>'[1]1нед'!W37</f>
        <v>Казанцев Ю.А.</v>
      </c>
      <c r="G37" s="22" t="str">
        <f>'[1]1нед'!X37</f>
        <v>ст. преподаватель</v>
      </c>
      <c r="H37" s="57" t="str">
        <f>HYPERLINK(VLOOKUP(E37,$R$12:$S$180,2,FALSE))</f>
        <v>https://max.ru/join/OH6fDuRVjPmIa0jo8bkpQ88VaCOt5qUj0lgw60QfR6E</v>
      </c>
      <c r="I37" s="71"/>
      <c r="J37" s="88"/>
      <c r="K37" s="14" t="s">
        <v>19</v>
      </c>
      <c r="L37" s="20">
        <f>'[1]2нед'!S37</f>
        <v>0</v>
      </c>
      <c r="M37" s="23">
        <f>'[1]2нед'!T37</f>
        <v>0</v>
      </c>
      <c r="N37" s="21">
        <f>'[1]2нед'!W37</f>
        <v>0</v>
      </c>
      <c r="O37" s="22" t="str">
        <f>'[1]2нед'!X37</f>
        <v/>
      </c>
      <c r="P37" s="57" t="str">
        <f>HYPERLINK(VLOOKUP(M37,$R$12:$S$180,2,FALSE))</f>
        <v/>
      </c>
    </row>
    <row r="38" spans="1:16" ht="37.5" x14ac:dyDescent="0.2">
      <c r="A38" s="82"/>
      <c r="B38" s="85"/>
      <c r="C38" s="14" t="s">
        <v>20</v>
      </c>
      <c r="D38" s="20">
        <f>'[1]1нед'!S38</f>
        <v>0</v>
      </c>
      <c r="E38" s="23">
        <f>'[1]1нед'!T38</f>
        <v>0</v>
      </c>
      <c r="F38" s="21">
        <f>'[1]1нед'!W38</f>
        <v>0</v>
      </c>
      <c r="G38" s="22" t="str">
        <f>'[1]1нед'!X38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 t="str">
        <f>'[1]2нед'!S38</f>
        <v>л</v>
      </c>
      <c r="M38" s="23" t="str">
        <f>'[1]2нед'!T38</f>
        <v>Алгебра</v>
      </c>
      <c r="N38" s="21" t="str">
        <f>'[1]2нед'!W38</f>
        <v>Овчинникова М.В.</v>
      </c>
      <c r="O38" s="22" t="str">
        <f>'[1]2нед'!X38</f>
        <v>доцент, канд. наук</v>
      </c>
      <c r="P38" s="57" t="str">
        <f>HYPERLINK(VLOOKUP(M38,$R$12:$S$180,2,FALSE))</f>
        <v>https://max.ru/join/OH6fDuRVjPmIa0jo8bkpQ88VaCOt5qUj0lgw60QfR6E</v>
      </c>
    </row>
    <row r="39" spans="1:16" ht="37.5" x14ac:dyDescent="0.2">
      <c r="A39" s="82"/>
      <c r="B39" s="85"/>
      <c r="C39" s="14" t="s">
        <v>21</v>
      </c>
      <c r="D39" s="20">
        <f>'[1]1нед'!S39</f>
        <v>0</v>
      </c>
      <c r="E39" s="23">
        <f>'[1]1нед'!T39</f>
        <v>0</v>
      </c>
      <c r="F39" s="21">
        <f>'[1]1нед'!W39</f>
        <v>0</v>
      </c>
      <c r="G39" s="22" t="str">
        <f>'[1]1нед'!X39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'[1]2нед'!S39</f>
        <v>пр</v>
      </c>
      <c r="M39" s="23" t="str">
        <f>'[1]2нед'!T39</f>
        <v xml:space="preserve"> Возрастная анатомия, физиология и культура здоровья</v>
      </c>
      <c r="N39" s="21" t="str">
        <f>'[1]2нед'!W39</f>
        <v>Тотоева О.Н.</v>
      </c>
      <c r="O39" s="22" t="str">
        <f>'[1]2нед'!X39</f>
        <v>доцент, канд. наук</v>
      </c>
      <c r="P39" s="57" t="str">
        <f>HYPERLINK(VLOOKUP(M39,$R$12:$S$180,2,FALSE))</f>
        <v>https://max.ru/join/RrwhTNjGuc3DgsCx989HtQjNPhbdkA4EOwQlUrySmIY</v>
      </c>
    </row>
    <row r="40" spans="1:16" ht="31.5" x14ac:dyDescent="0.2">
      <c r="A40" s="82"/>
      <c r="B40" s="85"/>
      <c r="C40" s="14" t="s">
        <v>22</v>
      </c>
      <c r="D40" s="20">
        <f>'[1]1нед'!S40</f>
        <v>0</v>
      </c>
      <c r="E40" s="23">
        <f>'[1]1нед'!T40</f>
        <v>0</v>
      </c>
      <c r="F40" s="21">
        <f>'[1]1нед'!W40</f>
        <v>0</v>
      </c>
      <c r="G40" s="22" t="str">
        <f>'[1]1нед'!X40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'[1]2нед'!S40</f>
        <v>0</v>
      </c>
      <c r="M40" s="23">
        <f>'[1]2нед'!T40</f>
        <v>0</v>
      </c>
      <c r="N40" s="21">
        <f>'[1]2нед'!W40</f>
        <v>0</v>
      </c>
      <c r="O40" s="22" t="str">
        <f>'[1]2нед'!X40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'[1]1нед'!S41</f>
        <v>0</v>
      </c>
      <c r="E41" s="23">
        <f>'[1]1нед'!T41</f>
        <v>0</v>
      </c>
      <c r="F41" s="21">
        <f>'[1]1нед'!W41</f>
        <v>0</v>
      </c>
      <c r="G41" s="22" t="str">
        <f>'[1]1нед'!X41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'[1]2нед'!S41</f>
        <v>0</v>
      </c>
      <c r="M41" s="23">
        <f>'[1]2нед'!T41</f>
        <v>0</v>
      </c>
      <c r="N41" s="21">
        <f>'[1]2нед'!W41</f>
        <v>0</v>
      </c>
      <c r="O41" s="22" t="str">
        <f>'[1]2нед'!X41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'[1]1нед'!S42</f>
        <v>0</v>
      </c>
      <c r="E42" s="23">
        <f>'[1]1нед'!T42</f>
        <v>0</v>
      </c>
      <c r="F42" s="21">
        <f>'[1]1нед'!W42</f>
        <v>0</v>
      </c>
      <c r="G42" s="22" t="str">
        <f>'[1]1нед'!X42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'[1]2нед'!S42</f>
        <v>0</v>
      </c>
      <c r="M42" s="23">
        <f>'[1]2нед'!T42</f>
        <v>0</v>
      </c>
      <c r="N42" s="21">
        <f>'[1]2нед'!W42</f>
        <v>0</v>
      </c>
      <c r="O42" s="22" t="str">
        <f>'[1]2нед'!X42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'[1]1нед'!S43</f>
        <v>0</v>
      </c>
      <c r="E43" s="25">
        <f>'[1]1нед'!T43</f>
        <v>0</v>
      </c>
      <c r="F43" s="26">
        <f>'[1]1нед'!W43</f>
        <v>0</v>
      </c>
      <c r="G43" s="27" t="str">
        <f>'[1]1нед'!X43</f>
        <v/>
      </c>
      <c r="H43" s="58" t="str">
        <f>HYPERLINK(VLOOKUP(E43,$R$12:$S$180,2,FALSE))</f>
        <v/>
      </c>
      <c r="I43" s="72"/>
      <c r="J43" s="89"/>
      <c r="K43" s="15"/>
      <c r="L43" s="24">
        <f>'[1]2нед'!S43</f>
        <v>0</v>
      </c>
      <c r="M43" s="25">
        <f>'[1]2нед'!T43</f>
        <v>0</v>
      </c>
      <c r="N43" s="26">
        <f>'[1]2нед'!W43</f>
        <v>0</v>
      </c>
      <c r="O43" s="27" t="str">
        <f>'[1]2нед'!X43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'[1]1нед'!S44</f>
        <v>пр</v>
      </c>
      <c r="E44" s="19" t="str">
        <f>'[1]1нед'!T44</f>
        <v xml:space="preserve"> Основы российской государственности</v>
      </c>
      <c r="F44" s="17" t="str">
        <f>'[1]1нед'!W44</f>
        <v>Лысенко Е.Г.</v>
      </c>
      <c r="G44" s="18" t="str">
        <f>'[1]1нед'!X44</f>
        <v>доцент, канд. наук</v>
      </c>
      <c r="H44" s="56" t="str">
        <f>HYPERLINK(VLOOKUP(E44,$R$12:$S$180,2,FALSE))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 t="str">
        <f>'[1]2нед'!S44</f>
        <v>пр</v>
      </c>
      <c r="M44" s="19" t="str">
        <f>'[1]2нед'!T44</f>
        <v xml:space="preserve"> Математический анализ</v>
      </c>
      <c r="N44" s="17" t="str">
        <f>'[1]2нед'!W44</f>
        <v>Якимова В.В.</v>
      </c>
      <c r="O44" s="18" t="str">
        <f>'[1]2нед'!X44</f>
        <v>ст. преподаватель</v>
      </c>
      <c r="P44" s="56" t="str">
        <f>HYPERLINK(VLOOKUP(M44,$R$12:$S$180,2,FALSE))</f>
        <v>https://max.ru/join/OH6fDuRVjPmIa0jo8bkpQ88VaCOt5qUj0lgw60QfR6E</v>
      </c>
    </row>
    <row r="45" spans="1:16" ht="37.5" x14ac:dyDescent="0.2">
      <c r="A45" s="82"/>
      <c r="B45" s="85"/>
      <c r="C45" s="14" t="s">
        <v>19</v>
      </c>
      <c r="D45" s="20" t="str">
        <f>'[1]1нед'!S45</f>
        <v>л</v>
      </c>
      <c r="E45" s="23" t="str">
        <f>'[1]1нед'!T45</f>
        <v>Программное обеспечение систем и сетей</v>
      </c>
      <c r="F45" s="21" t="str">
        <f>'[1]1нед'!W45</f>
        <v>Алешов В.В.</v>
      </c>
      <c r="G45" s="22" t="str">
        <f>'[1]1нед'!X45</f>
        <v>ст. преподаватель</v>
      </c>
      <c r="H45" s="57" t="str">
        <f>HYPERLINK(VLOOKUP(E45,$R$12:$S$180,2,FALSE))</f>
        <v>https://max.ru/join/OH6fDuRVjPmIa0jo8bkpQ88VaCOt5qUj0lgw60QfR6E</v>
      </c>
      <c r="I45" s="71"/>
      <c r="J45" s="88"/>
      <c r="K45" s="14" t="s">
        <v>19</v>
      </c>
      <c r="L45" s="20" t="str">
        <f>'[1]2нед'!S45</f>
        <v>пр</v>
      </c>
      <c r="M45" s="23" t="str">
        <f>'[1]2нед'!T45</f>
        <v xml:space="preserve"> История России</v>
      </c>
      <c r="N45" s="21" t="str">
        <f>'[1]2нед'!W45</f>
        <v>Сальников В.И.</v>
      </c>
      <c r="O45" s="22" t="str">
        <f>'[1]2нед'!X45</f>
        <v>доцент, канд. наук</v>
      </c>
      <c r="P45" s="57" t="str">
        <f>HYPERLINK(VLOOKUP(M45,$R$12:$S$180,2,FALSE))</f>
        <v>https://max.ru/join/otW8lgS1PqJ5ZhmtKc1Abb8BfYMXnmtaMD7qcLUGCxg</v>
      </c>
    </row>
    <row r="46" spans="1:16" ht="37.5" x14ac:dyDescent="0.2">
      <c r="A46" s="82"/>
      <c r="B46" s="85"/>
      <c r="C46" s="14" t="s">
        <v>20</v>
      </c>
      <c r="D46" s="20" t="str">
        <f>'[1]1нед'!S46</f>
        <v>пр</v>
      </c>
      <c r="E46" s="23" t="str">
        <f>'[1]1нед'!T46</f>
        <v>Программное обеспечение систем и сетей</v>
      </c>
      <c r="F46" s="21" t="str">
        <f>'[1]1нед'!W46</f>
        <v>Алешов В.В.</v>
      </c>
      <c r="G46" s="22" t="str">
        <f>'[1]1нед'!X46</f>
        <v>ст. преподаватель</v>
      </c>
      <c r="H46" s="57" t="str">
        <f>HYPERLINK(VLOOKUP(E46,$R$12:$S$180,2,FALSE))</f>
        <v>https://max.ru/join/OH6fDuRVjPmIa0jo8bkpQ88VaCOt5qUj0lgw60QfR6E</v>
      </c>
      <c r="I46" s="71"/>
      <c r="J46" s="88"/>
      <c r="K46" s="14" t="s">
        <v>20</v>
      </c>
      <c r="L46" s="20" t="str">
        <f>'[1]2нед'!S46</f>
        <v>л</v>
      </c>
      <c r="M46" s="23" t="str">
        <f>'[1]2нед'!T46</f>
        <v>Программное обеспечение систем и сетей</v>
      </c>
      <c r="N46" s="21" t="str">
        <f>'[1]2нед'!W46</f>
        <v>Алешов В.В.</v>
      </c>
      <c r="O46" s="22" t="str">
        <f>'[1]2нед'!X46</f>
        <v>ст. преподаватель</v>
      </c>
      <c r="P46" s="57" t="str">
        <f>HYPERLINK(VLOOKUP(M46,$R$12:$S$180,2,FALSE))</f>
        <v>https://max.ru/join/OH6fDuRVjPmIa0jo8bkpQ88VaCOt5qUj0lgw60QfR6E</v>
      </c>
    </row>
    <row r="47" spans="1:16" ht="31.5" x14ac:dyDescent="0.2">
      <c r="A47" s="82"/>
      <c r="B47" s="85"/>
      <c r="C47" s="14" t="s">
        <v>21</v>
      </c>
      <c r="D47" s="20">
        <f>'[1]1нед'!S47</f>
        <v>0</v>
      </c>
      <c r="E47" s="23">
        <f>'[1]1нед'!T47</f>
        <v>0</v>
      </c>
      <c r="F47" s="21">
        <f>'[1]1нед'!W47</f>
        <v>0</v>
      </c>
      <c r="G47" s="22" t="str">
        <f>'[1]1нед'!X47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'[1]2нед'!S47</f>
        <v>0</v>
      </c>
      <c r="M47" s="23">
        <f>'[1]2нед'!T47</f>
        <v>0</v>
      </c>
      <c r="N47" s="21">
        <f>'[1]2нед'!W47</f>
        <v>0</v>
      </c>
      <c r="O47" s="22" t="str">
        <f>'[1]2нед'!X47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'[1]1нед'!S48</f>
        <v>0</v>
      </c>
      <c r="E48" s="23">
        <f>'[1]1нед'!T48</f>
        <v>0</v>
      </c>
      <c r="F48" s="21">
        <f>'[1]1нед'!W48</f>
        <v>0</v>
      </c>
      <c r="G48" s="22" t="str">
        <f>'[1]1нед'!X48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'[1]2нед'!S48</f>
        <v>0</v>
      </c>
      <c r="M48" s="23">
        <f>'[1]2нед'!T48</f>
        <v>0</v>
      </c>
      <c r="N48" s="21">
        <f>'[1]2нед'!W48</f>
        <v>0</v>
      </c>
      <c r="O48" s="22" t="str">
        <f>'[1]2нед'!X48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'[1]1нед'!S49</f>
        <v>0</v>
      </c>
      <c r="E49" s="23">
        <f>'[1]1нед'!T49</f>
        <v>0</v>
      </c>
      <c r="F49" s="21">
        <f>'[1]1нед'!W49</f>
        <v>0</v>
      </c>
      <c r="G49" s="22" t="str">
        <f>'[1]1нед'!X49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'[1]2нед'!S49</f>
        <v>0</v>
      </c>
      <c r="M49" s="23">
        <f>'[1]2нед'!T49</f>
        <v>0</v>
      </c>
      <c r="N49" s="21">
        <f>'[1]2нед'!W49</f>
        <v>0</v>
      </c>
      <c r="O49" s="22" t="str">
        <f>'[1]2нед'!X49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'[1]1нед'!S50</f>
        <v>0</v>
      </c>
      <c r="E50" s="23">
        <f>'[1]1нед'!T50</f>
        <v>0</v>
      </c>
      <c r="F50" s="21">
        <f>'[1]1нед'!W50</f>
        <v>0</v>
      </c>
      <c r="G50" s="22" t="str">
        <f>'[1]1нед'!X50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'[1]2нед'!S50</f>
        <v>0</v>
      </c>
      <c r="M50" s="23">
        <f>'[1]2нед'!T50</f>
        <v>0</v>
      </c>
      <c r="N50" s="21">
        <f>'[1]2нед'!W50</f>
        <v>0</v>
      </c>
      <c r="O50" s="22" t="str">
        <f>'[1]2нед'!X50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'[1]1нед'!S51</f>
        <v>0</v>
      </c>
      <c r="E51" s="25">
        <f>'[1]1нед'!T51</f>
        <v>0</v>
      </c>
      <c r="F51" s="26">
        <f>'[1]1нед'!W51</f>
        <v>0</v>
      </c>
      <c r="G51" s="27" t="str">
        <f>'[1]1нед'!X51</f>
        <v/>
      </c>
      <c r="H51" s="58" t="str">
        <f>HYPERLINK(VLOOKUP(E51,$R$12:$S$180,2,FALSE))</f>
        <v/>
      </c>
      <c r="I51" s="72"/>
      <c r="J51" s="89"/>
      <c r="K51" s="15"/>
      <c r="L51" s="24">
        <f>'[1]2нед'!S51</f>
        <v>0</v>
      </c>
      <c r="M51" s="25">
        <f>'[1]2нед'!T51</f>
        <v>0</v>
      </c>
      <c r="N51" s="26">
        <f>'[1]2нед'!W51</f>
        <v>0</v>
      </c>
      <c r="O51" s="27" t="str">
        <f>'[1]2нед'!X51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'[1]1нед'!S52</f>
        <v>0</v>
      </c>
      <c r="E52" s="19">
        <f>'[1]1нед'!T52</f>
        <v>0</v>
      </c>
      <c r="F52" s="17">
        <f>'[1]1нед'!W52</f>
        <v>0</v>
      </c>
      <c r="G52" s="18" t="str">
        <f>'[1]1нед'!X52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'[1]2нед'!S52</f>
        <v>0</v>
      </c>
      <c r="M52" s="19">
        <f>'[1]2нед'!T52</f>
        <v>0</v>
      </c>
      <c r="N52" s="17">
        <f>'[1]2нед'!W52</f>
        <v>0</v>
      </c>
      <c r="O52" s="18" t="str">
        <f>'[1]2нед'!X52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'[1]1нед'!S53</f>
        <v>0</v>
      </c>
      <c r="E53" s="23">
        <f>'[1]1нед'!T53</f>
        <v>0</v>
      </c>
      <c r="F53" s="21">
        <f>'[1]1нед'!W53</f>
        <v>0</v>
      </c>
      <c r="G53" s="22" t="str">
        <f>'[1]1нед'!X53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'[1]2нед'!S53</f>
        <v>0</v>
      </c>
      <c r="M53" s="23">
        <f>'[1]2нед'!T53</f>
        <v>0</v>
      </c>
      <c r="N53" s="21">
        <f>'[1]2нед'!W53</f>
        <v>0</v>
      </c>
      <c r="O53" s="22" t="str">
        <f>'[1]2нед'!X53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'[1]1нед'!S54</f>
        <v>0</v>
      </c>
      <c r="E54" s="23">
        <f>'[1]1нед'!T54</f>
        <v>0</v>
      </c>
      <c r="F54" s="21">
        <f>'[1]1нед'!W54</f>
        <v>0</v>
      </c>
      <c r="G54" s="22" t="str">
        <f>'[1]1нед'!X54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'[1]2нед'!S54</f>
        <v>0</v>
      </c>
      <c r="M54" s="23">
        <f>'[1]2нед'!T54</f>
        <v>0</v>
      </c>
      <c r="N54" s="21">
        <f>'[1]2нед'!W54</f>
        <v>0</v>
      </c>
      <c r="O54" s="22" t="str">
        <f>'[1]2нед'!X54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'[1]1нед'!S55</f>
        <v>0</v>
      </c>
      <c r="E55" s="23">
        <f>'[1]1нед'!T55</f>
        <v>0</v>
      </c>
      <c r="F55" s="21">
        <f>'[1]1нед'!W55</f>
        <v>0</v>
      </c>
      <c r="G55" s="22" t="str">
        <f>'[1]1нед'!X55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'[1]2нед'!S55</f>
        <v>0</v>
      </c>
      <c r="M55" s="23">
        <f>'[1]2нед'!T55</f>
        <v>0</v>
      </c>
      <c r="N55" s="21">
        <f>'[1]2нед'!W55</f>
        <v>0</v>
      </c>
      <c r="O55" s="22" t="str">
        <f>'[1]2нед'!X55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'[1]1нед'!S56</f>
        <v>0</v>
      </c>
      <c r="E56" s="23">
        <f>'[1]1нед'!T56</f>
        <v>0</v>
      </c>
      <c r="F56" s="21">
        <f>'[1]1нед'!W56</f>
        <v>0</v>
      </c>
      <c r="G56" s="22" t="str">
        <f>'[1]1нед'!X56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'[1]2нед'!S56</f>
        <v>0</v>
      </c>
      <c r="M56" s="23">
        <f>'[1]2нед'!T56</f>
        <v>0</v>
      </c>
      <c r="N56" s="21">
        <f>'[1]2нед'!W56</f>
        <v>0</v>
      </c>
      <c r="O56" s="22" t="str">
        <f>'[1]2нед'!X56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'[1]1нед'!S57</f>
        <v>0</v>
      </c>
      <c r="E57" s="23">
        <f>'[1]1нед'!T57</f>
        <v>0</v>
      </c>
      <c r="F57" s="21">
        <f>'[1]1нед'!W57</f>
        <v>0</v>
      </c>
      <c r="G57" s="22" t="str">
        <f>'[1]1нед'!X57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'[1]2нед'!S57</f>
        <v>0</v>
      </c>
      <c r="M57" s="23">
        <f>'[1]2нед'!T57</f>
        <v>0</v>
      </c>
      <c r="N57" s="21">
        <f>'[1]2нед'!W57</f>
        <v>0</v>
      </c>
      <c r="O57" s="22" t="str">
        <f>'[1]2нед'!X57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'[1]1нед'!S58</f>
        <v>0</v>
      </c>
      <c r="E58" s="23">
        <f>'[1]1нед'!T58</f>
        <v>0</v>
      </c>
      <c r="F58" s="21">
        <f>'[1]1нед'!W58</f>
        <v>0</v>
      </c>
      <c r="G58" s="22" t="str">
        <f>'[1]1нед'!X58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'[1]2нед'!S58</f>
        <v>0</v>
      </c>
      <c r="M58" s="23">
        <f>'[1]2нед'!T58</f>
        <v>0</v>
      </c>
      <c r="N58" s="21">
        <f>'[1]2нед'!W58</f>
        <v>0</v>
      </c>
      <c r="O58" s="22" t="str">
        <f>'[1]2нед'!X58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 t="str">
        <f>G7</f>
        <v>12-26МИ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 t="str">
        <f>G7</f>
        <v>12-26МИ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'[1]3нед'!S12</f>
        <v>л</v>
      </c>
      <c r="E72" s="19" t="str">
        <f>'[1]3нед'!T12</f>
        <v>История России</v>
      </c>
      <c r="F72" s="17" t="str">
        <f>'[1]3нед'!W12</f>
        <v>Сальников В.И.</v>
      </c>
      <c r="G72" s="18" t="str">
        <f>'[1]3нед'!X12</f>
        <v>доцент, канд. наук</v>
      </c>
      <c r="H72" s="56" t="str">
        <f>HYPERLINK(VLOOKUP(E72,$R$12:$S$180,2,FALSE))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'[1]4нед'!S12</f>
        <v>л</v>
      </c>
      <c r="M72" s="19" t="str">
        <f>'[1]4нед'!T12</f>
        <v>История России</v>
      </c>
      <c r="N72" s="17" t="str">
        <f>'[1]4нед'!W12</f>
        <v>Сальников В.И.</v>
      </c>
      <c r="O72" s="18" t="str">
        <f>'[1]4нед'!X12</f>
        <v>доцент, канд. наук</v>
      </c>
      <c r="P72" s="56" t="str">
        <f>HYPERLINK(VLOOKUP(M72,$R$12:$S$180,2,FALSE))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'[1]3нед'!S13</f>
        <v>пр</v>
      </c>
      <c r="E73" s="23" t="str">
        <f>'[1]3нед'!T13</f>
        <v>Физическая культура и спорт</v>
      </c>
      <c r="F73" s="21" t="str">
        <f>'[1]3нед'!W13</f>
        <v>Набока В.И.</v>
      </c>
      <c r="G73" s="22" t="str">
        <f>'[1]3нед'!X13</f>
        <v>преподаватель</v>
      </c>
      <c r="H73" s="57" t="str">
        <f>HYPERLINK(VLOOKUP(E73,$R$12:$S$180,2,FALSE))</f>
        <v>https://max.ru/join/otW8lgS1PqJ5ZhmtKc1Abb8BfYMXnmtaMD7qcLUGCxg</v>
      </c>
      <c r="I73" s="71"/>
      <c r="J73" s="88"/>
      <c r="K73" s="14" t="s">
        <v>19</v>
      </c>
      <c r="L73" s="20" t="str">
        <f>'[1]4нед'!S13</f>
        <v>пр</v>
      </c>
      <c r="M73" s="23" t="str">
        <f>'[1]4нед'!T13</f>
        <v>Физическая культура и спорт</v>
      </c>
      <c r="N73" s="21" t="str">
        <f>'[1]4нед'!W13</f>
        <v>Набока В.И.</v>
      </c>
      <c r="O73" s="22" t="str">
        <f>'[1]4нед'!X13</f>
        <v>преподаватель</v>
      </c>
      <c r="P73" s="57" t="str">
        <f>HYPERLINK(VLOOKUP(M73,$R$12:$S$180,2,FALSE))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'[1]3нед'!S14</f>
        <v>пр</v>
      </c>
      <c r="E74" s="23" t="str">
        <f>'[1]3нед'!T14</f>
        <v>Иностранный язык</v>
      </c>
      <c r="F74" s="21" t="str">
        <f>'[1]3нед'!W14</f>
        <v>Суворова С.Г.</v>
      </c>
      <c r="G74" s="22" t="str">
        <f>'[1]3нед'!X14</f>
        <v>ст. преподаватель</v>
      </c>
      <c r="H74" s="57" t="str">
        <f>HYPERLINK(VLOOKUP(E74,$R$12:$S$180,2,FALSE))</f>
        <v>https://max.ru/join/otW8lgS1PqJ5ZhmtKc1Abb8BfYMXnmtaMD7qcLUGCxg</v>
      </c>
      <c r="I74" s="71"/>
      <c r="J74" s="88"/>
      <c r="K74" s="14" t="s">
        <v>20</v>
      </c>
      <c r="L74" s="20" t="str">
        <f>'[1]4нед'!S14</f>
        <v>пр</v>
      </c>
      <c r="M74" s="23" t="str">
        <f>'[1]4нед'!T14</f>
        <v>Иностранный язык</v>
      </c>
      <c r="N74" s="21" t="str">
        <f>'[1]4нед'!W14</f>
        <v>Суворова С.Г.</v>
      </c>
      <c r="O74" s="22" t="str">
        <f>'[1]4нед'!X14</f>
        <v>ст. преподаватель</v>
      </c>
      <c r="P74" s="57" t="str">
        <f>HYPERLINK(VLOOKUP(M74,$R$12:$S$180,2,FALSE))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'[1]3нед'!S15</f>
        <v>л</v>
      </c>
      <c r="E75" s="23" t="str">
        <f>'[1]3нед'!T15</f>
        <v>Возрастная анатомия, физиология и культура здоровья</v>
      </c>
      <c r="F75" s="21" t="str">
        <f>'[1]3нед'!W15</f>
        <v>Тотоева О.Н.</v>
      </c>
      <c r="G75" s="22" t="str">
        <f>'[1]3нед'!X15</f>
        <v>доцент, канд. наук</v>
      </c>
      <c r="H75" s="57" t="str">
        <f>HYPERLINK(VLOOKUP(E75,$R$12:$S$180,2,FALSE))</f>
        <v>https://max.ru/join/NU2edX9oXun4G550gjffmEH6rRcZcTV_m4i8V_Iscos</v>
      </c>
      <c r="I75" s="71"/>
      <c r="J75" s="88"/>
      <c r="K75" s="14" t="s">
        <v>21</v>
      </c>
      <c r="L75" s="20" t="str">
        <f>'[1]4нед'!S15</f>
        <v>л</v>
      </c>
      <c r="M75" s="23" t="str">
        <f>'[1]4нед'!T15</f>
        <v>Математический анализ</v>
      </c>
      <c r="N75" s="21" t="str">
        <f>'[1]4нед'!W15</f>
        <v>Линник Е.П.</v>
      </c>
      <c r="O75" s="22" t="str">
        <f>'[1]4нед'!X15</f>
        <v>доцент, канд. наук</v>
      </c>
      <c r="P75" s="57" t="str">
        <f>HYPERLINK(VLOOKUP(M75,$R$12:$S$180,2,FALSE))</f>
        <v>https://max.ru/join/OH6fDuRVjPmIa0jo8bkpQ88VaCOt5qUj0lgw60QfR6E</v>
      </c>
    </row>
    <row r="76" spans="1:16" ht="31.5" x14ac:dyDescent="0.2">
      <c r="A76" s="82"/>
      <c r="B76" s="85"/>
      <c r="C76" s="14" t="s">
        <v>22</v>
      </c>
      <c r="D76" s="20">
        <f>'[1]3нед'!S16</f>
        <v>0</v>
      </c>
      <c r="E76" s="23">
        <f>'[1]3нед'!T16</f>
        <v>0</v>
      </c>
      <c r="F76" s="21">
        <f>'[1]3нед'!W16</f>
        <v>0</v>
      </c>
      <c r="G76" s="22" t="str">
        <f>'[1]3нед'!X16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'[1]4нед'!S16</f>
        <v>0</v>
      </c>
      <c r="M76" s="23">
        <f>'[1]4нед'!T16</f>
        <v>0</v>
      </c>
      <c r="N76" s="21">
        <f>'[1]4нед'!W16</f>
        <v>0</v>
      </c>
      <c r="O76" s="22" t="str">
        <f>'[1]4нед'!X16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'[1]3нед'!S17</f>
        <v>0</v>
      </c>
      <c r="E77" s="23">
        <f>'[1]3нед'!T17</f>
        <v>0</v>
      </c>
      <c r="F77" s="21">
        <f>'[1]3нед'!W17</f>
        <v>0</v>
      </c>
      <c r="G77" s="22" t="str">
        <f>'[1]3нед'!X17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'[1]4нед'!S17</f>
        <v>0</v>
      </c>
      <c r="M77" s="23">
        <f>'[1]4нед'!T17</f>
        <v>0</v>
      </c>
      <c r="N77" s="21">
        <f>'[1]4нед'!W17</f>
        <v>0</v>
      </c>
      <c r="O77" s="22" t="str">
        <f>'[1]4нед'!X17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'[1]3нед'!S18</f>
        <v>0</v>
      </c>
      <c r="E78" s="23">
        <f>'[1]3нед'!T18</f>
        <v>0</v>
      </c>
      <c r="F78" s="21">
        <f>'[1]3нед'!W18</f>
        <v>0</v>
      </c>
      <c r="G78" s="22" t="str">
        <f>'[1]3нед'!X18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'[1]4нед'!S18</f>
        <v>0</v>
      </c>
      <c r="M78" s="23">
        <f>'[1]4нед'!T18</f>
        <v>0</v>
      </c>
      <c r="N78" s="21">
        <f>'[1]4нед'!W18</f>
        <v>0</v>
      </c>
      <c r="O78" s="22" t="str">
        <f>'[1]4нед'!X18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'[1]3нед'!S19</f>
        <v>0</v>
      </c>
      <c r="E79" s="25">
        <f>'[1]3нед'!T19</f>
        <v>0</v>
      </c>
      <c r="F79" s="26">
        <f>'[1]3нед'!W19</f>
        <v>0</v>
      </c>
      <c r="G79" s="27" t="str">
        <f>'[1]3нед'!X19</f>
        <v/>
      </c>
      <c r="H79" s="58" t="str">
        <f>HYPERLINK(VLOOKUP(E79,$R$12:$S$180,2,FALSE))</f>
        <v/>
      </c>
      <c r="I79" s="72"/>
      <c r="J79" s="89"/>
      <c r="K79" s="15"/>
      <c r="L79" s="24">
        <f>'[1]4нед'!S19</f>
        <v>0</v>
      </c>
      <c r="M79" s="25">
        <f>'[1]4нед'!T19</f>
        <v>0</v>
      </c>
      <c r="N79" s="26">
        <f>'[1]4нед'!W19</f>
        <v>0</v>
      </c>
      <c r="O79" s="27" t="str">
        <f>'[1]4нед'!X19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</f>
        <v>0</v>
      </c>
      <c r="E80" s="19">
        <f>'[1]3нед'!T20</f>
        <v>0</v>
      </c>
      <c r="F80" s="17">
        <f>'[1]3нед'!W20</f>
        <v>0</v>
      </c>
      <c r="G80" s="18" t="str">
        <f>'[1]3нед'!X20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'[1]4нед'!S20</f>
        <v>0</v>
      </c>
      <c r="M80" s="19">
        <f>'[1]4нед'!T20</f>
        <v>0</v>
      </c>
      <c r="N80" s="17">
        <f>'[1]4нед'!W20</f>
        <v>0</v>
      </c>
      <c r="O80" s="18" t="str">
        <f>'[1]4нед'!X20</f>
        <v/>
      </c>
      <c r="P80" s="56" t="str">
        <f>HYPERLINK(VLOOKUP(M80,$R$12:$S$180,2,FALSE))</f>
        <v/>
      </c>
    </row>
    <row r="81" spans="1:16" ht="37.5" x14ac:dyDescent="0.2">
      <c r="A81" s="82"/>
      <c r="B81" s="85"/>
      <c r="C81" s="14" t="s">
        <v>19</v>
      </c>
      <c r="D81" s="20" t="str">
        <f>'[1]3нед'!S21</f>
        <v>пр</v>
      </c>
      <c r="E81" s="23" t="str">
        <f>'[1]3нед'!T21</f>
        <v>Геометрия</v>
      </c>
      <c r="F81" s="21" t="str">
        <f>'[1]3нед'!W21</f>
        <v>Казанцев Ю.А.</v>
      </c>
      <c r="G81" s="22" t="str">
        <f>'[1]3нед'!X21</f>
        <v>ст. преподаватель</v>
      </c>
      <c r="H81" s="57" t="str">
        <f>HYPERLINK(VLOOKUP(E81,$R$12:$S$180,2,FALSE))</f>
        <v>https://max.ru/join/OH6fDuRVjPmIa0jo8bkpQ88VaCOt5qUj0lgw60QfR6E</v>
      </c>
      <c r="I81" s="71"/>
      <c r="J81" s="88"/>
      <c r="K81" s="14" t="s">
        <v>19</v>
      </c>
      <c r="L81" s="20" t="str">
        <f>'[1]4нед'!S21</f>
        <v>л</v>
      </c>
      <c r="M81" s="23" t="str">
        <f>'[1]4нед'!T21</f>
        <v>Геометрия</v>
      </c>
      <c r="N81" s="21" t="str">
        <f>'[1]4нед'!W21</f>
        <v>Казанцев Ю.А.</v>
      </c>
      <c r="O81" s="22" t="str">
        <f>'[1]4нед'!X21</f>
        <v>ст. преподаватель</v>
      </c>
      <c r="P81" s="57" t="str">
        <f>HYPERLINK(VLOOKUP(M81,$R$12:$S$180,2,FALSE))</f>
        <v>https://max.ru/join/OH6fDuRVjPmIa0jo8bkpQ88VaCOt5qUj0lgw60QfR6E</v>
      </c>
    </row>
    <row r="82" spans="1:16" ht="37.5" x14ac:dyDescent="0.2">
      <c r="A82" s="82"/>
      <c r="B82" s="85"/>
      <c r="C82" s="14" t="s">
        <v>20</v>
      </c>
      <c r="D82" s="20" t="str">
        <f>'[1]3нед'!S22</f>
        <v>л</v>
      </c>
      <c r="E82" s="23" t="str">
        <f>'[1]3нед'!T22</f>
        <v>Технологии цифрового образования</v>
      </c>
      <c r="F82" s="21" t="str">
        <f>'[1]3нед'!W22</f>
        <v>Шевченко Е.Н.</v>
      </c>
      <c r="G82" s="22" t="str">
        <f>'[1]3нед'!X22</f>
        <v>ст. преподаватель</v>
      </c>
      <c r="H82" s="57" t="str">
        <f>HYPERLINK(VLOOKUP(E82,$R$12:$S$180,2,FALSE))</f>
        <v>https://max.ru/join/QktsjGaw5ToZMymwQv4u7TZ1a5jhx2Meh1Xg11Ht-o8</v>
      </c>
      <c r="I82" s="71"/>
      <c r="J82" s="88"/>
      <c r="K82" s="14" t="s">
        <v>20</v>
      </c>
      <c r="L82" s="20" t="str">
        <f>'[1]4нед'!S22</f>
        <v>пр</v>
      </c>
      <c r="M82" s="23" t="str">
        <f>'[1]4нед'!T22</f>
        <v xml:space="preserve"> Технологии цифрового образования</v>
      </c>
      <c r="N82" s="21" t="str">
        <f>'[1]4нед'!W22</f>
        <v>Шевченко Е.Н.</v>
      </c>
      <c r="O82" s="22" t="str">
        <f>'[1]4нед'!X22</f>
        <v>ст. преподаватель</v>
      </c>
      <c r="P82" s="57" t="str">
        <f>HYPERLINK(VLOOKUP(M82,$R$12:$S$180,2,FALSE))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'[1]3нед'!S23</f>
        <v>л</v>
      </c>
      <c r="E83" s="23" t="str">
        <f>'[1]3нед'!T23</f>
        <v>Обучение служением</v>
      </c>
      <c r="F83" s="21" t="str">
        <f>'[1]3нед'!W23</f>
        <v>Вишневский В.А.</v>
      </c>
      <c r="G83" s="22" t="str">
        <f>'[1]3нед'!X23</f>
        <v>доцент, канд. наук</v>
      </c>
      <c r="H83" s="57" t="str">
        <f>HYPERLINK(VLOOKUP(E83,$R$12:$S$180,2,FALSE))</f>
        <v>https://max.ru/join/0MiRK0GUpSTCrtKMGu5ke9BatSupdkYkm3PEezrq5xw</v>
      </c>
      <c r="I83" s="71"/>
      <c r="J83" s="88"/>
      <c r="K83" s="14" t="s">
        <v>21</v>
      </c>
      <c r="L83" s="20">
        <f>'[1]4нед'!S23</f>
        <v>0</v>
      </c>
      <c r="M83" s="23">
        <f>'[1]4нед'!T23</f>
        <v>0</v>
      </c>
      <c r="N83" s="21">
        <f>'[1]4нед'!W23</f>
        <v>0</v>
      </c>
      <c r="O83" s="22" t="str">
        <f>'[1]4нед'!X23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'[1]3нед'!S24</f>
        <v>0</v>
      </c>
      <c r="E84" s="23">
        <f>'[1]3нед'!T24</f>
        <v>0</v>
      </c>
      <c r="F84" s="21">
        <f>'[1]3нед'!W24</f>
        <v>0</v>
      </c>
      <c r="G84" s="22" t="str">
        <f>'[1]3нед'!X24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'[1]4нед'!S24</f>
        <v>0</v>
      </c>
      <c r="M84" s="23">
        <f>'[1]4нед'!T24</f>
        <v>0</v>
      </c>
      <c r="N84" s="21">
        <f>'[1]4нед'!W24</f>
        <v>0</v>
      </c>
      <c r="O84" s="22" t="str">
        <f>'[1]4нед'!X24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'[1]3нед'!S25</f>
        <v>0</v>
      </c>
      <c r="E85" s="23">
        <f>'[1]3нед'!T25</f>
        <v>0</v>
      </c>
      <c r="F85" s="21">
        <f>'[1]3нед'!W25</f>
        <v>0</v>
      </c>
      <c r="G85" s="22" t="str">
        <f>'[1]3нед'!X25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'[1]4нед'!S25</f>
        <v>0</v>
      </c>
      <c r="M85" s="23">
        <f>'[1]4нед'!T25</f>
        <v>0</v>
      </c>
      <c r="N85" s="21">
        <f>'[1]4нед'!W25</f>
        <v>0</v>
      </c>
      <c r="O85" s="22" t="str">
        <f>'[1]4нед'!X25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'[1]3нед'!S26</f>
        <v>0</v>
      </c>
      <c r="E86" s="23">
        <f>'[1]3нед'!T26</f>
        <v>0</v>
      </c>
      <c r="F86" s="21">
        <f>'[1]3нед'!W26</f>
        <v>0</v>
      </c>
      <c r="G86" s="22" t="str">
        <f>'[1]3нед'!X26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'[1]4нед'!S26</f>
        <v>0</v>
      </c>
      <c r="M86" s="23">
        <f>'[1]4нед'!T26</f>
        <v>0</v>
      </c>
      <c r="N86" s="21">
        <f>'[1]4нед'!W26</f>
        <v>0</v>
      </c>
      <c r="O86" s="22" t="str">
        <f>'[1]4нед'!X26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'[1]3нед'!S27</f>
        <v>0</v>
      </c>
      <c r="E87" s="25">
        <f>'[1]3нед'!T27</f>
        <v>0</v>
      </c>
      <c r="F87" s="26">
        <f>'[1]3нед'!W27</f>
        <v>0</v>
      </c>
      <c r="G87" s="27" t="str">
        <f>'[1]3нед'!X27</f>
        <v/>
      </c>
      <c r="H87" s="58" t="str">
        <f>HYPERLINK(VLOOKUP(E87,$R$12:$S$180,2,FALSE))</f>
        <v/>
      </c>
      <c r="I87" s="72"/>
      <c r="J87" s="89"/>
      <c r="K87" s="15"/>
      <c r="L87" s="24">
        <f>'[1]4нед'!S27</f>
        <v>0</v>
      </c>
      <c r="M87" s="25">
        <f>'[1]4нед'!T27</f>
        <v>0</v>
      </c>
      <c r="N87" s="26">
        <f>'[1]4нед'!W27</f>
        <v>0</v>
      </c>
      <c r="O87" s="27" t="str">
        <f>'[1]4нед'!X27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'[1]3нед'!S28</f>
        <v>л</v>
      </c>
      <c r="E88" s="19" t="str">
        <f>'[1]3нед'!T28</f>
        <v>Основы российской государственности</v>
      </c>
      <c r="F88" s="17" t="str">
        <f>'[1]3нед'!W28</f>
        <v>Вишневский С.А.</v>
      </c>
      <c r="G88" s="18" t="str">
        <f>'[1]3нед'!X28</f>
        <v>доцент, канд. наук</v>
      </c>
      <c r="H88" s="56" t="str">
        <f>HYPERLINK(VLOOKUP(E88,$R$12:$S$180,2,FALSE))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'[1]4нед'!S28</f>
        <v>л</v>
      </c>
      <c r="M88" s="19" t="str">
        <f>'[1]4нед'!T28</f>
        <v>Основы российской государственности</v>
      </c>
      <c r="N88" s="17" t="str">
        <f>'[1]4нед'!W28</f>
        <v>Вишневский С.А.</v>
      </c>
      <c r="O88" s="18" t="str">
        <f>'[1]4нед'!X28</f>
        <v>доцент, канд. наук</v>
      </c>
      <c r="P88" s="56" t="str">
        <f>HYPERLINK(VLOOKUP(M88,$R$12:$S$180,2,FALSE))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'[1]3нед'!S29</f>
        <v>пр</v>
      </c>
      <c r="E89" s="23" t="str">
        <f>'[1]3нед'!T29</f>
        <v xml:space="preserve"> Обучение служением</v>
      </c>
      <c r="F89" s="21" t="str">
        <f>'[1]3нед'!W29</f>
        <v>Кобзева Е.В.</v>
      </c>
      <c r="G89" s="22" t="str">
        <f>'[1]3нед'!X29</f>
        <v>преподаватель</v>
      </c>
      <c r="H89" s="57" t="str">
        <f>HYPERLINK(VLOOKUP(E89,$R$12:$S$180,2,FALSE))</f>
        <v>https://max.ru/join/otW8lgS1PqJ5ZhmtKc1Abb8BfYMXnmtaMD7qcLUGCxg</v>
      </c>
      <c r="I89" s="71"/>
      <c r="J89" s="74"/>
      <c r="K89" s="14" t="s">
        <v>19</v>
      </c>
      <c r="L89" s="20" t="str">
        <f>'[1]4нед'!S29</f>
        <v>пр</v>
      </c>
      <c r="M89" s="23" t="str">
        <f>'[1]4нед'!T29</f>
        <v xml:space="preserve"> Обучение служением</v>
      </c>
      <c r="N89" s="21" t="str">
        <f>'[1]4нед'!W29</f>
        <v>Кобзева Е.В.</v>
      </c>
      <c r="O89" s="22" t="str">
        <f>'[1]4нед'!X29</f>
        <v>преподаватель</v>
      </c>
      <c r="P89" s="57" t="str">
        <f>HYPERLINK(VLOOKUP(M89,$R$12:$S$180,2,FALSE))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 t="str">
        <f>'[1]3нед'!S30</f>
        <v>пр</v>
      </c>
      <c r="E90" s="23" t="str">
        <f>'[1]3нед'!T30</f>
        <v>Алгебра</v>
      </c>
      <c r="F90" s="21" t="str">
        <f>'[1]3нед'!W30</f>
        <v>Овчинникова М.В.</v>
      </c>
      <c r="G90" s="22" t="str">
        <f>'[1]3нед'!X30</f>
        <v>доцент, канд. наук</v>
      </c>
      <c r="H90" s="57" t="str">
        <f>HYPERLINK(VLOOKUP(E90,$R$12:$S$180,2,FALSE))</f>
        <v>https://max.ru/join/OH6fDuRVjPmIa0jo8bkpQ88VaCOt5qUj0lgw60QfR6E</v>
      </c>
      <c r="I90" s="71"/>
      <c r="J90" s="74"/>
      <c r="K90" s="14" t="s">
        <v>20</v>
      </c>
      <c r="L90" s="20">
        <f>'[1]4нед'!S30</f>
        <v>0</v>
      </c>
      <c r="M90" s="23">
        <f>'[1]4нед'!T30</f>
        <v>0</v>
      </c>
      <c r="N90" s="21">
        <f>'[1]4нед'!W30</f>
        <v>0</v>
      </c>
      <c r="O90" s="22" t="str">
        <f>'[1]4нед'!X30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'[1]3нед'!S31</f>
        <v>0</v>
      </c>
      <c r="E91" s="23">
        <f>'[1]3нед'!T31</f>
        <v>0</v>
      </c>
      <c r="F91" s="21">
        <f>'[1]3нед'!W31</f>
        <v>0</v>
      </c>
      <c r="G91" s="22" t="str">
        <f>'[1]3нед'!X31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'[1]4нед'!S31</f>
        <v>0</v>
      </c>
      <c r="M91" s="23">
        <f>'[1]4нед'!T31</f>
        <v>0</v>
      </c>
      <c r="N91" s="21">
        <f>'[1]4нед'!W31</f>
        <v>0</v>
      </c>
      <c r="O91" s="22" t="str">
        <f>'[1]4нед'!X31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'[1]3нед'!S32</f>
        <v>0</v>
      </c>
      <c r="E92" s="23">
        <f>'[1]3нед'!T32</f>
        <v>0</v>
      </c>
      <c r="F92" s="21">
        <f>'[1]3нед'!W32</f>
        <v>0</v>
      </c>
      <c r="G92" s="22" t="str">
        <f>'[1]3нед'!X32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'[1]4нед'!S32</f>
        <v>0</v>
      </c>
      <c r="M92" s="23">
        <f>'[1]4нед'!T32</f>
        <v>0</v>
      </c>
      <c r="N92" s="21">
        <f>'[1]4нед'!W32</f>
        <v>0</v>
      </c>
      <c r="O92" s="22" t="str">
        <f>'[1]4нед'!X32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'[1]3нед'!S33</f>
        <v>0</v>
      </c>
      <c r="E93" s="23">
        <f>'[1]3нед'!T33</f>
        <v>0</v>
      </c>
      <c r="F93" s="21">
        <f>'[1]3нед'!W33</f>
        <v>0</v>
      </c>
      <c r="G93" s="22" t="str">
        <f>'[1]3нед'!X33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'[1]4нед'!S33</f>
        <v>0</v>
      </c>
      <c r="M93" s="23">
        <f>'[1]4нед'!T33</f>
        <v>0</v>
      </c>
      <c r="N93" s="21">
        <f>'[1]4нед'!W33</f>
        <v>0</v>
      </c>
      <c r="O93" s="22" t="str">
        <f>'[1]4нед'!X33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'[1]3нед'!S34</f>
        <v>0</v>
      </c>
      <c r="E94" s="23">
        <f>'[1]3нед'!T34</f>
        <v>0</v>
      </c>
      <c r="F94" s="21">
        <f>'[1]3нед'!W34</f>
        <v>0</v>
      </c>
      <c r="G94" s="22" t="str">
        <f>'[1]3нед'!X34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'[1]4нед'!S34</f>
        <v>0</v>
      </c>
      <c r="M94" s="23">
        <f>'[1]4нед'!T34</f>
        <v>0</v>
      </c>
      <c r="N94" s="21">
        <f>'[1]4нед'!W34</f>
        <v>0</v>
      </c>
      <c r="O94" s="22" t="str">
        <f>'[1]4нед'!X34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'[1]3нед'!S35</f>
        <v>0</v>
      </c>
      <c r="E95" s="25">
        <f>'[1]3нед'!T35</f>
        <v>0</v>
      </c>
      <c r="F95" s="26">
        <f>'[1]3нед'!W35</f>
        <v>0</v>
      </c>
      <c r="G95" s="27" t="str">
        <f>'[1]3нед'!X35</f>
        <v/>
      </c>
      <c r="H95" s="58" t="str">
        <f>HYPERLINK(VLOOKUP(E95,$R$12:$S$180,2,FALSE))</f>
        <v/>
      </c>
      <c r="I95" s="72"/>
      <c r="J95" s="75"/>
      <c r="K95" s="15"/>
      <c r="L95" s="24">
        <f>'[1]4нед'!S35</f>
        <v>0</v>
      </c>
      <c r="M95" s="25">
        <f>'[1]4нед'!T35</f>
        <v>0</v>
      </c>
      <c r="N95" s="26">
        <f>'[1]4нед'!W35</f>
        <v>0</v>
      </c>
      <c r="O95" s="27" t="str">
        <f>'[1]4нед'!X35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'[1]3нед'!S36</f>
        <v>л</v>
      </c>
      <c r="E96" s="19" t="str">
        <f>'[1]3нед'!T36</f>
        <v>Программное обеспечение систем и сетей</v>
      </c>
      <c r="F96" s="17" t="str">
        <f>'[1]3нед'!W36</f>
        <v>Алешов В.В.</v>
      </c>
      <c r="G96" s="18" t="str">
        <f>'[1]3нед'!X36</f>
        <v>ст. преподаватель</v>
      </c>
      <c r="H96" s="56" t="str">
        <f>HYPERLINK(VLOOKUP(E96,$R$12:$S$180,2,FALSE))</f>
        <v>https://max.ru/join/OH6fDuRVjPmIa0jo8bkpQ88VaCOt5qUj0lgw60QfR6E</v>
      </c>
      <c r="I96" s="70">
        <v>46289</v>
      </c>
      <c r="J96" s="87" t="s">
        <v>27</v>
      </c>
      <c r="K96" s="29" t="s">
        <v>18</v>
      </c>
      <c r="L96" s="16">
        <f>'[1]4нед'!S36</f>
        <v>0</v>
      </c>
      <c r="M96" s="19">
        <f>'[1]4нед'!T36</f>
        <v>0</v>
      </c>
      <c r="N96" s="17">
        <f>'[1]4нед'!W36</f>
        <v>0</v>
      </c>
      <c r="O96" s="18" t="str">
        <f>'[1]4нед'!X36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'[1]3нед'!S37</f>
        <v>пр</v>
      </c>
      <c r="E97" s="23" t="str">
        <f>'[1]3нед'!T37</f>
        <v>Программное обеспечение систем и сетей</v>
      </c>
      <c r="F97" s="21" t="str">
        <f>'[1]3нед'!W37</f>
        <v>Алешов В.В.</v>
      </c>
      <c r="G97" s="22" t="str">
        <f>'[1]3нед'!X37</f>
        <v>ст. преподаватель</v>
      </c>
      <c r="H97" s="57" t="str">
        <f>HYPERLINK(VLOOKUP(E97,$R$12:$S$180,2,FALSE))</f>
        <v>https://max.ru/join/OH6fDuRVjPmIa0jo8bkpQ88VaCOt5qUj0lgw60QfR6E</v>
      </c>
      <c r="I97" s="71"/>
      <c r="J97" s="88"/>
      <c r="K97" s="14" t="s">
        <v>19</v>
      </c>
      <c r="L97" s="20">
        <f>'[1]4нед'!S37</f>
        <v>0</v>
      </c>
      <c r="M97" s="23">
        <f>'[1]4нед'!T37</f>
        <v>0</v>
      </c>
      <c r="N97" s="21">
        <f>'[1]4нед'!W37</f>
        <v>0</v>
      </c>
      <c r="O97" s="22" t="str">
        <f>'[1]4нед'!X37</f>
        <v/>
      </c>
      <c r="P97" s="57" t="str">
        <f>HYPERLINK(VLOOKUP(M97,$R$12:$S$180,2,FALSE))</f>
        <v/>
      </c>
    </row>
    <row r="98" spans="1:16" ht="37.5" x14ac:dyDescent="0.2">
      <c r="A98" s="82"/>
      <c r="B98" s="85"/>
      <c r="C98" s="14" t="s">
        <v>20</v>
      </c>
      <c r="D98" s="20">
        <f>'[1]3нед'!S38</f>
        <v>0</v>
      </c>
      <c r="E98" s="23">
        <f>'[1]3нед'!T38</f>
        <v>0</v>
      </c>
      <c r="F98" s="21">
        <f>'[1]3нед'!W38</f>
        <v>0</v>
      </c>
      <c r="G98" s="22" t="str">
        <f>'[1]3нед'!X38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 t="str">
        <f>'[1]4нед'!S38</f>
        <v>л</v>
      </c>
      <c r="M98" s="23" t="str">
        <f>'[1]4нед'!T38</f>
        <v>Алгебра</v>
      </c>
      <c r="N98" s="21" t="str">
        <f>'[1]4нед'!W38</f>
        <v>Овчинникова М.В.</v>
      </c>
      <c r="O98" s="22" t="str">
        <f>'[1]4нед'!X38</f>
        <v>доцент, канд. наук</v>
      </c>
      <c r="P98" s="57" t="str">
        <f>HYPERLINK(VLOOKUP(M98,$R$12:$S$180,2,FALSE))</f>
        <v>https://max.ru/join/OH6fDuRVjPmIa0jo8bkpQ88VaCOt5qUj0lgw60QfR6E</v>
      </c>
    </row>
    <row r="99" spans="1:16" ht="37.5" x14ac:dyDescent="0.2">
      <c r="A99" s="82"/>
      <c r="B99" s="85"/>
      <c r="C99" s="14" t="s">
        <v>21</v>
      </c>
      <c r="D99" s="20">
        <f>'[1]3нед'!S39</f>
        <v>0</v>
      </c>
      <c r="E99" s="23">
        <f>'[1]3нед'!T39</f>
        <v>0</v>
      </c>
      <c r="F99" s="21">
        <f>'[1]3нед'!W39</f>
        <v>0</v>
      </c>
      <c r="G99" s="22" t="str">
        <f>'[1]3нед'!X39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 t="str">
        <f>'[1]4нед'!S39</f>
        <v>пр</v>
      </c>
      <c r="M99" s="23" t="str">
        <f>'[1]4нед'!T39</f>
        <v xml:space="preserve"> Возрастная анатомия, физиология и культура здоровья</v>
      </c>
      <c r="N99" s="21" t="str">
        <f>'[1]4нед'!W39</f>
        <v>Тотоева О.Н.</v>
      </c>
      <c r="O99" s="22" t="str">
        <f>'[1]4нед'!X39</f>
        <v>доцент, канд. наук</v>
      </c>
      <c r="P99" s="57" t="str">
        <f>HYPERLINK(VLOOKUP(M99,$R$12:$S$180,2,FALSE))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'[1]3нед'!S40</f>
        <v>0</v>
      </c>
      <c r="E100" s="23">
        <f>'[1]3нед'!T40</f>
        <v>0</v>
      </c>
      <c r="F100" s="21">
        <f>'[1]3нед'!W40</f>
        <v>0</v>
      </c>
      <c r="G100" s="22" t="str">
        <f>'[1]3нед'!X40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 t="str">
        <f>'[1]4нед'!S40</f>
        <v>пр</v>
      </c>
      <c r="M100" s="23" t="str">
        <f>'[1]4нед'!T40</f>
        <v xml:space="preserve"> Основы российской государственности</v>
      </c>
      <c r="N100" s="21" t="str">
        <f>'[1]4нед'!W40</f>
        <v>Лысенко Е.Г.</v>
      </c>
      <c r="O100" s="22" t="str">
        <f>'[1]4нед'!X40</f>
        <v>доцент, канд. наук</v>
      </c>
      <c r="P100" s="57" t="str">
        <f>HYPERLINK(VLOOKUP(M100,$R$12:$S$180,2,FALSE))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'[1]3нед'!S41</f>
        <v>0</v>
      </c>
      <c r="E101" s="23">
        <f>'[1]3нед'!T41</f>
        <v>0</v>
      </c>
      <c r="F101" s="21">
        <f>'[1]3нед'!W41</f>
        <v>0</v>
      </c>
      <c r="G101" s="22" t="str">
        <f>'[1]3нед'!X41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'[1]4нед'!S41</f>
        <v>0</v>
      </c>
      <c r="M101" s="23">
        <f>'[1]4нед'!T41</f>
        <v>0</v>
      </c>
      <c r="N101" s="21">
        <f>'[1]4нед'!W41</f>
        <v>0</v>
      </c>
      <c r="O101" s="22" t="str">
        <f>'[1]4нед'!X41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'[1]3нед'!S42</f>
        <v>0</v>
      </c>
      <c r="E102" s="23">
        <f>'[1]3нед'!T42</f>
        <v>0</v>
      </c>
      <c r="F102" s="21">
        <f>'[1]3нед'!W42</f>
        <v>0</v>
      </c>
      <c r="G102" s="22" t="str">
        <f>'[1]3нед'!X42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'[1]4нед'!S42</f>
        <v>0</v>
      </c>
      <c r="M102" s="23">
        <f>'[1]4нед'!T42</f>
        <v>0</v>
      </c>
      <c r="N102" s="21">
        <f>'[1]4нед'!W42</f>
        <v>0</v>
      </c>
      <c r="O102" s="22" t="str">
        <f>'[1]4нед'!X42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'[1]3нед'!S43</f>
        <v>0</v>
      </c>
      <c r="E103" s="25">
        <f>'[1]3нед'!T43</f>
        <v>0</v>
      </c>
      <c r="F103" s="26">
        <f>'[1]3нед'!W43</f>
        <v>0</v>
      </c>
      <c r="G103" s="27" t="str">
        <f>'[1]3нед'!X43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'[1]4нед'!S43</f>
        <v>0</v>
      </c>
      <c r="M103" s="25">
        <f>'[1]4нед'!T43</f>
        <v>0</v>
      </c>
      <c r="N103" s="26">
        <f>'[1]4нед'!W43</f>
        <v>0</v>
      </c>
      <c r="O103" s="27" t="str">
        <f>'[1]4нед'!X43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'[1]3нед'!S44</f>
        <v>пр</v>
      </c>
      <c r="E104" s="19" t="str">
        <f>'[1]3нед'!T44</f>
        <v xml:space="preserve"> Основы российской государственности</v>
      </c>
      <c r="F104" s="17" t="str">
        <f>'[1]3нед'!W44</f>
        <v>Лысенко Е.Г.</v>
      </c>
      <c r="G104" s="18" t="str">
        <f>'[1]3нед'!X44</f>
        <v>доцент, канд. наук</v>
      </c>
      <c r="H104" s="56" t="str">
        <f>HYPERLINK(VLOOKUP(E104,$R$12:$S$180,2,FALSE))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 t="str">
        <f>'[1]4нед'!S44</f>
        <v>пр</v>
      </c>
      <c r="M104" s="19" t="str">
        <f>'[1]4нед'!T44</f>
        <v xml:space="preserve"> Математический анализ</v>
      </c>
      <c r="N104" s="17" t="str">
        <f>'[1]4нед'!W44</f>
        <v>Якимова В.В.</v>
      </c>
      <c r="O104" s="18" t="str">
        <f>'[1]4нед'!X44</f>
        <v>ст. преподаватель</v>
      </c>
      <c r="P104" s="56" t="str">
        <f>HYPERLINK(VLOOKUP(M104,$R$12:$S$180,2,FALSE))</f>
        <v>https://max.ru/join/OH6fDuRVjPmIa0jo8bkpQ88VaCOt5qUj0lgw60QfR6E</v>
      </c>
    </row>
    <row r="105" spans="1:16" ht="37.5" x14ac:dyDescent="0.2">
      <c r="A105" s="82"/>
      <c r="B105" s="85"/>
      <c r="C105" s="14" t="s">
        <v>19</v>
      </c>
      <c r="D105" s="20" t="str">
        <f>'[1]3нед'!S45</f>
        <v>пр</v>
      </c>
      <c r="E105" s="23" t="str">
        <f>'[1]3нед'!T45</f>
        <v xml:space="preserve"> История России</v>
      </c>
      <c r="F105" s="21" t="str">
        <f>'[1]3нед'!W45</f>
        <v>Сальников В.И.</v>
      </c>
      <c r="G105" s="22" t="str">
        <f>'[1]3нед'!X45</f>
        <v>доцент, канд. наук</v>
      </c>
      <c r="H105" s="57" t="str">
        <f>HYPERLINK(VLOOKUP(E105,$R$12:$S$180,2,FALSE))</f>
        <v>https://max.ru/join/otW8lgS1PqJ5ZhmtKc1Abb8BfYMXnmtaMD7qcLUGCxg</v>
      </c>
      <c r="I105" s="71"/>
      <c r="J105" s="88"/>
      <c r="K105" s="14" t="s">
        <v>19</v>
      </c>
      <c r="L105" s="20" t="str">
        <f>'[1]4нед'!S45</f>
        <v>пр</v>
      </c>
      <c r="M105" s="23" t="str">
        <f>'[1]4нед'!T45</f>
        <v xml:space="preserve"> История России</v>
      </c>
      <c r="N105" s="21" t="str">
        <f>'[1]4нед'!W45</f>
        <v>Сальников В.И.</v>
      </c>
      <c r="O105" s="22" t="str">
        <f>'[1]4нед'!X45</f>
        <v>доцент, канд. наук</v>
      </c>
      <c r="P105" s="57" t="str">
        <f>HYPERLINK(VLOOKUP(M105,$R$12:$S$180,2,FALSE))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'[1]3нед'!S46</f>
        <v>пр</v>
      </c>
      <c r="E106" s="23" t="str">
        <f>'[1]3нед'!T46</f>
        <v>Программное обеспечение систем и сетей</v>
      </c>
      <c r="F106" s="21" t="str">
        <f>'[1]3нед'!W46</f>
        <v>Алешов В.В.</v>
      </c>
      <c r="G106" s="22" t="str">
        <f>'[1]3нед'!X46</f>
        <v>ст. преподаватель</v>
      </c>
      <c r="H106" s="57" t="str">
        <f>HYPERLINK(VLOOKUP(E106,$R$12:$S$180,2,FALSE))</f>
        <v>https://max.ru/join/OH6fDuRVjPmIa0jo8bkpQ88VaCOt5qUj0lgw60QfR6E</v>
      </c>
      <c r="I106" s="71"/>
      <c r="J106" s="88"/>
      <c r="K106" s="14" t="s">
        <v>20</v>
      </c>
      <c r="L106" s="20" t="str">
        <f>'[1]4нед'!S46</f>
        <v>л</v>
      </c>
      <c r="M106" s="23" t="str">
        <f>'[1]4нед'!T46</f>
        <v>Программное обеспечение систем и сетей</v>
      </c>
      <c r="N106" s="21" t="str">
        <f>'[1]4нед'!W46</f>
        <v>Алешов В.В.</v>
      </c>
      <c r="O106" s="22" t="str">
        <f>'[1]4нед'!X46</f>
        <v>ст. преподаватель</v>
      </c>
      <c r="P106" s="57" t="str">
        <f>HYPERLINK(VLOOKUP(M106,$R$12:$S$180,2,FALSE))</f>
        <v>https://max.ru/join/OH6fDuRVjPmIa0jo8bkpQ88VaCOt5qUj0lgw60QfR6E</v>
      </c>
    </row>
    <row r="107" spans="1:16" ht="31.5" x14ac:dyDescent="0.2">
      <c r="A107" s="82"/>
      <c r="B107" s="85"/>
      <c r="C107" s="14" t="s">
        <v>21</v>
      </c>
      <c r="D107" s="20">
        <f>'[1]3нед'!S47</f>
        <v>0</v>
      </c>
      <c r="E107" s="23">
        <f>'[1]3нед'!T47</f>
        <v>0</v>
      </c>
      <c r="F107" s="21">
        <f>'[1]3нед'!W47</f>
        <v>0</v>
      </c>
      <c r="G107" s="22" t="str">
        <f>'[1]3нед'!X47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'[1]4нед'!S47</f>
        <v>0</v>
      </c>
      <c r="M107" s="23">
        <f>'[1]4нед'!T47</f>
        <v>0</v>
      </c>
      <c r="N107" s="21">
        <f>'[1]4нед'!W47</f>
        <v>0</v>
      </c>
      <c r="O107" s="22" t="str">
        <f>'[1]4нед'!X47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'[1]3нед'!S48</f>
        <v>0</v>
      </c>
      <c r="E108" s="23">
        <f>'[1]3нед'!T48</f>
        <v>0</v>
      </c>
      <c r="F108" s="21">
        <f>'[1]3нед'!W48</f>
        <v>0</v>
      </c>
      <c r="G108" s="22" t="str">
        <f>'[1]3нед'!X48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'[1]4нед'!S48</f>
        <v>0</v>
      </c>
      <c r="M108" s="23">
        <f>'[1]4нед'!T48</f>
        <v>0</v>
      </c>
      <c r="N108" s="21">
        <f>'[1]4нед'!W48</f>
        <v>0</v>
      </c>
      <c r="O108" s="22" t="str">
        <f>'[1]4нед'!X48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'[1]3нед'!S49</f>
        <v>0</v>
      </c>
      <c r="E109" s="23">
        <f>'[1]3нед'!T49</f>
        <v>0</v>
      </c>
      <c r="F109" s="21">
        <f>'[1]3нед'!W49</f>
        <v>0</v>
      </c>
      <c r="G109" s="22" t="str">
        <f>'[1]3нед'!X49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'[1]4нед'!S49</f>
        <v>0</v>
      </c>
      <c r="M109" s="23">
        <f>'[1]4нед'!T49</f>
        <v>0</v>
      </c>
      <c r="N109" s="21">
        <f>'[1]4нед'!W49</f>
        <v>0</v>
      </c>
      <c r="O109" s="22" t="str">
        <f>'[1]4нед'!X49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'[1]3нед'!S50</f>
        <v>0</v>
      </c>
      <c r="E110" s="23">
        <f>'[1]3нед'!T50</f>
        <v>0</v>
      </c>
      <c r="F110" s="21">
        <f>'[1]3нед'!W50</f>
        <v>0</v>
      </c>
      <c r="G110" s="22" t="str">
        <f>'[1]3нед'!X50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'[1]4нед'!S50</f>
        <v>0</v>
      </c>
      <c r="M110" s="23">
        <f>'[1]4нед'!T50</f>
        <v>0</v>
      </c>
      <c r="N110" s="21">
        <f>'[1]4нед'!W50</f>
        <v>0</v>
      </c>
      <c r="O110" s="22" t="str">
        <f>'[1]4нед'!X50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'[1]3нед'!S51</f>
        <v>0</v>
      </c>
      <c r="E111" s="25">
        <f>'[1]3нед'!T51</f>
        <v>0</v>
      </c>
      <c r="F111" s="26">
        <f>'[1]3нед'!W51</f>
        <v>0</v>
      </c>
      <c r="G111" s="27" t="str">
        <f>'[1]3нед'!X51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'[1]4нед'!S51</f>
        <v>0</v>
      </c>
      <c r="M111" s="25">
        <f>'[1]4нед'!T51</f>
        <v>0</v>
      </c>
      <c r="N111" s="26">
        <f>'[1]4нед'!W51</f>
        <v>0</v>
      </c>
      <c r="O111" s="27" t="str">
        <f>'[1]4нед'!X51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'[1]3нед'!S52</f>
        <v>0</v>
      </c>
      <c r="E112" s="19">
        <f>'[1]3нед'!T52</f>
        <v>0</v>
      </c>
      <c r="F112" s="17">
        <f>'[1]3нед'!W52</f>
        <v>0</v>
      </c>
      <c r="G112" s="18" t="str">
        <f>'[1]3нед'!X52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'[1]4нед'!S52</f>
        <v>0</v>
      </c>
      <c r="M112" s="19">
        <f>'[1]4нед'!T52</f>
        <v>0</v>
      </c>
      <c r="N112" s="17">
        <f>'[1]4нед'!W52</f>
        <v>0</v>
      </c>
      <c r="O112" s="18" t="str">
        <f>'[1]4нед'!X52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'[1]3нед'!S53</f>
        <v>0</v>
      </c>
      <c r="E113" s="23">
        <f>'[1]3нед'!T53</f>
        <v>0</v>
      </c>
      <c r="F113" s="21">
        <f>'[1]3нед'!W53</f>
        <v>0</v>
      </c>
      <c r="G113" s="22" t="str">
        <f>'[1]3нед'!X53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'[1]4нед'!S53</f>
        <v>0</v>
      </c>
      <c r="M113" s="23">
        <f>'[1]4нед'!T53</f>
        <v>0</v>
      </c>
      <c r="N113" s="21">
        <f>'[1]4нед'!W53</f>
        <v>0</v>
      </c>
      <c r="O113" s="22" t="str">
        <f>'[1]4нед'!X53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'[1]3нед'!S54</f>
        <v>0</v>
      </c>
      <c r="E114" s="23">
        <f>'[1]3нед'!T54</f>
        <v>0</v>
      </c>
      <c r="F114" s="21">
        <f>'[1]3нед'!W54</f>
        <v>0</v>
      </c>
      <c r="G114" s="22" t="str">
        <f>'[1]3нед'!X54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'[1]4нед'!S54</f>
        <v>0</v>
      </c>
      <c r="M114" s="23">
        <f>'[1]4нед'!T54</f>
        <v>0</v>
      </c>
      <c r="N114" s="21">
        <f>'[1]4нед'!W54</f>
        <v>0</v>
      </c>
      <c r="O114" s="22" t="str">
        <f>'[1]4нед'!X54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'[1]3нед'!S55</f>
        <v>0</v>
      </c>
      <c r="E115" s="23">
        <f>'[1]3нед'!T55</f>
        <v>0</v>
      </c>
      <c r="F115" s="21">
        <f>'[1]3нед'!W55</f>
        <v>0</v>
      </c>
      <c r="G115" s="22" t="str">
        <f>'[1]3нед'!X55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'[1]4нед'!S55</f>
        <v>0</v>
      </c>
      <c r="M115" s="23">
        <f>'[1]4нед'!T55</f>
        <v>0</v>
      </c>
      <c r="N115" s="21">
        <f>'[1]4нед'!W55</f>
        <v>0</v>
      </c>
      <c r="O115" s="22" t="str">
        <f>'[1]4нед'!X55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'[1]3нед'!S56</f>
        <v>0</v>
      </c>
      <c r="E116" s="23">
        <f>'[1]3нед'!T56</f>
        <v>0</v>
      </c>
      <c r="F116" s="21">
        <f>'[1]3нед'!W56</f>
        <v>0</v>
      </c>
      <c r="G116" s="22" t="str">
        <f>'[1]3нед'!X56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'[1]4нед'!S56</f>
        <v>0</v>
      </c>
      <c r="M116" s="23">
        <f>'[1]4нед'!T56</f>
        <v>0</v>
      </c>
      <c r="N116" s="21">
        <f>'[1]4нед'!W56</f>
        <v>0</v>
      </c>
      <c r="O116" s="22" t="str">
        <f>'[1]4нед'!X56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'[1]3нед'!S57</f>
        <v>0</v>
      </c>
      <c r="E117" s="23">
        <f>'[1]3нед'!T57</f>
        <v>0</v>
      </c>
      <c r="F117" s="21">
        <f>'[1]3нед'!W57</f>
        <v>0</v>
      </c>
      <c r="G117" s="22" t="str">
        <f>'[1]3нед'!X57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'[1]4нед'!S57</f>
        <v>0</v>
      </c>
      <c r="M117" s="23">
        <f>'[1]4нед'!T57</f>
        <v>0</v>
      </c>
      <c r="N117" s="21">
        <f>'[1]4нед'!W57</f>
        <v>0</v>
      </c>
      <c r="O117" s="22" t="str">
        <f>'[1]4нед'!X57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'[1]3нед'!S58</f>
        <v>0</v>
      </c>
      <c r="E118" s="23">
        <f>'[1]3нед'!T58</f>
        <v>0</v>
      </c>
      <c r="F118" s="21">
        <f>'[1]3нед'!W58</f>
        <v>0</v>
      </c>
      <c r="G118" s="22" t="str">
        <f>'[1]3нед'!X58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'[1]4нед'!S58</f>
        <v>0</v>
      </c>
      <c r="M118" s="23">
        <f>'[1]4нед'!T58</f>
        <v>0</v>
      </c>
      <c r="N118" s="21">
        <f>'[1]4нед'!W58</f>
        <v>0</v>
      </c>
      <c r="O118" s="22" t="str">
        <f>'[1]4нед'!X58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 t="str">
        <f>G7</f>
        <v>12-26МИ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 t="str">
        <f>G7</f>
        <v>12-26МИ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'[3]5нед'!S12</f>
        <v>л</v>
      </c>
      <c r="E132" s="19" t="str">
        <f>'[3]5нед'!T12</f>
        <v>История России</v>
      </c>
      <c r="F132" s="17" t="str">
        <f>'[3]5нед'!W12</f>
        <v>Сальников В.И.</v>
      </c>
      <c r="G132" s="18" t="str">
        <f>'[3]5нед'!X12</f>
        <v>доцент, канд. наук</v>
      </c>
      <c r="H132" s="56" t="str">
        <f>HYPERLINK(VLOOKUP(E132,$R$12:$S$180,2,FALSE))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'[3]6нед'!S12</f>
        <v>л</v>
      </c>
      <c r="M132" s="19" t="str">
        <f>'[3]6нед'!T12</f>
        <v>История России</v>
      </c>
      <c r="N132" s="17" t="str">
        <f>'[3]6нед'!W12</f>
        <v>Сальников В.И.</v>
      </c>
      <c r="O132" s="18" t="str">
        <f>'[3]6нед'!X12</f>
        <v>доцент, канд. наук</v>
      </c>
      <c r="P132" s="56" t="str">
        <f>HYPERLINK(VLOOKUP(M132,$R$12:$S$180,2,FALSE))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'[3]5нед'!S13</f>
        <v>пр</v>
      </c>
      <c r="E133" s="23" t="str">
        <f>'[3]5нед'!T13</f>
        <v>Физическая культура и спорт</v>
      </c>
      <c r="F133" s="21" t="str">
        <f>'[3]5нед'!W13</f>
        <v>Набока В.И.</v>
      </c>
      <c r="G133" s="22" t="str">
        <f>'[3]5нед'!X13</f>
        <v>преподаватель</v>
      </c>
      <c r="H133" s="57" t="str">
        <f>HYPERLINK(VLOOKUP(E133,$R$12:$S$180,2,FALSE))</f>
        <v>https://max.ru/join/otW8lgS1PqJ5ZhmtKc1Abb8BfYMXnmtaMD7qcLUGCxg</v>
      </c>
      <c r="I133" s="71"/>
      <c r="J133" s="88"/>
      <c r="K133" s="14" t="s">
        <v>19</v>
      </c>
      <c r="L133" s="20" t="str">
        <f>'[3]6нед'!S13</f>
        <v>пр</v>
      </c>
      <c r="M133" s="23" t="str">
        <f>'[3]6нед'!T13</f>
        <v>Физическая культура и спорт</v>
      </c>
      <c r="N133" s="21" t="str">
        <f>'[3]6нед'!W13</f>
        <v>Набока В.И.</v>
      </c>
      <c r="O133" s="22" t="str">
        <f>'[3]6нед'!X13</f>
        <v>преподаватель</v>
      </c>
      <c r="P133" s="57" t="str">
        <f>HYPERLINK(VLOOKUP(M133,$R$12:$S$180,2,FALSE))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'[3]5нед'!S14</f>
        <v>пр</v>
      </c>
      <c r="E134" s="23" t="str">
        <f>'[3]5нед'!T14</f>
        <v>Иностранный язык</v>
      </c>
      <c r="F134" s="21" t="str">
        <f>'[3]5нед'!W14</f>
        <v>Суворова С.Г.</v>
      </c>
      <c r="G134" s="22" t="str">
        <f>'[3]5нед'!X14</f>
        <v>ст. преподаватель</v>
      </c>
      <c r="H134" s="57" t="str">
        <f>HYPERLINK(VLOOKUP(E134,$R$12:$S$180,2,FALSE))</f>
        <v>https://max.ru/join/otW8lgS1PqJ5ZhmtKc1Abb8BfYMXnmtaMD7qcLUGCxg</v>
      </c>
      <c r="I134" s="71"/>
      <c r="J134" s="88"/>
      <c r="K134" s="14" t="s">
        <v>20</v>
      </c>
      <c r="L134" s="20" t="str">
        <f>'[3]6нед'!S14</f>
        <v>пр</v>
      </c>
      <c r="M134" s="23" t="str">
        <f>'[3]6нед'!T14</f>
        <v>Иностранный язык</v>
      </c>
      <c r="N134" s="21" t="str">
        <f>'[3]6нед'!W14</f>
        <v>Суворова С.Г.</v>
      </c>
      <c r="O134" s="22" t="str">
        <f>'[3]6нед'!X14</f>
        <v>ст. преподаватель</v>
      </c>
      <c r="P134" s="57" t="str">
        <f>HYPERLINK(VLOOKUP(M134,$R$12:$S$180,2,FALSE))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'[3]5нед'!S15</f>
        <v>л</v>
      </c>
      <c r="E135" s="23" t="str">
        <f>'[3]5нед'!T15</f>
        <v>Возрастная анатомия, физиология и культура здоровья</v>
      </c>
      <c r="F135" s="21" t="str">
        <f>'[3]5нед'!W15</f>
        <v>Тотоева О.Н.</v>
      </c>
      <c r="G135" s="22" t="str">
        <f>'[3]5нед'!X15</f>
        <v>доцент, канд. наук</v>
      </c>
      <c r="H135" s="57" t="str">
        <f>HYPERLINK(VLOOKUP(E135,$R$12:$S$180,2,FALSE))</f>
        <v>https://max.ru/join/NU2edX9oXun4G550gjffmEH6rRcZcTV_m4i8V_Iscos</v>
      </c>
      <c r="I135" s="71"/>
      <c r="J135" s="88"/>
      <c r="K135" s="14" t="s">
        <v>21</v>
      </c>
      <c r="L135" s="20" t="str">
        <f>'[3]6нед'!S15</f>
        <v>л</v>
      </c>
      <c r="M135" s="23" t="str">
        <f>'[3]6нед'!T15</f>
        <v>Математический анализ</v>
      </c>
      <c r="N135" s="21" t="str">
        <f>'[3]6нед'!W15</f>
        <v>Линник Е.П.</v>
      </c>
      <c r="O135" s="22" t="str">
        <f>'[3]6нед'!X15</f>
        <v>доцент, канд. наук</v>
      </c>
      <c r="P135" s="57" t="str">
        <f>HYPERLINK(VLOOKUP(M135,$R$12:$S$180,2,FALSE))</f>
        <v>https://max.ru/join/OH6fDuRVjPmIa0jo8bkpQ88VaCOt5qUj0lgw60QfR6E</v>
      </c>
    </row>
    <row r="136" spans="1:16" ht="31.5" x14ac:dyDescent="0.2">
      <c r="A136" s="82"/>
      <c r="B136" s="85"/>
      <c r="C136" s="14" t="s">
        <v>22</v>
      </c>
      <c r="D136" s="20">
        <f>'[3]5нед'!S16</f>
        <v>0</v>
      </c>
      <c r="E136" s="23">
        <f>'[3]5нед'!T16</f>
        <v>0</v>
      </c>
      <c r="F136" s="21">
        <f>'[3]5нед'!W16</f>
        <v>0</v>
      </c>
      <c r="G136" s="22" t="str">
        <f>'[3]5нед'!X16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'[3]6нед'!S16</f>
        <v>0</v>
      </c>
      <c r="M136" s="23">
        <f>'[3]6нед'!T16</f>
        <v>0</v>
      </c>
      <c r="N136" s="21">
        <f>'[3]6нед'!W16</f>
        <v>0</v>
      </c>
      <c r="O136" s="22" t="str">
        <f>'[3]6нед'!X16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'[3]5нед'!S17</f>
        <v>0</v>
      </c>
      <c r="E137" s="23">
        <f>'[3]5нед'!T17</f>
        <v>0</v>
      </c>
      <c r="F137" s="21">
        <f>'[3]5нед'!W17</f>
        <v>0</v>
      </c>
      <c r="G137" s="22" t="str">
        <f>'[3]5нед'!X17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'[3]6нед'!S17</f>
        <v>0</v>
      </c>
      <c r="M137" s="23">
        <f>'[3]6нед'!T17</f>
        <v>0</v>
      </c>
      <c r="N137" s="21">
        <f>'[3]6нед'!W17</f>
        <v>0</v>
      </c>
      <c r="O137" s="22" t="str">
        <f>'[3]6нед'!X17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'[3]5нед'!S18</f>
        <v>0</v>
      </c>
      <c r="E138" s="23">
        <f>'[3]5нед'!T18</f>
        <v>0</v>
      </c>
      <c r="F138" s="21">
        <f>'[3]5нед'!W18</f>
        <v>0</v>
      </c>
      <c r="G138" s="22" t="str">
        <f>'[3]5нед'!X18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'[3]6нед'!S18</f>
        <v>0</v>
      </c>
      <c r="M138" s="23">
        <f>'[3]6нед'!T18</f>
        <v>0</v>
      </c>
      <c r="N138" s="21">
        <f>'[3]6нед'!W18</f>
        <v>0</v>
      </c>
      <c r="O138" s="22" t="str">
        <f>'[3]6нед'!X18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'[3]5нед'!S19</f>
        <v>0</v>
      </c>
      <c r="E139" s="25">
        <f>'[3]5нед'!T19</f>
        <v>0</v>
      </c>
      <c r="F139" s="26">
        <f>'[3]5нед'!W19</f>
        <v>0</v>
      </c>
      <c r="G139" s="27" t="str">
        <f>'[3]5нед'!X19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'[3]6нед'!S19</f>
        <v>0</v>
      </c>
      <c r="M139" s="25">
        <f>'[3]6нед'!T19</f>
        <v>0</v>
      </c>
      <c r="N139" s="26">
        <f>'[3]6нед'!W19</f>
        <v>0</v>
      </c>
      <c r="O139" s="27" t="str">
        <f>'[3]6нед'!X19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</f>
        <v>0</v>
      </c>
      <c r="E140" s="19">
        <f>'[3]5нед'!T20</f>
        <v>0</v>
      </c>
      <c r="F140" s="17">
        <f>'[3]5нед'!W20</f>
        <v>0</v>
      </c>
      <c r="G140" s="18" t="str">
        <f>'[3]5нед'!X20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'[3]6нед'!S20</f>
        <v>0</v>
      </c>
      <c r="M140" s="19">
        <f>'[3]6нед'!T20</f>
        <v>0</v>
      </c>
      <c r="N140" s="17">
        <f>'[3]6нед'!W20</f>
        <v>0</v>
      </c>
      <c r="O140" s="18" t="str">
        <f>'[3]6нед'!X20</f>
        <v/>
      </c>
      <c r="P140" s="56" t="str">
        <f>HYPERLINK(VLOOKUP(M140,$R$12:$S$180,2,FALSE))</f>
        <v/>
      </c>
    </row>
    <row r="141" spans="1:16" ht="37.5" x14ac:dyDescent="0.2">
      <c r="A141" s="82"/>
      <c r="B141" s="85"/>
      <c r="C141" s="14" t="s">
        <v>19</v>
      </c>
      <c r="D141" s="20">
        <f>'[3]5нед'!S21</f>
        <v>0</v>
      </c>
      <c r="E141" s="23">
        <f>'[3]5нед'!T21</f>
        <v>0</v>
      </c>
      <c r="F141" s="21">
        <f>'[3]5нед'!W21</f>
        <v>0</v>
      </c>
      <c r="G141" s="22" t="str">
        <f>'[3]5нед'!X21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 t="str">
        <f>'[3]6нед'!S21</f>
        <v>л</v>
      </c>
      <c r="M141" s="23" t="str">
        <f>'[3]6нед'!T21</f>
        <v>Геометрия</v>
      </c>
      <c r="N141" s="21" t="str">
        <f>'[3]6нед'!W21</f>
        <v>Казанцев Ю.А.</v>
      </c>
      <c r="O141" s="22" t="str">
        <f>'[3]6нед'!X21</f>
        <v>ст. преподаватель</v>
      </c>
      <c r="P141" s="57" t="str">
        <f>HYPERLINK(VLOOKUP(M141,$R$12:$S$180,2,FALSE))</f>
        <v>https://max.ru/join/OH6fDuRVjPmIa0jo8bkpQ88VaCOt5qUj0lgw60QfR6E</v>
      </c>
    </row>
    <row r="142" spans="1:16" ht="37.5" x14ac:dyDescent="0.2">
      <c r="A142" s="82"/>
      <c r="B142" s="85"/>
      <c r="C142" s="14" t="s">
        <v>20</v>
      </c>
      <c r="D142" s="20" t="str">
        <f>'[3]5нед'!S22</f>
        <v>л</v>
      </c>
      <c r="E142" s="23" t="str">
        <f>'[3]5нед'!T22</f>
        <v>Технологии цифрового образования</v>
      </c>
      <c r="F142" s="21" t="str">
        <f>'[3]5нед'!W22</f>
        <v>Шевченко Е.Н.</v>
      </c>
      <c r="G142" s="22" t="str">
        <f>'[3]5нед'!X22</f>
        <v>ст. преподаватель</v>
      </c>
      <c r="H142" s="57" t="str">
        <f>HYPERLINK(VLOOKUP(E142,$R$12:$S$180,2,FALSE))</f>
        <v>https://max.ru/join/QktsjGaw5ToZMymwQv4u7TZ1a5jhx2Meh1Xg11Ht-o8</v>
      </c>
      <c r="I142" s="71"/>
      <c r="J142" s="88"/>
      <c r="K142" s="14" t="s">
        <v>20</v>
      </c>
      <c r="L142" s="20" t="str">
        <f>'[3]6нед'!S22</f>
        <v>пр</v>
      </c>
      <c r="M142" s="23" t="str">
        <f>'[3]6нед'!T22</f>
        <v xml:space="preserve"> Технологии цифрового образования</v>
      </c>
      <c r="N142" s="21" t="str">
        <f>'[3]6нед'!W22</f>
        <v>Шевченко Е.Н.</v>
      </c>
      <c r="O142" s="22" t="str">
        <f>'[3]6нед'!X22</f>
        <v>ст. преподаватель</v>
      </c>
      <c r="P142" s="57" t="str">
        <f>HYPERLINK(VLOOKUP(M142,$R$12:$S$180,2,FALSE))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'[3]5нед'!S23</f>
        <v>л</v>
      </c>
      <c r="E143" s="23" t="str">
        <f>'[3]5нед'!T23</f>
        <v>Обучение служением</v>
      </c>
      <c r="F143" s="21" t="str">
        <f>'[3]5нед'!W23</f>
        <v>Вишневский В.А.</v>
      </c>
      <c r="G143" s="22" t="str">
        <f>'[3]5нед'!X23</f>
        <v>доцент, канд. наук</v>
      </c>
      <c r="H143" s="57" t="str">
        <f>HYPERLINK(VLOOKUP(E143,$R$12:$S$180,2,FALSE))</f>
        <v>https://max.ru/join/0MiRK0GUpSTCrtKMGu5ke9BatSupdkYkm3PEezrq5xw</v>
      </c>
      <c r="I143" s="71"/>
      <c r="J143" s="88"/>
      <c r="K143" s="14" t="s">
        <v>21</v>
      </c>
      <c r="L143" s="20">
        <f>'[3]6нед'!S23</f>
        <v>0</v>
      </c>
      <c r="M143" s="23">
        <f>'[3]6нед'!T23</f>
        <v>0</v>
      </c>
      <c r="N143" s="21">
        <f>'[3]6нед'!W23</f>
        <v>0</v>
      </c>
      <c r="O143" s="22" t="str">
        <f>'[3]6нед'!X23</f>
        <v/>
      </c>
      <c r="P143" s="57" t="str">
        <f>HYPERLINK(VLOOKUP(M143,$R$12:$S$180,2,FALSE))</f>
        <v/>
      </c>
    </row>
    <row r="144" spans="1:16" ht="37.5" x14ac:dyDescent="0.2">
      <c r="A144" s="82"/>
      <c r="B144" s="85"/>
      <c r="C144" s="14" t="s">
        <v>22</v>
      </c>
      <c r="D144" s="20" t="str">
        <f>'[3]5нед'!S24</f>
        <v>пр</v>
      </c>
      <c r="E144" s="23" t="str">
        <f>'[3]5нед'!T24</f>
        <v>Алгебра</v>
      </c>
      <c r="F144" s="21" t="str">
        <f>'[3]5нед'!W24</f>
        <v>Овчинникова М.В.</v>
      </c>
      <c r="G144" s="22" t="str">
        <f>'[3]5нед'!X24</f>
        <v>доцент, канд. наук</v>
      </c>
      <c r="H144" s="57" t="str">
        <f>HYPERLINK(VLOOKUP(E144,$R$12:$S$180,2,FALSE))</f>
        <v>https://max.ru/join/OH6fDuRVjPmIa0jo8bkpQ88VaCOt5qUj0lgw60QfR6E</v>
      </c>
      <c r="I144" s="71"/>
      <c r="J144" s="88"/>
      <c r="K144" s="14" t="s">
        <v>22</v>
      </c>
      <c r="L144" s="20">
        <f>'[3]6нед'!S24</f>
        <v>0</v>
      </c>
      <c r="M144" s="23">
        <f>'[3]6нед'!T24</f>
        <v>0</v>
      </c>
      <c r="N144" s="21">
        <f>'[3]6нед'!W24</f>
        <v>0</v>
      </c>
      <c r="O144" s="22" t="str">
        <f>'[3]6нед'!X24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'[3]5нед'!S25</f>
        <v>0</v>
      </c>
      <c r="E145" s="23">
        <f>'[3]5нед'!T25</f>
        <v>0</v>
      </c>
      <c r="F145" s="21">
        <f>'[3]5нед'!W25</f>
        <v>0</v>
      </c>
      <c r="G145" s="22" t="str">
        <f>'[3]5нед'!X25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'[3]6нед'!S25</f>
        <v>0</v>
      </c>
      <c r="M145" s="23">
        <f>'[3]6нед'!T25</f>
        <v>0</v>
      </c>
      <c r="N145" s="21">
        <f>'[3]6нед'!W25</f>
        <v>0</v>
      </c>
      <c r="O145" s="22" t="str">
        <f>'[3]6нед'!X25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'[3]5нед'!S26</f>
        <v>0</v>
      </c>
      <c r="E146" s="23">
        <f>'[3]5нед'!T26</f>
        <v>0</v>
      </c>
      <c r="F146" s="21">
        <f>'[3]5нед'!W26</f>
        <v>0</v>
      </c>
      <c r="G146" s="22" t="str">
        <f>'[3]5нед'!X26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'[3]6нед'!S26</f>
        <v>0</v>
      </c>
      <c r="M146" s="23">
        <f>'[3]6нед'!T26</f>
        <v>0</v>
      </c>
      <c r="N146" s="21">
        <f>'[3]6нед'!W26</f>
        <v>0</v>
      </c>
      <c r="O146" s="22" t="str">
        <f>'[3]6нед'!X26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'[3]5нед'!S27</f>
        <v>0</v>
      </c>
      <c r="E147" s="25">
        <f>'[3]5нед'!T27</f>
        <v>0</v>
      </c>
      <c r="F147" s="26">
        <f>'[3]5нед'!W27</f>
        <v>0</v>
      </c>
      <c r="G147" s="27" t="str">
        <f>'[3]5нед'!X27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'[3]6нед'!S27</f>
        <v>0</v>
      </c>
      <c r="M147" s="25">
        <f>'[3]6нед'!T27</f>
        <v>0</v>
      </c>
      <c r="N147" s="26">
        <f>'[3]6нед'!W27</f>
        <v>0</v>
      </c>
      <c r="O147" s="27" t="str">
        <f>'[3]6нед'!X27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'[3]5нед'!S28</f>
        <v>0</v>
      </c>
      <c r="E148" s="19">
        <f>'[3]5нед'!T28</f>
        <v>0</v>
      </c>
      <c r="F148" s="17">
        <f>'[3]5нед'!W28</f>
        <v>0</v>
      </c>
      <c r="G148" s="18" t="str">
        <f>'[3]5нед'!X28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'[3]6нед'!S28</f>
        <v>0</v>
      </c>
      <c r="M148" s="19">
        <f>'[3]6нед'!T28</f>
        <v>0</v>
      </c>
      <c r="N148" s="17">
        <f>'[3]6нед'!W28</f>
        <v>0</v>
      </c>
      <c r="O148" s="18" t="str">
        <f>'[3]6нед'!X28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'[3]5нед'!S29</f>
        <v>0</v>
      </c>
      <c r="E149" s="23">
        <f>'[3]5нед'!T29</f>
        <v>0</v>
      </c>
      <c r="F149" s="21">
        <f>'[3]5нед'!W29</f>
        <v>0</v>
      </c>
      <c r="G149" s="22" t="str">
        <f>'[3]5нед'!X29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'[3]6нед'!S29</f>
        <v>0</v>
      </c>
      <c r="M149" s="23">
        <f>'[3]6нед'!T29</f>
        <v>0</v>
      </c>
      <c r="N149" s="21">
        <f>'[3]6нед'!W29</f>
        <v>0</v>
      </c>
      <c r="O149" s="22" t="str">
        <f>'[3]6нед'!X29</f>
        <v/>
      </c>
      <c r="P149" s="57" t="str">
        <f>HYPERLINK(VLOOKUP(M149,$R$12:$S$180,2,FALSE))</f>
        <v/>
      </c>
    </row>
    <row r="150" spans="1:16" ht="37.5" x14ac:dyDescent="0.2">
      <c r="A150" s="82"/>
      <c r="B150" s="68"/>
      <c r="C150" s="14" t="s">
        <v>20</v>
      </c>
      <c r="D150" s="20">
        <f>'[3]5нед'!S30</f>
        <v>0</v>
      </c>
      <c r="E150" s="23">
        <f>'[3]5нед'!T30</f>
        <v>0</v>
      </c>
      <c r="F150" s="21">
        <f>'[3]5нед'!W30</f>
        <v>0</v>
      </c>
      <c r="G150" s="22" t="str">
        <f>'[3]5нед'!X30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'[3]6нед'!S30</f>
        <v>л</v>
      </c>
      <c r="M150" s="23" t="str">
        <f>'[3]6нед'!T30</f>
        <v>Алгебра</v>
      </c>
      <c r="N150" s="21" t="str">
        <f>'[3]6нед'!W30</f>
        <v>Овчинникова М.В.</v>
      </c>
      <c r="O150" s="22" t="str">
        <f>'[3]6нед'!X30</f>
        <v>доцент, канд. наук</v>
      </c>
      <c r="P150" s="57" t="str">
        <f>HYPERLINK(VLOOKUP(M150,$R$12:$S$180,2,FALSE))</f>
        <v>https://max.ru/join/OH6fDuRVjPmIa0jo8bkpQ88VaCOt5qUj0lgw60QfR6E</v>
      </c>
    </row>
    <row r="151" spans="1:16" ht="37.5" x14ac:dyDescent="0.2">
      <c r="A151" s="82"/>
      <c r="B151" s="68"/>
      <c r="C151" s="14" t="s">
        <v>21</v>
      </c>
      <c r="D151" s="20">
        <f>'[3]5нед'!S31</f>
        <v>0</v>
      </c>
      <c r="E151" s="23">
        <f>'[3]5нед'!T31</f>
        <v>0</v>
      </c>
      <c r="F151" s="21">
        <f>'[3]5нед'!W31</f>
        <v>0</v>
      </c>
      <c r="G151" s="22" t="str">
        <f>'[3]5нед'!X31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'[3]6нед'!S31</f>
        <v>пр</v>
      </c>
      <c r="M151" s="23" t="str">
        <f>'[3]6нед'!T31</f>
        <v>Физическая культура и спорт</v>
      </c>
      <c r="N151" s="21" t="str">
        <f>'[3]6нед'!W31</f>
        <v>Набока В.И.</v>
      </c>
      <c r="O151" s="22" t="str">
        <f>'[3]6нед'!X31</f>
        <v>преподаватель</v>
      </c>
      <c r="P151" s="57" t="str">
        <f>HYPERLINK(VLOOKUP(M151,$R$12:$S$180,2,FALSE))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'[3]5нед'!S32</f>
        <v>0</v>
      </c>
      <c r="E152" s="23">
        <f>'[3]5нед'!T32</f>
        <v>0</v>
      </c>
      <c r="F152" s="21">
        <f>'[3]5нед'!W32</f>
        <v>0</v>
      </c>
      <c r="G152" s="22" t="str">
        <f>'[3]5нед'!X32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'[3]6нед'!S32</f>
        <v>0</v>
      </c>
      <c r="M152" s="23">
        <f>'[3]6нед'!T32</f>
        <v>0</v>
      </c>
      <c r="N152" s="21">
        <f>'[3]6нед'!W32</f>
        <v>0</v>
      </c>
      <c r="O152" s="22" t="str">
        <f>'[3]6нед'!X32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'[3]5нед'!S33</f>
        <v>0</v>
      </c>
      <c r="E153" s="23">
        <f>'[3]5нед'!T33</f>
        <v>0</v>
      </c>
      <c r="F153" s="21">
        <f>'[3]5нед'!W33</f>
        <v>0</v>
      </c>
      <c r="G153" s="22" t="str">
        <f>'[3]5нед'!X33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'[3]6нед'!S33</f>
        <v>0</v>
      </c>
      <c r="M153" s="23">
        <f>'[3]6нед'!T33</f>
        <v>0</v>
      </c>
      <c r="N153" s="21">
        <f>'[3]6нед'!W33</f>
        <v>0</v>
      </c>
      <c r="O153" s="22" t="str">
        <f>'[3]6нед'!X33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'[3]5нед'!S34</f>
        <v>0</v>
      </c>
      <c r="E154" s="23">
        <f>'[3]5нед'!T34</f>
        <v>0</v>
      </c>
      <c r="F154" s="21">
        <f>'[3]5нед'!W34</f>
        <v>0</v>
      </c>
      <c r="G154" s="22" t="str">
        <f>'[3]5нед'!X34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'[3]6нед'!S34</f>
        <v>0</v>
      </c>
      <c r="M154" s="23">
        <f>'[3]6нед'!T34</f>
        <v>0</v>
      </c>
      <c r="N154" s="21">
        <f>'[3]6нед'!W34</f>
        <v>0</v>
      </c>
      <c r="O154" s="22" t="str">
        <f>'[3]6нед'!X34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'[3]5нед'!S35</f>
        <v>0</v>
      </c>
      <c r="E155" s="25">
        <f>'[3]5нед'!T35</f>
        <v>0</v>
      </c>
      <c r="F155" s="26">
        <f>'[3]5нед'!W35</f>
        <v>0</v>
      </c>
      <c r="G155" s="27" t="str">
        <f>'[3]5нед'!X35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'[3]6нед'!S35</f>
        <v>0</v>
      </c>
      <c r="M155" s="25">
        <f>'[3]6нед'!T35</f>
        <v>0</v>
      </c>
      <c r="N155" s="26">
        <f>'[3]6нед'!W35</f>
        <v>0</v>
      </c>
      <c r="O155" s="27" t="str">
        <f>'[3]6нед'!X35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'[3]5нед'!S36</f>
        <v>л</v>
      </c>
      <c r="E156" s="19" t="str">
        <f>'[3]5нед'!T36</f>
        <v>Программное обеспечение систем и сетей</v>
      </c>
      <c r="F156" s="17" t="str">
        <f>'[3]5нед'!W36</f>
        <v>Алешов В.В.</v>
      </c>
      <c r="G156" s="18" t="str">
        <f>'[3]5нед'!X36</f>
        <v>ст. преподаватель</v>
      </c>
      <c r="H156" s="56" t="str">
        <f>HYPERLINK(VLOOKUP(E156,$R$12:$S$180,2,FALSE))</f>
        <v>https://max.ru/join/OH6fDuRVjPmIa0jo8bkpQ88VaCOt5qUj0lgw60QfR6E</v>
      </c>
      <c r="I156" s="70">
        <v>46303</v>
      </c>
      <c r="J156" s="87" t="s">
        <v>27</v>
      </c>
      <c r="K156" s="29" t="s">
        <v>18</v>
      </c>
      <c r="L156" s="16">
        <f>'[3]6нед'!S36</f>
        <v>0</v>
      </c>
      <c r="M156" s="19">
        <f>'[3]6нед'!T36</f>
        <v>0</v>
      </c>
      <c r="N156" s="17">
        <f>'[3]6нед'!W36</f>
        <v>0</v>
      </c>
      <c r="O156" s="18" t="str">
        <f>'[3]6нед'!X36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'[3]5нед'!S37</f>
        <v>пр</v>
      </c>
      <c r="E157" s="23" t="str">
        <f>'[3]5нед'!T37</f>
        <v>Программное обеспечение систем и сетей</v>
      </c>
      <c r="F157" s="21" t="str">
        <f>'[3]5нед'!W37</f>
        <v>Алешов В.В.</v>
      </c>
      <c r="G157" s="22" t="str">
        <f>'[3]5нед'!X37</f>
        <v>ст. преподаватель</v>
      </c>
      <c r="H157" s="57" t="str">
        <f>HYPERLINK(VLOOKUP(E157,$R$12:$S$180,2,FALSE))</f>
        <v>https://max.ru/join/OH6fDuRVjPmIa0jo8bkpQ88VaCOt5qUj0lgw60QfR6E</v>
      </c>
      <c r="I157" s="71"/>
      <c r="J157" s="88"/>
      <c r="K157" s="14" t="s">
        <v>19</v>
      </c>
      <c r="L157" s="20">
        <f>'[3]6нед'!S37</f>
        <v>0</v>
      </c>
      <c r="M157" s="23">
        <f>'[3]6нед'!T37</f>
        <v>0</v>
      </c>
      <c r="N157" s="21">
        <f>'[3]6нед'!W37</f>
        <v>0</v>
      </c>
      <c r="O157" s="22" t="str">
        <f>'[3]6нед'!X37</f>
        <v/>
      </c>
      <c r="P157" s="57" t="str">
        <f>HYPERLINK(VLOOKUP(M157,$R$12:$S$180,2,FALSE))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'[3]5нед'!S38</f>
        <v>пр</v>
      </c>
      <c r="E158" s="23" t="str">
        <f>'[3]5нед'!T38</f>
        <v>Геометрия</v>
      </c>
      <c r="F158" s="21" t="str">
        <f>'[3]5нед'!W38</f>
        <v>Казанцев Ю.А.</v>
      </c>
      <c r="G158" s="22" t="str">
        <f>'[3]5нед'!X38</f>
        <v>ст. преподаватель</v>
      </c>
      <c r="H158" s="57" t="str">
        <f>HYPERLINK(VLOOKUP(E158,$R$12:$S$180,2,FALSE))</f>
        <v>https://max.ru/join/OH6fDuRVjPmIa0jo8bkpQ88VaCOt5qUj0lgw60QfR6E</v>
      </c>
      <c r="I158" s="71"/>
      <c r="J158" s="88"/>
      <c r="K158" s="14" t="s">
        <v>20</v>
      </c>
      <c r="L158" s="20">
        <f>'[3]6нед'!S38</f>
        <v>0</v>
      </c>
      <c r="M158" s="23">
        <f>'[3]6нед'!T38</f>
        <v>0</v>
      </c>
      <c r="N158" s="21">
        <f>'[3]6нед'!W38</f>
        <v>0</v>
      </c>
      <c r="O158" s="22" t="str">
        <f>'[3]6нед'!X38</f>
        <v/>
      </c>
      <c r="P158" s="57" t="str">
        <f>HYPERLINK(VLOOKUP(M158,$R$12:$S$180,2,FALSE))</f>
        <v/>
      </c>
    </row>
    <row r="159" spans="1:16" ht="37.5" x14ac:dyDescent="0.2">
      <c r="A159" s="82"/>
      <c r="B159" s="85"/>
      <c r="C159" s="14" t="s">
        <v>21</v>
      </c>
      <c r="D159" s="20">
        <f>'[3]5нед'!S39</f>
        <v>0</v>
      </c>
      <c r="E159" s="23">
        <f>'[3]5нед'!T39</f>
        <v>0</v>
      </c>
      <c r="F159" s="21">
        <f>'[3]5нед'!W39</f>
        <v>0</v>
      </c>
      <c r="G159" s="22" t="str">
        <f>'[3]5нед'!X39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 t="str">
        <f>'[3]6нед'!S39</f>
        <v>пр</v>
      </c>
      <c r="M159" s="23" t="str">
        <f>'[3]6нед'!T39</f>
        <v xml:space="preserve"> Возрастная анатомия, физиология и культура здоровья</v>
      </c>
      <c r="N159" s="21" t="str">
        <f>'[3]6нед'!W39</f>
        <v>Тотоева О.Н.</v>
      </c>
      <c r="O159" s="22" t="str">
        <f>'[3]6нед'!X39</f>
        <v>доцент, канд. наук</v>
      </c>
      <c r="P159" s="57" t="str">
        <f>HYPERLINK(VLOOKUP(M159,$R$12:$S$180,2,FALSE))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'[3]5нед'!S40</f>
        <v>0</v>
      </c>
      <c r="E160" s="23">
        <f>'[3]5нед'!T40</f>
        <v>0</v>
      </c>
      <c r="F160" s="21">
        <f>'[3]5нед'!W40</f>
        <v>0</v>
      </c>
      <c r="G160" s="22" t="str">
        <f>'[3]5нед'!X40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 t="str">
        <f>'[3]6нед'!S40</f>
        <v>пр</v>
      </c>
      <c r="M160" s="23" t="str">
        <f>'[3]6нед'!T40</f>
        <v xml:space="preserve"> Основы российской государственности</v>
      </c>
      <c r="N160" s="21" t="str">
        <f>'[3]6нед'!W40</f>
        <v>Лысенко Е.Г.</v>
      </c>
      <c r="O160" s="22" t="str">
        <f>'[3]6нед'!X40</f>
        <v>доцент, канд. наук</v>
      </c>
      <c r="P160" s="57" t="str">
        <f>HYPERLINK(VLOOKUP(M160,$R$12:$S$180,2,FALSE))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'[3]5нед'!S41</f>
        <v>0</v>
      </c>
      <c r="E161" s="23">
        <f>'[3]5нед'!T41</f>
        <v>0</v>
      </c>
      <c r="F161" s="21">
        <f>'[3]5нед'!W41</f>
        <v>0</v>
      </c>
      <c r="G161" s="22" t="str">
        <f>'[3]5нед'!X41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'[3]6нед'!S41</f>
        <v>0</v>
      </c>
      <c r="M161" s="23">
        <f>'[3]6нед'!T41</f>
        <v>0</v>
      </c>
      <c r="N161" s="21">
        <f>'[3]6нед'!W41</f>
        <v>0</v>
      </c>
      <c r="O161" s="22" t="str">
        <f>'[3]6нед'!X41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'[3]5нед'!S42</f>
        <v>0</v>
      </c>
      <c r="E162" s="23">
        <f>'[3]5нед'!T42</f>
        <v>0</v>
      </c>
      <c r="F162" s="21">
        <f>'[3]5нед'!W42</f>
        <v>0</v>
      </c>
      <c r="G162" s="22" t="str">
        <f>'[3]5нед'!X42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'[3]6нед'!S42</f>
        <v>0</v>
      </c>
      <c r="M162" s="23">
        <f>'[3]6нед'!T42</f>
        <v>0</v>
      </c>
      <c r="N162" s="21">
        <f>'[3]6нед'!W42</f>
        <v>0</v>
      </c>
      <c r="O162" s="22" t="str">
        <f>'[3]6нед'!X42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'[3]5нед'!S43</f>
        <v>0</v>
      </c>
      <c r="E163" s="25">
        <f>'[3]5нед'!T43</f>
        <v>0</v>
      </c>
      <c r="F163" s="26">
        <f>'[3]5нед'!W43</f>
        <v>0</v>
      </c>
      <c r="G163" s="27" t="str">
        <f>'[3]5нед'!X43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'[3]6нед'!S43</f>
        <v>0</v>
      </c>
      <c r="M163" s="25">
        <f>'[3]6нед'!T43</f>
        <v>0</v>
      </c>
      <c r="N163" s="26">
        <f>'[3]6нед'!W43</f>
        <v>0</v>
      </c>
      <c r="O163" s="27" t="str">
        <f>'[3]6нед'!X43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'[3]5нед'!S44</f>
        <v>пр</v>
      </c>
      <c r="E164" s="19" t="str">
        <f>'[3]5нед'!T44</f>
        <v xml:space="preserve"> Основы российской государственности</v>
      </c>
      <c r="F164" s="17" t="str">
        <f>'[3]5нед'!W44</f>
        <v>Лысенко Е.Г.</v>
      </c>
      <c r="G164" s="18" t="str">
        <f>'[3]5нед'!X44</f>
        <v>доцент, канд. наук</v>
      </c>
      <c r="H164" s="56" t="str">
        <f>HYPERLINK(VLOOKUP(E164,$R$12:$S$180,2,FALSE))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 t="str">
        <f>'[3]6нед'!S44</f>
        <v>пр</v>
      </c>
      <c r="M164" s="19" t="str">
        <f>'[3]6нед'!T44</f>
        <v xml:space="preserve"> Математический анализ</v>
      </c>
      <c r="N164" s="17" t="str">
        <f>'[3]6нед'!W44</f>
        <v>Якимова В.В.</v>
      </c>
      <c r="O164" s="18" t="str">
        <f>'[3]6нед'!X44</f>
        <v>ст. преподаватель</v>
      </c>
      <c r="P164" s="56" t="str">
        <f>HYPERLINK(VLOOKUP(M164,$R$12:$S$180,2,FALSE))</f>
        <v>https://max.ru/join/OH6fDuRVjPmIa0jo8bkpQ88VaCOt5qUj0lgw60QfR6E</v>
      </c>
    </row>
    <row r="165" spans="1:16" ht="37.5" x14ac:dyDescent="0.2">
      <c r="A165" s="82"/>
      <c r="B165" s="85"/>
      <c r="C165" s="14" t="s">
        <v>19</v>
      </c>
      <c r="D165" s="20" t="str">
        <f>'[3]5нед'!S45</f>
        <v>пр</v>
      </c>
      <c r="E165" s="23" t="str">
        <f>'[3]5нед'!T45</f>
        <v xml:space="preserve"> История России</v>
      </c>
      <c r="F165" s="21" t="str">
        <f>'[3]5нед'!W45</f>
        <v>Сальников В.И.</v>
      </c>
      <c r="G165" s="22" t="str">
        <f>'[3]5нед'!X45</f>
        <v>доцент, канд. наук</v>
      </c>
      <c r="H165" s="57" t="str">
        <f>HYPERLINK(VLOOKUP(E165,$R$12:$S$180,2,FALSE))</f>
        <v>https://max.ru/join/otW8lgS1PqJ5ZhmtKc1Abb8BfYMXnmtaMD7qcLUGCxg</v>
      </c>
      <c r="I165" s="71"/>
      <c r="J165" s="88"/>
      <c r="K165" s="14" t="s">
        <v>19</v>
      </c>
      <c r="L165" s="20" t="str">
        <f>'[3]6нед'!S45</f>
        <v>пр</v>
      </c>
      <c r="M165" s="23" t="str">
        <f>'[3]6нед'!T45</f>
        <v xml:space="preserve"> История России</v>
      </c>
      <c r="N165" s="21" t="str">
        <f>'[3]6нед'!W45</f>
        <v>Сальников В.И.</v>
      </c>
      <c r="O165" s="22" t="str">
        <f>'[3]6нед'!X45</f>
        <v>доцент, канд. наук</v>
      </c>
      <c r="P165" s="57" t="str">
        <f>HYPERLINK(VLOOKUP(M165,$R$12:$S$180,2,FALSE))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'[3]5нед'!S46</f>
        <v>пр</v>
      </c>
      <c r="E166" s="23" t="str">
        <f>'[3]5нед'!T46</f>
        <v>Программное обеспечение систем и сетей</v>
      </c>
      <c r="F166" s="21" t="str">
        <f>'[3]5нед'!W46</f>
        <v>Алешов В.В.</v>
      </c>
      <c r="G166" s="22" t="str">
        <f>'[3]5нед'!X46</f>
        <v>ст. преподаватель</v>
      </c>
      <c r="H166" s="57" t="str">
        <f>HYPERLINK(VLOOKUP(E166,$R$12:$S$180,2,FALSE))</f>
        <v>https://max.ru/join/OH6fDuRVjPmIa0jo8bkpQ88VaCOt5qUj0lgw60QfR6E</v>
      </c>
      <c r="I166" s="71"/>
      <c r="J166" s="88"/>
      <c r="K166" s="14" t="s">
        <v>20</v>
      </c>
      <c r="L166" s="20" t="str">
        <f>'[3]6нед'!S46</f>
        <v>л</v>
      </c>
      <c r="M166" s="23" t="str">
        <f>'[3]6нед'!T46</f>
        <v>Программное обеспечение систем и сетей</v>
      </c>
      <c r="N166" s="21" t="str">
        <f>'[3]6нед'!W46</f>
        <v>Алешов В.В.</v>
      </c>
      <c r="O166" s="22" t="str">
        <f>'[3]6нед'!X46</f>
        <v>ст. преподаватель</v>
      </c>
      <c r="P166" s="57" t="str">
        <f>HYPERLINK(VLOOKUP(M166,$R$12:$S$180,2,FALSE))</f>
        <v>https://max.ru/join/OH6fDuRVjPmIa0jo8bkpQ88VaCOt5qUj0lgw60QfR6E</v>
      </c>
    </row>
    <row r="167" spans="1:16" ht="37.5" x14ac:dyDescent="0.2">
      <c r="A167" s="82"/>
      <c r="B167" s="85"/>
      <c r="C167" s="14" t="s">
        <v>21</v>
      </c>
      <c r="D167" s="20">
        <f>'[3]5нед'!S47</f>
        <v>0</v>
      </c>
      <c r="E167" s="23">
        <f>'[3]5нед'!T47</f>
        <v>0</v>
      </c>
      <c r="F167" s="21">
        <f>'[3]5нед'!W47</f>
        <v>0</v>
      </c>
      <c r="G167" s="22" t="str">
        <f>'[3]5нед'!X47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 t="str">
        <f>'[3]6нед'!S47</f>
        <v>пр</v>
      </c>
      <c r="M167" s="23" t="str">
        <f>'[3]6нед'!T47</f>
        <v>Алгебра</v>
      </c>
      <c r="N167" s="21" t="str">
        <f>'[3]6нед'!W47</f>
        <v>Овчинникова М.В.</v>
      </c>
      <c r="O167" s="22" t="str">
        <f>'[3]6нед'!X47</f>
        <v>доцент, канд. наук</v>
      </c>
      <c r="P167" s="57" t="str">
        <f>HYPERLINK(VLOOKUP(M167,$R$12:$S$180,2,FALSE))</f>
        <v>https://max.ru/join/OH6fDuRVjPmIa0jo8bkpQ88VaCOt5qUj0lgw60QfR6E</v>
      </c>
    </row>
    <row r="168" spans="1:16" ht="31.5" x14ac:dyDescent="0.2">
      <c r="A168" s="82"/>
      <c r="B168" s="85"/>
      <c r="C168" s="14" t="s">
        <v>22</v>
      </c>
      <c r="D168" s="20">
        <f>'[3]5нед'!S48</f>
        <v>0</v>
      </c>
      <c r="E168" s="23">
        <f>'[3]5нед'!T48</f>
        <v>0</v>
      </c>
      <c r="F168" s="21">
        <f>'[3]5нед'!W48</f>
        <v>0</v>
      </c>
      <c r="G168" s="22" t="str">
        <f>'[3]5нед'!X48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'[3]6нед'!S48</f>
        <v>0</v>
      </c>
      <c r="M168" s="23">
        <f>'[3]6нед'!T48</f>
        <v>0</v>
      </c>
      <c r="N168" s="21">
        <f>'[3]6нед'!W48</f>
        <v>0</v>
      </c>
      <c r="O168" s="22" t="str">
        <f>'[3]6нед'!X48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'[3]5нед'!S49</f>
        <v>0</v>
      </c>
      <c r="E169" s="23">
        <f>'[3]5нед'!T49</f>
        <v>0</v>
      </c>
      <c r="F169" s="21">
        <f>'[3]5нед'!W49</f>
        <v>0</v>
      </c>
      <c r="G169" s="22" t="str">
        <f>'[3]5нед'!X49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'[3]6нед'!S49</f>
        <v>0</v>
      </c>
      <c r="M169" s="23">
        <f>'[3]6нед'!T49</f>
        <v>0</v>
      </c>
      <c r="N169" s="21">
        <f>'[3]6нед'!W49</f>
        <v>0</v>
      </c>
      <c r="O169" s="22" t="str">
        <f>'[3]6нед'!X49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'[3]5нед'!S50</f>
        <v>0</v>
      </c>
      <c r="E170" s="23">
        <f>'[3]5нед'!T50</f>
        <v>0</v>
      </c>
      <c r="F170" s="21">
        <f>'[3]5нед'!W50</f>
        <v>0</v>
      </c>
      <c r="G170" s="22" t="str">
        <f>'[3]5нед'!X50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'[3]6нед'!S50</f>
        <v>0</v>
      </c>
      <c r="M170" s="23">
        <f>'[3]6нед'!T50</f>
        <v>0</v>
      </c>
      <c r="N170" s="21">
        <f>'[3]6нед'!W50</f>
        <v>0</v>
      </c>
      <c r="O170" s="22" t="str">
        <f>'[3]6нед'!X50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'[3]5нед'!S51</f>
        <v>0</v>
      </c>
      <c r="E171" s="25">
        <f>'[3]5нед'!T51</f>
        <v>0</v>
      </c>
      <c r="F171" s="26">
        <f>'[3]5нед'!W51</f>
        <v>0</v>
      </c>
      <c r="G171" s="27" t="str">
        <f>'[3]5нед'!X51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'[3]6нед'!S51</f>
        <v>0</v>
      </c>
      <c r="M171" s="25">
        <f>'[3]6нед'!T51</f>
        <v>0</v>
      </c>
      <c r="N171" s="26">
        <f>'[3]6нед'!W51</f>
        <v>0</v>
      </c>
      <c r="O171" s="27" t="str">
        <f>'[3]6нед'!X51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'[3]5нед'!S52</f>
        <v>0</v>
      </c>
      <c r="E172" s="19">
        <f>'[3]5нед'!T52</f>
        <v>0</v>
      </c>
      <c r="F172" s="17">
        <f>'[3]5нед'!W52</f>
        <v>0</v>
      </c>
      <c r="G172" s="18" t="str">
        <f>'[3]5нед'!X52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'[3]6нед'!S52</f>
        <v>0</v>
      </c>
      <c r="M172" s="19">
        <f>'[3]6нед'!T52</f>
        <v>0</v>
      </c>
      <c r="N172" s="17">
        <f>'[3]6нед'!W52</f>
        <v>0</v>
      </c>
      <c r="O172" s="18" t="str">
        <f>'[3]6нед'!X52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'[3]5нед'!S53</f>
        <v>0</v>
      </c>
      <c r="E173" s="23">
        <f>'[3]5нед'!T53</f>
        <v>0</v>
      </c>
      <c r="F173" s="21">
        <f>'[3]5нед'!W53</f>
        <v>0</v>
      </c>
      <c r="G173" s="22" t="str">
        <f>'[3]5нед'!X53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'[3]6нед'!S53</f>
        <v>0</v>
      </c>
      <c r="M173" s="23">
        <f>'[3]6нед'!T53</f>
        <v>0</v>
      </c>
      <c r="N173" s="21">
        <f>'[3]6нед'!W53</f>
        <v>0</v>
      </c>
      <c r="O173" s="22" t="str">
        <f>'[3]6нед'!X53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'[3]5нед'!S54</f>
        <v>0</v>
      </c>
      <c r="E174" s="23">
        <f>'[3]5нед'!T54</f>
        <v>0</v>
      </c>
      <c r="F174" s="21">
        <f>'[3]5нед'!W54</f>
        <v>0</v>
      </c>
      <c r="G174" s="22" t="str">
        <f>'[3]5нед'!X54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'[3]6нед'!S54</f>
        <v>0</v>
      </c>
      <c r="M174" s="23">
        <f>'[3]6нед'!T54</f>
        <v>0</v>
      </c>
      <c r="N174" s="21">
        <f>'[3]6нед'!W54</f>
        <v>0</v>
      </c>
      <c r="O174" s="22" t="str">
        <f>'[3]6нед'!X54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'[3]5нед'!S55</f>
        <v>0</v>
      </c>
      <c r="E175" s="23">
        <f>'[3]5нед'!T55</f>
        <v>0</v>
      </c>
      <c r="F175" s="21">
        <f>'[3]5нед'!W55</f>
        <v>0</v>
      </c>
      <c r="G175" s="22" t="str">
        <f>'[3]5нед'!X55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'[3]6нед'!S55</f>
        <v>0</v>
      </c>
      <c r="M175" s="23">
        <f>'[3]6нед'!T55</f>
        <v>0</v>
      </c>
      <c r="N175" s="21">
        <f>'[3]6нед'!W55</f>
        <v>0</v>
      </c>
      <c r="O175" s="22" t="str">
        <f>'[3]6нед'!X55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'[3]5нед'!S56</f>
        <v>0</v>
      </c>
      <c r="E176" s="23">
        <f>'[3]5нед'!T56</f>
        <v>0</v>
      </c>
      <c r="F176" s="21">
        <f>'[3]5нед'!W56</f>
        <v>0</v>
      </c>
      <c r="G176" s="22" t="str">
        <f>'[3]5нед'!X56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'[3]6нед'!S56</f>
        <v>0</v>
      </c>
      <c r="M176" s="23">
        <f>'[3]6нед'!T56</f>
        <v>0</v>
      </c>
      <c r="N176" s="21">
        <f>'[3]6нед'!W56</f>
        <v>0</v>
      </c>
      <c r="O176" s="22" t="str">
        <f>'[3]6нед'!X56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'[3]5нед'!S57</f>
        <v>0</v>
      </c>
      <c r="E177" s="23">
        <f>'[3]5нед'!T57</f>
        <v>0</v>
      </c>
      <c r="F177" s="21">
        <f>'[3]5нед'!W57</f>
        <v>0</v>
      </c>
      <c r="G177" s="22" t="str">
        <f>'[3]5нед'!X57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'[3]6нед'!S57</f>
        <v>0</v>
      </c>
      <c r="M177" s="23">
        <f>'[3]6нед'!T57</f>
        <v>0</v>
      </c>
      <c r="N177" s="21">
        <f>'[3]6нед'!W57</f>
        <v>0</v>
      </c>
      <c r="O177" s="22" t="str">
        <f>'[3]6нед'!X57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'[3]5нед'!S58</f>
        <v>0</v>
      </c>
      <c r="E178" s="23">
        <f>'[3]5нед'!T58</f>
        <v>0</v>
      </c>
      <c r="F178" s="21">
        <f>'[3]5нед'!W58</f>
        <v>0</v>
      </c>
      <c r="G178" s="22" t="str">
        <f>'[3]5нед'!X58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'[3]6нед'!S58</f>
        <v>0</v>
      </c>
      <c r="M178" s="23">
        <f>'[3]6нед'!T58</f>
        <v>0</v>
      </c>
      <c r="N178" s="21">
        <f>'[3]6нед'!W58</f>
        <v>0</v>
      </c>
      <c r="O178" s="22" t="str">
        <f>'[3]6нед'!X58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4709A2A7-9B94-42CE-A7F1-2C6194613B8C}"/>
    <hyperlink ref="S13" r:id="rId2" xr:uid="{7359EE70-AE87-4607-AFFA-DC63883CEE9B}"/>
    <hyperlink ref="S15" r:id="rId3" xr:uid="{260BA9CC-21C6-4905-B567-12FA833CBB71}"/>
    <hyperlink ref="S22" r:id="rId4" xr:uid="{678FD714-74D2-4751-AC45-D1E17A295B39}"/>
    <hyperlink ref="S16" r:id="rId5" xr:uid="{E9F32BD0-17FA-4CE8-93CE-2B12851F0ED0}"/>
    <hyperlink ref="S14" r:id="rId6" xr:uid="{F27966A3-C6E1-478C-A3F9-E045C15B2EE1}"/>
    <hyperlink ref="S17" r:id="rId7" xr:uid="{9FEB35CE-711D-46A3-89F4-722A79B2DA71}"/>
    <hyperlink ref="S24" r:id="rId8" xr:uid="{71EAC653-BB2F-4FE7-80AF-75B9D63A632D}"/>
    <hyperlink ref="S25" r:id="rId9" xr:uid="{ECB7AD78-FD05-4BBC-A27F-30710D714471}"/>
    <hyperlink ref="S26" r:id="rId10" xr:uid="{820619E4-5C95-4439-B025-19806BADFE28}"/>
    <hyperlink ref="S27" r:id="rId11" xr:uid="{778B2B46-3DBE-4324-857D-3829417AD1A1}"/>
    <hyperlink ref="S28" r:id="rId12" xr:uid="{93BC8604-9EDB-44B8-8603-AB28E989CEEF}"/>
    <hyperlink ref="S18" r:id="rId13" xr:uid="{23ECDAB9-9BC3-425D-AC5D-E6FA868057B6}"/>
    <hyperlink ref="S19" r:id="rId14" xr:uid="{54972450-8E80-4E23-907C-85D8974564AE}"/>
    <hyperlink ref="S20" r:id="rId15" xr:uid="{26F0F302-80D1-4F9A-97BA-6F8A82421B6D}"/>
    <hyperlink ref="S21" r:id="rId16" xr:uid="{45B4910D-24E2-4CDD-994D-9050454A0237}"/>
    <hyperlink ref="S23" r:id="rId17" xr:uid="{3376A4D0-8CFD-47BF-A304-63BE8BD46F4E}"/>
  </hyperlinks>
  <pageMargins left="0.70866141732283472" right="0.70866141732283472" top="0.74803149606299213" bottom="0.74803149606299213" header="0.31496062992125984" footer="0.31496062992125984"/>
  <pageSetup paperSize="9" scale="34" orientation="portrait" r:id="rId18"/>
  <rowBreaks count="2" manualBreakCount="2">
    <brk id="60" max="16383" man="1"/>
    <brk id="120" max="15" man="1"/>
  </rowBreaks>
  <colBreaks count="1" manualBreakCount="1">
    <brk id="8" max="1048575" man="1"/>
  </colBreaks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80"/>
  <sheetViews>
    <sheetView view="pageBreakPreview" topLeftCell="G126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85546875" customWidth="1"/>
    <col min="19" max="19" width="2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'[1]1нед'!$D$68</f>
        <v>44.03.05..Педагогическое образование (с двумя профилями подготовки) (Физика и Информатика)</v>
      </c>
      <c r="F7" s="7"/>
      <c r="G7" s="7" t="str">
        <f>'[1]1нед'!$D$72</f>
        <v>12-26ФИ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44.03.05..Педагогическое образование (с двумя профилями подготовки) (Физика и Информатика)</v>
      </c>
      <c r="N7" s="7"/>
      <c r="O7" s="7" t="str">
        <f>G7</f>
        <v>12-26ФИ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1</v>
      </c>
      <c r="F9" s="62"/>
      <c r="G9" s="62"/>
      <c r="H9" s="35"/>
      <c r="I9" s="45"/>
      <c r="J9" s="81" t="s">
        <v>7</v>
      </c>
      <c r="K9" s="81"/>
      <c r="L9" s="81"/>
      <c r="M9" s="62">
        <f>E9</f>
        <v>1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'[1]1нед'!C74</f>
        <v>0</v>
      </c>
      <c r="E12" s="19">
        <f>'[1]1нед'!D74</f>
        <v>0</v>
      </c>
      <c r="F12" s="17">
        <f>'[1]1нед'!G74</f>
        <v>0</v>
      </c>
      <c r="G12" s="18" t="str">
        <f>'[1]1нед'!H74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'[1]2нед'!C74</f>
        <v>л</v>
      </c>
      <c r="M12" s="19" t="str">
        <f>'[1]2нед'!D74</f>
        <v>История России</v>
      </c>
      <c r="N12" s="17" t="str">
        <f>'[1]2нед'!G74</f>
        <v>Сальников В.И.</v>
      </c>
      <c r="O12" s="18" t="str">
        <f>'[1]2нед'!H74</f>
        <v>доцент, канд. наук</v>
      </c>
      <c r="P12" s="56" t="str">
        <f>HYPERLINK(VLOOKUP(M12,$R$12:$S$180,2,FALSE))</f>
        <v>https://max.ru/join/o85unk1KbqCN1-IxGCSAqfdKA8ikJBwHtOsEG2C_ftA</v>
      </c>
      <c r="R12" s="51" t="str">
        <f>[2]Уч.План!B159</f>
        <v>История России</v>
      </c>
      <c r="S12" s="54" t="s">
        <v>34</v>
      </c>
    </row>
    <row r="13" spans="1:19" ht="37.5" x14ac:dyDescent="0.2">
      <c r="A13" s="82"/>
      <c r="B13" s="85"/>
      <c r="C13" s="14" t="s">
        <v>19</v>
      </c>
      <c r="D13" s="20">
        <f>'[1]1нед'!C75</f>
        <v>0</v>
      </c>
      <c r="E13" s="23">
        <f>'[1]1нед'!D75</f>
        <v>0</v>
      </c>
      <c r="F13" s="21">
        <f>'[1]1нед'!G75</f>
        <v>0</v>
      </c>
      <c r="G13" s="22" t="str">
        <f>'[1]1нед'!H75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'[1]2нед'!C75</f>
        <v>л</v>
      </c>
      <c r="M13" s="23" t="str">
        <f>'[1]2нед'!D75</f>
        <v>Элементарная  физика</v>
      </c>
      <c r="N13" s="21" t="str">
        <f>'[1]2нед'!G75</f>
        <v>Коробова И.В.</v>
      </c>
      <c r="O13" s="22" t="str">
        <f>'[1]2нед'!H75</f>
        <v>профессор, д-р наук</v>
      </c>
      <c r="P13" s="57" t="str">
        <f>HYPERLINK(VLOOKUP(M13,$R$12:$S$180,2,FALSE))</f>
        <v>https://max.ru/join/TCEatH6Avl8o9m9sQTggJgcSrdIkaHPRw7RIzgXKilo</v>
      </c>
      <c r="R13" s="51" t="str">
        <f>[2]Уч.План!B160</f>
        <v>Основы российской государственности</v>
      </c>
      <c r="S13" s="54" t="s">
        <v>35</v>
      </c>
    </row>
    <row r="14" spans="1:19" ht="37.5" x14ac:dyDescent="0.2">
      <c r="A14" s="82"/>
      <c r="B14" s="85"/>
      <c r="C14" s="14" t="s">
        <v>20</v>
      </c>
      <c r="D14" s="20">
        <f>'[1]1нед'!C76</f>
        <v>0</v>
      </c>
      <c r="E14" s="23">
        <f>'[1]1нед'!D76</f>
        <v>0</v>
      </c>
      <c r="F14" s="21">
        <f>'[1]1нед'!G76</f>
        <v>0</v>
      </c>
      <c r="G14" s="22" t="str">
        <f>'[1]1нед'!H76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'[1]2нед'!C76</f>
        <v>пр</v>
      </c>
      <c r="M14" s="23" t="str">
        <f>'[1]2нед'!D76</f>
        <v>Иностранный язык</v>
      </c>
      <c r="N14" s="21" t="str">
        <f>'[1]2нед'!G76</f>
        <v>Суворова С.Г.</v>
      </c>
      <c r="O14" s="22" t="str">
        <f>'[1]2нед'!H76</f>
        <v>ст. преподаватель</v>
      </c>
      <c r="P14" s="57" t="str">
        <f>HYPERLINK(VLOOKUP(M14,$R$12:$S$180,2,FALSE))</f>
        <v>https://max.ru/join/otW8lgS1PqJ5ZhmtKc1Abb8BfYMXnmtaMD7qcLUGCxg</v>
      </c>
      <c r="R14" s="51" t="str">
        <f>[2]Уч.План!B161</f>
        <v>Иностранный язык</v>
      </c>
      <c r="S14" s="60" t="s">
        <v>40</v>
      </c>
    </row>
    <row r="15" spans="1:19" ht="37.5" x14ac:dyDescent="0.2">
      <c r="A15" s="82"/>
      <c r="B15" s="85"/>
      <c r="C15" s="14" t="s">
        <v>21</v>
      </c>
      <c r="D15" s="20">
        <f>'[1]1нед'!C77</f>
        <v>0</v>
      </c>
      <c r="E15" s="23">
        <f>'[1]1нед'!D77</f>
        <v>0</v>
      </c>
      <c r="F15" s="21">
        <f>'[1]1нед'!G77</f>
        <v>0</v>
      </c>
      <c r="G15" s="22" t="str">
        <f>'[1]1нед'!H77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'[1]2нед'!C77</f>
        <v>л</v>
      </c>
      <c r="M15" s="23" t="str">
        <f>'[1]2нед'!D77</f>
        <v>Возрастная анатомия, физиология и культура здоровья</v>
      </c>
      <c r="N15" s="21" t="str">
        <f>'[1]2нед'!G77</f>
        <v>Тотоева О.Н.</v>
      </c>
      <c r="O15" s="22" t="str">
        <f>'[1]2нед'!H77</f>
        <v>доцент, канд. наук</v>
      </c>
      <c r="P15" s="57" t="str">
        <f>HYPERLINK(VLOOKUP(M15,$R$12:$S$180,2,FALSE))</f>
        <v>https://max.ru/join/NU2edX9oXun4G550gjffmEH6rRcZcTV_m4i8V_Iscos</v>
      </c>
      <c r="R15" s="51" t="str">
        <f>[2]Уч.План!B162</f>
        <v>Технологии цифрового образования</v>
      </c>
      <c r="S15" s="54" t="s">
        <v>36</v>
      </c>
    </row>
    <row r="16" spans="1:19" ht="31.5" x14ac:dyDescent="0.2">
      <c r="A16" s="82"/>
      <c r="B16" s="85"/>
      <c r="C16" s="14" t="s">
        <v>22</v>
      </c>
      <c r="D16" s="20">
        <f>'[1]1нед'!C78</f>
        <v>0</v>
      </c>
      <c r="E16" s="23">
        <f>'[1]1нед'!D78</f>
        <v>0</v>
      </c>
      <c r="F16" s="21">
        <f>'[1]1нед'!G78</f>
        <v>0</v>
      </c>
      <c r="G16" s="22" t="str">
        <f>'[1]1нед'!H78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'[1]2нед'!C78</f>
        <v>0</v>
      </c>
      <c r="M16" s="23">
        <f>'[1]2нед'!D78</f>
        <v>0</v>
      </c>
      <c r="N16" s="21">
        <f>'[1]2нед'!G78</f>
        <v>0</v>
      </c>
      <c r="O16" s="22" t="str">
        <f>'[1]2нед'!H78</f>
        <v/>
      </c>
      <c r="P16" s="57" t="str">
        <f>HYPERLINK(VLOOKUP(M16,$R$12:$S$180,2,FALSE))</f>
        <v/>
      </c>
      <c r="R16" s="51" t="str">
        <f>[2]Уч.План!B163</f>
        <v>Возрастная анатомия, физиология и культура здоровья</v>
      </c>
      <c r="S16" s="54" t="s">
        <v>41</v>
      </c>
    </row>
    <row r="17" spans="1:19" ht="31.5" x14ac:dyDescent="0.2">
      <c r="A17" s="82"/>
      <c r="B17" s="85"/>
      <c r="C17" s="14" t="s">
        <v>23</v>
      </c>
      <c r="D17" s="20">
        <f>'[1]1нед'!C79</f>
        <v>0</v>
      </c>
      <c r="E17" s="23">
        <f>'[1]1нед'!D79</f>
        <v>0</v>
      </c>
      <c r="F17" s="21">
        <f>'[1]1нед'!G79</f>
        <v>0</v>
      </c>
      <c r="G17" s="22" t="str">
        <f>'[1]1нед'!H79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'[1]2нед'!C79</f>
        <v>0</v>
      </c>
      <c r="M17" s="23">
        <f>'[1]2нед'!D79</f>
        <v>0</v>
      </c>
      <c r="N17" s="21">
        <f>'[1]2нед'!G79</f>
        <v>0</v>
      </c>
      <c r="O17" s="22" t="str">
        <f>'[1]2нед'!H79</f>
        <v/>
      </c>
      <c r="P17" s="55" t="str">
        <f>HYPERLINK(VLOOKUP(M17,$R$12:$S$180,2,FALSE))</f>
        <v/>
      </c>
      <c r="R17" s="51" t="str">
        <f>[2]Уч.План!B164</f>
        <v>Физическая культура и спорт</v>
      </c>
      <c r="S17" s="60" t="s">
        <v>40</v>
      </c>
    </row>
    <row r="18" spans="1:19" ht="31.5" x14ac:dyDescent="0.2">
      <c r="A18" s="82"/>
      <c r="B18" s="85"/>
      <c r="C18" s="14" t="s">
        <v>24</v>
      </c>
      <c r="D18" s="20">
        <f>'[1]1нед'!C80</f>
        <v>0</v>
      </c>
      <c r="E18" s="23">
        <f>'[1]1нед'!D80</f>
        <v>0</v>
      </c>
      <c r="F18" s="21">
        <f>'[1]1нед'!G80</f>
        <v>0</v>
      </c>
      <c r="G18" s="22" t="str">
        <f>'[1]1нед'!H80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'[1]2нед'!C80</f>
        <v>0</v>
      </c>
      <c r="M18" s="23">
        <f>'[1]2нед'!D80</f>
        <v>0</v>
      </c>
      <c r="N18" s="21">
        <f>'[1]2нед'!G80</f>
        <v>0</v>
      </c>
      <c r="O18" s="22" t="str">
        <f>'[1]2нед'!H80</f>
        <v/>
      </c>
      <c r="P18" s="55" t="str">
        <f>HYPERLINK(VLOOKUP(M18,$R$12:$S$180,2,FALSE))</f>
        <v/>
      </c>
      <c r="R18" s="51" t="str">
        <f>[2]Уч.План!B165</f>
        <v>Высшая математика</v>
      </c>
      <c r="S18" s="60" t="s">
        <v>44</v>
      </c>
    </row>
    <row r="19" spans="1:19" ht="18.399999999999999" customHeight="1" thickBot="1" x14ac:dyDescent="0.25">
      <c r="A19" s="83"/>
      <c r="B19" s="86"/>
      <c r="C19" s="15"/>
      <c r="D19" s="24">
        <f>'[1]1нед'!C81</f>
        <v>0</v>
      </c>
      <c r="E19" s="25">
        <f>'[1]1нед'!D81</f>
        <v>0</v>
      </c>
      <c r="F19" s="26">
        <f>'[1]1нед'!G81</f>
        <v>0</v>
      </c>
      <c r="G19" s="27" t="str">
        <f>'[1]1нед'!H81</f>
        <v/>
      </c>
      <c r="H19" s="58" t="str">
        <f>HYPERLINK(VLOOKUP(E19,$R$12:$S$180,2,FALSE))</f>
        <v/>
      </c>
      <c r="I19" s="72"/>
      <c r="J19" s="89"/>
      <c r="K19" s="15"/>
      <c r="L19" s="24">
        <f>'[1]2нед'!C81</f>
        <v>0</v>
      </c>
      <c r="M19" s="25">
        <f>'[1]2нед'!D81</f>
        <v>0</v>
      </c>
      <c r="N19" s="26">
        <f>'[1]2нед'!G81</f>
        <v>0</v>
      </c>
      <c r="O19" s="27" t="str">
        <f>'[1]2нед'!H81</f>
        <v/>
      </c>
      <c r="P19" s="58" t="str">
        <f>HYPERLINK(VLOOKUP(M19,$R$12:$S$180,2,FALSE))</f>
        <v/>
      </c>
      <c r="R19" s="51" t="str">
        <f>[2]Уч.План!B166</f>
        <v>Математические основы информатики</v>
      </c>
      <c r="S19" s="60" t="s">
        <v>44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'[1]1нед'!C82</f>
        <v>0</v>
      </c>
      <c r="E20" s="19">
        <f>'[1]1нед'!D82</f>
        <v>0</v>
      </c>
      <c r="F20" s="17">
        <f>'[1]1нед'!G82</f>
        <v>0</v>
      </c>
      <c r="G20" s="18" t="str">
        <f>'[1]1нед'!H82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'[1]2нед'!C82</f>
        <v>0</v>
      </c>
      <c r="M20" s="19">
        <f>'[1]2нед'!D82</f>
        <v>0</v>
      </c>
      <c r="N20" s="17">
        <f>'[1]2нед'!G82</f>
        <v>0</v>
      </c>
      <c r="O20" s="18" t="str">
        <f>'[1]2нед'!H82</f>
        <v/>
      </c>
      <c r="P20" s="56" t="str">
        <f>HYPERLINK(VLOOKUP(M20,$R$12:$S$180,2,FALSE))</f>
        <v/>
      </c>
      <c r="R20" s="51" t="str">
        <f>[2]Уч.План!B167</f>
        <v>Программное обеспечение систем и сетей</v>
      </c>
      <c r="S20" s="60" t="s">
        <v>44</v>
      </c>
    </row>
    <row r="21" spans="1:19" ht="37.5" x14ac:dyDescent="0.2">
      <c r="A21" s="82"/>
      <c r="B21" s="85"/>
      <c r="C21" s="14" t="s">
        <v>19</v>
      </c>
      <c r="D21" s="20">
        <f>'[1]1нед'!C83</f>
        <v>0</v>
      </c>
      <c r="E21" s="23">
        <f>'[1]1нед'!D83</f>
        <v>0</v>
      </c>
      <c r="F21" s="21">
        <f>'[1]1нед'!G83</f>
        <v>0</v>
      </c>
      <c r="G21" s="22" t="str">
        <f>'[1]1нед'!H83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'[1]2нед'!C83</f>
        <v>пр</v>
      </c>
      <c r="M21" s="23" t="str">
        <f>'[1]2нед'!D83</f>
        <v>Программное обеспечение систем и сетей</v>
      </c>
      <c r="N21" s="21" t="str">
        <f>'[1]2нед'!G83</f>
        <v>Алешов В.В.</v>
      </c>
      <c r="O21" s="22" t="str">
        <f>'[1]2нед'!H83</f>
        <v>ст. преподаватель</v>
      </c>
      <c r="P21" s="57" t="str">
        <f>HYPERLINK(VLOOKUP(M21,$R$12:$S$180,2,FALSE))</f>
        <v>https://max.ru/join/TCEatH6Avl8o9m9sQTggJgcSrdIkaHPRw7RIzgXKilo</v>
      </c>
      <c r="R21" s="51" t="str">
        <f>[2]Уч.План!B168</f>
        <v>Дискретные модели в информатике</v>
      </c>
      <c r="S21" s="60" t="s">
        <v>44</v>
      </c>
    </row>
    <row r="22" spans="1:19" ht="37.5" x14ac:dyDescent="0.2">
      <c r="A22" s="82"/>
      <c r="B22" s="85"/>
      <c r="C22" s="14" t="s">
        <v>20</v>
      </c>
      <c r="D22" s="20">
        <f>'[1]1нед'!C84</f>
        <v>0</v>
      </c>
      <c r="E22" s="23">
        <f>'[1]1нед'!D84</f>
        <v>0</v>
      </c>
      <c r="F22" s="21">
        <f>'[1]1нед'!G84</f>
        <v>0</v>
      </c>
      <c r="G22" s="22" t="str">
        <f>'[1]1нед'!H84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'[1]2нед'!C84</f>
        <v>л</v>
      </c>
      <c r="M22" s="23" t="str">
        <f>'[1]2нед'!D84</f>
        <v>Технологии цифрового образования</v>
      </c>
      <c r="N22" s="21" t="str">
        <f>'[1]2нед'!G84</f>
        <v>Шевченко Е.Н.</v>
      </c>
      <c r="O22" s="22" t="str">
        <f>'[1]2нед'!H84</f>
        <v>ст. преподаватель</v>
      </c>
      <c r="P22" s="57" t="str">
        <f>HYPERLINK(VLOOKUP(M22,$R$12:$S$180,2,FALSE))</f>
        <v>https://max.ru/join/QktsjGaw5ToZMymwQv4u7TZ1a5jhx2Meh1Xg11Ht-o8</v>
      </c>
      <c r="R22" s="51" t="str">
        <f>[2]Уч.План!B169</f>
        <v>Элементарная  физика</v>
      </c>
      <c r="S22" s="60" t="s">
        <v>44</v>
      </c>
    </row>
    <row r="23" spans="1:19" ht="38.25" customHeight="1" x14ac:dyDescent="0.2">
      <c r="A23" s="82"/>
      <c r="B23" s="85"/>
      <c r="C23" s="14" t="s">
        <v>21</v>
      </c>
      <c r="D23" s="20">
        <f>'[1]1нед'!C85</f>
        <v>0</v>
      </c>
      <c r="E23" s="23">
        <f>'[1]1нед'!D85</f>
        <v>0</v>
      </c>
      <c r="F23" s="21">
        <f>'[1]1нед'!G85</f>
        <v>0</v>
      </c>
      <c r="G23" s="22" t="str">
        <f>'[1]1нед'!H85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'[1]2нед'!C85</f>
        <v>л</v>
      </c>
      <c r="M23" s="23" t="str">
        <f>'[1]2нед'!D85</f>
        <v>Обучение служением</v>
      </c>
      <c r="N23" s="21" t="str">
        <f>'[1]2нед'!G85</f>
        <v>Вишневский В.А.</v>
      </c>
      <c r="O23" s="22" t="str">
        <f>'[1]2нед'!H85</f>
        <v>доцент, канд. наук</v>
      </c>
      <c r="P23" s="57" t="str">
        <f>HYPERLINK(VLOOKUP(M23,$R$12:$S$180,2,FALSE))</f>
        <v>https://max.ru/join/0MiRK0GUpSTCrtKMGu5ke9BatSupdkYkm3PEezrq5xw</v>
      </c>
      <c r="R23" s="51" t="str">
        <f>[2]Уч.План!B170</f>
        <v>Элементарная математика</v>
      </c>
      <c r="S23" s="60" t="s">
        <v>44</v>
      </c>
    </row>
    <row r="24" spans="1:19" ht="31.5" x14ac:dyDescent="0.2">
      <c r="A24" s="82"/>
      <c r="B24" s="85"/>
      <c r="C24" s="14" t="s">
        <v>22</v>
      </c>
      <c r="D24" s="20">
        <f>'[1]1нед'!C86</f>
        <v>0</v>
      </c>
      <c r="E24" s="23">
        <f>'[1]1нед'!D86</f>
        <v>0</v>
      </c>
      <c r="F24" s="21">
        <f>'[1]1нед'!G86</f>
        <v>0</v>
      </c>
      <c r="G24" s="22" t="str">
        <f>'[1]1нед'!H86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'[1]2нед'!C86</f>
        <v>0</v>
      </c>
      <c r="M24" s="23">
        <f>'[1]2нед'!D86</f>
        <v>0</v>
      </c>
      <c r="N24" s="21">
        <f>'[1]2нед'!G86</f>
        <v>0</v>
      </c>
      <c r="O24" s="22" t="str">
        <f>'[1]2нед'!H86</f>
        <v/>
      </c>
      <c r="P24" s="57" t="str">
        <f>HYPERLINK(VLOOKUP(M24,$R$12:$S$180,2,FALSE))</f>
        <v/>
      </c>
      <c r="R24" s="51" t="str">
        <f>[2]Уч.План!B171</f>
        <v>Обучение служением</v>
      </c>
      <c r="S24" s="60" t="s">
        <v>37</v>
      </c>
    </row>
    <row r="25" spans="1:19" ht="31.5" x14ac:dyDescent="0.2">
      <c r="A25" s="82"/>
      <c r="B25" s="85"/>
      <c r="C25" s="14" t="s">
        <v>23</v>
      </c>
      <c r="D25" s="20">
        <f>'[1]1нед'!C87</f>
        <v>0</v>
      </c>
      <c r="E25" s="23">
        <f>'[1]1нед'!D87</f>
        <v>0</v>
      </c>
      <c r="F25" s="21">
        <f>'[1]1нед'!G87</f>
        <v>0</v>
      </c>
      <c r="G25" s="22" t="str">
        <f>'[1]1нед'!H87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'[1]2нед'!C87</f>
        <v>0</v>
      </c>
      <c r="M25" s="23">
        <f>'[1]2нед'!D87</f>
        <v>0</v>
      </c>
      <c r="N25" s="21">
        <f>'[1]2нед'!G87</f>
        <v>0</v>
      </c>
      <c r="O25" s="22" t="str">
        <f>'[1]2нед'!H87</f>
        <v/>
      </c>
      <c r="P25" s="57" t="str">
        <f>HYPERLINK(VLOOKUP(M25,$R$12:$S$180,2,FALSE))</f>
        <v/>
      </c>
      <c r="R25" s="51" t="str">
        <f>[2]Уч.План!B172</f>
        <v xml:space="preserve"> Обучение служением</v>
      </c>
      <c r="S25" s="60" t="s">
        <v>40</v>
      </c>
    </row>
    <row r="26" spans="1:19" ht="31.5" x14ac:dyDescent="0.2">
      <c r="A26" s="82"/>
      <c r="B26" s="85"/>
      <c r="C26" s="14" t="s">
        <v>24</v>
      </c>
      <c r="D26" s="20">
        <f>'[1]1нед'!C88</f>
        <v>0</v>
      </c>
      <c r="E26" s="23">
        <f>'[1]1нед'!D88</f>
        <v>0</v>
      </c>
      <c r="F26" s="21">
        <f>'[1]1нед'!G88</f>
        <v>0</v>
      </c>
      <c r="G26" s="22" t="str">
        <f>'[1]1нед'!H88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'[1]2нед'!C88</f>
        <v>0</v>
      </c>
      <c r="M26" s="23">
        <f>'[1]2нед'!D88</f>
        <v>0</v>
      </c>
      <c r="N26" s="21">
        <f>'[1]2нед'!G88</f>
        <v>0</v>
      </c>
      <c r="O26" s="22" t="str">
        <f>'[1]2нед'!H88</f>
        <v/>
      </c>
      <c r="P26" s="57" t="str">
        <f>HYPERLINK(VLOOKUP(M26,$R$12:$S$180,2,FALSE))</f>
        <v/>
      </c>
      <c r="R26" s="51" t="str">
        <f>[2]Уч.План!B173</f>
        <v xml:space="preserve"> Основы российской государственности</v>
      </c>
      <c r="S26" s="60" t="s">
        <v>40</v>
      </c>
    </row>
    <row r="27" spans="1:19" ht="18.399999999999999" customHeight="1" thickBot="1" x14ac:dyDescent="0.25">
      <c r="A27" s="83"/>
      <c r="B27" s="86"/>
      <c r="C27" s="15"/>
      <c r="D27" s="24">
        <f>'[1]1нед'!C89</f>
        <v>0</v>
      </c>
      <c r="E27" s="25">
        <f>'[1]1нед'!D89</f>
        <v>0</v>
      </c>
      <c r="F27" s="26">
        <f>'[1]1нед'!G89</f>
        <v>0</v>
      </c>
      <c r="G27" s="27" t="str">
        <f>'[1]1нед'!H89</f>
        <v/>
      </c>
      <c r="H27" s="58" t="str">
        <f>HYPERLINK(VLOOKUP(E27,$R$12:$S$180,2,FALSE))</f>
        <v/>
      </c>
      <c r="I27" s="72"/>
      <c r="J27" s="89"/>
      <c r="K27" s="15"/>
      <c r="L27" s="24">
        <f>'[1]2нед'!C89</f>
        <v>0</v>
      </c>
      <c r="M27" s="25">
        <f>'[1]2нед'!D89</f>
        <v>0</v>
      </c>
      <c r="N27" s="26">
        <f>'[1]2нед'!G89</f>
        <v>0</v>
      </c>
      <c r="O27" s="27" t="str">
        <f>'[1]2нед'!H89</f>
        <v/>
      </c>
      <c r="P27" s="58" t="str">
        <f>HYPERLINK(VLOOKUP(M27,$R$12:$S$180,2,FALSE))</f>
        <v/>
      </c>
      <c r="R27" s="51" t="str">
        <f>[2]Уч.План!B174</f>
        <v xml:space="preserve"> История России</v>
      </c>
      <c r="S27" s="60" t="s">
        <v>40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'[1]1нед'!C90</f>
        <v>л</v>
      </c>
      <c r="E28" s="19" t="str">
        <f>'[1]1нед'!D90</f>
        <v>Основы российской государственности</v>
      </c>
      <c r="F28" s="17" t="str">
        <f>'[1]1нед'!G90</f>
        <v>Вишневский С.А.</v>
      </c>
      <c r="G28" s="18" t="str">
        <f>'[1]1нед'!H90</f>
        <v>доцент, канд. наук</v>
      </c>
      <c r="H28" s="56" t="str">
        <f>HYPERLINK(VLOOKUP(E28,$R$12:$S$180,2,FALSE))</f>
        <v>https://max.ru/join/UK1-XZ_XTqTQMkUzITZ-AvDWmTQjDawZvR5fkupR8eE</v>
      </c>
      <c r="I28" s="70">
        <v>46274</v>
      </c>
      <c r="J28" s="73" t="s">
        <v>26</v>
      </c>
      <c r="K28" s="29" t="s">
        <v>18</v>
      </c>
      <c r="L28" s="16" t="str">
        <f>'[1]2нед'!C90</f>
        <v>л</v>
      </c>
      <c r="M28" s="19" t="str">
        <f>'[1]2нед'!D90</f>
        <v>Основы российской государственности</v>
      </c>
      <c r="N28" s="17" t="str">
        <f>'[1]2нед'!G90</f>
        <v>Вишневский С.А.</v>
      </c>
      <c r="O28" s="18" t="str">
        <f>'[1]2нед'!H90</f>
        <v>доцент, канд. наук</v>
      </c>
      <c r="P28" s="56" t="str">
        <f>HYPERLINK(VLOOKUP(M28,$R$12:$S$180,2,FALSE))</f>
        <v>https://max.ru/join/UK1-XZ_XTqTQMkUzITZ-AvDWmTQjDawZvR5fkupR8eE</v>
      </c>
      <c r="R28" s="51" t="str">
        <f>[2]Уч.План!B175</f>
        <v xml:space="preserve"> Технологии цифрового образования</v>
      </c>
      <c r="S28" s="60" t="s">
        <v>40</v>
      </c>
    </row>
    <row r="29" spans="1:19" ht="37.5" x14ac:dyDescent="0.2">
      <c r="A29" s="82"/>
      <c r="B29" s="68"/>
      <c r="C29" s="14" t="s">
        <v>19</v>
      </c>
      <c r="D29" s="20" t="str">
        <f>'[1]1нед'!C91</f>
        <v>л</v>
      </c>
      <c r="E29" s="23" t="str">
        <f>'[1]1нед'!D91</f>
        <v>Элементарная  физика</v>
      </c>
      <c r="F29" s="21" t="str">
        <f>'[1]1нед'!G91</f>
        <v>Коробова И.В.</v>
      </c>
      <c r="G29" s="22" t="str">
        <f>'[1]1нед'!H91</f>
        <v>профессор, д-р наук</v>
      </c>
      <c r="H29" s="57" t="str">
        <f>HYPERLINK(VLOOKUP(E29,$R$12:$S$180,2,FALSE))</f>
        <v>https://max.ru/join/TCEatH6Avl8o9m9sQTggJgcSrdIkaHPRw7RIzgXKilo</v>
      </c>
      <c r="I29" s="71"/>
      <c r="J29" s="74"/>
      <c r="K29" s="14" t="s">
        <v>19</v>
      </c>
      <c r="L29" s="20" t="str">
        <f>'[1]2нед'!C91</f>
        <v>пр</v>
      </c>
      <c r="M29" s="23" t="str">
        <f>'[1]2нед'!D91</f>
        <v>Математические основы информатики</v>
      </c>
      <c r="N29" s="21" t="str">
        <f>'[1]2нед'!G91</f>
        <v>Казанцев Ю.А.</v>
      </c>
      <c r="O29" s="22" t="str">
        <f>'[1]2нед'!H91</f>
        <v>ст. преподаватель</v>
      </c>
      <c r="P29" s="57" t="str">
        <f>HYPERLINK(VLOOKUP(M29,$R$12:$S$180,2,FALSE))</f>
        <v>https://max.ru/join/TCEatH6Avl8o9m9sQTggJgcSrdIkaHPRw7RIzgXKilo</v>
      </c>
      <c r="R29" s="51" t="str">
        <f>[2]Уч.План!B176</f>
        <v xml:space="preserve"> Возрастная анатомия, физиология и культура здоровья</v>
      </c>
      <c r="S29" s="60" t="s">
        <v>43</v>
      </c>
    </row>
    <row r="30" spans="1:19" ht="31.5" x14ac:dyDescent="0.2">
      <c r="A30" s="82"/>
      <c r="B30" s="68"/>
      <c r="C30" s="14" t="s">
        <v>20</v>
      </c>
      <c r="D30" s="20">
        <f>'[1]1нед'!C92</f>
        <v>0</v>
      </c>
      <c r="E30" s="23">
        <f>'[1]1нед'!D92</f>
        <v>0</v>
      </c>
      <c r="F30" s="21">
        <f>'[1]1нед'!G92</f>
        <v>0</v>
      </c>
      <c r="G30" s="22" t="str">
        <f>'[1]1нед'!H92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'[1]2нед'!C92</f>
        <v>0</v>
      </c>
      <c r="M30" s="23">
        <f>'[1]2нед'!D92</f>
        <v>0</v>
      </c>
      <c r="N30" s="21">
        <f>'[1]2нед'!G92</f>
        <v>0</v>
      </c>
      <c r="O30" s="22" t="str">
        <f>'[1]2нед'!H92</f>
        <v/>
      </c>
      <c r="P30" s="57" t="str">
        <f>HYPERLINK(VLOOKUP(M30,$R$12:$S$180,2,FALSE))</f>
        <v/>
      </c>
      <c r="R30" s="51">
        <f>[2]Уч.План!B177</f>
        <v>0</v>
      </c>
      <c r="S30" s="51"/>
    </row>
    <row r="31" spans="1:19" ht="31.5" x14ac:dyDescent="0.2">
      <c r="A31" s="82"/>
      <c r="B31" s="68"/>
      <c r="C31" s="14" t="s">
        <v>21</v>
      </c>
      <c r="D31" s="20">
        <f>'[1]1нед'!C93</f>
        <v>0</v>
      </c>
      <c r="E31" s="23">
        <f>'[1]1нед'!D93</f>
        <v>0</v>
      </c>
      <c r="F31" s="21">
        <f>'[1]1нед'!G93</f>
        <v>0</v>
      </c>
      <c r="G31" s="22" t="str">
        <f>'[1]1нед'!H93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'[1]2нед'!C93</f>
        <v>0</v>
      </c>
      <c r="M31" s="23">
        <f>'[1]2нед'!D93</f>
        <v>0</v>
      </c>
      <c r="N31" s="21">
        <f>'[1]2нед'!G93</f>
        <v>0</v>
      </c>
      <c r="O31" s="22" t="str">
        <f>'[1]2нед'!H93</f>
        <v/>
      </c>
      <c r="P31" s="57" t="str">
        <f>HYPERLINK(VLOOKUP(M31,$R$12:$S$180,2,FALSE))</f>
        <v/>
      </c>
      <c r="R31" s="51">
        <f>[2]Уч.План!B178</f>
        <v>0</v>
      </c>
      <c r="S31" s="51"/>
    </row>
    <row r="32" spans="1:19" ht="32.25" thickBot="1" x14ac:dyDescent="0.25">
      <c r="A32" s="82"/>
      <c r="B32" s="68"/>
      <c r="C32" s="14" t="s">
        <v>22</v>
      </c>
      <c r="D32" s="20">
        <f>'[1]1нед'!C94</f>
        <v>0</v>
      </c>
      <c r="E32" s="23">
        <f>'[1]1нед'!D94</f>
        <v>0</v>
      </c>
      <c r="F32" s="21">
        <f>'[1]1нед'!G94</f>
        <v>0</v>
      </c>
      <c r="G32" s="22" t="str">
        <f>'[1]1нед'!H94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'[1]2нед'!C94</f>
        <v>0</v>
      </c>
      <c r="M32" s="23">
        <f>'[1]2нед'!D94</f>
        <v>0</v>
      </c>
      <c r="N32" s="21">
        <f>'[1]2нед'!G94</f>
        <v>0</v>
      </c>
      <c r="O32" s="22" t="str">
        <f>'[1]2нед'!H94</f>
        <v/>
      </c>
      <c r="P32" s="57" t="str">
        <f>HYPERLINK(VLOOKUP(M32,$R$12:$S$180,2,FALSE))</f>
        <v/>
      </c>
      <c r="R32" s="51">
        <f>[2]Уч.План!B179</f>
        <v>0</v>
      </c>
      <c r="S32" s="51"/>
    </row>
    <row r="33" spans="1:19" ht="32.25" thickTop="1" x14ac:dyDescent="0.2">
      <c r="A33" s="82"/>
      <c r="B33" s="68"/>
      <c r="C33" s="14" t="s">
        <v>23</v>
      </c>
      <c r="D33" s="20">
        <f>'[1]1нед'!C95</f>
        <v>0</v>
      </c>
      <c r="E33" s="23">
        <f>'[1]1нед'!D95</f>
        <v>0</v>
      </c>
      <c r="F33" s="48"/>
      <c r="G33" s="22" t="str">
        <f>'[1]1нед'!H95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'[1]2нед'!C95</f>
        <v>0</v>
      </c>
      <c r="M33" s="23">
        <f>'[1]2нед'!D95</f>
        <v>0</v>
      </c>
      <c r="N33" s="21">
        <f>'[1]2нед'!G95</f>
        <v>0</v>
      </c>
      <c r="O33" s="22" t="str">
        <f>'[1]2нед'!H95</f>
        <v/>
      </c>
      <c r="P33" s="55" t="str">
        <f>HYPERLINK(VLOOKUP(M33,$R$12:$S$180,2,FALSE))</f>
        <v/>
      </c>
      <c r="R33" s="51">
        <f>[2]Уч.План!B180</f>
        <v>0</v>
      </c>
      <c r="S33" s="51"/>
    </row>
    <row r="34" spans="1:19" ht="32.25" thickBot="1" x14ac:dyDescent="0.25">
      <c r="A34" s="82"/>
      <c r="B34" s="68"/>
      <c r="C34" s="14" t="s">
        <v>24</v>
      </c>
      <c r="D34" s="20">
        <f>'[1]1нед'!C96</f>
        <v>0</v>
      </c>
      <c r="E34" s="23">
        <f>'[1]1нед'!D96</f>
        <v>0</v>
      </c>
      <c r="F34" s="49"/>
      <c r="G34" s="22" t="str">
        <f>'[1]1нед'!H96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'[1]2нед'!C96</f>
        <v>0</v>
      </c>
      <c r="M34" s="23">
        <f>'[1]2нед'!D96</f>
        <v>0</v>
      </c>
      <c r="N34" s="21">
        <f>'[1]2нед'!G96</f>
        <v>0</v>
      </c>
      <c r="O34" s="22" t="str">
        <f>'[1]2нед'!H96</f>
        <v/>
      </c>
      <c r="P34" s="55" t="str">
        <f>HYPERLINK(VLOOKUP(M34,$R$12:$S$180,2,FALSE))</f>
        <v/>
      </c>
      <c r="R34" s="51">
        <f>[2]Уч.План!B181</f>
        <v>0</v>
      </c>
      <c r="S34" s="51"/>
    </row>
    <row r="35" spans="1:19" ht="18.399999999999999" hidden="1" customHeight="1" thickBot="1" x14ac:dyDescent="0.25">
      <c r="A35" s="83"/>
      <c r="B35" s="69"/>
      <c r="C35" s="15"/>
      <c r="D35" s="24">
        <f>'[1]1нед'!C97</f>
        <v>0</v>
      </c>
      <c r="E35" s="25">
        <f>'[1]1нед'!D97</f>
        <v>0</v>
      </c>
      <c r="F35" s="26">
        <f>'[1]1нед'!G97</f>
        <v>0</v>
      </c>
      <c r="G35" s="27" t="str">
        <f>'[1]1нед'!H97</f>
        <v/>
      </c>
      <c r="H35" s="58" t="str">
        <f>HYPERLINK(VLOOKUP(E35,$R$12:$S$180,2,FALSE))</f>
        <v/>
      </c>
      <c r="I35" s="72"/>
      <c r="J35" s="75"/>
      <c r="K35" s="15"/>
      <c r="L35" s="24">
        <f>'[1]2нед'!C97</f>
        <v>0</v>
      </c>
      <c r="M35" s="25">
        <f>'[1]2нед'!D97</f>
        <v>0</v>
      </c>
      <c r="N35" s="26">
        <f>'[1]2нед'!G97</f>
        <v>0</v>
      </c>
      <c r="O35" s="27" t="str">
        <f>'[1]2нед'!H97</f>
        <v/>
      </c>
      <c r="P35" s="58" t="str">
        <f>HYPERLINK(VLOOKUP(M35,$R$12:$S$180,2,FALSE))</f>
        <v/>
      </c>
      <c r="R35">
        <f>[2]Уч.План!B182</f>
        <v>0</v>
      </c>
    </row>
    <row r="36" spans="1:19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'[1]1нед'!C98</f>
        <v>0</v>
      </c>
      <c r="E36" s="19">
        <f>'[1]1нед'!D98</f>
        <v>0</v>
      </c>
      <c r="F36" s="17">
        <f>'[1]1нед'!G98</f>
        <v>0</v>
      </c>
      <c r="G36" s="18" t="str">
        <f>'[1]1нед'!H98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 t="str">
        <f>'[1]2нед'!C98</f>
        <v>пр</v>
      </c>
      <c r="M36" s="19" t="str">
        <f>'[1]2нед'!D98</f>
        <v xml:space="preserve"> Основы российской государственности</v>
      </c>
      <c r="N36" s="17" t="str">
        <f>'[1]2нед'!G98</f>
        <v>Лысенко Е.Г.</v>
      </c>
      <c r="O36" s="18" t="str">
        <f>'[1]2нед'!H98</f>
        <v>доцент, канд. наук</v>
      </c>
      <c r="P36" s="56" t="str">
        <f>HYPERLINK(VLOOKUP(M36,$R$12:$S$180,2,FALSE))</f>
        <v>https://max.ru/join/otW8lgS1PqJ5ZhmtKc1Abb8BfYMXnmtaMD7qcLUGCxg</v>
      </c>
    </row>
    <row r="37" spans="1:19" ht="37.5" x14ac:dyDescent="0.2">
      <c r="A37" s="82"/>
      <c r="B37" s="85"/>
      <c r="C37" s="14" t="s">
        <v>19</v>
      </c>
      <c r="D37" s="20" t="str">
        <f>'[1]1нед'!C99</f>
        <v>л</v>
      </c>
      <c r="E37" s="23" t="str">
        <f>'[1]1нед'!D99</f>
        <v>Высшая математика</v>
      </c>
      <c r="F37" s="21" t="str">
        <f>'[1]1нед'!G99</f>
        <v>Зиненко И.Н.</v>
      </c>
      <c r="G37" s="22" t="str">
        <f>'[1]1нед'!H99</f>
        <v>доцент, канд. наук</v>
      </c>
      <c r="H37" s="57" t="str">
        <f>HYPERLINK(VLOOKUP(E37,$R$12:$S$180,2,FALSE))</f>
        <v>https://max.ru/join/TCEatH6Avl8o9m9sQTggJgcSrdIkaHPRw7RIzgXKilo</v>
      </c>
      <c r="I37" s="71"/>
      <c r="J37" s="88"/>
      <c r="K37" s="14" t="s">
        <v>19</v>
      </c>
      <c r="L37" s="20" t="str">
        <f>'[1]2нед'!C99</f>
        <v>л</v>
      </c>
      <c r="M37" s="23" t="str">
        <f>'[1]2нед'!D99</f>
        <v>Элементарная математика</v>
      </c>
      <c r="N37" s="21" t="str">
        <f>'[1]2нед'!G99</f>
        <v>Зиненко И.Н.</v>
      </c>
      <c r="O37" s="22" t="str">
        <f>'[1]2нед'!H99</f>
        <v>доцент, канд. наук</v>
      </c>
      <c r="P37" s="57" t="str">
        <f>HYPERLINK(VLOOKUP(M37,$R$12:$S$180,2,FALSE))</f>
        <v>https://max.ru/join/TCEatH6Avl8o9m9sQTggJgcSrdIkaHPRw7RIzgXKilo</v>
      </c>
    </row>
    <row r="38" spans="1:19" ht="37.5" x14ac:dyDescent="0.2">
      <c r="A38" s="82"/>
      <c r="B38" s="85"/>
      <c r="C38" s="14" t="s">
        <v>20</v>
      </c>
      <c r="D38" s="20" t="str">
        <f>'[1]1нед'!C100</f>
        <v>л</v>
      </c>
      <c r="E38" s="23" t="str">
        <f>'[1]1нед'!D100</f>
        <v>Программное обеспечение систем и сетей</v>
      </c>
      <c r="F38" s="21" t="str">
        <f>'[1]1нед'!G100</f>
        <v>Алешов В.В.</v>
      </c>
      <c r="G38" s="22" t="str">
        <f>'[1]1нед'!H100</f>
        <v>ст. преподаватель</v>
      </c>
      <c r="H38" s="57" t="str">
        <f>HYPERLINK(VLOOKUP(E38,$R$12:$S$180,2,FALSE))</f>
        <v>https://max.ru/join/TCEatH6Avl8o9m9sQTggJgcSrdIkaHPRw7RIzgXKilo</v>
      </c>
      <c r="I38" s="71"/>
      <c r="J38" s="88"/>
      <c r="K38" s="14" t="s">
        <v>20</v>
      </c>
      <c r="L38" s="20" t="str">
        <f>'[1]2нед'!C100</f>
        <v>пр</v>
      </c>
      <c r="M38" s="23" t="str">
        <f>'[1]2нед'!D100</f>
        <v>Высшая математика</v>
      </c>
      <c r="N38" s="21" t="str">
        <f>'[1]2нед'!G100</f>
        <v>Зиненко И.Н.</v>
      </c>
      <c r="O38" s="22" t="str">
        <f>'[1]2нед'!H100</f>
        <v>доцент, канд. наук</v>
      </c>
      <c r="P38" s="57" t="str">
        <f>HYPERLINK(VLOOKUP(M38,$R$12:$S$180,2,FALSE))</f>
        <v>https://max.ru/join/TCEatH6Avl8o9m9sQTggJgcSrdIkaHPRw7RIzgXKilo</v>
      </c>
    </row>
    <row r="39" spans="1:19" ht="37.5" x14ac:dyDescent="0.2">
      <c r="A39" s="82"/>
      <c r="B39" s="85"/>
      <c r="C39" s="14" t="s">
        <v>21</v>
      </c>
      <c r="D39" s="20">
        <f>'[1]1нед'!C101</f>
        <v>0</v>
      </c>
      <c r="E39" s="23">
        <f>'[1]1нед'!D101</f>
        <v>0</v>
      </c>
      <c r="F39" s="21">
        <f>'[1]1нед'!G101</f>
        <v>0</v>
      </c>
      <c r="G39" s="22" t="str">
        <f>'[1]1нед'!H101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'[1]2нед'!C101</f>
        <v>пр</v>
      </c>
      <c r="M39" s="23" t="str">
        <f>'[1]2нед'!D101</f>
        <v xml:space="preserve"> Возрастная анатомия, физиология и культура здоровья</v>
      </c>
      <c r="N39" s="21" t="str">
        <f>'[1]2нед'!G101</f>
        <v>Тотоева О.Н.</v>
      </c>
      <c r="O39" s="22" t="str">
        <f>'[1]2нед'!H101</f>
        <v>доцент, канд. наук</v>
      </c>
      <c r="P39" s="57" t="str">
        <f>HYPERLINK(VLOOKUP(M39,$R$12:$S$180,2,FALSE))</f>
        <v>https://max.ru/join/RrwhTNjGuc3DgsCx989HtQjNPhbdkA4EOwQlUrySmIY</v>
      </c>
    </row>
    <row r="40" spans="1:19" ht="31.5" x14ac:dyDescent="0.2">
      <c r="A40" s="82"/>
      <c r="B40" s="85"/>
      <c r="C40" s="14" t="s">
        <v>22</v>
      </c>
      <c r="D40" s="20">
        <f>'[1]1нед'!C102</f>
        <v>0</v>
      </c>
      <c r="E40" s="23">
        <f>'[1]1нед'!D102</f>
        <v>0</v>
      </c>
      <c r="F40" s="21">
        <f>'[1]1нед'!G102</f>
        <v>0</v>
      </c>
      <c r="G40" s="22" t="str">
        <f>'[1]1нед'!H102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'[1]2нед'!C102</f>
        <v>0</v>
      </c>
      <c r="M40" s="23">
        <f>'[1]2нед'!D102</f>
        <v>0</v>
      </c>
      <c r="N40" s="21">
        <f>'[1]2нед'!G102</f>
        <v>0</v>
      </c>
      <c r="O40" s="22" t="str">
        <f>'[1]2нед'!H102</f>
        <v/>
      </c>
      <c r="P40" s="57" t="str">
        <f>HYPERLINK(VLOOKUP(M40,$R$12:$S$180,2,FALSE))</f>
        <v/>
      </c>
    </row>
    <row r="41" spans="1:19" ht="31.5" x14ac:dyDescent="0.2">
      <c r="A41" s="82"/>
      <c r="B41" s="85"/>
      <c r="C41" s="14" t="s">
        <v>23</v>
      </c>
      <c r="D41" s="20">
        <f>'[1]1нед'!C103</f>
        <v>0</v>
      </c>
      <c r="E41" s="23">
        <f>'[1]1нед'!D103</f>
        <v>0</v>
      </c>
      <c r="F41" s="21">
        <f>'[1]1нед'!G103</f>
        <v>0</v>
      </c>
      <c r="G41" s="22" t="str">
        <f>'[1]1нед'!H103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'[1]2нед'!C103</f>
        <v>0</v>
      </c>
      <c r="M41" s="23">
        <f>'[1]2нед'!D103</f>
        <v>0</v>
      </c>
      <c r="N41" s="21">
        <f>'[1]2нед'!G103</f>
        <v>0</v>
      </c>
      <c r="O41" s="22" t="str">
        <f>'[1]2нед'!H103</f>
        <v/>
      </c>
      <c r="P41" s="55" t="str">
        <f>HYPERLINK(VLOOKUP(M41,$R$12:$S$180,2,FALSE))</f>
        <v/>
      </c>
    </row>
    <row r="42" spans="1:19" ht="32.25" thickBot="1" x14ac:dyDescent="0.25">
      <c r="A42" s="82"/>
      <c r="B42" s="85"/>
      <c r="C42" s="14" t="s">
        <v>24</v>
      </c>
      <c r="D42" s="20">
        <f>'[1]1нед'!C104</f>
        <v>0</v>
      </c>
      <c r="E42" s="23">
        <f>'[1]1нед'!D104</f>
        <v>0</v>
      </c>
      <c r="F42" s="21">
        <f>'[1]1нед'!G104</f>
        <v>0</v>
      </c>
      <c r="G42" s="22" t="str">
        <f>'[1]1нед'!H104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'[1]2нед'!C104</f>
        <v>0</v>
      </c>
      <c r="M42" s="23">
        <f>'[1]2нед'!D104</f>
        <v>0</v>
      </c>
      <c r="N42" s="21">
        <f>'[1]2нед'!G104</f>
        <v>0</v>
      </c>
      <c r="O42" s="22" t="str">
        <f>'[1]2нед'!H104</f>
        <v/>
      </c>
      <c r="P42" s="55" t="str">
        <f>HYPERLINK(VLOOKUP(M42,$R$12:$S$180,2,FALSE))</f>
        <v/>
      </c>
    </row>
    <row r="43" spans="1:19" ht="18.399999999999999" hidden="1" customHeight="1" thickBot="1" x14ac:dyDescent="0.25">
      <c r="A43" s="83"/>
      <c r="B43" s="86"/>
      <c r="C43" s="15"/>
      <c r="D43" s="24">
        <f>'[1]1нед'!C105</f>
        <v>0</v>
      </c>
      <c r="E43" s="25">
        <f>'[1]1нед'!D105</f>
        <v>0</v>
      </c>
      <c r="F43" s="26">
        <f>'[1]1нед'!G105</f>
        <v>0</v>
      </c>
      <c r="G43" s="27" t="str">
        <f>'[1]1нед'!H105</f>
        <v/>
      </c>
      <c r="H43" s="58" t="str">
        <f>HYPERLINK(VLOOKUP(E43,$R$12:$S$180,2,FALSE))</f>
        <v/>
      </c>
      <c r="I43" s="72"/>
      <c r="J43" s="89"/>
      <c r="K43" s="15"/>
      <c r="L43" s="24">
        <f>'[1]2нед'!C105</f>
        <v>0</v>
      </c>
      <c r="M43" s="25">
        <f>'[1]2нед'!D105</f>
        <v>0</v>
      </c>
      <c r="N43" s="26">
        <f>'[1]2нед'!G105</f>
        <v>0</v>
      </c>
      <c r="O43" s="27" t="str">
        <f>'[1]2нед'!H105</f>
        <v/>
      </c>
      <c r="P43" s="58" t="str">
        <f>HYPERLINK(VLOOKUP(M43,$R$12:$S$180,2,FALSE))</f>
        <v/>
      </c>
    </row>
    <row r="44" spans="1:19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'[1]1нед'!C106</f>
        <v>пр</v>
      </c>
      <c r="E44" s="19" t="str">
        <f>'[1]1нед'!D106</f>
        <v xml:space="preserve"> Основы российской государственности</v>
      </c>
      <c r="F44" s="17" t="str">
        <f>'[1]1нед'!G106</f>
        <v>Лысенко Е.Г.</v>
      </c>
      <c r="G44" s="18" t="str">
        <f>'[1]1нед'!H106</f>
        <v>доцент, канд. наук</v>
      </c>
      <c r="H44" s="56" t="str">
        <f>HYPERLINK(VLOOKUP(E44,$R$12:$S$180,2,FALSE))</f>
        <v>https://max.ru/join/otW8lgS1PqJ5ZhmtKc1Abb8BfYMXnmtaMD7qcLUGCxg</v>
      </c>
      <c r="I44" s="70">
        <v>46276</v>
      </c>
      <c r="J44" s="87" t="s">
        <v>28</v>
      </c>
      <c r="K44" s="29" t="s">
        <v>18</v>
      </c>
      <c r="L44" s="16">
        <f>'[1]2нед'!C106</f>
        <v>0</v>
      </c>
      <c r="M44" s="19">
        <f>'[1]2нед'!D106</f>
        <v>0</v>
      </c>
      <c r="N44" s="17">
        <f>'[1]2нед'!G106</f>
        <v>0</v>
      </c>
      <c r="O44" s="18" t="str">
        <f>'[1]2нед'!H106</f>
        <v/>
      </c>
      <c r="P44" s="56" t="str">
        <f>HYPERLINK(VLOOKUP(M44,$R$12:$S$180,2,FALSE))</f>
        <v/>
      </c>
    </row>
    <row r="45" spans="1:19" ht="37.5" x14ac:dyDescent="0.2">
      <c r="A45" s="82"/>
      <c r="B45" s="85"/>
      <c r="C45" s="14" t="s">
        <v>19</v>
      </c>
      <c r="D45" s="20" t="str">
        <f>'[1]1нед'!C107</f>
        <v>л</v>
      </c>
      <c r="E45" s="23" t="str">
        <f>'[1]1нед'!D107</f>
        <v>Математические основы информатики</v>
      </c>
      <c r="F45" s="21" t="str">
        <f>'[1]1нед'!G107</f>
        <v>Казанцев Ю.А.</v>
      </c>
      <c r="G45" s="22" t="str">
        <f>'[1]1нед'!H107</f>
        <v>ст. преподаватель</v>
      </c>
      <c r="H45" s="57" t="str">
        <f>HYPERLINK(VLOOKUP(E45,$R$12:$S$180,2,FALSE))</f>
        <v>https://max.ru/join/TCEatH6Avl8o9m9sQTggJgcSrdIkaHPRw7RIzgXKilo</v>
      </c>
      <c r="I45" s="71"/>
      <c r="J45" s="88"/>
      <c r="K45" s="14" t="s">
        <v>19</v>
      </c>
      <c r="L45" s="20" t="str">
        <f>'[1]2нед'!C107</f>
        <v>пр</v>
      </c>
      <c r="M45" s="23" t="str">
        <f>'[1]2нед'!D107</f>
        <v xml:space="preserve"> История России</v>
      </c>
      <c r="N45" s="21" t="str">
        <f>'[1]2нед'!G107</f>
        <v>Сальников В.И.</v>
      </c>
      <c r="O45" s="22" t="str">
        <f>'[1]2нед'!H107</f>
        <v>доцент, канд. наук</v>
      </c>
      <c r="P45" s="57" t="str">
        <f>HYPERLINK(VLOOKUP(M45,$R$12:$S$180,2,FALSE))</f>
        <v>https://max.ru/join/otW8lgS1PqJ5ZhmtKc1Abb8BfYMXnmtaMD7qcLUGCxg</v>
      </c>
    </row>
    <row r="46" spans="1:19" ht="37.5" x14ac:dyDescent="0.2">
      <c r="A46" s="82"/>
      <c r="B46" s="85"/>
      <c r="C46" s="14" t="s">
        <v>20</v>
      </c>
      <c r="D46" s="20">
        <f>'[1]1нед'!C108</f>
        <v>0</v>
      </c>
      <c r="E46" s="23">
        <f>'[1]1нед'!D108</f>
        <v>0</v>
      </c>
      <c r="F46" s="21">
        <f>'[1]1нед'!G108</f>
        <v>0</v>
      </c>
      <c r="G46" s="22" t="str">
        <f>'[1]1нед'!H108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 t="str">
        <f>'[1]2нед'!C108</f>
        <v>л</v>
      </c>
      <c r="M46" s="23" t="str">
        <f>'[1]2нед'!D108</f>
        <v>Дискретные модели в информатике</v>
      </c>
      <c r="N46" s="21" t="str">
        <f>'[1]2нед'!G108</f>
        <v>Олейников Н.Н.</v>
      </c>
      <c r="O46" s="22" t="str">
        <f>'[1]2нед'!H108</f>
        <v>ст. преподаватель</v>
      </c>
      <c r="P46" s="57" t="str">
        <f>HYPERLINK(VLOOKUP(M46,$R$12:$S$180,2,FALSE))</f>
        <v>https://max.ru/join/TCEatH6Avl8o9m9sQTggJgcSrdIkaHPRw7RIzgXKilo</v>
      </c>
    </row>
    <row r="47" spans="1:19" ht="37.5" x14ac:dyDescent="0.2">
      <c r="A47" s="82"/>
      <c r="B47" s="85"/>
      <c r="C47" s="14" t="s">
        <v>21</v>
      </c>
      <c r="D47" s="20">
        <f>'[1]1нед'!C109</f>
        <v>0</v>
      </c>
      <c r="E47" s="23">
        <f>'[1]1нед'!D109</f>
        <v>0</v>
      </c>
      <c r="F47" s="21">
        <f>'[1]1нед'!G109</f>
        <v>0</v>
      </c>
      <c r="G47" s="22" t="str">
        <f>'[1]1нед'!H109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 t="str">
        <f>'[1]2нед'!C109</f>
        <v>пр</v>
      </c>
      <c r="M47" s="23" t="str">
        <f>'[1]2нед'!D109</f>
        <v>Дискретные модели в информатике</v>
      </c>
      <c r="N47" s="21" t="str">
        <f>'[1]2нед'!G109</f>
        <v>Олейников Н.Н.</v>
      </c>
      <c r="O47" s="22" t="str">
        <f>'[1]2нед'!H109</f>
        <v>ст. преподаватель</v>
      </c>
      <c r="P47" s="57" t="str">
        <f>HYPERLINK(VLOOKUP(M47,$R$12:$S$180,2,FALSE))</f>
        <v>https://max.ru/join/TCEatH6Avl8o9m9sQTggJgcSrdIkaHPRw7RIzgXKilo</v>
      </c>
    </row>
    <row r="48" spans="1:19" ht="31.5" x14ac:dyDescent="0.2">
      <c r="A48" s="82"/>
      <c r="B48" s="85"/>
      <c r="C48" s="14" t="s">
        <v>22</v>
      </c>
      <c r="D48" s="20">
        <f>'[1]1нед'!C110</f>
        <v>0</v>
      </c>
      <c r="E48" s="23">
        <f>'[1]1нед'!D110</f>
        <v>0</v>
      </c>
      <c r="F48" s="21">
        <f>'[1]1нед'!G110</f>
        <v>0</v>
      </c>
      <c r="G48" s="22" t="str">
        <f>'[1]1нед'!H110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'[1]2нед'!C110</f>
        <v>0</v>
      </c>
      <c r="M48" s="23">
        <f>'[1]2нед'!D110</f>
        <v>0</v>
      </c>
      <c r="N48" s="21">
        <f>'[1]2нед'!G110</f>
        <v>0</v>
      </c>
      <c r="O48" s="22" t="str">
        <f>'[1]2нед'!H110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'[1]1нед'!C111</f>
        <v>0</v>
      </c>
      <c r="E49" s="23">
        <f>'[1]1нед'!D111</f>
        <v>0</v>
      </c>
      <c r="F49" s="21">
        <f>'[1]1нед'!G111</f>
        <v>0</v>
      </c>
      <c r="G49" s="22" t="str">
        <f>'[1]1нед'!H111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'[1]2нед'!C111</f>
        <v>0</v>
      </c>
      <c r="M49" s="23">
        <f>'[1]2нед'!D111</f>
        <v>0</v>
      </c>
      <c r="N49" s="21">
        <f>'[1]2нед'!G111</f>
        <v>0</v>
      </c>
      <c r="O49" s="22" t="str">
        <f>'[1]2нед'!H111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'[1]1нед'!C112</f>
        <v>0</v>
      </c>
      <c r="E50" s="23">
        <f>'[1]1нед'!D112</f>
        <v>0</v>
      </c>
      <c r="F50" s="21">
        <f>'[1]1нед'!G112</f>
        <v>0</v>
      </c>
      <c r="G50" s="22" t="str">
        <f>'[1]1нед'!H112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'[1]2нед'!C112</f>
        <v>0</v>
      </c>
      <c r="M50" s="23">
        <f>'[1]2нед'!D112</f>
        <v>0</v>
      </c>
      <c r="N50" s="21">
        <f>'[1]2нед'!G112</f>
        <v>0</v>
      </c>
      <c r="O50" s="22" t="str">
        <f>'[1]2нед'!H112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'[1]1нед'!C113</f>
        <v>0</v>
      </c>
      <c r="E51" s="25">
        <f>'[1]1нед'!D113</f>
        <v>0</v>
      </c>
      <c r="F51" s="26">
        <f>'[1]1нед'!G113</f>
        <v>0</v>
      </c>
      <c r="G51" s="27" t="str">
        <f>'[1]1нед'!H113</f>
        <v/>
      </c>
      <c r="H51" s="58" t="str">
        <f>HYPERLINK(VLOOKUP(E51,$R$12:$S$180,2,FALSE))</f>
        <v/>
      </c>
      <c r="I51" s="72"/>
      <c r="J51" s="89"/>
      <c r="K51" s="15"/>
      <c r="L51" s="24">
        <f>'[1]2нед'!C113</f>
        <v>0</v>
      </c>
      <c r="M51" s="25">
        <f>'[1]2нед'!D113</f>
        <v>0</v>
      </c>
      <c r="N51" s="26">
        <f>'[1]2нед'!G113</f>
        <v>0</v>
      </c>
      <c r="O51" s="27" t="str">
        <f>'[1]2нед'!H113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'[1]1нед'!C114</f>
        <v>0</v>
      </c>
      <c r="E52" s="19">
        <f>'[1]1нед'!D114</f>
        <v>0</v>
      </c>
      <c r="F52" s="17">
        <f>'[1]1нед'!G114</f>
        <v>0</v>
      </c>
      <c r="G52" s="18" t="str">
        <f>'[1]1нед'!H114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'[1]2нед'!C114</f>
        <v>0</v>
      </c>
      <c r="M52" s="19">
        <f>'[1]2нед'!D114</f>
        <v>0</v>
      </c>
      <c r="N52" s="17">
        <f>'[1]2нед'!G114</f>
        <v>0</v>
      </c>
      <c r="O52" s="18" t="str">
        <f>'[1]2нед'!H114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'[1]1нед'!C115</f>
        <v>0</v>
      </c>
      <c r="E53" s="23">
        <f>'[1]1нед'!D115</f>
        <v>0</v>
      </c>
      <c r="F53" s="21">
        <f>'[1]1нед'!G115</f>
        <v>0</v>
      </c>
      <c r="G53" s="22" t="str">
        <f>'[1]1нед'!H115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'[1]2нед'!C115</f>
        <v>0</v>
      </c>
      <c r="M53" s="23">
        <f>'[1]2нед'!D115</f>
        <v>0</v>
      </c>
      <c r="N53" s="21">
        <f>'[1]2нед'!G115</f>
        <v>0</v>
      </c>
      <c r="O53" s="22" t="str">
        <f>'[1]2нед'!H115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'[1]1нед'!C116</f>
        <v>0</v>
      </c>
      <c r="E54" s="23">
        <f>'[1]1нед'!D116</f>
        <v>0</v>
      </c>
      <c r="F54" s="21">
        <f>'[1]1нед'!G116</f>
        <v>0</v>
      </c>
      <c r="G54" s="22" t="str">
        <f>'[1]1нед'!H116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'[1]2нед'!C116</f>
        <v>0</v>
      </c>
      <c r="M54" s="23">
        <f>'[1]2нед'!D116</f>
        <v>0</v>
      </c>
      <c r="N54" s="21">
        <f>'[1]2нед'!G116</f>
        <v>0</v>
      </c>
      <c r="O54" s="22" t="str">
        <f>'[1]2нед'!H116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'[1]1нед'!C117</f>
        <v>0</v>
      </c>
      <c r="E55" s="23">
        <f>'[1]1нед'!D117</f>
        <v>0</v>
      </c>
      <c r="F55" s="21">
        <f>'[1]1нед'!G117</f>
        <v>0</v>
      </c>
      <c r="G55" s="22" t="str">
        <f>'[1]1нед'!H117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'[1]2нед'!C117</f>
        <v>0</v>
      </c>
      <c r="M55" s="23">
        <f>'[1]2нед'!D117</f>
        <v>0</v>
      </c>
      <c r="N55" s="21">
        <f>'[1]2нед'!G117</f>
        <v>0</v>
      </c>
      <c r="O55" s="22" t="str">
        <f>'[1]2нед'!H117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'[1]1нед'!C118</f>
        <v>0</v>
      </c>
      <c r="E56" s="23">
        <f>'[1]1нед'!D118</f>
        <v>0</v>
      </c>
      <c r="F56" s="21">
        <f>'[1]1нед'!G118</f>
        <v>0</v>
      </c>
      <c r="G56" s="22" t="str">
        <f>'[1]1нед'!H118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'[1]2нед'!C118</f>
        <v>0</v>
      </c>
      <c r="M56" s="23">
        <f>'[1]2нед'!D118</f>
        <v>0</v>
      </c>
      <c r="N56" s="21">
        <f>'[1]2нед'!G118</f>
        <v>0</v>
      </c>
      <c r="O56" s="22" t="str">
        <f>'[1]2нед'!H118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'[1]1нед'!C119</f>
        <v>0</v>
      </c>
      <c r="E57" s="23">
        <f>'[1]1нед'!D119</f>
        <v>0</v>
      </c>
      <c r="F57" s="21">
        <f>'[1]1нед'!G119</f>
        <v>0</v>
      </c>
      <c r="G57" s="22" t="str">
        <f>'[1]1нед'!H119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'[1]2нед'!C119</f>
        <v>0</v>
      </c>
      <c r="M57" s="23">
        <f>'[1]2нед'!D119</f>
        <v>0</v>
      </c>
      <c r="N57" s="21">
        <f>'[1]2нед'!G119</f>
        <v>0</v>
      </c>
      <c r="O57" s="22" t="str">
        <f>'[1]2нед'!H119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'[1]1нед'!C120</f>
        <v>0</v>
      </c>
      <c r="E58" s="23">
        <f>'[1]1нед'!D120</f>
        <v>0</v>
      </c>
      <c r="F58" s="21">
        <f>'[1]1нед'!G120</f>
        <v>0</v>
      </c>
      <c r="G58" s="22" t="str">
        <f>'[1]1нед'!H120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'[1]2нед'!C120</f>
        <v>0</v>
      </c>
      <c r="M58" s="23">
        <f>'[1]2нед'!D120</f>
        <v>0</v>
      </c>
      <c r="N58" s="21">
        <f>'[1]2нед'!G120</f>
        <v>0</v>
      </c>
      <c r="O58" s="22" t="str">
        <f>'[1]2нед'!H120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44.03.05..Педагогическое образование (с двумя профилями подготовки) (Физика и Информатика)</v>
      </c>
      <c r="F67" s="7"/>
      <c r="G67" s="7" t="str">
        <f>G7</f>
        <v>12-26ФИ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44.03.05..Педагогическое образование (с двумя профилями подготовки) (Физика и Информатика)</v>
      </c>
      <c r="N67" s="7"/>
      <c r="O67" s="7" t="str">
        <f>G7</f>
        <v>12-26ФИ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1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1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'[1]3нед'!C74</f>
        <v>л</v>
      </c>
      <c r="E72" s="19" t="str">
        <f>'[1]3нед'!D74</f>
        <v>История России</v>
      </c>
      <c r="F72" s="17" t="str">
        <f>'[1]3нед'!G74</f>
        <v>Сальников В.И.</v>
      </c>
      <c r="G72" s="18" t="str">
        <f>'[1]3нед'!H74</f>
        <v>доцент, канд. наук</v>
      </c>
      <c r="H72" s="56" t="str">
        <f>HYPERLINK(VLOOKUP(E72,$R$12:$S$180,2,FALSE))</f>
        <v>https://max.ru/join/o85unk1KbqCN1-IxGCSAqfdKA8ikJBwHtOsEG2C_ftA</v>
      </c>
      <c r="I72" s="70">
        <v>46286</v>
      </c>
      <c r="J72" s="87" t="s">
        <v>17</v>
      </c>
      <c r="K72" s="14" t="s">
        <v>18</v>
      </c>
      <c r="L72" s="16" t="str">
        <f>'[1]4нед'!C74</f>
        <v>л</v>
      </c>
      <c r="M72" s="19" t="str">
        <f>'[1]4нед'!D74</f>
        <v>История России</v>
      </c>
      <c r="N72" s="17" t="str">
        <f>'[1]4нед'!G74</f>
        <v>Сальников В.И.</v>
      </c>
      <c r="O72" s="18" t="str">
        <f>'[1]4нед'!H74</f>
        <v>доцент, канд. наук</v>
      </c>
      <c r="P72" s="56" t="str">
        <f>HYPERLINK(VLOOKUP(M72,$R$12:$S$180,2,FALSE))</f>
        <v>https://max.ru/join/o85unk1KbqCN1-IxGCSAqfdKA8ikJBwHtOsEG2C_ftA</v>
      </c>
    </row>
    <row r="73" spans="1:16" ht="37.5" x14ac:dyDescent="0.2">
      <c r="A73" s="82"/>
      <c r="B73" s="85"/>
      <c r="C73" s="14" t="s">
        <v>19</v>
      </c>
      <c r="D73" s="20" t="str">
        <f>'[1]3нед'!C75</f>
        <v>пр</v>
      </c>
      <c r="E73" s="23" t="str">
        <f>'[1]3нед'!D75</f>
        <v>Физическая культура и спорт</v>
      </c>
      <c r="F73" s="21" t="str">
        <f>'[1]3нед'!G75</f>
        <v>Набока В.И.</v>
      </c>
      <c r="G73" s="22" t="str">
        <f>'[1]3нед'!H75</f>
        <v>преподаватель</v>
      </c>
      <c r="H73" s="57" t="str">
        <f>HYPERLINK(VLOOKUP(E73,$R$12:$S$180,2,FALSE))</f>
        <v>https://max.ru/join/otW8lgS1PqJ5ZhmtKc1Abb8BfYMXnmtaMD7qcLUGCxg</v>
      </c>
      <c r="I73" s="71"/>
      <c r="J73" s="88"/>
      <c r="K73" s="14" t="s">
        <v>19</v>
      </c>
      <c r="L73" s="20" t="str">
        <f>'[1]4нед'!C75</f>
        <v>пр</v>
      </c>
      <c r="M73" s="23" t="str">
        <f>'[1]4нед'!D75</f>
        <v>Физическая культура и спорт</v>
      </c>
      <c r="N73" s="21" t="str">
        <f>'[1]4нед'!G75</f>
        <v>Набока В.И.</v>
      </c>
      <c r="O73" s="22" t="str">
        <f>'[1]4нед'!H75</f>
        <v>преподаватель</v>
      </c>
      <c r="P73" s="57" t="str">
        <f>HYPERLINK(VLOOKUP(M73,$R$12:$S$180,2,FALSE))</f>
        <v>https://max.ru/join/otW8lgS1PqJ5ZhmtKc1Abb8BfYMXnmtaMD7qcLUGCxg</v>
      </c>
    </row>
    <row r="74" spans="1:16" ht="37.5" x14ac:dyDescent="0.2">
      <c r="A74" s="82"/>
      <c r="B74" s="85"/>
      <c r="C74" s="14" t="s">
        <v>20</v>
      </c>
      <c r="D74" s="20" t="str">
        <f>'[1]3нед'!C76</f>
        <v>пр</v>
      </c>
      <c r="E74" s="23" t="str">
        <f>'[1]3нед'!D76</f>
        <v>Иностранный язык</v>
      </c>
      <c r="F74" s="21" t="str">
        <f>'[1]3нед'!G76</f>
        <v>Суворова С.Г.</v>
      </c>
      <c r="G74" s="22" t="str">
        <f>'[1]3нед'!H76</f>
        <v>ст. преподаватель</v>
      </c>
      <c r="H74" s="57" t="str">
        <f>HYPERLINK(VLOOKUP(E74,$R$12:$S$180,2,FALSE))</f>
        <v>https://max.ru/join/otW8lgS1PqJ5ZhmtKc1Abb8BfYMXnmtaMD7qcLUGCxg</v>
      </c>
      <c r="I74" s="71"/>
      <c r="J74" s="88"/>
      <c r="K74" s="14" t="s">
        <v>20</v>
      </c>
      <c r="L74" s="20" t="str">
        <f>'[1]4нед'!C76</f>
        <v>пр</v>
      </c>
      <c r="M74" s="23" t="str">
        <f>'[1]4нед'!D76</f>
        <v>Иностранный язык</v>
      </c>
      <c r="N74" s="21" t="str">
        <f>'[1]4нед'!G76</f>
        <v>Суворова С.Г.</v>
      </c>
      <c r="O74" s="22" t="str">
        <f>'[1]4нед'!H76</f>
        <v>ст. преподаватель</v>
      </c>
      <c r="P74" s="57" t="str">
        <f>HYPERLINK(VLOOKUP(M74,$R$12:$S$180,2,FALSE))</f>
        <v>https://max.ru/join/otW8lgS1PqJ5ZhmtKc1Abb8BfYMXnmtaMD7qcLUGCxg</v>
      </c>
    </row>
    <row r="75" spans="1:16" ht="37.5" x14ac:dyDescent="0.2">
      <c r="A75" s="82"/>
      <c r="B75" s="85"/>
      <c r="C75" s="14" t="s">
        <v>21</v>
      </c>
      <c r="D75" s="20" t="str">
        <f>'[1]3нед'!C77</f>
        <v>л</v>
      </c>
      <c r="E75" s="23" t="str">
        <f>'[1]3нед'!D77</f>
        <v>Возрастная анатомия, физиология и культура здоровья</v>
      </c>
      <c r="F75" s="21" t="str">
        <f>'[1]3нед'!G77</f>
        <v>Тотоева О.Н.</v>
      </c>
      <c r="G75" s="22" t="str">
        <f>'[1]3нед'!H77</f>
        <v>доцент, канд. наук</v>
      </c>
      <c r="H75" s="57" t="str">
        <f>HYPERLINK(VLOOKUP(E75,$R$12:$S$180,2,FALSE))</f>
        <v>https://max.ru/join/NU2edX9oXun4G550gjffmEH6rRcZcTV_m4i8V_Iscos</v>
      </c>
      <c r="I75" s="71"/>
      <c r="J75" s="88"/>
      <c r="K75" s="14" t="s">
        <v>21</v>
      </c>
      <c r="L75" s="20">
        <f>'[1]4нед'!C77</f>
        <v>0</v>
      </c>
      <c r="M75" s="23">
        <f>'[1]4нед'!D77</f>
        <v>0</v>
      </c>
      <c r="N75" s="21">
        <f>'[1]4нед'!G77</f>
        <v>0</v>
      </c>
      <c r="O75" s="22" t="str">
        <f>'[1]4нед'!H77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'[1]3нед'!C78</f>
        <v>0</v>
      </c>
      <c r="E76" s="23">
        <f>'[1]3нед'!D78</f>
        <v>0</v>
      </c>
      <c r="F76" s="21">
        <f>'[1]3нед'!G78</f>
        <v>0</v>
      </c>
      <c r="G76" s="22" t="str">
        <f>'[1]3нед'!H78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'[1]4нед'!C78</f>
        <v>0</v>
      </c>
      <c r="M76" s="23">
        <f>'[1]4нед'!D78</f>
        <v>0</v>
      </c>
      <c r="N76" s="21">
        <f>'[1]4нед'!G78</f>
        <v>0</v>
      </c>
      <c r="O76" s="22" t="str">
        <f>'[1]4нед'!H78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'[1]3нед'!C79</f>
        <v>0</v>
      </c>
      <c r="E77" s="23">
        <f>'[1]3нед'!D79</f>
        <v>0</v>
      </c>
      <c r="F77" s="21">
        <f>'[1]3нед'!G79</f>
        <v>0</v>
      </c>
      <c r="G77" s="22" t="str">
        <f>'[1]3нед'!H79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'[1]4нед'!C79</f>
        <v>0</v>
      </c>
      <c r="M77" s="23">
        <f>'[1]4нед'!D79</f>
        <v>0</v>
      </c>
      <c r="N77" s="21">
        <f>'[1]4нед'!G79</f>
        <v>0</v>
      </c>
      <c r="O77" s="22" t="str">
        <f>'[1]4нед'!H79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'[1]3нед'!C80</f>
        <v>0</v>
      </c>
      <c r="E78" s="23">
        <f>'[1]3нед'!D80</f>
        <v>0</v>
      </c>
      <c r="F78" s="21">
        <f>'[1]3нед'!G80</f>
        <v>0</v>
      </c>
      <c r="G78" s="22" t="str">
        <f>'[1]3нед'!H80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'[1]4нед'!C80</f>
        <v>0</v>
      </c>
      <c r="M78" s="23">
        <f>'[1]4нед'!D80</f>
        <v>0</v>
      </c>
      <c r="N78" s="21">
        <f>'[1]4нед'!G80</f>
        <v>0</v>
      </c>
      <c r="O78" s="22" t="str">
        <f>'[1]4нед'!H80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'[1]3нед'!C81</f>
        <v>0</v>
      </c>
      <c r="E79" s="25">
        <f>'[1]3нед'!D81</f>
        <v>0</v>
      </c>
      <c r="F79" s="26">
        <f>'[1]3нед'!G81</f>
        <v>0</v>
      </c>
      <c r="G79" s="27" t="str">
        <f>'[1]3нед'!H81</f>
        <v/>
      </c>
      <c r="H79" s="58" t="str">
        <f>HYPERLINK(VLOOKUP(E79,$R$12:$S$180,2,FALSE))</f>
        <v/>
      </c>
      <c r="I79" s="72"/>
      <c r="J79" s="89"/>
      <c r="K79" s="15"/>
      <c r="L79" s="24">
        <f>'[1]4нед'!C81</f>
        <v>0</v>
      </c>
      <c r="M79" s="25">
        <f>'[1]4нед'!D81</f>
        <v>0</v>
      </c>
      <c r="N79" s="26">
        <f>'[1]4нед'!G81</f>
        <v>0</v>
      </c>
      <c r="O79" s="27" t="str">
        <f>'[1]4нед'!H81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'[1]3нед'!C82</f>
        <v>0</v>
      </c>
      <c r="E80" s="19">
        <f>'[1]3нед'!D82</f>
        <v>0</v>
      </c>
      <c r="F80" s="17">
        <f>'[1]3нед'!G82</f>
        <v>0</v>
      </c>
      <c r="G80" s="18" t="str">
        <f>'[1]3нед'!H82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 t="str">
        <f>'[1]4нед'!C82</f>
        <v>л</v>
      </c>
      <c r="M80" s="19" t="str">
        <f>'[1]4нед'!D82</f>
        <v>Элементарная  физика</v>
      </c>
      <c r="N80" s="17" t="str">
        <f>'[1]4нед'!G82</f>
        <v>Коробова И.В.</v>
      </c>
      <c r="O80" s="18" t="str">
        <f>'[1]4нед'!H82</f>
        <v>профессор, д-р наук</v>
      </c>
      <c r="P80" s="56" t="str">
        <f>HYPERLINK(VLOOKUP(M80,$R$12:$S$180,2,FALSE))</f>
        <v>https://max.ru/join/TCEatH6Avl8o9m9sQTggJgcSrdIkaHPRw7RIzgXKilo</v>
      </c>
    </row>
    <row r="81" spans="1:16" ht="37.5" x14ac:dyDescent="0.2">
      <c r="A81" s="82"/>
      <c r="B81" s="85"/>
      <c r="C81" s="14" t="s">
        <v>19</v>
      </c>
      <c r="D81" s="20" t="str">
        <f>'[1]3нед'!C83</f>
        <v>л</v>
      </c>
      <c r="E81" s="23" t="str">
        <f>'[1]3нед'!D83</f>
        <v>Программное обеспечение систем и сетей</v>
      </c>
      <c r="F81" s="21" t="str">
        <f>'[1]3нед'!G83</f>
        <v>Алешов В.В.</v>
      </c>
      <c r="G81" s="22" t="str">
        <f>'[1]3нед'!H83</f>
        <v>ст. преподаватель</v>
      </c>
      <c r="H81" s="57" t="str">
        <f>HYPERLINK(VLOOKUP(E81,$R$12:$S$180,2,FALSE))</f>
        <v>https://max.ru/join/TCEatH6Avl8o9m9sQTggJgcSrdIkaHPRw7RIzgXKilo</v>
      </c>
      <c r="I81" s="71"/>
      <c r="J81" s="88"/>
      <c r="K81" s="14" t="s">
        <v>19</v>
      </c>
      <c r="L81" s="20" t="str">
        <f>'[1]4нед'!C83</f>
        <v>пр</v>
      </c>
      <c r="M81" s="23" t="str">
        <f>'[1]4нед'!D83</f>
        <v>Программное обеспечение систем и сетей</v>
      </c>
      <c r="N81" s="21" t="str">
        <f>'[1]4нед'!G83</f>
        <v>Алешов В.В.</v>
      </c>
      <c r="O81" s="22" t="str">
        <f>'[1]4нед'!H83</f>
        <v>ст. преподаватель</v>
      </c>
      <c r="P81" s="57" t="str">
        <f>HYPERLINK(VLOOKUP(M81,$R$12:$S$180,2,FALSE))</f>
        <v>https://max.ru/join/TCEatH6Avl8o9m9sQTggJgcSrdIkaHPRw7RIzgXKilo</v>
      </c>
    </row>
    <row r="82" spans="1:16" ht="37.5" x14ac:dyDescent="0.2">
      <c r="A82" s="82"/>
      <c r="B82" s="85"/>
      <c r="C82" s="14" t="s">
        <v>20</v>
      </c>
      <c r="D82" s="20" t="str">
        <f>'[1]3нед'!C84</f>
        <v>л</v>
      </c>
      <c r="E82" s="23" t="str">
        <f>'[1]3нед'!D84</f>
        <v>Технологии цифрового образования</v>
      </c>
      <c r="F82" s="21" t="str">
        <f>'[1]3нед'!G84</f>
        <v>Шевченко Е.Н.</v>
      </c>
      <c r="G82" s="22" t="str">
        <f>'[1]3нед'!H84</f>
        <v>ст. преподаватель</v>
      </c>
      <c r="H82" s="57" t="str">
        <f>HYPERLINK(VLOOKUP(E82,$R$12:$S$180,2,FALSE))</f>
        <v>https://max.ru/join/QktsjGaw5ToZMymwQv4u7TZ1a5jhx2Meh1Xg11Ht-o8</v>
      </c>
      <c r="I82" s="71"/>
      <c r="J82" s="88"/>
      <c r="K82" s="14" t="s">
        <v>20</v>
      </c>
      <c r="L82" s="20" t="str">
        <f>'[1]4нед'!C84</f>
        <v>пр</v>
      </c>
      <c r="M82" s="23" t="str">
        <f>'[1]4нед'!D84</f>
        <v xml:space="preserve"> Технологии цифрового образования</v>
      </c>
      <c r="N82" s="21" t="str">
        <f>'[1]4нед'!G84</f>
        <v>Шевченко Е.Н.</v>
      </c>
      <c r="O82" s="22" t="str">
        <f>'[1]4нед'!H84</f>
        <v>ст. преподаватель</v>
      </c>
      <c r="P82" s="57" t="str">
        <f>HYPERLINK(VLOOKUP(M82,$R$12:$S$180,2,FALSE))</f>
        <v>https://max.ru/join/otW8lgS1PqJ5ZhmtKc1Abb8BfYMXnmtaMD7qcLUGCxg</v>
      </c>
    </row>
    <row r="83" spans="1:16" ht="37.5" x14ac:dyDescent="0.2">
      <c r="A83" s="82"/>
      <c r="B83" s="85"/>
      <c r="C83" s="14" t="s">
        <v>21</v>
      </c>
      <c r="D83" s="20" t="str">
        <f>'[1]3нед'!C85</f>
        <v>л</v>
      </c>
      <c r="E83" s="23" t="str">
        <f>'[1]3нед'!D85</f>
        <v>Обучение служением</v>
      </c>
      <c r="F83" s="21" t="str">
        <f>'[1]3нед'!G85</f>
        <v>Вишневский В.А.</v>
      </c>
      <c r="G83" s="22" t="str">
        <f>'[1]3нед'!H85</f>
        <v>доцент, канд. наук</v>
      </c>
      <c r="H83" s="57" t="str">
        <f>HYPERLINK(VLOOKUP(E83,$R$12:$S$180,2,FALSE))</f>
        <v>https://max.ru/join/0MiRK0GUpSTCrtKMGu5ke9BatSupdkYkm3PEezrq5xw</v>
      </c>
      <c r="I83" s="71"/>
      <c r="J83" s="88"/>
      <c r="K83" s="14" t="s">
        <v>21</v>
      </c>
      <c r="L83" s="20">
        <f>'[1]4нед'!C85</f>
        <v>0</v>
      </c>
      <c r="M83" s="23">
        <f>'[1]4нед'!D85</f>
        <v>0</v>
      </c>
      <c r="N83" s="21">
        <f>'[1]4нед'!G85</f>
        <v>0</v>
      </c>
      <c r="O83" s="22" t="str">
        <f>'[1]4нед'!H85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'[1]3нед'!C86</f>
        <v>0</v>
      </c>
      <c r="E84" s="23">
        <f>'[1]3нед'!D86</f>
        <v>0</v>
      </c>
      <c r="F84" s="21">
        <f>'[1]3нед'!G86</f>
        <v>0</v>
      </c>
      <c r="G84" s="22" t="str">
        <f>'[1]3нед'!H86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'[1]4нед'!C86</f>
        <v>0</v>
      </c>
      <c r="M84" s="23">
        <f>'[1]4нед'!D86</f>
        <v>0</v>
      </c>
      <c r="N84" s="21">
        <f>'[1]4нед'!G86</f>
        <v>0</v>
      </c>
      <c r="O84" s="22" t="str">
        <f>'[1]4нед'!H86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'[1]3нед'!C87</f>
        <v>0</v>
      </c>
      <c r="E85" s="23">
        <f>'[1]3нед'!D87</f>
        <v>0</v>
      </c>
      <c r="F85" s="21">
        <f>'[1]3нед'!G87</f>
        <v>0</v>
      </c>
      <c r="G85" s="22" t="str">
        <f>'[1]3нед'!H87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'[1]4нед'!C87</f>
        <v>0</v>
      </c>
      <c r="M85" s="23">
        <f>'[1]4нед'!D87</f>
        <v>0</v>
      </c>
      <c r="N85" s="21">
        <f>'[1]4нед'!G87</f>
        <v>0</v>
      </c>
      <c r="O85" s="22" t="str">
        <f>'[1]4нед'!H87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'[1]3нед'!C88</f>
        <v>0</v>
      </c>
      <c r="E86" s="23">
        <f>'[1]3нед'!D88</f>
        <v>0</v>
      </c>
      <c r="F86" s="21">
        <f>'[1]3нед'!G88</f>
        <v>0</v>
      </c>
      <c r="G86" s="22" t="str">
        <f>'[1]3нед'!H88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'[1]4нед'!C88</f>
        <v>0</v>
      </c>
      <c r="M86" s="23">
        <f>'[1]4нед'!D88</f>
        <v>0</v>
      </c>
      <c r="N86" s="21">
        <f>'[1]4нед'!G88</f>
        <v>0</v>
      </c>
      <c r="O86" s="22" t="str">
        <f>'[1]4нед'!H88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'[1]3нед'!C89</f>
        <v>0</v>
      </c>
      <c r="E87" s="25">
        <f>'[1]3нед'!D89</f>
        <v>0</v>
      </c>
      <c r="F87" s="26">
        <f>'[1]3нед'!G89</f>
        <v>0</v>
      </c>
      <c r="G87" s="27" t="str">
        <f>'[1]3нед'!H89</f>
        <v/>
      </c>
      <c r="H87" s="58" t="str">
        <f>HYPERLINK(VLOOKUP(E87,$R$12:$S$180,2,FALSE))</f>
        <v/>
      </c>
      <c r="I87" s="72"/>
      <c r="J87" s="89"/>
      <c r="K87" s="15"/>
      <c r="L87" s="24">
        <f>'[1]4нед'!C89</f>
        <v>0</v>
      </c>
      <c r="M87" s="25">
        <f>'[1]4нед'!D89</f>
        <v>0</v>
      </c>
      <c r="N87" s="26">
        <f>'[1]4нед'!G89</f>
        <v>0</v>
      </c>
      <c r="O87" s="27" t="str">
        <f>'[1]4нед'!H89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'[1]3нед'!C90</f>
        <v>л</v>
      </c>
      <c r="E88" s="19" t="str">
        <f>'[1]3нед'!D90</f>
        <v>Основы российской государственности</v>
      </c>
      <c r="F88" s="17" t="str">
        <f>'[1]3нед'!G90</f>
        <v>Вишневский С.А.</v>
      </c>
      <c r="G88" s="18" t="str">
        <f>'[1]3нед'!H90</f>
        <v>доцент, канд. наук</v>
      </c>
      <c r="H88" s="56" t="str">
        <f>HYPERLINK(VLOOKUP(E88,$R$12:$S$180,2,FALSE))</f>
        <v>https://max.ru/join/UK1-XZ_XTqTQMkUzITZ-AvDWmTQjDawZvR5fkupR8eE</v>
      </c>
      <c r="I88" s="70">
        <v>46288</v>
      </c>
      <c r="J88" s="73" t="s">
        <v>26</v>
      </c>
      <c r="K88" s="29" t="s">
        <v>18</v>
      </c>
      <c r="L88" s="16" t="str">
        <f>'[1]4нед'!C90</f>
        <v>л</v>
      </c>
      <c r="M88" s="19" t="str">
        <f>'[1]4нед'!D90</f>
        <v>Основы российской государственности</v>
      </c>
      <c r="N88" s="17" t="str">
        <f>'[1]4нед'!G90</f>
        <v>Вишневский С.А.</v>
      </c>
      <c r="O88" s="18" t="str">
        <f>'[1]4нед'!H90</f>
        <v>доцент, канд. наук</v>
      </c>
      <c r="P88" s="56" t="str">
        <f>HYPERLINK(VLOOKUP(M88,$R$12:$S$180,2,FALSE))</f>
        <v>https://max.ru/join/UK1-XZ_XTqTQMkUzITZ-AvDWmTQjDawZvR5fkupR8eE</v>
      </c>
    </row>
    <row r="89" spans="1:16" ht="37.5" x14ac:dyDescent="0.2">
      <c r="A89" s="82"/>
      <c r="B89" s="68"/>
      <c r="C89" s="14" t="s">
        <v>19</v>
      </c>
      <c r="D89" s="20" t="str">
        <f>'[1]3нед'!C91</f>
        <v>пр</v>
      </c>
      <c r="E89" s="23" t="str">
        <f>'[1]3нед'!D91</f>
        <v xml:space="preserve"> Обучение служением</v>
      </c>
      <c r="F89" s="21" t="str">
        <f>'[1]3нед'!G91</f>
        <v>Кобзева Е.В.</v>
      </c>
      <c r="G89" s="22" t="str">
        <f>'[1]3нед'!H91</f>
        <v>преподаватель</v>
      </c>
      <c r="H89" s="57" t="str">
        <f>HYPERLINK(VLOOKUP(E89,$R$12:$S$180,2,FALSE))</f>
        <v>https://max.ru/join/otW8lgS1PqJ5ZhmtKc1Abb8BfYMXnmtaMD7qcLUGCxg</v>
      </c>
      <c r="I89" s="71"/>
      <c r="J89" s="74"/>
      <c r="K89" s="14" t="s">
        <v>19</v>
      </c>
      <c r="L89" s="20" t="str">
        <f>'[1]4нед'!C91</f>
        <v>пр</v>
      </c>
      <c r="M89" s="23" t="str">
        <f>'[1]4нед'!D91</f>
        <v xml:space="preserve"> Обучение служением</v>
      </c>
      <c r="N89" s="21" t="str">
        <f>'[1]4нед'!G91</f>
        <v>Кобзева Е.В.</v>
      </c>
      <c r="O89" s="22" t="str">
        <f>'[1]4нед'!H91</f>
        <v>преподаватель</v>
      </c>
      <c r="P89" s="57" t="str">
        <f>HYPERLINK(VLOOKUP(M89,$R$12:$S$180,2,FALSE))</f>
        <v>https://max.ru/join/otW8lgS1PqJ5ZhmtKc1Abb8BfYMXnmtaMD7qcLUGCxg</v>
      </c>
    </row>
    <row r="90" spans="1:16" ht="37.5" x14ac:dyDescent="0.2">
      <c r="A90" s="82"/>
      <c r="B90" s="68"/>
      <c r="C90" s="14" t="s">
        <v>20</v>
      </c>
      <c r="D90" s="20">
        <f>'[1]3нед'!C92</f>
        <v>0</v>
      </c>
      <c r="E90" s="23">
        <f>'[1]3нед'!D92</f>
        <v>0</v>
      </c>
      <c r="F90" s="21">
        <f>'[1]3нед'!G92</f>
        <v>0</v>
      </c>
      <c r="G90" s="22" t="str">
        <f>'[1]3нед'!H92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 t="str">
        <f>'[1]4нед'!C92</f>
        <v>пр</v>
      </c>
      <c r="M90" s="23" t="str">
        <f>'[1]4нед'!D92</f>
        <v>Математические основы информатики</v>
      </c>
      <c r="N90" s="21" t="str">
        <f>'[1]4нед'!G92</f>
        <v>Казанцев Ю.А.</v>
      </c>
      <c r="O90" s="22" t="str">
        <f>'[1]4нед'!H92</f>
        <v>ст. преподаватель</v>
      </c>
      <c r="P90" s="57" t="str">
        <f>HYPERLINK(VLOOKUP(M90,$R$12:$S$180,2,FALSE))</f>
        <v>https://max.ru/join/TCEatH6Avl8o9m9sQTggJgcSrdIkaHPRw7RIzgXKilo</v>
      </c>
    </row>
    <row r="91" spans="1:16" ht="31.5" x14ac:dyDescent="0.2">
      <c r="A91" s="82"/>
      <c r="B91" s="68"/>
      <c r="C91" s="14" t="s">
        <v>21</v>
      </c>
      <c r="D91" s="20">
        <f>'[1]3нед'!C93</f>
        <v>0</v>
      </c>
      <c r="E91" s="23">
        <f>'[1]3нед'!D93</f>
        <v>0</v>
      </c>
      <c r="F91" s="21">
        <f>'[1]3нед'!G93</f>
        <v>0</v>
      </c>
      <c r="G91" s="22" t="str">
        <f>'[1]3нед'!H93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'[1]4нед'!C93</f>
        <v>0</v>
      </c>
      <c r="M91" s="23">
        <f>'[1]4нед'!D93</f>
        <v>0</v>
      </c>
      <c r="N91" s="21">
        <f>'[1]4нед'!G93</f>
        <v>0</v>
      </c>
      <c r="O91" s="22" t="str">
        <f>'[1]4нед'!H93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'[1]3нед'!C94</f>
        <v>0</v>
      </c>
      <c r="E92" s="23">
        <f>'[1]3нед'!D94</f>
        <v>0</v>
      </c>
      <c r="F92" s="21">
        <f>'[1]3нед'!G94</f>
        <v>0</v>
      </c>
      <c r="G92" s="22" t="str">
        <f>'[1]3нед'!H94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'[1]4нед'!C94</f>
        <v>0</v>
      </c>
      <c r="M92" s="23">
        <f>'[1]4нед'!D94</f>
        <v>0</v>
      </c>
      <c r="N92" s="21">
        <f>'[1]4нед'!G94</f>
        <v>0</v>
      </c>
      <c r="O92" s="22" t="str">
        <f>'[1]4нед'!H94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'[1]3нед'!C95</f>
        <v>0</v>
      </c>
      <c r="E93" s="23">
        <f>'[1]3нед'!D95</f>
        <v>0</v>
      </c>
      <c r="F93" s="21">
        <f>'[1]3нед'!G95</f>
        <v>0</v>
      </c>
      <c r="G93" s="22" t="str">
        <f>'[1]3нед'!H95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'[1]4нед'!C95</f>
        <v>0</v>
      </c>
      <c r="M93" s="23">
        <f>'[1]4нед'!D95</f>
        <v>0</v>
      </c>
      <c r="N93" s="21">
        <f>'[1]4нед'!G95</f>
        <v>0</v>
      </c>
      <c r="O93" s="22" t="str">
        <f>'[1]4нед'!H95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'[1]3нед'!C96</f>
        <v>0</v>
      </c>
      <c r="E94" s="23">
        <f>'[1]3нед'!D96</f>
        <v>0</v>
      </c>
      <c r="F94" s="21">
        <f>'[1]3нед'!G96</f>
        <v>0</v>
      </c>
      <c r="G94" s="22" t="str">
        <f>'[1]3нед'!H96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'[1]4нед'!C96</f>
        <v>0</v>
      </c>
      <c r="M94" s="23">
        <f>'[1]4нед'!D96</f>
        <v>0</v>
      </c>
      <c r="N94" s="21">
        <f>'[1]4нед'!G96</f>
        <v>0</v>
      </c>
      <c r="O94" s="22" t="str">
        <f>'[1]4нед'!H96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'[1]3нед'!C97</f>
        <v>0</v>
      </c>
      <c r="E95" s="25">
        <f>'[1]3нед'!D97</f>
        <v>0</v>
      </c>
      <c r="F95" s="26">
        <f>'[1]3нед'!G97</f>
        <v>0</v>
      </c>
      <c r="G95" s="27" t="str">
        <f>'[1]3нед'!H97</f>
        <v/>
      </c>
      <c r="H95" s="58" t="str">
        <f>HYPERLINK(VLOOKUP(E95,$R$12:$S$180,2,FALSE))</f>
        <v/>
      </c>
      <c r="I95" s="72"/>
      <c r="J95" s="75"/>
      <c r="K95" s="15"/>
      <c r="L95" s="24">
        <f>'[1]4нед'!C97</f>
        <v>0</v>
      </c>
      <c r="M95" s="25">
        <f>'[1]4нед'!D97</f>
        <v>0</v>
      </c>
      <c r="N95" s="26">
        <f>'[1]4нед'!G97</f>
        <v>0</v>
      </c>
      <c r="O95" s="27" t="str">
        <f>'[1]4нед'!H97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'[1]3нед'!C98</f>
        <v>л</v>
      </c>
      <c r="E96" s="19" t="str">
        <f>'[1]3нед'!D98</f>
        <v>Математические основы информатики</v>
      </c>
      <c r="F96" s="17" t="str">
        <f>'[1]3нед'!G98</f>
        <v>Казанцев Ю.А.</v>
      </c>
      <c r="G96" s="18" t="str">
        <f>'[1]3нед'!H98</f>
        <v>ст. преподаватель</v>
      </c>
      <c r="H96" s="56" t="str">
        <f>HYPERLINK(VLOOKUP(E96,$R$12:$S$180,2,FALSE))</f>
        <v>https://max.ru/join/TCEatH6Avl8o9m9sQTggJgcSrdIkaHPRw7RIzgXKilo</v>
      </c>
      <c r="I96" s="70">
        <v>46289</v>
      </c>
      <c r="J96" s="87" t="s">
        <v>27</v>
      </c>
      <c r="K96" s="29" t="s">
        <v>18</v>
      </c>
      <c r="L96" s="16">
        <f>'[1]4нед'!C98</f>
        <v>0</v>
      </c>
      <c r="M96" s="19">
        <f>'[1]4нед'!D98</f>
        <v>0</v>
      </c>
      <c r="N96" s="17">
        <f>'[1]4нед'!G98</f>
        <v>0</v>
      </c>
      <c r="O96" s="18" t="str">
        <f>'[1]4нед'!H98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'[1]3нед'!C99</f>
        <v>л</v>
      </c>
      <c r="E97" s="23" t="str">
        <f>'[1]3нед'!D99</f>
        <v>Высшая математика</v>
      </c>
      <c r="F97" s="21" t="str">
        <f>'[1]3нед'!G99</f>
        <v>Зиненко И.Н.</v>
      </c>
      <c r="G97" s="22" t="str">
        <f>'[1]3нед'!H99</f>
        <v>доцент, канд. наук</v>
      </c>
      <c r="H97" s="57" t="str">
        <f>HYPERLINK(VLOOKUP(E97,$R$12:$S$180,2,FALSE))</f>
        <v>https://max.ru/join/TCEatH6Avl8o9m9sQTggJgcSrdIkaHPRw7RIzgXKilo</v>
      </c>
      <c r="I97" s="71"/>
      <c r="J97" s="88"/>
      <c r="K97" s="14" t="s">
        <v>19</v>
      </c>
      <c r="L97" s="20" t="str">
        <f>'[1]4нед'!C99</f>
        <v>л</v>
      </c>
      <c r="M97" s="23" t="str">
        <f>'[1]4нед'!D99</f>
        <v>Элементарная математика</v>
      </c>
      <c r="N97" s="21" t="str">
        <f>'[1]4нед'!G99</f>
        <v>Зиненко И.Н.</v>
      </c>
      <c r="O97" s="22" t="str">
        <f>'[1]4нед'!H99</f>
        <v>доцент, канд. наук</v>
      </c>
      <c r="P97" s="57" t="str">
        <f>HYPERLINK(VLOOKUP(M97,$R$12:$S$180,2,FALSE))</f>
        <v>https://max.ru/join/TCEatH6Avl8o9m9sQTggJgcSrdIkaHPRw7RIzgXKilo</v>
      </c>
    </row>
    <row r="98" spans="1:16" ht="37.5" x14ac:dyDescent="0.2">
      <c r="A98" s="82"/>
      <c r="B98" s="85"/>
      <c r="C98" s="14" t="s">
        <v>20</v>
      </c>
      <c r="D98" s="20" t="str">
        <f>'[1]3нед'!C100</f>
        <v>пр</v>
      </c>
      <c r="E98" s="23" t="str">
        <f>'[1]3нед'!D100</f>
        <v>Элементарная математика</v>
      </c>
      <c r="F98" s="21" t="str">
        <f>'[1]3нед'!G100</f>
        <v>Зиненко И.Н.</v>
      </c>
      <c r="G98" s="22" t="str">
        <f>'[1]3нед'!H100</f>
        <v>доцент, канд. наук</v>
      </c>
      <c r="H98" s="57" t="str">
        <f>HYPERLINK(VLOOKUP(E98,$R$12:$S$180,2,FALSE))</f>
        <v>https://max.ru/join/TCEatH6Avl8o9m9sQTggJgcSrdIkaHPRw7RIzgXKilo</v>
      </c>
      <c r="I98" s="71"/>
      <c r="J98" s="88"/>
      <c r="K98" s="14" t="s">
        <v>20</v>
      </c>
      <c r="L98" s="20" t="str">
        <f>'[1]4нед'!C100</f>
        <v>пр</v>
      </c>
      <c r="M98" s="23" t="str">
        <f>'[1]4нед'!D100</f>
        <v>Высшая математика</v>
      </c>
      <c r="N98" s="21" t="str">
        <f>'[1]4нед'!G100</f>
        <v>Зиненко И.Н.</v>
      </c>
      <c r="O98" s="22" t="str">
        <f>'[1]4нед'!H100</f>
        <v>доцент, канд. наук</v>
      </c>
      <c r="P98" s="57" t="str">
        <f>HYPERLINK(VLOOKUP(M98,$R$12:$S$180,2,FALSE))</f>
        <v>https://max.ru/join/TCEatH6Avl8o9m9sQTggJgcSrdIkaHPRw7RIzgXKilo</v>
      </c>
    </row>
    <row r="99" spans="1:16" ht="37.5" x14ac:dyDescent="0.2">
      <c r="A99" s="82"/>
      <c r="B99" s="85"/>
      <c r="C99" s="14" t="s">
        <v>21</v>
      </c>
      <c r="D99" s="20">
        <f>'[1]3нед'!C101</f>
        <v>0</v>
      </c>
      <c r="E99" s="23">
        <f>'[1]3нед'!D101</f>
        <v>0</v>
      </c>
      <c r="F99" s="21">
        <f>'[1]3нед'!G101</f>
        <v>0</v>
      </c>
      <c r="G99" s="22" t="str">
        <f>'[1]3нед'!H101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 t="str">
        <f>'[1]4нед'!C101</f>
        <v>пр</v>
      </c>
      <c r="M99" s="23" t="str">
        <f>'[1]4нед'!D101</f>
        <v xml:space="preserve"> Возрастная анатомия, физиология и культура здоровья</v>
      </c>
      <c r="N99" s="21" t="str">
        <f>'[1]4нед'!G101</f>
        <v>Тотоева О.Н.</v>
      </c>
      <c r="O99" s="22" t="str">
        <f>'[1]4нед'!H101</f>
        <v>доцент, канд. наук</v>
      </c>
      <c r="P99" s="57" t="str">
        <f>HYPERLINK(VLOOKUP(M99,$R$12:$S$180,2,FALSE))</f>
        <v>https://max.ru/join/RrwhTNjGuc3DgsCx989HtQjNPhbdkA4EOwQlUrySmIY</v>
      </c>
    </row>
    <row r="100" spans="1:16" ht="37.5" x14ac:dyDescent="0.2">
      <c r="A100" s="82"/>
      <c r="B100" s="85"/>
      <c r="C100" s="14" t="s">
        <v>22</v>
      </c>
      <c r="D100" s="20">
        <f>'[1]3нед'!C102</f>
        <v>0</v>
      </c>
      <c r="E100" s="23">
        <f>'[1]3нед'!D102</f>
        <v>0</v>
      </c>
      <c r="F100" s="21">
        <f>'[1]3нед'!G102</f>
        <v>0</v>
      </c>
      <c r="G100" s="22" t="str">
        <f>'[1]3нед'!H102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 t="str">
        <f>'[1]4нед'!C102</f>
        <v>пр</v>
      </c>
      <c r="M100" s="23" t="str">
        <f>'[1]4нед'!D102</f>
        <v xml:space="preserve"> Основы российской государственности</v>
      </c>
      <c r="N100" s="21" t="str">
        <f>'[1]4нед'!G102</f>
        <v>Лысенко Е.Г.</v>
      </c>
      <c r="O100" s="22" t="str">
        <f>'[1]4нед'!H102</f>
        <v>доцент, канд. наук</v>
      </c>
      <c r="P100" s="57" t="str">
        <f>HYPERLINK(VLOOKUP(M100,$R$12:$S$180,2,FALSE))</f>
        <v>https://max.ru/join/otW8lgS1PqJ5ZhmtKc1Abb8BfYMXnmtaMD7qcLUGCxg</v>
      </c>
    </row>
    <row r="101" spans="1:16" ht="31.5" x14ac:dyDescent="0.2">
      <c r="A101" s="82"/>
      <c r="B101" s="85"/>
      <c r="C101" s="14" t="s">
        <v>23</v>
      </c>
      <c r="D101" s="20">
        <f>'[1]3нед'!C103</f>
        <v>0</v>
      </c>
      <c r="E101" s="23">
        <f>'[1]3нед'!D103</f>
        <v>0</v>
      </c>
      <c r="F101" s="21">
        <f>'[1]3нед'!G103</f>
        <v>0</v>
      </c>
      <c r="G101" s="22" t="str">
        <f>'[1]3нед'!H103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'[1]4нед'!C103</f>
        <v>0</v>
      </c>
      <c r="M101" s="23">
        <f>'[1]4нед'!D103</f>
        <v>0</v>
      </c>
      <c r="N101" s="21">
        <f>'[1]4нед'!G103</f>
        <v>0</v>
      </c>
      <c r="O101" s="22" t="str">
        <f>'[1]4нед'!H103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'[1]3нед'!C104</f>
        <v>0</v>
      </c>
      <c r="E102" s="23">
        <f>'[1]3нед'!D104</f>
        <v>0</v>
      </c>
      <c r="F102" s="21">
        <f>'[1]3нед'!G104</f>
        <v>0</v>
      </c>
      <c r="G102" s="22" t="str">
        <f>'[1]3нед'!H104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'[1]4нед'!C104</f>
        <v>0</v>
      </c>
      <c r="M102" s="23">
        <f>'[1]4нед'!D104</f>
        <v>0</v>
      </c>
      <c r="N102" s="21">
        <f>'[1]4нед'!G104</f>
        <v>0</v>
      </c>
      <c r="O102" s="22" t="str">
        <f>'[1]4нед'!H104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'[1]3нед'!C105</f>
        <v>0</v>
      </c>
      <c r="E103" s="25">
        <f>'[1]3нед'!D105</f>
        <v>0</v>
      </c>
      <c r="F103" s="26">
        <f>'[1]3нед'!G105</f>
        <v>0</v>
      </c>
      <c r="G103" s="27" t="str">
        <f>'[1]3нед'!H105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'[1]4нед'!C105</f>
        <v>0</v>
      </c>
      <c r="M103" s="25">
        <f>'[1]4нед'!D105</f>
        <v>0</v>
      </c>
      <c r="N103" s="26">
        <f>'[1]4нед'!G105</f>
        <v>0</v>
      </c>
      <c r="O103" s="27" t="str">
        <f>'[1]4нед'!H105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'[1]3нед'!C106</f>
        <v>пр</v>
      </c>
      <c r="E104" s="19" t="str">
        <f>'[1]3нед'!D106</f>
        <v xml:space="preserve"> Основы российской государственности</v>
      </c>
      <c r="F104" s="17" t="str">
        <f>'[1]3нед'!G106</f>
        <v>Лысенко Е.Г.</v>
      </c>
      <c r="G104" s="18" t="str">
        <f>'[1]3нед'!H106</f>
        <v>доцент, канд. наук</v>
      </c>
      <c r="H104" s="56" t="str">
        <f>HYPERLINK(VLOOKUP(E104,$R$12:$S$180,2,FALSE))</f>
        <v>https://max.ru/join/otW8lgS1PqJ5ZhmtKc1Abb8BfYMXnmtaMD7qcLUGCxg</v>
      </c>
      <c r="I104" s="70">
        <v>46290</v>
      </c>
      <c r="J104" s="87" t="s">
        <v>28</v>
      </c>
      <c r="K104" s="29" t="s">
        <v>18</v>
      </c>
      <c r="L104" s="16">
        <f>'[1]4нед'!C106</f>
        <v>0</v>
      </c>
      <c r="M104" s="19">
        <f>'[1]4нед'!D106</f>
        <v>0</v>
      </c>
      <c r="N104" s="17">
        <f>'[1]4нед'!G106</f>
        <v>0</v>
      </c>
      <c r="O104" s="18" t="str">
        <f>'[1]4нед'!H106</f>
        <v/>
      </c>
      <c r="P104" s="56" t="str">
        <f>HYPERLINK(VLOOKUP(M104,$R$12:$S$180,2,FALSE))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'[1]3нед'!C107</f>
        <v>пр</v>
      </c>
      <c r="E105" s="23" t="str">
        <f>'[1]3нед'!D107</f>
        <v xml:space="preserve"> История России</v>
      </c>
      <c r="F105" s="21" t="str">
        <f>'[1]3нед'!G107</f>
        <v>Сальников В.И.</v>
      </c>
      <c r="G105" s="22" t="str">
        <f>'[1]3нед'!H107</f>
        <v>доцент, канд. наук</v>
      </c>
      <c r="H105" s="57" t="str">
        <f>HYPERLINK(VLOOKUP(E105,$R$12:$S$180,2,FALSE))</f>
        <v>https://max.ru/join/otW8lgS1PqJ5ZhmtKc1Abb8BfYMXnmtaMD7qcLUGCxg</v>
      </c>
      <c r="I105" s="71"/>
      <c r="J105" s="88"/>
      <c r="K105" s="14" t="s">
        <v>19</v>
      </c>
      <c r="L105" s="20" t="str">
        <f>'[1]4нед'!C107</f>
        <v>пр</v>
      </c>
      <c r="M105" s="23" t="str">
        <f>'[1]4нед'!D107</f>
        <v xml:space="preserve"> История России</v>
      </c>
      <c r="N105" s="21" t="str">
        <f>'[1]4нед'!G107</f>
        <v>Сальников В.И.</v>
      </c>
      <c r="O105" s="22" t="str">
        <f>'[1]4нед'!H107</f>
        <v>доцент, канд. наук</v>
      </c>
      <c r="P105" s="57" t="str">
        <f>HYPERLINK(VLOOKUP(M105,$R$12:$S$180,2,FALSE))</f>
        <v>https://max.ru/join/otW8lgS1PqJ5ZhmtKc1Abb8BfYMXnmtaMD7qcLUGCxg</v>
      </c>
    </row>
    <row r="106" spans="1:16" ht="37.5" x14ac:dyDescent="0.2">
      <c r="A106" s="82"/>
      <c r="B106" s="85"/>
      <c r="C106" s="14" t="s">
        <v>20</v>
      </c>
      <c r="D106" s="20" t="str">
        <f>'[1]3нед'!C108</f>
        <v>пр</v>
      </c>
      <c r="E106" s="23" t="str">
        <f>'[1]3нед'!D108</f>
        <v>Элементарная  физика</v>
      </c>
      <c r="F106" s="21" t="str">
        <f>'[1]3нед'!G108</f>
        <v>Коробова И.В.</v>
      </c>
      <c r="G106" s="22" t="str">
        <f>'[1]3нед'!H108</f>
        <v>профессор, д-р наук</v>
      </c>
      <c r="H106" s="57" t="str">
        <f>HYPERLINK(VLOOKUP(E106,$R$12:$S$180,2,FALSE))</f>
        <v>https://max.ru/join/TCEatH6Avl8o9m9sQTggJgcSrdIkaHPRw7RIzgXKilo</v>
      </c>
      <c r="I106" s="71"/>
      <c r="J106" s="88"/>
      <c r="K106" s="14" t="s">
        <v>20</v>
      </c>
      <c r="L106" s="20" t="str">
        <f>'[1]4нед'!C108</f>
        <v>л</v>
      </c>
      <c r="M106" s="23" t="str">
        <f>'[1]4нед'!D108</f>
        <v>Дискретные модели в информатике</v>
      </c>
      <c r="N106" s="21" t="str">
        <f>'[1]4нед'!G108</f>
        <v>Олейников Н.Н.</v>
      </c>
      <c r="O106" s="22" t="str">
        <f>'[1]4нед'!H108</f>
        <v>ст. преподаватель</v>
      </c>
      <c r="P106" s="57" t="str">
        <f>HYPERLINK(VLOOKUP(M106,$R$12:$S$180,2,FALSE))</f>
        <v>https://max.ru/join/TCEatH6Avl8o9m9sQTggJgcSrdIkaHPRw7RIzgXKilo</v>
      </c>
    </row>
    <row r="107" spans="1:16" ht="37.5" x14ac:dyDescent="0.2">
      <c r="A107" s="82"/>
      <c r="B107" s="85"/>
      <c r="C107" s="14" t="s">
        <v>21</v>
      </c>
      <c r="D107" s="20">
        <f>'[1]3нед'!C109</f>
        <v>0</v>
      </c>
      <c r="E107" s="23">
        <f>'[1]3нед'!D109</f>
        <v>0</v>
      </c>
      <c r="F107" s="21">
        <f>'[1]3нед'!G109</f>
        <v>0</v>
      </c>
      <c r="G107" s="22" t="str">
        <f>'[1]3нед'!H109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 t="str">
        <f>'[1]4нед'!C109</f>
        <v>пр</v>
      </c>
      <c r="M107" s="23" t="str">
        <f>'[1]4нед'!D109</f>
        <v>Дискретные модели в информатике</v>
      </c>
      <c r="N107" s="21" t="str">
        <f>'[1]4нед'!G109</f>
        <v>Олейников Н.Н.</v>
      </c>
      <c r="O107" s="22" t="str">
        <f>'[1]4нед'!H109</f>
        <v>ст. преподаватель</v>
      </c>
      <c r="P107" s="57" t="str">
        <f>HYPERLINK(VLOOKUP(M107,$R$12:$S$180,2,FALSE))</f>
        <v>https://max.ru/join/TCEatH6Avl8o9m9sQTggJgcSrdIkaHPRw7RIzgXKilo</v>
      </c>
    </row>
    <row r="108" spans="1:16" ht="31.5" x14ac:dyDescent="0.2">
      <c r="A108" s="82"/>
      <c r="B108" s="85"/>
      <c r="C108" s="14" t="s">
        <v>22</v>
      </c>
      <c r="D108" s="20">
        <f>'[1]3нед'!C110</f>
        <v>0</v>
      </c>
      <c r="E108" s="23">
        <f>'[1]3нед'!D110</f>
        <v>0</v>
      </c>
      <c r="F108" s="21">
        <f>'[1]3нед'!G110</f>
        <v>0</v>
      </c>
      <c r="G108" s="22" t="str">
        <f>'[1]3нед'!H110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'[1]4нед'!C110</f>
        <v>0</v>
      </c>
      <c r="M108" s="23">
        <f>'[1]4нед'!D110</f>
        <v>0</v>
      </c>
      <c r="N108" s="21">
        <f>'[1]4нед'!G110</f>
        <v>0</v>
      </c>
      <c r="O108" s="22" t="str">
        <f>'[1]4нед'!H110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'[1]3нед'!C111</f>
        <v>0</v>
      </c>
      <c r="E109" s="23">
        <f>'[1]3нед'!D111</f>
        <v>0</v>
      </c>
      <c r="F109" s="21">
        <f>'[1]3нед'!G111</f>
        <v>0</v>
      </c>
      <c r="G109" s="22" t="str">
        <f>'[1]3нед'!H111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'[1]4нед'!C111</f>
        <v>0</v>
      </c>
      <c r="M109" s="23">
        <f>'[1]4нед'!D111</f>
        <v>0</v>
      </c>
      <c r="N109" s="21">
        <f>'[1]4нед'!G111</f>
        <v>0</v>
      </c>
      <c r="O109" s="22" t="str">
        <f>'[1]4нед'!H111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'[1]3нед'!C112</f>
        <v>0</v>
      </c>
      <c r="E110" s="23">
        <f>'[1]3нед'!D112</f>
        <v>0</v>
      </c>
      <c r="F110" s="21">
        <f>'[1]3нед'!G112</f>
        <v>0</v>
      </c>
      <c r="G110" s="22" t="str">
        <f>'[1]3нед'!H112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'[1]4нед'!C112</f>
        <v>0</v>
      </c>
      <c r="M110" s="23">
        <f>'[1]4нед'!D112</f>
        <v>0</v>
      </c>
      <c r="N110" s="21">
        <f>'[1]4нед'!G112</f>
        <v>0</v>
      </c>
      <c r="O110" s="22" t="str">
        <f>'[1]4нед'!H112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'[1]3нед'!C113</f>
        <v>0</v>
      </c>
      <c r="E111" s="25">
        <f>'[1]3нед'!D113</f>
        <v>0</v>
      </c>
      <c r="F111" s="26">
        <f>'[1]3нед'!G113</f>
        <v>0</v>
      </c>
      <c r="G111" s="27" t="str">
        <f>'[1]3нед'!H113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'[1]4нед'!C113</f>
        <v>0</v>
      </c>
      <c r="M111" s="25">
        <f>'[1]4нед'!D113</f>
        <v>0</v>
      </c>
      <c r="N111" s="26">
        <f>'[1]4нед'!G113</f>
        <v>0</v>
      </c>
      <c r="O111" s="27" t="str">
        <f>'[1]4нед'!H113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'[1]3нед'!C114</f>
        <v>0</v>
      </c>
      <c r="E112" s="19">
        <f>'[1]3нед'!D114</f>
        <v>0</v>
      </c>
      <c r="F112" s="17">
        <f>'[1]3нед'!G114</f>
        <v>0</v>
      </c>
      <c r="G112" s="18" t="str">
        <f>'[1]3нед'!H114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'[1]4нед'!C114</f>
        <v>0</v>
      </c>
      <c r="M112" s="19">
        <f>'[1]4нед'!D114</f>
        <v>0</v>
      </c>
      <c r="N112" s="17">
        <f>'[1]4нед'!G114</f>
        <v>0</v>
      </c>
      <c r="O112" s="18" t="str">
        <f>'[1]4нед'!H114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'[1]3нед'!C115</f>
        <v>0</v>
      </c>
      <c r="E113" s="23">
        <f>'[1]3нед'!D115</f>
        <v>0</v>
      </c>
      <c r="F113" s="21">
        <f>'[1]3нед'!G115</f>
        <v>0</v>
      </c>
      <c r="G113" s="22" t="str">
        <f>'[1]3нед'!H115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'[1]4нед'!C115</f>
        <v>0</v>
      </c>
      <c r="M113" s="23">
        <f>'[1]4нед'!D115</f>
        <v>0</v>
      </c>
      <c r="N113" s="21">
        <f>'[1]4нед'!G115</f>
        <v>0</v>
      </c>
      <c r="O113" s="22" t="str">
        <f>'[1]4нед'!H115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'[1]3нед'!C116</f>
        <v>0</v>
      </c>
      <c r="E114" s="23">
        <f>'[1]3нед'!D116</f>
        <v>0</v>
      </c>
      <c r="F114" s="21">
        <f>'[1]3нед'!G116</f>
        <v>0</v>
      </c>
      <c r="G114" s="22" t="str">
        <f>'[1]3нед'!H116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'[1]4нед'!C116</f>
        <v>0</v>
      </c>
      <c r="M114" s="23">
        <f>'[1]4нед'!D116</f>
        <v>0</v>
      </c>
      <c r="N114" s="21">
        <f>'[1]4нед'!G116</f>
        <v>0</v>
      </c>
      <c r="O114" s="22" t="str">
        <f>'[1]4нед'!H116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'[1]3нед'!C117</f>
        <v>0</v>
      </c>
      <c r="E115" s="23">
        <f>'[1]3нед'!D117</f>
        <v>0</v>
      </c>
      <c r="F115" s="21">
        <f>'[1]3нед'!G117</f>
        <v>0</v>
      </c>
      <c r="G115" s="22" t="str">
        <f>'[1]3нед'!H117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'[1]4нед'!C117</f>
        <v>0</v>
      </c>
      <c r="M115" s="23">
        <f>'[1]4нед'!D117</f>
        <v>0</v>
      </c>
      <c r="N115" s="21">
        <f>'[1]4нед'!G117</f>
        <v>0</v>
      </c>
      <c r="O115" s="22" t="str">
        <f>'[1]4нед'!H117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'[1]3нед'!C118</f>
        <v>0</v>
      </c>
      <c r="E116" s="23">
        <f>'[1]3нед'!D118</f>
        <v>0</v>
      </c>
      <c r="F116" s="21">
        <f>'[1]3нед'!G118</f>
        <v>0</v>
      </c>
      <c r="G116" s="22" t="str">
        <f>'[1]3нед'!H118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'[1]4нед'!C118</f>
        <v>0</v>
      </c>
      <c r="M116" s="23">
        <f>'[1]4нед'!D118</f>
        <v>0</v>
      </c>
      <c r="N116" s="21">
        <f>'[1]4нед'!G118</f>
        <v>0</v>
      </c>
      <c r="O116" s="22" t="str">
        <f>'[1]4нед'!H118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'[1]3нед'!C119</f>
        <v>0</v>
      </c>
      <c r="E117" s="23">
        <f>'[1]3нед'!D119</f>
        <v>0</v>
      </c>
      <c r="F117" s="21">
        <f>'[1]3нед'!G119</f>
        <v>0</v>
      </c>
      <c r="G117" s="22" t="str">
        <f>'[1]3нед'!H119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'[1]4нед'!C119</f>
        <v>0</v>
      </c>
      <c r="M117" s="23">
        <f>'[1]4нед'!D119</f>
        <v>0</v>
      </c>
      <c r="N117" s="21">
        <f>'[1]4нед'!G119</f>
        <v>0</v>
      </c>
      <c r="O117" s="22" t="str">
        <f>'[1]4нед'!H119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'[1]3нед'!C120</f>
        <v>0</v>
      </c>
      <c r="E118" s="23">
        <f>'[1]3нед'!D120</f>
        <v>0</v>
      </c>
      <c r="F118" s="21">
        <f>'[1]3нед'!G120</f>
        <v>0</v>
      </c>
      <c r="G118" s="22" t="str">
        <f>'[1]3нед'!H120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'[1]4нед'!C120</f>
        <v>0</v>
      </c>
      <c r="M118" s="23">
        <f>'[1]4нед'!D120</f>
        <v>0</v>
      </c>
      <c r="N118" s="21">
        <f>'[1]4нед'!G120</f>
        <v>0</v>
      </c>
      <c r="O118" s="22" t="str">
        <f>'[1]4нед'!H120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44.03.05..Педагогическое образование (с двумя профилями подготовки) (Физика и Информатика)</v>
      </c>
      <c r="F127" s="7"/>
      <c r="G127" s="7" t="str">
        <f>G7</f>
        <v>12-26ФИ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44.03.05..Педагогическое образование (с двумя профилями подготовки) (Физика и Информатика)</v>
      </c>
      <c r="N127" s="7"/>
      <c r="O127" s="7" t="str">
        <f>G7</f>
        <v>12-26ФИ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1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1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'[3]5нед'!C74</f>
        <v>л</v>
      </c>
      <c r="E132" s="19" t="str">
        <f>'[3]5нед'!D74</f>
        <v>История России</v>
      </c>
      <c r="F132" s="17" t="str">
        <f>'[3]5нед'!G74</f>
        <v>Сальников В.И.</v>
      </c>
      <c r="G132" s="18" t="str">
        <f>'[3]5нед'!H74</f>
        <v>доцент, канд. наук</v>
      </c>
      <c r="H132" s="56" t="str">
        <f>HYPERLINK(VLOOKUP(E132,$R$12:$S$180,2,FALSE))</f>
        <v>https://max.ru/join/o85unk1KbqCN1-IxGCSAqfdKA8ikJBwHtOsEG2C_ftA</v>
      </c>
      <c r="I132" s="70">
        <v>46300</v>
      </c>
      <c r="J132" s="87" t="s">
        <v>17</v>
      </c>
      <c r="K132" s="14" t="s">
        <v>18</v>
      </c>
      <c r="L132" s="16" t="str">
        <f>'[3]6нед'!C74</f>
        <v>л</v>
      </c>
      <c r="M132" s="19" t="str">
        <f>'[3]6нед'!D74</f>
        <v>История России</v>
      </c>
      <c r="N132" s="17" t="str">
        <f>'[3]6нед'!G74</f>
        <v>Сальников В.И.</v>
      </c>
      <c r="O132" s="18" t="str">
        <f>'[3]6нед'!H74</f>
        <v>доцент, канд. наук</v>
      </c>
      <c r="P132" s="56" t="str">
        <f>HYPERLINK(VLOOKUP(M132,$R$12:$S$180,2,FALSE))</f>
        <v>https://max.ru/join/o85unk1KbqCN1-IxGCSAqfdKA8ikJBwHtOsEG2C_ftA</v>
      </c>
    </row>
    <row r="133" spans="1:16" ht="37.5" x14ac:dyDescent="0.2">
      <c r="A133" s="82"/>
      <c r="B133" s="85"/>
      <c r="C133" s="14" t="s">
        <v>19</v>
      </c>
      <c r="D133" s="20" t="str">
        <f>'[3]5нед'!C75</f>
        <v>пр</v>
      </c>
      <c r="E133" s="23" t="str">
        <f>'[3]5нед'!D75</f>
        <v>Физическая культура и спорт</v>
      </c>
      <c r="F133" s="21" t="str">
        <f>'[3]5нед'!G75</f>
        <v>Набока В.И.</v>
      </c>
      <c r="G133" s="22" t="str">
        <f>'[3]5нед'!H75</f>
        <v>преподаватель</v>
      </c>
      <c r="H133" s="57" t="str">
        <f>HYPERLINK(VLOOKUP(E133,$R$12:$S$180,2,FALSE))</f>
        <v>https://max.ru/join/otW8lgS1PqJ5ZhmtKc1Abb8BfYMXnmtaMD7qcLUGCxg</v>
      </c>
      <c r="I133" s="71"/>
      <c r="J133" s="88"/>
      <c r="K133" s="14" t="s">
        <v>19</v>
      </c>
      <c r="L133" s="20" t="str">
        <f>'[3]6нед'!C75</f>
        <v>пр</v>
      </c>
      <c r="M133" s="23" t="str">
        <f>'[3]6нед'!D75</f>
        <v>Физическая культура и спорт</v>
      </c>
      <c r="N133" s="21" t="str">
        <f>'[3]6нед'!G75</f>
        <v>Набока В.И.</v>
      </c>
      <c r="O133" s="22" t="str">
        <f>'[3]6нед'!H75</f>
        <v>преподаватель</v>
      </c>
      <c r="P133" s="57" t="str">
        <f>HYPERLINK(VLOOKUP(M133,$R$12:$S$180,2,FALSE))</f>
        <v>https://max.ru/join/otW8lgS1PqJ5ZhmtKc1Abb8BfYMXnmtaMD7qcLUGCxg</v>
      </c>
    </row>
    <row r="134" spans="1:16" ht="37.5" x14ac:dyDescent="0.2">
      <c r="A134" s="82"/>
      <c r="B134" s="85"/>
      <c r="C134" s="14" t="s">
        <v>20</v>
      </c>
      <c r="D134" s="20" t="str">
        <f>'[3]5нед'!C76</f>
        <v>пр</v>
      </c>
      <c r="E134" s="23" t="str">
        <f>'[3]5нед'!D76</f>
        <v>Иностранный язык</v>
      </c>
      <c r="F134" s="21" t="str">
        <f>'[3]5нед'!G76</f>
        <v>Суворова С.Г.</v>
      </c>
      <c r="G134" s="22" t="str">
        <f>'[3]5нед'!H76</f>
        <v>ст. преподаватель</v>
      </c>
      <c r="H134" s="57" t="str">
        <f>HYPERLINK(VLOOKUP(E134,$R$12:$S$180,2,FALSE))</f>
        <v>https://max.ru/join/otW8lgS1PqJ5ZhmtKc1Abb8BfYMXnmtaMD7qcLUGCxg</v>
      </c>
      <c r="I134" s="71"/>
      <c r="J134" s="88"/>
      <c r="K134" s="14" t="s">
        <v>20</v>
      </c>
      <c r="L134" s="20" t="str">
        <f>'[3]6нед'!C76</f>
        <v>пр</v>
      </c>
      <c r="M134" s="23" t="str">
        <f>'[3]6нед'!D76</f>
        <v>Иностранный язык</v>
      </c>
      <c r="N134" s="21" t="str">
        <f>'[3]6нед'!G76</f>
        <v>Суворова С.Г.</v>
      </c>
      <c r="O134" s="22" t="str">
        <f>'[3]6нед'!H76</f>
        <v>ст. преподаватель</v>
      </c>
      <c r="P134" s="57" t="str">
        <f>HYPERLINK(VLOOKUP(M134,$R$12:$S$180,2,FALSE))</f>
        <v>https://max.ru/join/otW8lgS1PqJ5ZhmtKc1Abb8BfYMXnmtaMD7qcLUGCxg</v>
      </c>
    </row>
    <row r="135" spans="1:16" ht="37.5" x14ac:dyDescent="0.2">
      <c r="A135" s="82"/>
      <c r="B135" s="85"/>
      <c r="C135" s="14" t="s">
        <v>21</v>
      </c>
      <c r="D135" s="20" t="str">
        <f>'[3]5нед'!C77</f>
        <v>л</v>
      </c>
      <c r="E135" s="23" t="str">
        <f>'[3]5нед'!D77</f>
        <v>Возрастная анатомия, физиология и культура здоровья</v>
      </c>
      <c r="F135" s="21" t="str">
        <f>'[3]5нед'!G77</f>
        <v>Тотоева О.Н.</v>
      </c>
      <c r="G135" s="22" t="str">
        <f>'[3]5нед'!H77</f>
        <v>доцент, канд. наук</v>
      </c>
      <c r="H135" s="57" t="str">
        <f>HYPERLINK(VLOOKUP(E135,$R$12:$S$180,2,FALSE))</f>
        <v>https://max.ru/join/NU2edX9oXun4G550gjffmEH6rRcZcTV_m4i8V_Iscos</v>
      </c>
      <c r="I135" s="71"/>
      <c r="J135" s="88"/>
      <c r="K135" s="14" t="s">
        <v>21</v>
      </c>
      <c r="L135" s="20">
        <f>'[3]6нед'!C77</f>
        <v>0</v>
      </c>
      <c r="M135" s="23">
        <f>'[3]6нед'!D77</f>
        <v>0</v>
      </c>
      <c r="N135" s="21">
        <f>'[3]6нед'!G77</f>
        <v>0</v>
      </c>
      <c r="O135" s="22" t="str">
        <f>'[3]6нед'!H77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'[3]5нед'!C78</f>
        <v>0</v>
      </c>
      <c r="E136" s="23">
        <f>'[3]5нед'!D78</f>
        <v>0</v>
      </c>
      <c r="F136" s="21">
        <f>'[3]5нед'!G78</f>
        <v>0</v>
      </c>
      <c r="G136" s="22" t="str">
        <f>'[3]5нед'!H78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'[3]6нед'!C78</f>
        <v>0</v>
      </c>
      <c r="M136" s="23">
        <f>'[3]6нед'!D78</f>
        <v>0</v>
      </c>
      <c r="N136" s="21">
        <f>'[3]6нед'!G78</f>
        <v>0</v>
      </c>
      <c r="O136" s="22" t="str">
        <f>'[3]6нед'!H78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'[3]5нед'!C79</f>
        <v>0</v>
      </c>
      <c r="E137" s="23">
        <f>'[3]5нед'!D79</f>
        <v>0</v>
      </c>
      <c r="F137" s="21">
        <f>'[3]5нед'!G79</f>
        <v>0</v>
      </c>
      <c r="G137" s="22" t="str">
        <f>'[3]5нед'!H79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'[3]6нед'!C79</f>
        <v>0</v>
      </c>
      <c r="M137" s="23">
        <f>'[3]6нед'!D79</f>
        <v>0</v>
      </c>
      <c r="N137" s="21">
        <f>'[3]6нед'!G79</f>
        <v>0</v>
      </c>
      <c r="O137" s="22" t="str">
        <f>'[3]6нед'!H79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'[3]5нед'!C80</f>
        <v>0</v>
      </c>
      <c r="E138" s="23">
        <f>'[3]5нед'!D80</f>
        <v>0</v>
      </c>
      <c r="F138" s="21">
        <f>'[3]5нед'!G80</f>
        <v>0</v>
      </c>
      <c r="G138" s="22" t="str">
        <f>'[3]5нед'!H80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'[3]6нед'!C80</f>
        <v>0</v>
      </c>
      <c r="M138" s="23">
        <f>'[3]6нед'!D80</f>
        <v>0</v>
      </c>
      <c r="N138" s="21">
        <f>'[3]6нед'!G80</f>
        <v>0</v>
      </c>
      <c r="O138" s="22" t="str">
        <f>'[3]6нед'!H80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'[3]5нед'!C81</f>
        <v>0</v>
      </c>
      <c r="E139" s="25">
        <f>'[3]5нед'!D81</f>
        <v>0</v>
      </c>
      <c r="F139" s="26">
        <f>'[3]5нед'!G81</f>
        <v>0</v>
      </c>
      <c r="G139" s="27" t="str">
        <f>'[3]5нед'!H81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'[3]6нед'!C81</f>
        <v>0</v>
      </c>
      <c r="M139" s="25">
        <f>'[3]6нед'!D81</f>
        <v>0</v>
      </c>
      <c r="N139" s="26">
        <f>'[3]6нед'!G81</f>
        <v>0</v>
      </c>
      <c r="O139" s="27" t="str">
        <f>'[3]6нед'!H81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'[3]5нед'!C82</f>
        <v>0</v>
      </c>
      <c r="E140" s="19">
        <f>'[3]5нед'!D82</f>
        <v>0</v>
      </c>
      <c r="F140" s="17">
        <f>'[3]5нед'!G82</f>
        <v>0</v>
      </c>
      <c r="G140" s="18" t="str">
        <f>'[3]5нед'!H82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'[3]6нед'!C82</f>
        <v>0</v>
      </c>
      <c r="M140" s="19">
        <f>'[3]6нед'!D82</f>
        <v>0</v>
      </c>
      <c r="N140" s="17">
        <f>'[3]6нед'!G82</f>
        <v>0</v>
      </c>
      <c r="O140" s="18" t="str">
        <f>'[3]6нед'!H82</f>
        <v/>
      </c>
      <c r="P140" s="56" t="str">
        <f>HYPERLINK(VLOOKUP(M140,$R$12:$S$180,2,FALSE))</f>
        <v/>
      </c>
    </row>
    <row r="141" spans="1:16" ht="37.5" x14ac:dyDescent="0.2">
      <c r="A141" s="82"/>
      <c r="B141" s="85"/>
      <c r="C141" s="14" t="s">
        <v>19</v>
      </c>
      <c r="D141" s="20" t="str">
        <f>'[3]5нед'!C83</f>
        <v>л</v>
      </c>
      <c r="E141" s="23" t="str">
        <f>'[3]5нед'!D83</f>
        <v>Программное обеспечение систем и сетей</v>
      </c>
      <c r="F141" s="21" t="str">
        <f>'[3]5нед'!G83</f>
        <v>Алешов В.В.</v>
      </c>
      <c r="G141" s="22" t="str">
        <f>'[3]5нед'!H83</f>
        <v>ст. преподаватель</v>
      </c>
      <c r="H141" s="57" t="str">
        <f>HYPERLINK(VLOOKUP(E141,$R$12:$S$180,2,FALSE))</f>
        <v>https://max.ru/join/TCEatH6Avl8o9m9sQTggJgcSrdIkaHPRw7RIzgXKilo</v>
      </c>
      <c r="I141" s="71"/>
      <c r="J141" s="88"/>
      <c r="K141" s="14" t="s">
        <v>19</v>
      </c>
      <c r="L141" s="20" t="str">
        <f>'[3]6нед'!C83</f>
        <v>пр</v>
      </c>
      <c r="M141" s="23" t="str">
        <f>'[3]6нед'!D83</f>
        <v>Программное обеспечение систем и сетей</v>
      </c>
      <c r="N141" s="21" t="str">
        <f>'[3]6нед'!G83</f>
        <v>Алешов В.В.</v>
      </c>
      <c r="O141" s="22" t="str">
        <f>'[3]6нед'!H83</f>
        <v>ст. преподаватель</v>
      </c>
      <c r="P141" s="57" t="str">
        <f>HYPERLINK(VLOOKUP(M141,$R$12:$S$180,2,FALSE))</f>
        <v>https://max.ru/join/TCEatH6Avl8o9m9sQTggJgcSrdIkaHPRw7RIzgXKilo</v>
      </c>
    </row>
    <row r="142" spans="1:16" ht="37.5" x14ac:dyDescent="0.2">
      <c r="A142" s="82"/>
      <c r="B142" s="85"/>
      <c r="C142" s="14" t="s">
        <v>20</v>
      </c>
      <c r="D142" s="20" t="str">
        <f>'[3]5нед'!C84</f>
        <v>л</v>
      </c>
      <c r="E142" s="23" t="str">
        <f>'[3]5нед'!D84</f>
        <v>Технологии цифрового образования</v>
      </c>
      <c r="F142" s="21" t="str">
        <f>'[3]5нед'!G84</f>
        <v>Шевченко Е.Н.</v>
      </c>
      <c r="G142" s="22" t="str">
        <f>'[3]5нед'!H84</f>
        <v>ст. преподаватель</v>
      </c>
      <c r="H142" s="57" t="str">
        <f>HYPERLINK(VLOOKUP(E142,$R$12:$S$180,2,FALSE))</f>
        <v>https://max.ru/join/QktsjGaw5ToZMymwQv4u7TZ1a5jhx2Meh1Xg11Ht-o8</v>
      </c>
      <c r="I142" s="71"/>
      <c r="J142" s="88"/>
      <c r="K142" s="14" t="s">
        <v>20</v>
      </c>
      <c r="L142" s="20" t="str">
        <f>'[3]6нед'!C84</f>
        <v>пр</v>
      </c>
      <c r="M142" s="23" t="str">
        <f>'[3]6нед'!D84</f>
        <v xml:space="preserve"> Технологии цифрового образования</v>
      </c>
      <c r="N142" s="21" t="str">
        <f>'[3]6нед'!G84</f>
        <v>Шевченко Е.Н.</v>
      </c>
      <c r="O142" s="22" t="str">
        <f>'[3]6нед'!H84</f>
        <v>ст. преподаватель</v>
      </c>
      <c r="P142" s="57" t="str">
        <f>HYPERLINK(VLOOKUP(M142,$R$12:$S$180,2,FALSE))</f>
        <v>https://max.ru/join/otW8lgS1PqJ5ZhmtKc1Abb8BfYMXnmtaMD7qcLUGCxg</v>
      </c>
    </row>
    <row r="143" spans="1:16" ht="37.5" x14ac:dyDescent="0.2">
      <c r="A143" s="82"/>
      <c r="B143" s="85"/>
      <c r="C143" s="14" t="s">
        <v>21</v>
      </c>
      <c r="D143" s="20" t="str">
        <f>'[3]5нед'!C85</f>
        <v>л</v>
      </c>
      <c r="E143" s="23" t="str">
        <f>'[3]5нед'!D85</f>
        <v>Обучение служением</v>
      </c>
      <c r="F143" s="21" t="str">
        <f>'[3]5нед'!G85</f>
        <v>Вишневский В.А.</v>
      </c>
      <c r="G143" s="22" t="str">
        <f>'[3]5нед'!H85</f>
        <v>доцент, канд. наук</v>
      </c>
      <c r="H143" s="57" t="str">
        <f>HYPERLINK(VLOOKUP(E143,$R$12:$S$180,2,FALSE))</f>
        <v>https://max.ru/join/0MiRK0GUpSTCrtKMGu5ke9BatSupdkYkm3PEezrq5xw</v>
      </c>
      <c r="I143" s="71"/>
      <c r="J143" s="88"/>
      <c r="K143" s="14" t="s">
        <v>21</v>
      </c>
      <c r="L143" s="20" t="str">
        <f>'[3]6нед'!C85</f>
        <v>л</v>
      </c>
      <c r="M143" s="23" t="str">
        <f>'[3]6нед'!D85</f>
        <v>Элементарная математика</v>
      </c>
      <c r="N143" s="21" t="str">
        <f>'[3]6нед'!G85</f>
        <v>Зиненко И.Н.</v>
      </c>
      <c r="O143" s="22" t="str">
        <f>'[3]6нед'!H85</f>
        <v>доцент, канд. наук</v>
      </c>
      <c r="P143" s="57" t="str">
        <f>HYPERLINK(VLOOKUP(M143,$R$12:$S$180,2,FALSE))</f>
        <v>https://max.ru/join/TCEatH6Avl8o9m9sQTggJgcSrdIkaHPRw7RIzgXKilo</v>
      </c>
    </row>
    <row r="144" spans="1:16" ht="37.5" x14ac:dyDescent="0.2">
      <c r="A144" s="82"/>
      <c r="B144" s="85"/>
      <c r="C144" s="14" t="s">
        <v>22</v>
      </c>
      <c r="D144" s="20">
        <f>'[3]5нед'!C86</f>
        <v>0</v>
      </c>
      <c r="E144" s="23">
        <f>'[3]5нед'!D86</f>
        <v>0</v>
      </c>
      <c r="F144" s="21">
        <f>'[3]5нед'!G86</f>
        <v>0</v>
      </c>
      <c r="G144" s="22" t="str">
        <f>'[3]5нед'!H86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 t="str">
        <f>'[3]6нед'!C86</f>
        <v>л</v>
      </c>
      <c r="M144" s="23" t="str">
        <f>'[3]6нед'!D86</f>
        <v>Элементарная математика</v>
      </c>
      <c r="N144" s="21" t="str">
        <f>'[3]6нед'!G86</f>
        <v>Зиненко И.Н.</v>
      </c>
      <c r="O144" s="22" t="str">
        <f>'[3]6нед'!H86</f>
        <v>доцент, канд. наук</v>
      </c>
      <c r="P144" s="57" t="str">
        <f>HYPERLINK(VLOOKUP(M144,$R$12:$S$180,2,FALSE))</f>
        <v>https://max.ru/join/TCEatH6Avl8o9m9sQTggJgcSrdIkaHPRw7RIzgXKilo</v>
      </c>
    </row>
    <row r="145" spans="1:16" ht="31.5" x14ac:dyDescent="0.2">
      <c r="A145" s="82"/>
      <c r="B145" s="85"/>
      <c r="C145" s="14" t="s">
        <v>23</v>
      </c>
      <c r="D145" s="20">
        <f>'[3]5нед'!C87</f>
        <v>0</v>
      </c>
      <c r="E145" s="23">
        <f>'[3]5нед'!D87</f>
        <v>0</v>
      </c>
      <c r="F145" s="21">
        <f>'[3]5нед'!G87</f>
        <v>0</v>
      </c>
      <c r="G145" s="22" t="str">
        <f>'[3]5нед'!H87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'[3]6нед'!C87</f>
        <v>0</v>
      </c>
      <c r="M145" s="23">
        <f>'[3]6нед'!D87</f>
        <v>0</v>
      </c>
      <c r="N145" s="21">
        <f>'[3]6нед'!G87</f>
        <v>0</v>
      </c>
      <c r="O145" s="22" t="str">
        <f>'[3]6нед'!H87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'[3]5нед'!C88</f>
        <v>0</v>
      </c>
      <c r="E146" s="23">
        <f>'[3]5нед'!D88</f>
        <v>0</v>
      </c>
      <c r="F146" s="21">
        <f>'[3]5нед'!G88</f>
        <v>0</v>
      </c>
      <c r="G146" s="22" t="str">
        <f>'[3]5нед'!H88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'[3]6нед'!C88</f>
        <v>0</v>
      </c>
      <c r="M146" s="23">
        <f>'[3]6нед'!D88</f>
        <v>0</v>
      </c>
      <c r="N146" s="21">
        <f>'[3]6нед'!G88</f>
        <v>0</v>
      </c>
      <c r="O146" s="22" t="str">
        <f>'[3]6нед'!H88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'[3]5нед'!C89</f>
        <v>0</v>
      </c>
      <c r="E147" s="25">
        <f>'[3]5нед'!D89</f>
        <v>0</v>
      </c>
      <c r="F147" s="26">
        <f>'[3]5нед'!G89</f>
        <v>0</v>
      </c>
      <c r="G147" s="27" t="str">
        <f>'[3]5нед'!H89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'[3]6нед'!C89</f>
        <v>0</v>
      </c>
      <c r="M147" s="25">
        <f>'[3]6нед'!D89</f>
        <v>0</v>
      </c>
      <c r="N147" s="26">
        <f>'[3]6нед'!G89</f>
        <v>0</v>
      </c>
      <c r="O147" s="27" t="str">
        <f>'[3]6нед'!H89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'[3]5нед'!C90</f>
        <v>0</v>
      </c>
      <c r="E148" s="19">
        <f>'[3]5нед'!D90</f>
        <v>0</v>
      </c>
      <c r="F148" s="17">
        <f>'[3]5нед'!G90</f>
        <v>0</v>
      </c>
      <c r="G148" s="18" t="str">
        <f>'[3]5нед'!H90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'[3]6нед'!C90</f>
        <v>0</v>
      </c>
      <c r="M148" s="19">
        <f>'[3]6нед'!D90</f>
        <v>0</v>
      </c>
      <c r="N148" s="17">
        <f>'[3]6нед'!G90</f>
        <v>0</v>
      </c>
      <c r="O148" s="18" t="str">
        <f>'[3]6нед'!H90</f>
        <v/>
      </c>
      <c r="P148" s="56" t="str">
        <f>HYPERLINK(VLOOKUP(M148,$R$12:$S$180,2,FALSE))</f>
        <v/>
      </c>
    </row>
    <row r="149" spans="1:16" ht="37.5" x14ac:dyDescent="0.2">
      <c r="A149" s="82"/>
      <c r="B149" s="68"/>
      <c r="C149" s="14" t="s">
        <v>19</v>
      </c>
      <c r="D149" s="20">
        <f>'[3]5нед'!C91</f>
        <v>0</v>
      </c>
      <c r="E149" s="23">
        <f>'[3]5нед'!D91</f>
        <v>0</v>
      </c>
      <c r="F149" s="21">
        <f>'[3]5нед'!G91</f>
        <v>0</v>
      </c>
      <c r="G149" s="22" t="str">
        <f>'[3]5нед'!H91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'[3]6нед'!C91</f>
        <v>л</v>
      </c>
      <c r="M149" s="23" t="str">
        <f>'[3]6нед'!D91</f>
        <v>Элементарная  физика</v>
      </c>
      <c r="N149" s="21" t="str">
        <f>'[3]6нед'!G91</f>
        <v>Коробова И.В.</v>
      </c>
      <c r="O149" s="22" t="str">
        <f>'[3]6нед'!H91</f>
        <v>профессор, д-р наук</v>
      </c>
      <c r="P149" s="57" t="str">
        <f>HYPERLINK(VLOOKUP(M149,$R$12:$S$180,2,FALSE))</f>
        <v>https://max.ru/join/TCEatH6Avl8o9m9sQTggJgcSrdIkaHPRw7RIzgXKilo</v>
      </c>
    </row>
    <row r="150" spans="1:16" ht="37.5" x14ac:dyDescent="0.2">
      <c r="A150" s="82"/>
      <c r="B150" s="68"/>
      <c r="C150" s="14" t="s">
        <v>20</v>
      </c>
      <c r="D150" s="20">
        <f>'[3]5нед'!C92</f>
        <v>0</v>
      </c>
      <c r="E150" s="23">
        <f>'[3]5нед'!D92</f>
        <v>0</v>
      </c>
      <c r="F150" s="21">
        <f>'[3]5нед'!G92</f>
        <v>0</v>
      </c>
      <c r="G150" s="22" t="str">
        <f>'[3]5нед'!H92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'[3]6нед'!C92</f>
        <v>пр</v>
      </c>
      <c r="M150" s="23" t="str">
        <f>'[3]6нед'!D92</f>
        <v>Математические основы информатики</v>
      </c>
      <c r="N150" s="21" t="str">
        <f>'[3]6нед'!G92</f>
        <v>Казанцев Ю.А.</v>
      </c>
      <c r="O150" s="22" t="str">
        <f>'[3]6нед'!H92</f>
        <v>ст. преподаватель</v>
      </c>
      <c r="P150" s="57" t="str">
        <f>HYPERLINK(VLOOKUP(M150,$R$12:$S$180,2,FALSE))</f>
        <v>https://max.ru/join/TCEatH6Avl8o9m9sQTggJgcSrdIkaHPRw7RIzgXKilo</v>
      </c>
    </row>
    <row r="151" spans="1:16" ht="37.5" x14ac:dyDescent="0.2">
      <c r="A151" s="82"/>
      <c r="B151" s="68"/>
      <c r="C151" s="14" t="s">
        <v>21</v>
      </c>
      <c r="D151" s="20">
        <f>'[3]5нед'!C93</f>
        <v>0</v>
      </c>
      <c r="E151" s="23">
        <f>'[3]5нед'!D93</f>
        <v>0</v>
      </c>
      <c r="F151" s="21">
        <f>'[3]5нед'!G93</f>
        <v>0</v>
      </c>
      <c r="G151" s="22" t="str">
        <f>'[3]5нед'!H93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'[3]6нед'!C93</f>
        <v>пр</v>
      </c>
      <c r="M151" s="23" t="str">
        <f>'[3]6нед'!D93</f>
        <v>Физическая культура и спорт</v>
      </c>
      <c r="N151" s="21" t="str">
        <f>'[3]6нед'!G93</f>
        <v>Набока В.И.</v>
      </c>
      <c r="O151" s="22" t="str">
        <f>'[3]6нед'!H93</f>
        <v>преподаватель</v>
      </c>
      <c r="P151" s="57" t="str">
        <f>HYPERLINK(VLOOKUP(M151,$R$12:$S$180,2,FALSE))</f>
        <v>https://max.ru/join/otW8lgS1PqJ5ZhmtKc1Abb8BfYMXnmtaMD7qcLUGCxg</v>
      </c>
    </row>
    <row r="152" spans="1:16" ht="31.5" x14ac:dyDescent="0.2">
      <c r="A152" s="82"/>
      <c r="B152" s="68"/>
      <c r="C152" s="14" t="s">
        <v>22</v>
      </c>
      <c r="D152" s="20">
        <f>'[3]5нед'!C94</f>
        <v>0</v>
      </c>
      <c r="E152" s="23">
        <f>'[3]5нед'!D94</f>
        <v>0</v>
      </c>
      <c r="F152" s="21">
        <f>'[3]5нед'!G94</f>
        <v>0</v>
      </c>
      <c r="G152" s="22" t="str">
        <f>'[3]5нед'!H94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'[3]6нед'!C94</f>
        <v>0</v>
      </c>
      <c r="M152" s="23">
        <f>'[3]6нед'!D94</f>
        <v>0</v>
      </c>
      <c r="N152" s="21">
        <f>'[3]6нед'!G94</f>
        <v>0</v>
      </c>
      <c r="O152" s="22" t="str">
        <f>'[3]6нед'!H94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'[3]5нед'!C95</f>
        <v>0</v>
      </c>
      <c r="E153" s="23">
        <f>'[3]5нед'!D95</f>
        <v>0</v>
      </c>
      <c r="F153" s="21">
        <f>'[3]5нед'!G95</f>
        <v>0</v>
      </c>
      <c r="G153" s="22" t="str">
        <f>'[3]5нед'!H95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'[3]6нед'!C95</f>
        <v>0</v>
      </c>
      <c r="M153" s="23">
        <f>'[3]6нед'!D95</f>
        <v>0</v>
      </c>
      <c r="N153" s="21">
        <f>'[3]6нед'!G95</f>
        <v>0</v>
      </c>
      <c r="O153" s="22" t="str">
        <f>'[3]6нед'!H95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'[3]5нед'!C96</f>
        <v>0</v>
      </c>
      <c r="E154" s="23">
        <f>'[3]5нед'!D96</f>
        <v>0</v>
      </c>
      <c r="F154" s="21">
        <f>'[3]5нед'!G96</f>
        <v>0</v>
      </c>
      <c r="G154" s="22" t="str">
        <f>'[3]5нед'!H96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'[3]6нед'!C96</f>
        <v>0</v>
      </c>
      <c r="M154" s="23">
        <f>'[3]6нед'!D96</f>
        <v>0</v>
      </c>
      <c r="N154" s="21">
        <f>'[3]6нед'!G96</f>
        <v>0</v>
      </c>
      <c r="O154" s="22" t="str">
        <f>'[3]6нед'!H96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'[3]5нед'!C97</f>
        <v>0</v>
      </c>
      <c r="E155" s="25">
        <f>'[3]5нед'!D97</f>
        <v>0</v>
      </c>
      <c r="F155" s="26">
        <f>'[3]5нед'!G97</f>
        <v>0</v>
      </c>
      <c r="G155" s="27" t="str">
        <f>'[3]5нед'!H97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'[3]6нед'!C97</f>
        <v>0</v>
      </c>
      <c r="M155" s="25">
        <f>'[3]6нед'!D97</f>
        <v>0</v>
      </c>
      <c r="N155" s="26">
        <f>'[3]6нед'!G97</f>
        <v>0</v>
      </c>
      <c r="O155" s="27" t="str">
        <f>'[3]6нед'!H97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'[3]5нед'!C98</f>
        <v>л</v>
      </c>
      <c r="E156" s="19" t="str">
        <f>'[3]5нед'!D98</f>
        <v>Математические основы информатики</v>
      </c>
      <c r="F156" s="17" t="str">
        <f>'[3]5нед'!G98</f>
        <v>Казанцев Ю.А.</v>
      </c>
      <c r="G156" s="18" t="str">
        <f>'[3]5нед'!H98</f>
        <v>ст. преподаватель</v>
      </c>
      <c r="H156" s="56" t="str">
        <f>HYPERLINK(VLOOKUP(E156,$R$12:$S$180,2,FALSE))</f>
        <v>https://max.ru/join/TCEatH6Avl8o9m9sQTggJgcSrdIkaHPRw7RIzgXKilo</v>
      </c>
      <c r="I156" s="70">
        <v>46303</v>
      </c>
      <c r="J156" s="87" t="s">
        <v>27</v>
      </c>
      <c r="K156" s="29" t="s">
        <v>18</v>
      </c>
      <c r="L156" s="16">
        <f>'[3]6нед'!C98</f>
        <v>0</v>
      </c>
      <c r="M156" s="19">
        <f>'[3]6нед'!D98</f>
        <v>0</v>
      </c>
      <c r="N156" s="17">
        <f>'[3]6нед'!G98</f>
        <v>0</v>
      </c>
      <c r="O156" s="18" t="str">
        <f>'[3]6нед'!H98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'[3]5нед'!C99</f>
        <v>л</v>
      </c>
      <c r="E157" s="23" t="str">
        <f>'[3]5нед'!D99</f>
        <v>Высшая математика</v>
      </c>
      <c r="F157" s="21" t="str">
        <f>'[3]5нед'!G99</f>
        <v>Зиненко И.Н.</v>
      </c>
      <c r="G157" s="22" t="str">
        <f>'[3]5нед'!H99</f>
        <v>доцент, канд. наук</v>
      </c>
      <c r="H157" s="57" t="str">
        <f>HYPERLINK(VLOOKUP(E157,$R$12:$S$180,2,FALSE))</f>
        <v>https://max.ru/join/TCEatH6Avl8o9m9sQTggJgcSrdIkaHPRw7RIzgXKilo</v>
      </c>
      <c r="I157" s="71"/>
      <c r="J157" s="88"/>
      <c r="K157" s="14" t="s">
        <v>19</v>
      </c>
      <c r="L157" s="20">
        <f>'[3]6нед'!C99</f>
        <v>0</v>
      </c>
      <c r="M157" s="23">
        <f>'[3]6нед'!D99</f>
        <v>0</v>
      </c>
      <c r="N157" s="21">
        <f>'[3]6нед'!G99</f>
        <v>0</v>
      </c>
      <c r="O157" s="22" t="str">
        <f>'[3]6нед'!H99</f>
        <v/>
      </c>
      <c r="P157" s="57" t="str">
        <f>HYPERLINK(VLOOKUP(M157,$R$12:$S$180,2,FALSE))</f>
        <v/>
      </c>
    </row>
    <row r="158" spans="1:16" ht="37.5" x14ac:dyDescent="0.2">
      <c r="A158" s="82"/>
      <c r="B158" s="85"/>
      <c r="C158" s="14" t="s">
        <v>20</v>
      </c>
      <c r="D158" s="20" t="str">
        <f>'[3]5нед'!C100</f>
        <v>пр</v>
      </c>
      <c r="E158" s="23" t="str">
        <f>'[3]5нед'!D100</f>
        <v>Элементарная математика</v>
      </c>
      <c r="F158" s="21" t="str">
        <f>'[3]5нед'!G100</f>
        <v>Зиненко И.Н.</v>
      </c>
      <c r="G158" s="22" t="str">
        <f>'[3]5нед'!H100</f>
        <v>доцент, канд. наук</v>
      </c>
      <c r="H158" s="57" t="str">
        <f>HYPERLINK(VLOOKUP(E158,$R$12:$S$180,2,FALSE))</f>
        <v>https://max.ru/join/TCEatH6Avl8o9m9sQTggJgcSrdIkaHPRw7RIzgXKilo</v>
      </c>
      <c r="I158" s="71"/>
      <c r="J158" s="88"/>
      <c r="K158" s="14" t="s">
        <v>20</v>
      </c>
      <c r="L158" s="20" t="str">
        <f>'[3]6нед'!C100</f>
        <v>пр</v>
      </c>
      <c r="M158" s="23" t="str">
        <f>'[3]6нед'!D100</f>
        <v>Высшая математика</v>
      </c>
      <c r="N158" s="21" t="str">
        <f>'[3]6нед'!G100</f>
        <v>Зиненко И.Н.</v>
      </c>
      <c r="O158" s="22" t="str">
        <f>'[3]6нед'!H100</f>
        <v>доцент, канд. наук</v>
      </c>
      <c r="P158" s="57" t="str">
        <f>HYPERLINK(VLOOKUP(M158,$R$12:$S$180,2,FALSE))</f>
        <v>https://max.ru/join/TCEatH6Avl8o9m9sQTggJgcSrdIkaHPRw7RIzgXKilo</v>
      </c>
    </row>
    <row r="159" spans="1:16" ht="37.5" x14ac:dyDescent="0.2">
      <c r="A159" s="82"/>
      <c r="B159" s="85"/>
      <c r="C159" s="14" t="s">
        <v>21</v>
      </c>
      <c r="D159" s="20">
        <f>'[3]5нед'!C101</f>
        <v>0</v>
      </c>
      <c r="E159" s="23">
        <f>'[3]5нед'!D101</f>
        <v>0</v>
      </c>
      <c r="F159" s="21">
        <f>'[3]5нед'!G101</f>
        <v>0</v>
      </c>
      <c r="G159" s="22" t="str">
        <f>'[3]5нед'!H101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 t="str">
        <f>'[3]6нед'!C101</f>
        <v>пр</v>
      </c>
      <c r="M159" s="23" t="str">
        <f>'[3]6нед'!D101</f>
        <v xml:space="preserve"> Возрастная анатомия, физиология и культура здоровья</v>
      </c>
      <c r="N159" s="21" t="str">
        <f>'[3]6нед'!G101</f>
        <v>Тотоева О.Н.</v>
      </c>
      <c r="O159" s="22" t="str">
        <f>'[3]6нед'!H101</f>
        <v>доцент, канд. наук</v>
      </c>
      <c r="P159" s="57" t="str">
        <f>HYPERLINK(VLOOKUP(M159,$R$12:$S$180,2,FALSE))</f>
        <v>https://max.ru/join/RrwhTNjGuc3DgsCx989HtQjNPhbdkA4EOwQlUrySmIY</v>
      </c>
    </row>
    <row r="160" spans="1:16" ht="37.5" x14ac:dyDescent="0.2">
      <c r="A160" s="82"/>
      <c r="B160" s="85"/>
      <c r="C160" s="14" t="s">
        <v>22</v>
      </c>
      <c r="D160" s="20">
        <f>'[3]5нед'!C102</f>
        <v>0</v>
      </c>
      <c r="E160" s="23">
        <f>'[3]5нед'!D102</f>
        <v>0</v>
      </c>
      <c r="F160" s="21">
        <f>'[3]5нед'!G102</f>
        <v>0</v>
      </c>
      <c r="G160" s="22" t="str">
        <f>'[3]5нед'!H102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 t="str">
        <f>'[3]6нед'!C102</f>
        <v>пр</v>
      </c>
      <c r="M160" s="23" t="str">
        <f>'[3]6нед'!D102</f>
        <v xml:space="preserve"> Основы российской государственности</v>
      </c>
      <c r="N160" s="21" t="str">
        <f>'[3]6нед'!G102</f>
        <v>Лысенко Е.Г.</v>
      </c>
      <c r="O160" s="22" t="str">
        <f>'[3]6нед'!H102</f>
        <v>доцент, канд. наук</v>
      </c>
      <c r="P160" s="57" t="str">
        <f>HYPERLINK(VLOOKUP(M160,$R$12:$S$180,2,FALSE))</f>
        <v>https://max.ru/join/otW8lgS1PqJ5ZhmtKc1Abb8BfYMXnmtaMD7qcLUGCxg</v>
      </c>
    </row>
    <row r="161" spans="1:16" ht="31.5" x14ac:dyDescent="0.2">
      <c r="A161" s="82"/>
      <c r="B161" s="85"/>
      <c r="C161" s="14" t="s">
        <v>23</v>
      </c>
      <c r="D161" s="20">
        <f>'[3]5нед'!C103</f>
        <v>0</v>
      </c>
      <c r="E161" s="23">
        <f>'[3]5нед'!D103</f>
        <v>0</v>
      </c>
      <c r="F161" s="21">
        <f>'[3]5нед'!G103</f>
        <v>0</v>
      </c>
      <c r="G161" s="22" t="str">
        <f>'[3]5нед'!H103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'[3]6нед'!C103</f>
        <v>0</v>
      </c>
      <c r="M161" s="23">
        <f>'[3]6нед'!D103</f>
        <v>0</v>
      </c>
      <c r="N161" s="21">
        <f>'[3]6нед'!G103</f>
        <v>0</v>
      </c>
      <c r="O161" s="22" t="str">
        <f>'[3]6нед'!H103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'[3]5нед'!C104</f>
        <v>0</v>
      </c>
      <c r="E162" s="23">
        <f>'[3]5нед'!D104</f>
        <v>0</v>
      </c>
      <c r="F162" s="21">
        <f>'[3]5нед'!G104</f>
        <v>0</v>
      </c>
      <c r="G162" s="22" t="str">
        <f>'[3]5нед'!H104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'[3]6нед'!C104</f>
        <v>0</v>
      </c>
      <c r="M162" s="23">
        <f>'[3]6нед'!D104</f>
        <v>0</v>
      </c>
      <c r="N162" s="21">
        <f>'[3]6нед'!G104</f>
        <v>0</v>
      </c>
      <c r="O162" s="22" t="str">
        <f>'[3]6нед'!H104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'[3]5нед'!C105</f>
        <v>0</v>
      </c>
      <c r="E163" s="25">
        <f>'[3]5нед'!D105</f>
        <v>0</v>
      </c>
      <c r="F163" s="26">
        <f>'[3]5нед'!G105</f>
        <v>0</v>
      </c>
      <c r="G163" s="27" t="str">
        <f>'[3]5нед'!H105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'[3]6нед'!C105</f>
        <v>0</v>
      </c>
      <c r="M163" s="25">
        <f>'[3]6нед'!D105</f>
        <v>0</v>
      </c>
      <c r="N163" s="26">
        <f>'[3]6нед'!G105</f>
        <v>0</v>
      </c>
      <c r="O163" s="27" t="str">
        <f>'[3]6нед'!H105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'[3]5нед'!C106</f>
        <v>пр</v>
      </c>
      <c r="E164" s="19" t="str">
        <f>'[3]5нед'!D106</f>
        <v xml:space="preserve"> Основы российской государственности</v>
      </c>
      <c r="F164" s="17" t="str">
        <f>'[3]5нед'!G106</f>
        <v>Лысенко Е.Г.</v>
      </c>
      <c r="G164" s="18" t="str">
        <f>'[3]5нед'!H106</f>
        <v>доцент, канд. наук</v>
      </c>
      <c r="H164" s="56" t="str">
        <f>HYPERLINK(VLOOKUP(E164,$R$12:$S$180,2,FALSE))</f>
        <v>https://max.ru/join/otW8lgS1PqJ5ZhmtKc1Abb8BfYMXnmtaMD7qcLUGCxg</v>
      </c>
      <c r="I164" s="70">
        <v>46304</v>
      </c>
      <c r="J164" s="87" t="s">
        <v>28</v>
      </c>
      <c r="K164" s="29" t="s">
        <v>18</v>
      </c>
      <c r="L164" s="16">
        <f>'[3]6нед'!C106</f>
        <v>0</v>
      </c>
      <c r="M164" s="19">
        <f>'[3]6нед'!D106</f>
        <v>0</v>
      </c>
      <c r="N164" s="17">
        <f>'[3]6нед'!G106</f>
        <v>0</v>
      </c>
      <c r="O164" s="18" t="str">
        <f>'[3]6нед'!H106</f>
        <v/>
      </c>
      <c r="P164" s="56" t="str">
        <f>HYPERLINK(VLOOKUP(M164,$R$12:$S$180,2,FALSE))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'[3]5нед'!C107</f>
        <v>пр</v>
      </c>
      <c r="E165" s="23" t="str">
        <f>'[3]5нед'!D107</f>
        <v xml:space="preserve"> История России</v>
      </c>
      <c r="F165" s="21" t="str">
        <f>'[3]5нед'!G107</f>
        <v>Сальников В.И.</v>
      </c>
      <c r="G165" s="22" t="str">
        <f>'[3]5нед'!H107</f>
        <v>доцент, канд. наук</v>
      </c>
      <c r="H165" s="57" t="str">
        <f>HYPERLINK(VLOOKUP(E165,$R$12:$S$180,2,FALSE))</f>
        <v>https://max.ru/join/otW8lgS1PqJ5ZhmtKc1Abb8BfYMXnmtaMD7qcLUGCxg</v>
      </c>
      <c r="I165" s="71"/>
      <c r="J165" s="88"/>
      <c r="K165" s="14" t="s">
        <v>19</v>
      </c>
      <c r="L165" s="20" t="str">
        <f>'[3]6нед'!C107</f>
        <v>пр</v>
      </c>
      <c r="M165" s="23" t="str">
        <f>'[3]6нед'!D107</f>
        <v xml:space="preserve"> История России</v>
      </c>
      <c r="N165" s="21" t="str">
        <f>'[3]6нед'!G107</f>
        <v>Сальников В.И.</v>
      </c>
      <c r="O165" s="22" t="str">
        <f>'[3]6нед'!H107</f>
        <v>доцент, канд. наук</v>
      </c>
      <c r="P165" s="57" t="str">
        <f>HYPERLINK(VLOOKUP(M165,$R$12:$S$180,2,FALSE))</f>
        <v>https://max.ru/join/otW8lgS1PqJ5ZhmtKc1Abb8BfYMXnmtaMD7qcLUGCxg</v>
      </c>
    </row>
    <row r="166" spans="1:16" ht="37.5" x14ac:dyDescent="0.2">
      <c r="A166" s="82"/>
      <c r="B166" s="85"/>
      <c r="C166" s="14" t="s">
        <v>20</v>
      </c>
      <c r="D166" s="20" t="str">
        <f>'[3]5нед'!C108</f>
        <v>пр</v>
      </c>
      <c r="E166" s="23" t="str">
        <f>'[3]5нед'!D108</f>
        <v>Элементарная  физика</v>
      </c>
      <c r="F166" s="21" t="str">
        <f>'[3]5нед'!G108</f>
        <v>Коробова И.В.</v>
      </c>
      <c r="G166" s="22" t="str">
        <f>'[3]5нед'!H108</f>
        <v>профессор, д-р наук</v>
      </c>
      <c r="H166" s="57" t="str">
        <f>HYPERLINK(VLOOKUP(E166,$R$12:$S$180,2,FALSE))</f>
        <v>https://max.ru/join/TCEatH6Avl8o9m9sQTggJgcSrdIkaHPRw7RIzgXKilo</v>
      </c>
      <c r="I166" s="71"/>
      <c r="J166" s="88"/>
      <c r="K166" s="14" t="s">
        <v>20</v>
      </c>
      <c r="L166" s="20" t="str">
        <f>'[3]6нед'!C108</f>
        <v>л</v>
      </c>
      <c r="M166" s="23" t="str">
        <f>'[3]6нед'!D108</f>
        <v>Дискретные модели в информатике</v>
      </c>
      <c r="N166" s="21" t="str">
        <f>'[3]6нед'!G108</f>
        <v>Олейников Н.Н.</v>
      </c>
      <c r="O166" s="22" t="str">
        <f>'[3]6нед'!H108</f>
        <v>ст. преподаватель</v>
      </c>
      <c r="P166" s="57" t="str">
        <f>HYPERLINK(VLOOKUP(M166,$R$12:$S$180,2,FALSE))</f>
        <v>https://max.ru/join/TCEatH6Avl8o9m9sQTggJgcSrdIkaHPRw7RIzgXKilo</v>
      </c>
    </row>
    <row r="167" spans="1:16" ht="37.5" x14ac:dyDescent="0.2">
      <c r="A167" s="82"/>
      <c r="B167" s="85"/>
      <c r="C167" s="14" t="s">
        <v>21</v>
      </c>
      <c r="D167" s="20">
        <f>'[3]5нед'!C109</f>
        <v>0</v>
      </c>
      <c r="E167" s="23">
        <f>'[3]5нед'!D109</f>
        <v>0</v>
      </c>
      <c r="F167" s="21">
        <f>'[3]5нед'!G109</f>
        <v>0</v>
      </c>
      <c r="G167" s="22" t="str">
        <f>'[3]5нед'!H109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 t="str">
        <f>'[3]6нед'!C109</f>
        <v>пр</v>
      </c>
      <c r="M167" s="23" t="str">
        <f>'[3]6нед'!D109</f>
        <v>Дискретные модели в информатике</v>
      </c>
      <c r="N167" s="21" t="str">
        <f>'[3]6нед'!G109</f>
        <v>Олейников Н.Н.</v>
      </c>
      <c r="O167" s="22" t="str">
        <f>'[3]6нед'!H109</f>
        <v>ст. преподаватель</v>
      </c>
      <c r="P167" s="57" t="str">
        <f>HYPERLINK(VLOOKUP(M167,$R$12:$S$180,2,FALSE))</f>
        <v>https://max.ru/join/TCEatH6Avl8o9m9sQTggJgcSrdIkaHPRw7RIzgXKilo</v>
      </c>
    </row>
    <row r="168" spans="1:16" ht="31.5" x14ac:dyDescent="0.2">
      <c r="A168" s="82"/>
      <c r="B168" s="85"/>
      <c r="C168" s="14" t="s">
        <v>22</v>
      </c>
      <c r="D168" s="20">
        <f>'[3]5нед'!C110</f>
        <v>0</v>
      </c>
      <c r="E168" s="23">
        <f>'[3]5нед'!D110</f>
        <v>0</v>
      </c>
      <c r="F168" s="21">
        <f>'[3]5нед'!G110</f>
        <v>0</v>
      </c>
      <c r="G168" s="22" t="str">
        <f>'[3]5нед'!H110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'[3]6нед'!C110</f>
        <v>0</v>
      </c>
      <c r="M168" s="23">
        <f>'[3]6нед'!D110</f>
        <v>0</v>
      </c>
      <c r="N168" s="21">
        <f>'[3]6нед'!G110</f>
        <v>0</v>
      </c>
      <c r="O168" s="22" t="str">
        <f>'[3]6нед'!H110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'[3]5нед'!C111</f>
        <v>0</v>
      </c>
      <c r="E169" s="23">
        <f>'[3]5нед'!D111</f>
        <v>0</v>
      </c>
      <c r="F169" s="21">
        <f>'[3]5нед'!G111</f>
        <v>0</v>
      </c>
      <c r="G169" s="22" t="str">
        <f>'[3]5нед'!H111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'[3]6нед'!C111</f>
        <v>0</v>
      </c>
      <c r="M169" s="23">
        <f>'[3]6нед'!D111</f>
        <v>0</v>
      </c>
      <c r="N169" s="21">
        <f>'[3]6нед'!G111</f>
        <v>0</v>
      </c>
      <c r="O169" s="22" t="str">
        <f>'[3]6нед'!H111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'[3]5нед'!C112</f>
        <v>0</v>
      </c>
      <c r="E170" s="23">
        <f>'[3]5нед'!D112</f>
        <v>0</v>
      </c>
      <c r="F170" s="21">
        <f>'[3]5нед'!G112</f>
        <v>0</v>
      </c>
      <c r="G170" s="22" t="str">
        <f>'[3]5нед'!H112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'[3]6нед'!C112</f>
        <v>0</v>
      </c>
      <c r="M170" s="23">
        <f>'[3]6нед'!D112</f>
        <v>0</v>
      </c>
      <c r="N170" s="21">
        <f>'[3]6нед'!G112</f>
        <v>0</v>
      </c>
      <c r="O170" s="22" t="str">
        <f>'[3]6нед'!H112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'[3]5нед'!C113</f>
        <v>0</v>
      </c>
      <c r="E171" s="25">
        <f>'[3]5нед'!D113</f>
        <v>0</v>
      </c>
      <c r="F171" s="26">
        <f>'[3]5нед'!G113</f>
        <v>0</v>
      </c>
      <c r="G171" s="27" t="str">
        <f>'[3]5нед'!H113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'[3]6нед'!C113</f>
        <v>0</v>
      </c>
      <c r="M171" s="25">
        <f>'[3]6нед'!D113</f>
        <v>0</v>
      </c>
      <c r="N171" s="26">
        <f>'[3]6нед'!G113</f>
        <v>0</v>
      </c>
      <c r="O171" s="27" t="str">
        <f>'[3]6нед'!H113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'[3]5нед'!C114</f>
        <v>0</v>
      </c>
      <c r="E172" s="19">
        <f>'[3]5нед'!D114</f>
        <v>0</v>
      </c>
      <c r="F172" s="17">
        <f>'[3]5нед'!G114</f>
        <v>0</v>
      </c>
      <c r="G172" s="18" t="str">
        <f>'[3]5нед'!H114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'[3]6нед'!C114</f>
        <v>0</v>
      </c>
      <c r="M172" s="19">
        <f>'[3]6нед'!D114</f>
        <v>0</v>
      </c>
      <c r="N172" s="17">
        <f>'[3]6нед'!G114</f>
        <v>0</v>
      </c>
      <c r="O172" s="18" t="str">
        <f>'[3]6нед'!H114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'[3]5нед'!C115</f>
        <v>0</v>
      </c>
      <c r="E173" s="23">
        <f>'[3]5нед'!D115</f>
        <v>0</v>
      </c>
      <c r="F173" s="21">
        <f>'[3]5нед'!G115</f>
        <v>0</v>
      </c>
      <c r="G173" s="22" t="str">
        <f>'[3]5нед'!H115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'[3]6нед'!C115</f>
        <v>0</v>
      </c>
      <c r="M173" s="23">
        <f>'[3]6нед'!D115</f>
        <v>0</v>
      </c>
      <c r="N173" s="21">
        <f>'[3]6нед'!G115</f>
        <v>0</v>
      </c>
      <c r="O173" s="22" t="str">
        <f>'[3]6нед'!H115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'[3]5нед'!C116</f>
        <v>0</v>
      </c>
      <c r="E174" s="23">
        <f>'[3]5нед'!D116</f>
        <v>0</v>
      </c>
      <c r="F174" s="21">
        <f>'[3]5нед'!G116</f>
        <v>0</v>
      </c>
      <c r="G174" s="22" t="str">
        <f>'[3]5нед'!H116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'[3]6нед'!C116</f>
        <v>0</v>
      </c>
      <c r="M174" s="23">
        <f>'[3]6нед'!D116</f>
        <v>0</v>
      </c>
      <c r="N174" s="21">
        <f>'[3]6нед'!G116</f>
        <v>0</v>
      </c>
      <c r="O174" s="22" t="str">
        <f>'[3]6нед'!H116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'[3]5нед'!C117</f>
        <v>0</v>
      </c>
      <c r="E175" s="23">
        <f>'[3]5нед'!D117</f>
        <v>0</v>
      </c>
      <c r="F175" s="21">
        <f>'[3]5нед'!G117</f>
        <v>0</v>
      </c>
      <c r="G175" s="22" t="str">
        <f>'[3]5нед'!H117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'[3]6нед'!C117</f>
        <v>0</v>
      </c>
      <c r="M175" s="23">
        <f>'[3]6нед'!D117</f>
        <v>0</v>
      </c>
      <c r="N175" s="21">
        <f>'[3]6нед'!G117</f>
        <v>0</v>
      </c>
      <c r="O175" s="22" t="str">
        <f>'[3]6нед'!H117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'[3]5нед'!C118</f>
        <v>0</v>
      </c>
      <c r="E176" s="23">
        <f>'[3]5нед'!D118</f>
        <v>0</v>
      </c>
      <c r="F176" s="21">
        <f>'[3]5нед'!G118</f>
        <v>0</v>
      </c>
      <c r="G176" s="22" t="str">
        <f>'[3]5нед'!H118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'[3]6нед'!C118</f>
        <v>0</v>
      </c>
      <c r="M176" s="23">
        <f>'[3]6нед'!D118</f>
        <v>0</v>
      </c>
      <c r="N176" s="21">
        <f>'[3]6нед'!G118</f>
        <v>0</v>
      </c>
      <c r="O176" s="22" t="str">
        <f>'[3]6нед'!H118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'[3]5нед'!C119</f>
        <v>0</v>
      </c>
      <c r="E177" s="23">
        <f>'[3]5нед'!D119</f>
        <v>0</v>
      </c>
      <c r="F177" s="21">
        <f>'[3]5нед'!G119</f>
        <v>0</v>
      </c>
      <c r="G177" s="22" t="str">
        <f>'[3]5нед'!H119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'[3]6нед'!C119</f>
        <v>0</v>
      </c>
      <c r="M177" s="23">
        <f>'[3]6нед'!D119</f>
        <v>0</v>
      </c>
      <c r="N177" s="21">
        <f>'[3]6нед'!G119</f>
        <v>0</v>
      </c>
      <c r="O177" s="22" t="str">
        <f>'[3]6нед'!H119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'[3]5нед'!C120</f>
        <v>0</v>
      </c>
      <c r="E178" s="23">
        <f>'[3]5нед'!D120</f>
        <v>0</v>
      </c>
      <c r="F178" s="21">
        <f>'[3]5нед'!G120</f>
        <v>0</v>
      </c>
      <c r="G178" s="22" t="str">
        <f>'[3]5нед'!H120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'[3]6нед'!C120</f>
        <v>0</v>
      </c>
      <c r="M178" s="23">
        <f>'[3]6нед'!D120</f>
        <v>0</v>
      </c>
      <c r="N178" s="21">
        <f>'[3]6нед'!G120</f>
        <v>0</v>
      </c>
      <c r="O178" s="22" t="str">
        <f>'[3]6нед'!H120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'[3]5нед'!C59</f>
        <v>0</v>
      </c>
      <c r="E179" s="25">
        <f>'[3]5нед'!D59</f>
        <v>0</v>
      </c>
      <c r="F179" s="26">
        <f>'[3]5нед'!G59</f>
        <v>0</v>
      </c>
      <c r="G179" s="27" t="str">
        <f>'[3]5нед'!H59</f>
        <v/>
      </c>
      <c r="H179" s="39"/>
      <c r="I179" s="72"/>
      <c r="J179" s="89"/>
      <c r="K179" s="15"/>
      <c r="L179" s="24">
        <f>'[3]6нед'!C121</f>
        <v>0</v>
      </c>
      <c r="M179" s="25">
        <f>'[3]6нед'!D121</f>
        <v>0</v>
      </c>
      <c r="N179" s="26">
        <f>'[3]6нед'!G121</f>
        <v>0</v>
      </c>
      <c r="O179" s="27" t="str">
        <f>'[3]6нед'!H121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</mergeCells>
  <hyperlinks>
    <hyperlink ref="S12" r:id="rId1" xr:uid="{3B00CCAC-3574-4CEB-8362-77C90B05AC7C}"/>
    <hyperlink ref="S13" r:id="rId2" xr:uid="{E72B7008-FE9D-415D-98BC-8FDFAAD05DCD}"/>
    <hyperlink ref="S15" r:id="rId3" xr:uid="{C6B16028-3D6F-4BA4-93AD-2C1D8858F2B1}"/>
    <hyperlink ref="S24" r:id="rId4" xr:uid="{BD636543-E9DF-4562-AB3B-0C8912301F96}"/>
    <hyperlink ref="S14" r:id="rId5" xr:uid="{6FA45E0A-601F-495A-AF21-25661A1C2CAA}"/>
    <hyperlink ref="S17" r:id="rId6" xr:uid="{44A4A0BF-15C9-439B-80F6-CA0EB11F4761}"/>
    <hyperlink ref="S25" r:id="rId7" xr:uid="{7A1C34D9-8350-4655-8658-9D3A453BDFE9}"/>
    <hyperlink ref="S26" r:id="rId8" xr:uid="{958470B5-A6CA-48E3-9CE8-6AB02C3B7A00}"/>
    <hyperlink ref="S27" r:id="rId9" xr:uid="{A8334A84-4994-4762-8012-E2A308A4B7F5}"/>
    <hyperlink ref="S28" r:id="rId10" xr:uid="{31649A5C-37C5-4D14-891D-E5EFBD092AF6}"/>
    <hyperlink ref="S29" r:id="rId11" xr:uid="{B500104C-6314-4272-8465-751BF0FE877C}"/>
    <hyperlink ref="S16" r:id="rId12" xr:uid="{09A0AB30-2C9F-4E05-905D-8C953CAFDEA3}"/>
    <hyperlink ref="S18" r:id="rId13" xr:uid="{535A2D97-2759-4F55-AAA6-10378D093555}"/>
    <hyperlink ref="S19" r:id="rId14" xr:uid="{56449D5C-9E93-47D5-8739-E81F84C9AFDA}"/>
    <hyperlink ref="S20" r:id="rId15" xr:uid="{7497C903-48EC-437D-AF16-CD8F6FE04D2A}"/>
    <hyperlink ref="S21" r:id="rId16" xr:uid="{71C2654C-9075-4163-932F-A3A85D6CFCE9}"/>
    <hyperlink ref="S22" r:id="rId17" xr:uid="{794EFC53-5F71-47FE-B5D4-1512942B7431}"/>
    <hyperlink ref="S23" r:id="rId18" xr:uid="{58C8822E-61CE-4B8B-A077-4159081BE256}"/>
  </hyperlinks>
  <pageMargins left="0.70866141732283472" right="0.70866141732283472" top="0.74803149606299213" bottom="0.74803149606299213" header="0.31496062992125984" footer="0.31496062992125984"/>
  <pageSetup paperSize="9" scale="41" orientation="portrait" r:id="rId19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180"/>
  <sheetViews>
    <sheetView view="pageBreakPreview" topLeftCell="H123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2.5703125" customWidth="1"/>
    <col min="19" max="19" width="31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'[1]1нед'!$L$68</f>
        <v>09.03.04Программная инженерия (Программно-информационные системы)</v>
      </c>
      <c r="F7" s="7"/>
      <c r="G7" s="7" t="str">
        <f>'[1]1нед'!$L$72</f>
        <v>12-25ПИ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12-25ПИ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/>
      <c r="G9" s="62"/>
      <c r="H9" s="35"/>
      <c r="I9" s="45"/>
      <c r="J9" s="81" t="s">
        <v>7</v>
      </c>
      <c r="K9" s="81"/>
      <c r="L9" s="81"/>
      <c r="M9" s="62">
        <f>E9</f>
        <v>2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'[1]1нед'!K74</f>
        <v>0</v>
      </c>
      <c r="E12" s="19">
        <f>'[1]1нед'!L74</f>
        <v>0</v>
      </c>
      <c r="F12" s="17">
        <f>'[1]1нед'!O74</f>
        <v>0</v>
      </c>
      <c r="G12" s="18" t="str">
        <f>'[1]1нед'!P74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'[1]2нед'!K74</f>
        <v>л</v>
      </c>
      <c r="M12" s="19" t="str">
        <f>'[1]2нед'!L74</f>
        <v>Введение в Javascript и основы веб-разработки</v>
      </c>
      <c r="N12" s="17" t="str">
        <f>'[1]2нед'!O74</f>
        <v>Алешов В.В.</v>
      </c>
      <c r="O12" s="18" t="str">
        <f>'[1]2нед'!P74</f>
        <v>ст. преподаватель</v>
      </c>
      <c r="P12" s="56" t="str">
        <f>HYPERLINK(VLOOKUP(M12,$R$12:$S$180,2,FALSE))</f>
        <v>https://max.ru/join/4mCFDUjZkVK8UuftVSt2q9QOKz6Cf_Jp6XFsId-Pa_Y</v>
      </c>
      <c r="R12" t="str">
        <f>[2]Уч.План!B208</f>
        <v>Финансово-экономический практикум</v>
      </c>
      <c r="S12" s="61" t="s">
        <v>45</v>
      </c>
    </row>
    <row r="13" spans="1:19" ht="37.5" x14ac:dyDescent="0.2">
      <c r="A13" s="82"/>
      <c r="B13" s="85"/>
      <c r="C13" s="14" t="s">
        <v>19</v>
      </c>
      <c r="D13" s="20">
        <f>'[1]1нед'!K75</f>
        <v>0</v>
      </c>
      <c r="E13" s="23">
        <f>'[1]1нед'!L75</f>
        <v>0</v>
      </c>
      <c r="F13" s="21">
        <f>'[1]1нед'!O75</f>
        <v>0</v>
      </c>
      <c r="G13" s="22" t="str">
        <f>'[1]1нед'!P75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'[1]2нед'!K75</f>
        <v>пр</v>
      </c>
      <c r="M13" s="23" t="str">
        <f>'[1]2нед'!L75</f>
        <v>Введение в Javascript и основы веб-разработки</v>
      </c>
      <c r="N13" s="21" t="str">
        <f>'[1]2нед'!O75</f>
        <v>Алешов В.В.</v>
      </c>
      <c r="O13" s="22" t="str">
        <f>'[1]2нед'!P75</f>
        <v>ст. преподаватель</v>
      </c>
      <c r="P13" s="57" t="str">
        <f>HYPERLINK(VLOOKUP(M13,$R$12:$S$180,2,FALSE))</f>
        <v>https://max.ru/join/4mCFDUjZkVK8UuftVSt2q9QOKz6Cf_Jp6XFsId-Pa_Y</v>
      </c>
      <c r="R13" t="str">
        <f>[2]Уч.План!B209</f>
        <v>Нормативно-правовые основы профессиональной деятельности</v>
      </c>
      <c r="S13" s="61" t="s">
        <v>46</v>
      </c>
    </row>
    <row r="14" spans="1:19" ht="37.5" x14ac:dyDescent="0.2">
      <c r="A14" s="82"/>
      <c r="B14" s="85"/>
      <c r="C14" s="14" t="s">
        <v>20</v>
      </c>
      <c r="D14" s="20">
        <f>'[1]1нед'!K76</f>
        <v>0</v>
      </c>
      <c r="E14" s="23">
        <f>'[1]1нед'!L76</f>
        <v>0</v>
      </c>
      <c r="F14" s="21">
        <f>'[1]1нед'!O76</f>
        <v>0</v>
      </c>
      <c r="G14" s="22" t="str">
        <f>'[1]1нед'!P76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'[1]2нед'!K76</f>
        <v>пр</v>
      </c>
      <c r="M14" s="23" t="str">
        <f>'[1]2нед'!L76</f>
        <v>Математика для программирования</v>
      </c>
      <c r="N14" s="21" t="str">
        <f>'[1]2нед'!O76</f>
        <v>Линник Е.П.</v>
      </c>
      <c r="O14" s="22" t="str">
        <f>'[1]2нед'!P76</f>
        <v>доцент, канд. наук</v>
      </c>
      <c r="P14" s="57" t="str">
        <f>HYPERLINK(VLOOKUP(M14,$R$12:$S$180,2,FALSE))</f>
        <v>https://max.ru/join/4mCFDUjZkVK8UuftVSt2q9QOKz6Cf_Jp6XFsId-Pa_Y</v>
      </c>
      <c r="R14" t="str">
        <f>[2]Уч.План!B210</f>
        <v>ИКТ и медиаинформационная грамотность</v>
      </c>
      <c r="S14" s="61" t="s">
        <v>47</v>
      </c>
    </row>
    <row r="15" spans="1:19" ht="31.5" x14ac:dyDescent="0.2">
      <c r="A15" s="82"/>
      <c r="B15" s="85"/>
      <c r="C15" s="14" t="s">
        <v>21</v>
      </c>
      <c r="D15" s="20">
        <f>'[1]1нед'!K77</f>
        <v>0</v>
      </c>
      <c r="E15" s="23">
        <f>'[1]1нед'!L77</f>
        <v>0</v>
      </c>
      <c r="F15" s="21">
        <f>'[1]1нед'!O77</f>
        <v>0</v>
      </c>
      <c r="G15" s="22" t="str">
        <f>'[1]1нед'!P77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'[1]2нед'!K77</f>
        <v>0</v>
      </c>
      <c r="M15" s="23">
        <f>'[1]2нед'!L77</f>
        <v>0</v>
      </c>
      <c r="N15" s="21">
        <f>'[1]2нед'!O77</f>
        <v>0</v>
      </c>
      <c r="O15" s="22" t="str">
        <f>'[1]2нед'!P77</f>
        <v/>
      </c>
      <c r="P15" s="57" t="str">
        <f>HYPERLINK(VLOOKUP(M15,$R$12:$S$180,2,FALSE))</f>
        <v/>
      </c>
      <c r="R15" t="str">
        <f>[2]Уч.План!B211</f>
        <v>Введение в Javascript и основы веб-разработки</v>
      </c>
      <c r="S15" s="61" t="s">
        <v>47</v>
      </c>
    </row>
    <row r="16" spans="1:19" ht="31.5" x14ac:dyDescent="0.2">
      <c r="A16" s="82"/>
      <c r="B16" s="85"/>
      <c r="C16" s="14" t="s">
        <v>22</v>
      </c>
      <c r="D16" s="20">
        <f>'[1]1нед'!K78</f>
        <v>0</v>
      </c>
      <c r="E16" s="23">
        <f>'[1]1нед'!L78</f>
        <v>0</v>
      </c>
      <c r="F16" s="21">
        <f>'[1]1нед'!O78</f>
        <v>0</v>
      </c>
      <c r="G16" s="22" t="str">
        <f>'[1]1нед'!P78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'[1]2нед'!K78</f>
        <v>0</v>
      </c>
      <c r="M16" s="23">
        <f>'[1]2нед'!L78</f>
        <v>0</v>
      </c>
      <c r="N16" s="21">
        <f>'[1]2нед'!O78</f>
        <v>0</v>
      </c>
      <c r="O16" s="22" t="str">
        <f>'[1]2нед'!P78</f>
        <v/>
      </c>
      <c r="P16" s="57" t="str">
        <f>HYPERLINK(VLOOKUP(M16,$R$12:$S$180,2,FALSE))</f>
        <v/>
      </c>
      <c r="R16" t="str">
        <f>[2]Уч.План!B212</f>
        <v>Архитектура компьютера и Интернет</v>
      </c>
      <c r="S16" s="61" t="s">
        <v>47</v>
      </c>
    </row>
    <row r="17" spans="1:19" ht="31.5" x14ac:dyDescent="0.2">
      <c r="A17" s="82"/>
      <c r="B17" s="85"/>
      <c r="C17" s="14" t="s">
        <v>23</v>
      </c>
      <c r="D17" s="20">
        <f>'[1]1нед'!K79</f>
        <v>0</v>
      </c>
      <c r="E17" s="23">
        <f>'[1]1нед'!L79</f>
        <v>0</v>
      </c>
      <c r="F17" s="21">
        <f>'[1]1нед'!O79</f>
        <v>0</v>
      </c>
      <c r="G17" s="22" t="str">
        <f>'[1]1нед'!P79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'[1]2нед'!K79</f>
        <v>0</v>
      </c>
      <c r="M17" s="23">
        <f>'[1]2нед'!L79</f>
        <v>0</v>
      </c>
      <c r="N17" s="21">
        <f>'[1]2нед'!O79</f>
        <v>0</v>
      </c>
      <c r="O17" s="22" t="str">
        <f>'[1]2нед'!P79</f>
        <v/>
      </c>
      <c r="P17" s="55" t="str">
        <f>HYPERLINK(VLOOKUP(M17,$R$12:$S$180,2,FALSE))</f>
        <v/>
      </c>
      <c r="R17" t="str">
        <f>[2]Уч.План!B213</f>
        <v>Основы компьютерных наук</v>
      </c>
      <c r="S17" s="61" t="s">
        <v>47</v>
      </c>
    </row>
    <row r="18" spans="1:19" ht="32.25" thickBot="1" x14ac:dyDescent="0.25">
      <c r="A18" s="82"/>
      <c r="B18" s="85"/>
      <c r="C18" s="14" t="s">
        <v>24</v>
      </c>
      <c r="D18" s="20">
        <f>'[1]1нед'!K80</f>
        <v>0</v>
      </c>
      <c r="E18" s="23">
        <f>'[1]1нед'!L80</f>
        <v>0</v>
      </c>
      <c r="F18" s="21">
        <f>'[1]1нед'!O80</f>
        <v>0</v>
      </c>
      <c r="G18" s="22" t="str">
        <f>'[1]1нед'!P80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'[1]2нед'!K80</f>
        <v>0</v>
      </c>
      <c r="M18" s="23">
        <f>'[1]2нед'!L80</f>
        <v>0</v>
      </c>
      <c r="N18" s="21">
        <f>'[1]2нед'!O80</f>
        <v>0</v>
      </c>
      <c r="O18" s="22" t="str">
        <f>'[1]2нед'!P80</f>
        <v/>
      </c>
      <c r="P18" s="55" t="str">
        <f>HYPERLINK(VLOOKUP(M18,$R$12:$S$180,2,FALSE))</f>
        <v/>
      </c>
      <c r="R18" t="str">
        <f>[2]Уч.План!B214</f>
        <v>Математика для программирования</v>
      </c>
      <c r="S18" s="61" t="s">
        <v>47</v>
      </c>
    </row>
    <row r="19" spans="1:19" ht="18.399999999999999" hidden="1" customHeight="1" thickBot="1" x14ac:dyDescent="0.25">
      <c r="A19" s="83"/>
      <c r="B19" s="86"/>
      <c r="C19" s="15"/>
      <c r="D19" s="24">
        <f>'[1]1нед'!K81</f>
        <v>0</v>
      </c>
      <c r="E19" s="25">
        <f>'[1]1нед'!L81</f>
        <v>0</v>
      </c>
      <c r="F19" s="26">
        <f>'[1]1нед'!O81</f>
        <v>0</v>
      </c>
      <c r="G19" s="27" t="str">
        <f>'[1]1нед'!P81</f>
        <v/>
      </c>
      <c r="H19" s="58" t="str">
        <f>HYPERLINK(VLOOKUP(E19,$R$12:$S$180,2,FALSE))</f>
        <v/>
      </c>
      <c r="I19" s="72"/>
      <c r="J19" s="89"/>
      <c r="K19" s="15"/>
      <c r="L19" s="24">
        <f>'[1]2нед'!K81</f>
        <v>0</v>
      </c>
      <c r="M19" s="25">
        <f>'[1]2нед'!L81</f>
        <v>0</v>
      </c>
      <c r="N19" s="26">
        <f>'[1]2нед'!O81</f>
        <v>0</v>
      </c>
      <c r="O19" s="27" t="str">
        <f>'[1]2нед'!P81</f>
        <v/>
      </c>
      <c r="P19" s="58" t="str">
        <f>HYPERLINK(VLOOKUP(M19,$R$12:$S$180,2,FALSE))</f>
        <v/>
      </c>
      <c r="R19" t="str">
        <f>[2]Уч.План!B215</f>
        <v>Дискретная математика</v>
      </c>
      <c r="S19" s="61" t="s">
        <v>47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'[1]1нед'!K82</f>
        <v>0</v>
      </c>
      <c r="E20" s="19">
        <f>'[1]1нед'!L82</f>
        <v>0</v>
      </c>
      <c r="F20" s="17">
        <f>'[1]1нед'!O82</f>
        <v>0</v>
      </c>
      <c r="G20" s="18" t="str">
        <f>'[1]1нед'!P82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 t="str">
        <f>'[1]2нед'!K82</f>
        <v>л</v>
      </c>
      <c r="M20" s="19" t="str">
        <f>'[1]2нед'!L82</f>
        <v>Основы компьютерных наук</v>
      </c>
      <c r="N20" s="17" t="str">
        <f>'[1]2нед'!O82</f>
        <v>Криницкий Ю.В.</v>
      </c>
      <c r="O20" s="18" t="str">
        <f>'[1]2нед'!P82</f>
        <v>преподаватель</v>
      </c>
      <c r="P20" s="56" t="str">
        <f>HYPERLINK(VLOOKUP(M20,$R$12:$S$180,2,FALSE))</f>
        <v>https://max.ru/join/4mCFDUjZkVK8UuftVSt2q9QOKz6Cf_Jp6XFsId-Pa_Y</v>
      </c>
      <c r="R20" t="str">
        <f>[2]Уч.План!B216</f>
        <v>Физическая культура и спорт</v>
      </c>
      <c r="S20" s="61" t="s">
        <v>47</v>
      </c>
    </row>
    <row r="21" spans="1:19" ht="37.5" x14ac:dyDescent="0.2">
      <c r="A21" s="82"/>
      <c r="B21" s="85"/>
      <c r="C21" s="14" t="s">
        <v>19</v>
      </c>
      <c r="D21" s="20">
        <f>'[1]1нед'!K83</f>
        <v>0</v>
      </c>
      <c r="E21" s="23">
        <f>'[1]1нед'!L83</f>
        <v>0</v>
      </c>
      <c r="F21" s="21">
        <f>'[1]1нед'!O83</f>
        <v>0</v>
      </c>
      <c r="G21" s="22" t="str">
        <f>'[1]1нед'!P83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'[1]2нед'!K83</f>
        <v>пр</v>
      </c>
      <c r="M21" s="23" t="str">
        <f>'[1]2нед'!L83</f>
        <v>Основы компьютерных наук</v>
      </c>
      <c r="N21" s="21" t="str">
        <f>'[1]2нед'!O83</f>
        <v>Криницкий Ю.В.</v>
      </c>
      <c r="O21" s="22" t="str">
        <f>'[1]2нед'!P83</f>
        <v>преподаватель</v>
      </c>
      <c r="P21" s="57" t="str">
        <f>HYPERLINK(VLOOKUP(M21,$R$12:$S$180,2,FALSE))</f>
        <v>https://max.ru/join/4mCFDUjZkVK8UuftVSt2q9QOKz6Cf_Jp6XFsId-Pa_Y</v>
      </c>
      <c r="R21" t="str">
        <f>[2]Уч.План!B217</f>
        <v xml:space="preserve"> ИКТ и медиаинформационная грамотность</v>
      </c>
      <c r="S21" s="61" t="s">
        <v>47</v>
      </c>
    </row>
    <row r="22" spans="1:19" ht="37.5" x14ac:dyDescent="0.2">
      <c r="A22" s="82"/>
      <c r="B22" s="85"/>
      <c r="C22" s="14" t="s">
        <v>20</v>
      </c>
      <c r="D22" s="20">
        <f>'[1]1нед'!K84</f>
        <v>0</v>
      </c>
      <c r="E22" s="23">
        <f>'[1]1нед'!L84</f>
        <v>0</v>
      </c>
      <c r="F22" s="21">
        <f>'[1]1нед'!O84</f>
        <v>0</v>
      </c>
      <c r="G22" s="22" t="str">
        <f>'[1]1нед'!P84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'[1]2нед'!K84</f>
        <v>л</v>
      </c>
      <c r="M22" s="23" t="str">
        <f>'[1]2нед'!L84</f>
        <v>Финансово-экономический практикум</v>
      </c>
      <c r="N22" s="21" t="str">
        <f>'[1]2нед'!O84</f>
        <v>Марусик Е.А.</v>
      </c>
      <c r="O22" s="22" t="str">
        <f>'[1]2нед'!P84</f>
        <v>доцент, канд. наук</v>
      </c>
      <c r="P22" s="57" t="str">
        <f>HYPERLINK(VLOOKUP(M22,$R$12:$S$180,2,FALSE))</f>
        <v>https://max.ru/join/rbLpJ5ax_sNm7y2cvgCMyBOUSIrOjgoKAtn_bNJ6fGo</v>
      </c>
      <c r="R22" t="str">
        <f>[2]Уч.План!B218</f>
        <v xml:space="preserve"> Финансово-экономический практикум</v>
      </c>
      <c r="S22" s="61" t="s">
        <v>47</v>
      </c>
    </row>
    <row r="23" spans="1:19" ht="31.5" x14ac:dyDescent="0.2">
      <c r="A23" s="82"/>
      <c r="B23" s="85"/>
      <c r="C23" s="14" t="s">
        <v>21</v>
      </c>
      <c r="D23" s="20">
        <f>'[1]1нед'!K85</f>
        <v>0</v>
      </c>
      <c r="E23" s="23">
        <f>'[1]1нед'!L85</f>
        <v>0</v>
      </c>
      <c r="F23" s="21">
        <f>'[1]1нед'!O85</f>
        <v>0</v>
      </c>
      <c r="G23" s="22" t="str">
        <f>'[1]1нед'!P85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'[1]2нед'!K85</f>
        <v>0</v>
      </c>
      <c r="M23" s="23">
        <f>'[1]2нед'!L85</f>
        <v>0</v>
      </c>
      <c r="N23" s="21">
        <f>'[1]2нед'!O85</f>
        <v>0</v>
      </c>
      <c r="O23" s="22" t="str">
        <f>'[1]2нед'!P85</f>
        <v/>
      </c>
      <c r="P23" s="57" t="str">
        <f>HYPERLINK(VLOOKUP(M23,$R$12:$S$180,2,FALSE))</f>
        <v/>
      </c>
      <c r="R23" t="str">
        <f>[2]Уч.План!B219</f>
        <v xml:space="preserve"> Нормативно-правовые основы профессиональной деятельности</v>
      </c>
      <c r="S23" s="61" t="s">
        <v>47</v>
      </c>
    </row>
    <row r="24" spans="1:19" ht="31.5" x14ac:dyDescent="0.2">
      <c r="A24" s="82"/>
      <c r="B24" s="85"/>
      <c r="C24" s="14" t="s">
        <v>22</v>
      </c>
      <c r="D24" s="20">
        <f>'[1]1нед'!K86</f>
        <v>0</v>
      </c>
      <c r="E24" s="23">
        <f>'[1]1нед'!L86</f>
        <v>0</v>
      </c>
      <c r="F24" s="21">
        <f>'[1]1нед'!O86</f>
        <v>0</v>
      </c>
      <c r="G24" s="22" t="str">
        <f>'[1]1нед'!P86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'[1]2нед'!K86</f>
        <v>0</v>
      </c>
      <c r="M24" s="23">
        <f>'[1]2нед'!L86</f>
        <v>0</v>
      </c>
      <c r="N24" s="21">
        <f>'[1]2нед'!O86</f>
        <v>0</v>
      </c>
      <c r="O24" s="22" t="str">
        <f>'[1]2нед'!P86</f>
        <v/>
      </c>
      <c r="P24" s="57" t="str">
        <f>HYPERLINK(VLOOKUP(M24,$R$12:$S$180,2,FALSE))</f>
        <v/>
      </c>
      <c r="R24">
        <f>[2]Уч.План!B220</f>
        <v>0</v>
      </c>
    </row>
    <row r="25" spans="1:19" ht="31.5" x14ac:dyDescent="0.2">
      <c r="A25" s="82"/>
      <c r="B25" s="85"/>
      <c r="C25" s="14" t="s">
        <v>23</v>
      </c>
      <c r="D25" s="20">
        <f>'[1]1нед'!K87</f>
        <v>0</v>
      </c>
      <c r="E25" s="23">
        <f>'[1]1нед'!L87</f>
        <v>0</v>
      </c>
      <c r="F25" s="21">
        <f>'[1]1нед'!O87</f>
        <v>0</v>
      </c>
      <c r="G25" s="22" t="str">
        <f>'[1]1нед'!P87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'[1]2нед'!K87</f>
        <v>0</v>
      </c>
      <c r="M25" s="23">
        <f>'[1]2нед'!L87</f>
        <v>0</v>
      </c>
      <c r="N25" s="21">
        <f>'[1]2нед'!O87</f>
        <v>0</v>
      </c>
      <c r="O25" s="22" t="str">
        <f>'[1]2нед'!P87</f>
        <v/>
      </c>
      <c r="P25" s="57" t="str">
        <f>HYPERLINK(VLOOKUP(M25,$R$12:$S$180,2,FALSE))</f>
        <v/>
      </c>
      <c r="R25">
        <f>[2]Уч.План!B221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'[1]1нед'!K88</f>
        <v>0</v>
      </c>
      <c r="E26" s="23">
        <f>'[1]1нед'!L88</f>
        <v>0</v>
      </c>
      <c r="F26" s="21">
        <f>'[1]1нед'!O88</f>
        <v>0</v>
      </c>
      <c r="G26" s="22" t="str">
        <f>'[1]1нед'!P88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'[1]2нед'!K88</f>
        <v>0</v>
      </c>
      <c r="M26" s="23">
        <f>'[1]2нед'!L88</f>
        <v>0</v>
      </c>
      <c r="N26" s="21">
        <f>'[1]2нед'!O88</f>
        <v>0</v>
      </c>
      <c r="O26" s="22" t="str">
        <f>'[1]2нед'!P88</f>
        <v/>
      </c>
      <c r="P26" s="57" t="str">
        <f>HYPERLINK(VLOOKUP(M26,$R$12:$S$180,2,FALSE))</f>
        <v/>
      </c>
      <c r="R26">
        <f>[2]Уч.План!B222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'[1]1нед'!K89</f>
        <v>0</v>
      </c>
      <c r="E27" s="25">
        <f>'[1]1нед'!L89</f>
        <v>0</v>
      </c>
      <c r="F27" s="26">
        <f>'[1]1нед'!O89</f>
        <v>0</v>
      </c>
      <c r="G27" s="27" t="str">
        <f>'[1]1нед'!P89</f>
        <v/>
      </c>
      <c r="H27" s="58" t="str">
        <f>HYPERLINK(VLOOKUP(E27,$R$12:$S$180,2,FALSE))</f>
        <v/>
      </c>
      <c r="I27" s="72"/>
      <c r="J27" s="89"/>
      <c r="K27" s="15"/>
      <c r="L27" s="24">
        <f>'[1]2нед'!K89</f>
        <v>0</v>
      </c>
      <c r="M27" s="25">
        <f>'[1]2нед'!L89</f>
        <v>0</v>
      </c>
      <c r="N27" s="26">
        <f>'[1]2нед'!O89</f>
        <v>0</v>
      </c>
      <c r="O27" s="27" t="str">
        <f>'[1]2нед'!P89</f>
        <v/>
      </c>
      <c r="P27" s="58" t="str">
        <f>HYPERLINK(VLOOKUP(M27,$R$12:$S$180,2,FALSE))</f>
        <v/>
      </c>
      <c r="R27">
        <f>[2]Уч.План!B223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'[1]1нед'!K90</f>
        <v>л</v>
      </c>
      <c r="E28" s="19" t="str">
        <f>'[1]1нед'!L90</f>
        <v>Финансово-экономический практикум</v>
      </c>
      <c r="F28" s="17" t="str">
        <f>'[1]1нед'!O90</f>
        <v>Марусик Е.А.</v>
      </c>
      <c r="G28" s="18" t="str">
        <f>'[1]1нед'!P90</f>
        <v>доцент, канд. наук</v>
      </c>
      <c r="H28" s="56" t="str">
        <f>HYPERLINK(VLOOKUP(E28,$R$12:$S$180,2,FALSE))</f>
        <v>https://max.ru/join/rbLpJ5ax_sNm7y2cvgCMyBOUSIrOjgoKAtn_bNJ6fGo</v>
      </c>
      <c r="I28" s="70">
        <v>46274</v>
      </c>
      <c r="J28" s="73" t="s">
        <v>26</v>
      </c>
      <c r="K28" s="29" t="s">
        <v>18</v>
      </c>
      <c r="L28" s="16" t="str">
        <f>'[1]2нед'!K90</f>
        <v>пр</v>
      </c>
      <c r="M28" s="19" t="str">
        <f>'[1]2нед'!L90</f>
        <v xml:space="preserve"> Финансово-экономический практикум</v>
      </c>
      <c r="N28" s="17" t="str">
        <f>'[1]2нед'!O90</f>
        <v>Бойчук О.В.</v>
      </c>
      <c r="O28" s="18" t="str">
        <f>'[1]2нед'!P90</f>
        <v>ст. преподаватель</v>
      </c>
      <c r="P28" s="56" t="str">
        <f>HYPERLINK(VLOOKUP(M28,$R$12:$S$180,2,FALSE))</f>
        <v>https://max.ru/join/4mCFDUjZkVK8UuftVSt2q9QOKz6Cf_Jp6XFsId-Pa_Y</v>
      </c>
      <c r="R28">
        <f>[2]Уч.План!B224</f>
        <v>0</v>
      </c>
    </row>
    <row r="29" spans="1:19" ht="37.5" x14ac:dyDescent="0.2">
      <c r="A29" s="82"/>
      <c r="B29" s="68"/>
      <c r="C29" s="14" t="s">
        <v>19</v>
      </c>
      <c r="D29" s="20" t="str">
        <f>'[1]1нед'!K91</f>
        <v>л</v>
      </c>
      <c r="E29" s="23" t="str">
        <f>'[1]1нед'!L91</f>
        <v>Нормативно-правовые основы профессиональной деятельности</v>
      </c>
      <c r="F29" s="21" t="str">
        <f>'[1]1нед'!O91</f>
        <v>Милкина Е.В.</v>
      </c>
      <c r="G29" s="22" t="str">
        <f>'[1]1нед'!P91</f>
        <v>доцент, канд. наук</v>
      </c>
      <c r="H29" s="57" t="str">
        <f>HYPERLINK(VLOOKUP(E29,$R$12:$S$180,2,FALSE))</f>
        <v>https://max.ru/join/HrLKTRdTWGgXDgkuZo5FTj-f0KVF4vF-lNNZ0Bt6Dlk</v>
      </c>
      <c r="I29" s="71"/>
      <c r="J29" s="74"/>
      <c r="K29" s="14" t="s">
        <v>19</v>
      </c>
      <c r="L29" s="20" t="str">
        <f>'[1]2нед'!K91</f>
        <v>пр</v>
      </c>
      <c r="M29" s="23" t="str">
        <f>'[1]2нед'!L91</f>
        <v xml:space="preserve"> Нормативно-правовые основы профессиональной деятельности</v>
      </c>
      <c r="N29" s="21" t="str">
        <f>'[1]2нед'!O91</f>
        <v>Тымчук А.С.</v>
      </c>
      <c r="O29" s="22" t="str">
        <f>'[1]2нед'!P91</f>
        <v>преподаватель</v>
      </c>
      <c r="P29" s="57" t="str">
        <f>HYPERLINK(VLOOKUP(M29,$R$12:$S$180,2,FALSE))</f>
        <v>https://max.ru/join/4mCFDUjZkVK8UuftVSt2q9QOKz6Cf_Jp6XFsId-Pa_Y</v>
      </c>
      <c r="R29">
        <f>[2]Уч.План!B225</f>
        <v>0</v>
      </c>
    </row>
    <row r="30" spans="1:19" ht="37.5" x14ac:dyDescent="0.2">
      <c r="A30" s="82"/>
      <c r="B30" s="68"/>
      <c r="C30" s="14" t="s">
        <v>20</v>
      </c>
      <c r="D30" s="20" t="str">
        <f>'[1]1нед'!K92</f>
        <v>л</v>
      </c>
      <c r="E30" s="23" t="str">
        <f>'[1]1нед'!L92</f>
        <v>Основы компьютерных наук</v>
      </c>
      <c r="F30" s="21" t="str">
        <f>'[1]1нед'!O92</f>
        <v>Криницкий Ю.В.</v>
      </c>
      <c r="G30" s="22" t="str">
        <f>'[1]1нед'!P92</f>
        <v>преподаватель</v>
      </c>
      <c r="H30" s="57" t="str">
        <f>HYPERLINK(VLOOKUP(E30,$R$12:$S$180,2,FALSE))</f>
        <v>https://max.ru/join/4mCFDUjZkVK8UuftVSt2q9QOKz6Cf_Jp6XFsId-Pa_Y</v>
      </c>
      <c r="I30" s="71"/>
      <c r="J30" s="74"/>
      <c r="K30" s="14" t="s">
        <v>20</v>
      </c>
      <c r="L30" s="20">
        <f>'[1]2нед'!K92</f>
        <v>0</v>
      </c>
      <c r="M30" s="23">
        <f>'[1]2нед'!L92</f>
        <v>0</v>
      </c>
      <c r="N30" s="21">
        <f>'[1]2нед'!O92</f>
        <v>0</v>
      </c>
      <c r="O30" s="22" t="str">
        <f>'[1]2нед'!P92</f>
        <v/>
      </c>
      <c r="P30" s="57" t="str">
        <f>HYPERLINK(VLOOKUP(M30,$R$12:$S$180,2,FALSE))</f>
        <v/>
      </c>
      <c r="R30">
        <f>[2]Уч.План!B226</f>
        <v>0</v>
      </c>
    </row>
    <row r="31" spans="1:19" ht="31.5" x14ac:dyDescent="0.2">
      <c r="A31" s="82"/>
      <c r="B31" s="68"/>
      <c r="C31" s="14" t="s">
        <v>21</v>
      </c>
      <c r="D31" s="20">
        <f>'[1]1нед'!K93</f>
        <v>0</v>
      </c>
      <c r="E31" s="23">
        <f>'[1]1нед'!L93</f>
        <v>0</v>
      </c>
      <c r="F31" s="21">
        <f>'[1]1нед'!O93</f>
        <v>0</v>
      </c>
      <c r="G31" s="22" t="str">
        <f>'[1]1нед'!P93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'[1]2нед'!K93</f>
        <v>0</v>
      </c>
      <c r="M31" s="23">
        <f>'[1]2нед'!L93</f>
        <v>0</v>
      </c>
      <c r="N31" s="21">
        <f>'[1]2нед'!O93</f>
        <v>0</v>
      </c>
      <c r="O31" s="22" t="str">
        <f>'[1]2нед'!P93</f>
        <v/>
      </c>
      <c r="P31" s="57" t="str">
        <f>HYPERLINK(VLOOKUP(M31,$R$12:$S$180,2,FALSE))</f>
        <v/>
      </c>
      <c r="R31">
        <f>[2]Уч.План!B227</f>
        <v>0</v>
      </c>
    </row>
    <row r="32" spans="1:19" ht="31.5" x14ac:dyDescent="0.2">
      <c r="A32" s="82"/>
      <c r="B32" s="68"/>
      <c r="C32" s="14" t="s">
        <v>22</v>
      </c>
      <c r="D32" s="20">
        <f>'[1]1нед'!K94</f>
        <v>0</v>
      </c>
      <c r="E32" s="23">
        <f>'[1]1нед'!L94</f>
        <v>0</v>
      </c>
      <c r="F32" s="21">
        <f>'[1]1нед'!O94</f>
        <v>0</v>
      </c>
      <c r="G32" s="22" t="str">
        <f>'[1]1нед'!P94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'[1]2нед'!K94</f>
        <v>0</v>
      </c>
      <c r="M32" s="23">
        <f>'[1]2нед'!L94</f>
        <v>0</v>
      </c>
      <c r="N32" s="21">
        <f>'[1]2нед'!O94</f>
        <v>0</v>
      </c>
      <c r="O32" s="22" t="str">
        <f>'[1]2нед'!P94</f>
        <v/>
      </c>
      <c r="P32" s="57" t="str">
        <f>HYPERLINK(VLOOKUP(M32,$R$12:$S$180,2,FALSE))</f>
        <v/>
      </c>
      <c r="R32">
        <f>[2]Уч.План!B228</f>
        <v>0</v>
      </c>
    </row>
    <row r="33" spans="1:18" ht="31.5" x14ac:dyDescent="0.2">
      <c r="A33" s="82"/>
      <c r="B33" s="68"/>
      <c r="C33" s="14" t="s">
        <v>23</v>
      </c>
      <c r="D33" s="20">
        <f>'[1]1нед'!K95</f>
        <v>0</v>
      </c>
      <c r="E33" s="23">
        <f>'[1]1нед'!L95</f>
        <v>0</v>
      </c>
      <c r="F33" s="21">
        <f>'[1]1нед'!O95</f>
        <v>0</v>
      </c>
      <c r="G33" s="22" t="str">
        <f>'[1]1нед'!P95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'[1]2нед'!K95</f>
        <v>0</v>
      </c>
      <c r="M33" s="23">
        <f>'[1]2нед'!L95</f>
        <v>0</v>
      </c>
      <c r="N33" s="21">
        <f>'[1]2нед'!O95</f>
        <v>0</v>
      </c>
      <c r="O33" s="22" t="str">
        <f>'[1]2нед'!P95</f>
        <v/>
      </c>
      <c r="P33" s="55" t="str">
        <f>HYPERLINK(VLOOKUP(M33,$R$12:$S$180,2,FALSE))</f>
        <v/>
      </c>
      <c r="R33">
        <f>[2]Уч.План!B229</f>
        <v>0</v>
      </c>
    </row>
    <row r="34" spans="1:18" ht="32.25" thickBot="1" x14ac:dyDescent="0.25">
      <c r="A34" s="82"/>
      <c r="B34" s="68"/>
      <c r="C34" s="14" t="s">
        <v>24</v>
      </c>
      <c r="D34" s="20">
        <f>'[1]1нед'!K96</f>
        <v>0</v>
      </c>
      <c r="E34" s="23">
        <f>'[1]1нед'!L96</f>
        <v>0</v>
      </c>
      <c r="F34" s="21">
        <f>'[1]1нед'!O96</f>
        <v>0</v>
      </c>
      <c r="G34" s="22" t="str">
        <f>'[1]1нед'!P96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'[1]2нед'!K96</f>
        <v>0</v>
      </c>
      <c r="M34" s="23">
        <f>'[1]2нед'!L96</f>
        <v>0</v>
      </c>
      <c r="N34" s="21">
        <f>'[1]2нед'!O96</f>
        <v>0</v>
      </c>
      <c r="O34" s="22" t="str">
        <f>'[1]2нед'!P96</f>
        <v/>
      </c>
      <c r="P34" s="55" t="str">
        <f>HYPERLINK(VLOOKUP(M34,$R$12:$S$180,2,FALSE))</f>
        <v/>
      </c>
      <c r="R34">
        <f>[2]Уч.План!B230</f>
        <v>0</v>
      </c>
    </row>
    <row r="35" spans="1:18" ht="18.399999999999999" hidden="1" customHeight="1" thickBot="1" x14ac:dyDescent="0.25">
      <c r="A35" s="83"/>
      <c r="B35" s="69"/>
      <c r="C35" s="15"/>
      <c r="D35" s="24">
        <f>'[1]1нед'!K97</f>
        <v>0</v>
      </c>
      <c r="E35" s="25">
        <f>'[1]1нед'!L97</f>
        <v>0</v>
      </c>
      <c r="F35" s="26">
        <f>'[1]1нед'!O97</f>
        <v>0</v>
      </c>
      <c r="G35" s="27" t="str">
        <f>'[1]1нед'!P97</f>
        <v/>
      </c>
      <c r="H35" s="58" t="str">
        <f>HYPERLINK(VLOOKUP(E35,$R$12:$S$180,2,FALSE))</f>
        <v/>
      </c>
      <c r="I35" s="72"/>
      <c r="J35" s="75"/>
      <c r="K35" s="15"/>
      <c r="L35" s="24">
        <f>'[1]2нед'!K97</f>
        <v>0</v>
      </c>
      <c r="M35" s="25">
        <f>'[1]2нед'!L97</f>
        <v>0</v>
      </c>
      <c r="N35" s="26">
        <f>'[1]2нед'!O97</f>
        <v>0</v>
      </c>
      <c r="O35" s="27" t="str">
        <f>'[1]2нед'!P97</f>
        <v/>
      </c>
      <c r="P35" s="58" t="str">
        <f>HYPERLINK(VLOOKUP(M35,$R$12:$S$180,2,FALSE))</f>
        <v/>
      </c>
      <c r="R35">
        <f>[2]Уч.План!B231</f>
        <v>0</v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'[1]1нед'!K98</f>
        <v>пр</v>
      </c>
      <c r="E36" s="19" t="str">
        <f>'[1]1нед'!L98</f>
        <v>Дискретная математика</v>
      </c>
      <c r="F36" s="17" t="str">
        <f>'[1]1нед'!O98</f>
        <v>Казанцев Ю.А.</v>
      </c>
      <c r="G36" s="18" t="str">
        <f>'[1]1нед'!P98</f>
        <v>ст. преподаватель</v>
      </c>
      <c r="H36" s="56" t="str">
        <f>HYPERLINK(VLOOKUP(E36,$R$12:$S$180,2,FALSE))</f>
        <v>https://max.ru/join/4mCFDUjZkVK8UuftVSt2q9QOKz6Cf_Jp6XFsId-Pa_Y</v>
      </c>
      <c r="I36" s="70">
        <v>46275</v>
      </c>
      <c r="J36" s="87" t="s">
        <v>27</v>
      </c>
      <c r="K36" s="29" t="s">
        <v>18</v>
      </c>
      <c r="L36" s="16" t="str">
        <f>'[1]2нед'!K98</f>
        <v>пр</v>
      </c>
      <c r="M36" s="19" t="str">
        <f>'[1]2нед'!L98</f>
        <v>Основы компьютерных наук</v>
      </c>
      <c r="N36" s="17" t="str">
        <f>'[1]2нед'!O98</f>
        <v>Криницкий Ю.В.</v>
      </c>
      <c r="O36" s="18" t="str">
        <f>'[1]2нед'!P98</f>
        <v>преподаватель</v>
      </c>
      <c r="P36" s="56" t="str">
        <f>HYPERLINK(VLOOKUP(M36,$R$12:$S$180,2,FALSE))</f>
        <v>https://max.ru/join/4mCFDUjZkVK8UuftVSt2q9QOKz6Cf_Jp6XFsId-Pa_Y</v>
      </c>
    </row>
    <row r="37" spans="1:18" ht="37.5" x14ac:dyDescent="0.2">
      <c r="A37" s="82"/>
      <c r="B37" s="85"/>
      <c r="C37" s="14" t="s">
        <v>19</v>
      </c>
      <c r="D37" s="20" t="str">
        <f>'[1]1нед'!K99</f>
        <v>л</v>
      </c>
      <c r="E37" s="23" t="str">
        <f>'[1]1нед'!L99</f>
        <v>Математика для программирования</v>
      </c>
      <c r="F37" s="21" t="str">
        <f>'[1]1нед'!O99</f>
        <v>Линник Е.П.</v>
      </c>
      <c r="G37" s="22" t="str">
        <f>'[1]1нед'!P99</f>
        <v>доцент, канд. наук</v>
      </c>
      <c r="H37" s="57" t="str">
        <f>HYPERLINK(VLOOKUP(E37,$R$12:$S$180,2,FALSE))</f>
        <v>https://max.ru/join/4mCFDUjZkVK8UuftVSt2q9QOKz6Cf_Jp6XFsId-Pa_Y</v>
      </c>
      <c r="I37" s="71"/>
      <c r="J37" s="88"/>
      <c r="K37" s="14" t="s">
        <v>19</v>
      </c>
      <c r="L37" s="20" t="str">
        <f>'[1]2нед'!K99</f>
        <v>пр</v>
      </c>
      <c r="M37" s="23" t="str">
        <f>'[1]2нед'!L99</f>
        <v>Математика для программирования</v>
      </c>
      <c r="N37" s="21" t="str">
        <f>'[1]2нед'!O99</f>
        <v>Линник Е.П.</v>
      </c>
      <c r="O37" s="22" t="str">
        <f>'[1]2нед'!P99</f>
        <v>доцент, канд. наук</v>
      </c>
      <c r="P37" s="57" t="str">
        <f>HYPERLINK(VLOOKUP(M37,$R$12:$S$180,2,FALSE))</f>
        <v>https://max.ru/join/4mCFDUjZkVK8UuftVSt2q9QOKz6Cf_Jp6XFsId-Pa_Y</v>
      </c>
    </row>
    <row r="38" spans="1:18" ht="37.5" x14ac:dyDescent="0.2">
      <c r="A38" s="82"/>
      <c r="B38" s="85"/>
      <c r="C38" s="14" t="s">
        <v>20</v>
      </c>
      <c r="D38" s="20" t="str">
        <f>'[1]1нед'!K100</f>
        <v>л</v>
      </c>
      <c r="E38" s="23" t="str">
        <f>'[1]1нед'!L100</f>
        <v>Математика для программирования</v>
      </c>
      <c r="F38" s="21" t="str">
        <f>'[1]1нед'!O100</f>
        <v>Линник Е.П.</v>
      </c>
      <c r="G38" s="22" t="str">
        <f>'[1]1нед'!P100</f>
        <v>доцент, канд. наук</v>
      </c>
      <c r="H38" s="57" t="str">
        <f>HYPERLINK(VLOOKUP(E38,$R$12:$S$180,2,FALSE))</f>
        <v>https://max.ru/join/4mCFDUjZkVK8UuftVSt2q9QOKz6Cf_Jp6XFsId-Pa_Y</v>
      </c>
      <c r="I38" s="71"/>
      <c r="J38" s="88"/>
      <c r="K38" s="14" t="s">
        <v>20</v>
      </c>
      <c r="L38" s="20" t="str">
        <f>'[1]2нед'!K100</f>
        <v>пр</v>
      </c>
      <c r="M38" s="23" t="str">
        <f>'[1]2нед'!L100</f>
        <v>Математика для программирования</v>
      </c>
      <c r="N38" s="21" t="str">
        <f>'[1]2нед'!O100</f>
        <v>Линник Е.П.</v>
      </c>
      <c r="O38" s="22" t="str">
        <f>'[1]2нед'!P100</f>
        <v>доцент, канд. наук</v>
      </c>
      <c r="P38" s="57" t="str">
        <f>HYPERLINK(VLOOKUP(M38,$R$12:$S$180,2,FALSE))</f>
        <v>https://max.ru/join/4mCFDUjZkVK8UuftVSt2q9QOKz6Cf_Jp6XFsId-Pa_Y</v>
      </c>
    </row>
    <row r="39" spans="1:18" ht="31.5" x14ac:dyDescent="0.2">
      <c r="A39" s="82"/>
      <c r="B39" s="85"/>
      <c r="C39" s="14" t="s">
        <v>21</v>
      </c>
      <c r="D39" s="20">
        <f>'[1]1нед'!K101</f>
        <v>0</v>
      </c>
      <c r="E39" s="23">
        <f>'[1]1нед'!L101</f>
        <v>0</v>
      </c>
      <c r="F39" s="21">
        <f>'[1]1нед'!O101</f>
        <v>0</v>
      </c>
      <c r="G39" s="22" t="str">
        <f>'[1]1нед'!P101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'[1]2нед'!K101</f>
        <v>0</v>
      </c>
      <c r="M39" s="23">
        <f>'[1]2нед'!L101</f>
        <v>0</v>
      </c>
      <c r="N39" s="21">
        <f>'[1]2нед'!O101</f>
        <v>0</v>
      </c>
      <c r="O39" s="22" t="str">
        <f>'[1]2нед'!P101</f>
        <v/>
      </c>
      <c r="P39" s="57" t="str">
        <f>HYPERLINK(VLOOKUP(M39,$R$12:$S$180,2,FALSE))</f>
        <v/>
      </c>
    </row>
    <row r="40" spans="1:18" ht="31.5" x14ac:dyDescent="0.2">
      <c r="A40" s="82"/>
      <c r="B40" s="85"/>
      <c r="C40" s="14" t="s">
        <v>22</v>
      </c>
      <c r="D40" s="20">
        <f>'[1]1нед'!K102</f>
        <v>0</v>
      </c>
      <c r="E40" s="23">
        <f>'[1]1нед'!L102</f>
        <v>0</v>
      </c>
      <c r="F40" s="21">
        <f>'[1]1нед'!O102</f>
        <v>0</v>
      </c>
      <c r="G40" s="22" t="str">
        <f>'[1]1нед'!P102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'[1]2нед'!K102</f>
        <v>0</v>
      </c>
      <c r="M40" s="23">
        <f>'[1]2нед'!L102</f>
        <v>0</v>
      </c>
      <c r="N40" s="21">
        <f>'[1]2нед'!O102</f>
        <v>0</v>
      </c>
      <c r="O40" s="22" t="str">
        <f>'[1]2нед'!P102</f>
        <v/>
      </c>
      <c r="P40" s="57" t="str">
        <f>HYPERLINK(VLOOKUP(M40,$R$12:$S$180,2,FALSE))</f>
        <v/>
      </c>
    </row>
    <row r="41" spans="1:18" ht="31.5" x14ac:dyDescent="0.2">
      <c r="A41" s="82"/>
      <c r="B41" s="85"/>
      <c r="C41" s="14" t="s">
        <v>23</v>
      </c>
      <c r="D41" s="20">
        <f>'[1]1нед'!K103</f>
        <v>0</v>
      </c>
      <c r="E41" s="23">
        <f>'[1]1нед'!L103</f>
        <v>0</v>
      </c>
      <c r="F41" s="21">
        <f>'[1]1нед'!O103</f>
        <v>0</v>
      </c>
      <c r="G41" s="22" t="str">
        <f>'[1]1нед'!P103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'[1]2нед'!K103</f>
        <v>0</v>
      </c>
      <c r="M41" s="23">
        <f>'[1]2нед'!L103</f>
        <v>0</v>
      </c>
      <c r="N41" s="21">
        <f>'[1]2нед'!O103</f>
        <v>0</v>
      </c>
      <c r="O41" s="22" t="str">
        <f>'[1]2нед'!P103</f>
        <v/>
      </c>
      <c r="P41" s="55" t="str">
        <f>HYPERLINK(VLOOKUP(M41,$R$12:$S$180,2,FALSE))</f>
        <v/>
      </c>
    </row>
    <row r="42" spans="1:18" ht="32.25" thickBot="1" x14ac:dyDescent="0.25">
      <c r="A42" s="82"/>
      <c r="B42" s="85"/>
      <c r="C42" s="14" t="s">
        <v>24</v>
      </c>
      <c r="D42" s="20">
        <f>'[1]1нед'!K104</f>
        <v>0</v>
      </c>
      <c r="E42" s="23">
        <f>'[1]1нед'!L104</f>
        <v>0</v>
      </c>
      <c r="F42" s="21">
        <f>'[1]1нед'!O104</f>
        <v>0</v>
      </c>
      <c r="G42" s="22" t="str">
        <f>'[1]1нед'!P104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'[1]2нед'!K104</f>
        <v>0</v>
      </c>
      <c r="M42" s="23">
        <f>'[1]2нед'!L104</f>
        <v>0</v>
      </c>
      <c r="N42" s="21">
        <f>'[1]2нед'!O104</f>
        <v>0</v>
      </c>
      <c r="O42" s="22" t="str">
        <f>'[1]2нед'!P104</f>
        <v/>
      </c>
      <c r="P42" s="55" t="str">
        <f>HYPERLINK(VLOOKUP(M42,$R$12:$S$180,2,FALSE))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'[1]1нед'!K105</f>
        <v>0</v>
      </c>
      <c r="E43" s="25">
        <f>'[1]1нед'!L105</f>
        <v>0</v>
      </c>
      <c r="F43" s="26">
        <f>'[1]1нед'!O105</f>
        <v>0</v>
      </c>
      <c r="G43" s="27" t="str">
        <f>'[1]1нед'!P105</f>
        <v/>
      </c>
      <c r="H43" s="58" t="str">
        <f>HYPERLINK(VLOOKUP(E43,$R$12:$S$180,2,FALSE))</f>
        <v/>
      </c>
      <c r="I43" s="72"/>
      <c r="J43" s="89"/>
      <c r="K43" s="15"/>
      <c r="L43" s="24">
        <f>'[1]2нед'!K105</f>
        <v>0</v>
      </c>
      <c r="M43" s="25">
        <f>'[1]2нед'!L105</f>
        <v>0</v>
      </c>
      <c r="N43" s="26">
        <f>'[1]2нед'!O105</f>
        <v>0</v>
      </c>
      <c r="O43" s="27" t="str">
        <f>'[1]2нед'!P105</f>
        <v/>
      </c>
      <c r="P43" s="58" t="str">
        <f>HYPERLINK(VLOOKUP(M43,$R$12:$S$180,2,FALSE))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'[1]1нед'!K106</f>
        <v>0</v>
      </c>
      <c r="E44" s="19">
        <f>'[1]1нед'!L106</f>
        <v>0</v>
      </c>
      <c r="F44" s="17">
        <f>'[1]1нед'!O106</f>
        <v>0</v>
      </c>
      <c r="G44" s="18" t="str">
        <f>'[1]1нед'!P106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'[1]2нед'!K106</f>
        <v>0</v>
      </c>
      <c r="M44" s="19">
        <f>'[1]2нед'!L106</f>
        <v>0</v>
      </c>
      <c r="N44" s="17">
        <f>'[1]2нед'!O106</f>
        <v>0</v>
      </c>
      <c r="O44" s="18" t="str">
        <f>'[1]2нед'!P106</f>
        <v/>
      </c>
      <c r="P44" s="56" t="str">
        <f>HYPERLINK(VLOOKUP(M44,$R$12:$S$180,2,FALSE))</f>
        <v/>
      </c>
    </row>
    <row r="45" spans="1:18" ht="37.5" x14ac:dyDescent="0.2">
      <c r="A45" s="82"/>
      <c r="B45" s="85"/>
      <c r="C45" s="14" t="s">
        <v>19</v>
      </c>
      <c r="D45" s="20" t="str">
        <f>'[1]1нед'!K107</f>
        <v>л</v>
      </c>
      <c r="E45" s="23" t="str">
        <f>'[1]1нед'!L107</f>
        <v>Архитектура компьютера и Интернет</v>
      </c>
      <c r="F45" s="21" t="str">
        <f>'[1]1нед'!O107</f>
        <v>Криницкий Ю.В.</v>
      </c>
      <c r="G45" s="22" t="str">
        <f>'[1]1нед'!P107</f>
        <v>преподаватель</v>
      </c>
      <c r="H45" s="57" t="str">
        <f>HYPERLINK(VLOOKUP(E45,$R$12:$S$180,2,FALSE))</f>
        <v>https://max.ru/join/4mCFDUjZkVK8UuftVSt2q9QOKz6Cf_Jp6XFsId-Pa_Y</v>
      </c>
      <c r="I45" s="71"/>
      <c r="J45" s="88"/>
      <c r="K45" s="14" t="s">
        <v>19</v>
      </c>
      <c r="L45" s="20" t="str">
        <f>'[1]2нед'!K107</f>
        <v>пр</v>
      </c>
      <c r="M45" s="23" t="str">
        <f>'[1]2нед'!L107</f>
        <v>Введение в Javascript и основы веб-разработки</v>
      </c>
      <c r="N45" s="21" t="str">
        <f>'[1]2нед'!O107</f>
        <v>Алешов В.В.</v>
      </c>
      <c r="O45" s="22" t="str">
        <f>'[1]2нед'!P107</f>
        <v>ст. преподаватель</v>
      </c>
      <c r="P45" s="57" t="str">
        <f>HYPERLINK(VLOOKUP(M45,$R$12:$S$180,2,FALSE))</f>
        <v>https://max.ru/join/4mCFDUjZkVK8UuftVSt2q9QOKz6Cf_Jp6XFsId-Pa_Y</v>
      </c>
    </row>
    <row r="46" spans="1:18" ht="37.5" x14ac:dyDescent="0.2">
      <c r="A46" s="82"/>
      <c r="B46" s="85"/>
      <c r="C46" s="14" t="s">
        <v>20</v>
      </c>
      <c r="D46" s="20" t="str">
        <f>'[1]1нед'!K108</f>
        <v>пр</v>
      </c>
      <c r="E46" s="23" t="str">
        <f>'[1]1нед'!L108</f>
        <v>Архитектура компьютера и Интернет</v>
      </c>
      <c r="F46" s="21" t="str">
        <f>'[1]1нед'!O108</f>
        <v>Криницкий Ю.В.</v>
      </c>
      <c r="G46" s="22" t="str">
        <f>'[1]1нед'!P108</f>
        <v>преподаватель</v>
      </c>
      <c r="H46" s="57" t="str">
        <f>HYPERLINK(VLOOKUP(E46,$R$12:$S$180,2,FALSE))</f>
        <v>https://max.ru/join/4mCFDUjZkVK8UuftVSt2q9QOKz6Cf_Jp6XFsId-Pa_Y</v>
      </c>
      <c r="I46" s="71"/>
      <c r="J46" s="88"/>
      <c r="K46" s="14" t="s">
        <v>20</v>
      </c>
      <c r="L46" s="20" t="str">
        <f>'[1]2нед'!K108</f>
        <v>пр</v>
      </c>
      <c r="M46" s="23" t="str">
        <f>'[1]2нед'!L108</f>
        <v>Архитектура компьютера и Интернет</v>
      </c>
      <c r="N46" s="21" t="str">
        <f>'[1]2нед'!O108</f>
        <v>Криницкий Ю.В.</v>
      </c>
      <c r="O46" s="22" t="str">
        <f>'[1]2нед'!P108</f>
        <v>преподаватель</v>
      </c>
      <c r="P46" s="57" t="str">
        <f>HYPERLINK(VLOOKUP(M46,$R$12:$S$180,2,FALSE))</f>
        <v>https://max.ru/join/4mCFDUjZkVK8UuftVSt2q9QOKz6Cf_Jp6XFsId-Pa_Y</v>
      </c>
    </row>
    <row r="47" spans="1:18" ht="37.5" x14ac:dyDescent="0.2">
      <c r="A47" s="82"/>
      <c r="B47" s="85"/>
      <c r="C47" s="14" t="s">
        <v>21</v>
      </c>
      <c r="D47" s="20" t="str">
        <f>'[1]1нед'!K109</f>
        <v>пр</v>
      </c>
      <c r="E47" s="23" t="str">
        <f>'[1]1нед'!L109</f>
        <v>Физическая культура и спорт</v>
      </c>
      <c r="F47" s="21" t="str">
        <f>'[1]1нед'!O109</f>
        <v>Заболотний С.И.</v>
      </c>
      <c r="G47" s="22" t="str">
        <f>'[1]1нед'!P109</f>
        <v>преподаватель</v>
      </c>
      <c r="H47" s="57" t="str">
        <f>HYPERLINK(VLOOKUP(E47,$R$12:$S$180,2,FALSE))</f>
        <v>https://max.ru/join/4mCFDUjZkVK8UuftVSt2q9QOKz6Cf_Jp6XFsId-Pa_Y</v>
      </c>
      <c r="I47" s="71"/>
      <c r="J47" s="88"/>
      <c r="K47" s="14" t="s">
        <v>21</v>
      </c>
      <c r="L47" s="20" t="str">
        <f>'[1]2нед'!K109</f>
        <v>пр</v>
      </c>
      <c r="M47" s="23" t="str">
        <f>'[1]2нед'!L109</f>
        <v>Физическая культура и спорт</v>
      </c>
      <c r="N47" s="21" t="str">
        <f>'[1]2нед'!O109</f>
        <v>Заболотний С.И.</v>
      </c>
      <c r="O47" s="22" t="str">
        <f>'[1]2нед'!P109</f>
        <v>преподаватель</v>
      </c>
      <c r="P47" s="57" t="str">
        <f>HYPERLINK(VLOOKUP(M47,$R$12:$S$180,2,FALSE))</f>
        <v>https://max.ru/join/4mCFDUjZkVK8UuftVSt2q9QOKz6Cf_Jp6XFsId-Pa_Y</v>
      </c>
    </row>
    <row r="48" spans="1:18" ht="31.5" x14ac:dyDescent="0.2">
      <c r="A48" s="82"/>
      <c r="B48" s="85"/>
      <c r="C48" s="14" t="s">
        <v>22</v>
      </c>
      <c r="D48" s="20">
        <f>'[1]1нед'!K110</f>
        <v>0</v>
      </c>
      <c r="E48" s="23">
        <f>'[1]1нед'!L110</f>
        <v>0</v>
      </c>
      <c r="F48" s="21">
        <f>'[1]1нед'!O110</f>
        <v>0</v>
      </c>
      <c r="G48" s="22" t="str">
        <f>'[1]1нед'!P110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'[1]2нед'!K110</f>
        <v>0</v>
      </c>
      <c r="M48" s="23">
        <f>'[1]2нед'!L110</f>
        <v>0</v>
      </c>
      <c r="N48" s="21">
        <f>'[1]2нед'!O110</f>
        <v>0</v>
      </c>
      <c r="O48" s="22" t="str">
        <f>'[1]2нед'!P110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'[1]1нед'!K111</f>
        <v>0</v>
      </c>
      <c r="E49" s="23">
        <f>'[1]1нед'!L111</f>
        <v>0</v>
      </c>
      <c r="F49" s="21">
        <f>'[1]1нед'!O111</f>
        <v>0</v>
      </c>
      <c r="G49" s="22" t="str">
        <f>'[1]1нед'!P111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'[1]2нед'!K111</f>
        <v>0</v>
      </c>
      <c r="M49" s="23">
        <f>'[1]2нед'!L111</f>
        <v>0</v>
      </c>
      <c r="N49" s="21">
        <f>'[1]2нед'!O111</f>
        <v>0</v>
      </c>
      <c r="O49" s="22" t="str">
        <f>'[1]2нед'!P111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'[1]1нед'!K112</f>
        <v>0</v>
      </c>
      <c r="E50" s="23">
        <f>'[1]1нед'!L112</f>
        <v>0</v>
      </c>
      <c r="F50" s="21">
        <f>'[1]1нед'!O112</f>
        <v>0</v>
      </c>
      <c r="G50" s="22" t="str">
        <f>'[1]1нед'!P112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'[1]2нед'!K112</f>
        <v>0</v>
      </c>
      <c r="M50" s="23">
        <f>'[1]2нед'!L112</f>
        <v>0</v>
      </c>
      <c r="N50" s="21">
        <f>'[1]2нед'!O112</f>
        <v>0</v>
      </c>
      <c r="O50" s="22" t="str">
        <f>'[1]2нед'!P112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'[1]1нед'!K113</f>
        <v>0</v>
      </c>
      <c r="E51" s="25">
        <f>'[1]1нед'!L113</f>
        <v>0</v>
      </c>
      <c r="F51" s="26">
        <f>'[1]1нед'!O113</f>
        <v>0</v>
      </c>
      <c r="G51" s="27" t="str">
        <f>'[1]1нед'!P113</f>
        <v/>
      </c>
      <c r="H51" s="58" t="str">
        <f>HYPERLINK(VLOOKUP(E51,$R$12:$S$180,2,FALSE))</f>
        <v/>
      </c>
      <c r="I51" s="72"/>
      <c r="J51" s="89"/>
      <c r="K51" s="15"/>
      <c r="L51" s="24">
        <f>'[1]2нед'!K113</f>
        <v>0</v>
      </c>
      <c r="M51" s="25">
        <f>'[1]2нед'!L113</f>
        <v>0</v>
      </c>
      <c r="N51" s="26">
        <f>'[1]2нед'!O113</f>
        <v>0</v>
      </c>
      <c r="O51" s="27" t="str">
        <f>'[1]2нед'!P113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'[1]1нед'!K114</f>
        <v>0</v>
      </c>
      <c r="E52" s="19">
        <f>'[1]1нед'!L114</f>
        <v>0</v>
      </c>
      <c r="F52" s="17">
        <f>'[1]1нед'!O114</f>
        <v>0</v>
      </c>
      <c r="G52" s="18" t="str">
        <f>'[1]1нед'!P114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'[1]2нед'!K114</f>
        <v>0</v>
      </c>
      <c r="M52" s="19">
        <f>'[1]2нед'!L114</f>
        <v>0</v>
      </c>
      <c r="N52" s="17">
        <f>'[1]2нед'!O114</f>
        <v>0</v>
      </c>
      <c r="O52" s="18" t="str">
        <f>'[1]2нед'!P114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'[1]1нед'!K115</f>
        <v>0</v>
      </c>
      <c r="E53" s="23">
        <f>'[1]1нед'!L115</f>
        <v>0</v>
      </c>
      <c r="F53" s="21">
        <f>'[1]1нед'!O115</f>
        <v>0</v>
      </c>
      <c r="G53" s="22" t="str">
        <f>'[1]1нед'!P115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'[1]2нед'!K115</f>
        <v>0</v>
      </c>
      <c r="M53" s="23">
        <f>'[1]2нед'!L115</f>
        <v>0</v>
      </c>
      <c r="N53" s="21">
        <f>'[1]2нед'!O115</f>
        <v>0</v>
      </c>
      <c r="O53" s="22" t="str">
        <f>'[1]2нед'!P115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'[1]1нед'!K116</f>
        <v>0</v>
      </c>
      <c r="E54" s="23">
        <f>'[1]1нед'!L116</f>
        <v>0</v>
      </c>
      <c r="F54" s="21">
        <f>'[1]1нед'!O116</f>
        <v>0</v>
      </c>
      <c r="G54" s="22" t="str">
        <f>'[1]1нед'!P116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'[1]2нед'!K116</f>
        <v>0</v>
      </c>
      <c r="M54" s="23">
        <f>'[1]2нед'!L116</f>
        <v>0</v>
      </c>
      <c r="N54" s="21">
        <f>'[1]2нед'!O116</f>
        <v>0</v>
      </c>
      <c r="O54" s="22" t="str">
        <f>'[1]2нед'!P116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'[1]1нед'!K117</f>
        <v>0</v>
      </c>
      <c r="E55" s="23">
        <f>'[1]1нед'!L117</f>
        <v>0</v>
      </c>
      <c r="F55" s="21">
        <f>'[1]1нед'!O117</f>
        <v>0</v>
      </c>
      <c r="G55" s="22" t="str">
        <f>'[1]1нед'!P117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'[1]2нед'!K117</f>
        <v>0</v>
      </c>
      <c r="M55" s="23">
        <f>'[1]2нед'!L117</f>
        <v>0</v>
      </c>
      <c r="N55" s="21">
        <f>'[1]2нед'!O117</f>
        <v>0</v>
      </c>
      <c r="O55" s="22" t="str">
        <f>'[1]2нед'!P117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'[1]1нед'!K118</f>
        <v>0</v>
      </c>
      <c r="E56" s="23">
        <f>'[1]1нед'!L118</f>
        <v>0</v>
      </c>
      <c r="F56" s="21">
        <f>'[1]1нед'!O118</f>
        <v>0</v>
      </c>
      <c r="G56" s="22" t="str">
        <f>'[1]1нед'!P118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'[1]2нед'!K118</f>
        <v>0</v>
      </c>
      <c r="M56" s="23">
        <f>'[1]2нед'!L118</f>
        <v>0</v>
      </c>
      <c r="N56" s="21">
        <f>'[1]2нед'!O118</f>
        <v>0</v>
      </c>
      <c r="O56" s="22" t="str">
        <f>'[1]2нед'!P118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'[1]1нед'!K119</f>
        <v>0</v>
      </c>
      <c r="E57" s="23">
        <f>'[1]1нед'!L119</f>
        <v>0</v>
      </c>
      <c r="F57" s="21">
        <f>'[1]1нед'!O119</f>
        <v>0</v>
      </c>
      <c r="G57" s="22" t="str">
        <f>'[1]1нед'!P119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'[1]2нед'!K119</f>
        <v>0</v>
      </c>
      <c r="M57" s="23">
        <f>'[1]2нед'!L119</f>
        <v>0</v>
      </c>
      <c r="N57" s="21">
        <f>'[1]2нед'!O119</f>
        <v>0</v>
      </c>
      <c r="O57" s="22" t="str">
        <f>'[1]2нед'!P119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'[1]1нед'!K120</f>
        <v>0</v>
      </c>
      <c r="E58" s="23">
        <f>'[1]1нед'!L120</f>
        <v>0</v>
      </c>
      <c r="F58" s="21">
        <f>'[1]1нед'!O120</f>
        <v>0</v>
      </c>
      <c r="G58" s="22" t="str">
        <f>'[1]1нед'!P120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'[1]2нед'!K120</f>
        <v>0</v>
      </c>
      <c r="M58" s="23">
        <f>'[1]2нед'!L120</f>
        <v>0</v>
      </c>
      <c r="N58" s="21">
        <f>'[1]2нед'!O120</f>
        <v>0</v>
      </c>
      <c r="O58" s="22" t="str">
        <f>'[1]2нед'!P120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12-25ПИ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12-25ПИ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'[1]3нед'!K74</f>
        <v>пр</v>
      </c>
      <c r="E72" s="19" t="str">
        <f>'[1]3нед'!L74</f>
        <v>Дискретная математика</v>
      </c>
      <c r="F72" s="17" t="str">
        <f>'[1]3нед'!O74</f>
        <v>Казанцев Ю.А.</v>
      </c>
      <c r="G72" s="18" t="str">
        <f>'[1]3нед'!P74</f>
        <v>ст. преподаватель</v>
      </c>
      <c r="H72" s="56" t="str">
        <f>HYPERLINK(VLOOKUP(E72,$R$12:$S$180,2,FALSE))</f>
        <v>https://max.ru/join/4mCFDUjZkVK8UuftVSt2q9QOKz6Cf_Jp6XFsId-Pa_Y</v>
      </c>
      <c r="I72" s="70">
        <v>46286</v>
      </c>
      <c r="J72" s="87" t="s">
        <v>17</v>
      </c>
      <c r="K72" s="14" t="s">
        <v>18</v>
      </c>
      <c r="L72" s="16" t="str">
        <f>'[1]4нед'!K74</f>
        <v>л</v>
      </c>
      <c r="M72" s="19" t="str">
        <f>'[1]4нед'!L74</f>
        <v>Введение в Javascript и основы веб-разработки</v>
      </c>
      <c r="N72" s="17" t="str">
        <f>'[1]4нед'!O74</f>
        <v>Алешов В.В.</v>
      </c>
      <c r="O72" s="18" t="str">
        <f>'[1]4нед'!P74</f>
        <v>ст. преподаватель</v>
      </c>
      <c r="P72" s="56" t="str">
        <f>HYPERLINK(VLOOKUP(M72,$R$12:$S$180,2,FALSE))</f>
        <v>https://max.ru/join/4mCFDUjZkVK8UuftVSt2q9QOKz6Cf_Jp6XFsId-Pa_Y</v>
      </c>
    </row>
    <row r="73" spans="1:16" ht="37.5" x14ac:dyDescent="0.2">
      <c r="A73" s="82"/>
      <c r="B73" s="85"/>
      <c r="C73" s="14" t="s">
        <v>19</v>
      </c>
      <c r="D73" s="20" t="str">
        <f>'[1]3нед'!K75</f>
        <v>л</v>
      </c>
      <c r="E73" s="23" t="str">
        <f>'[1]3нед'!L75</f>
        <v>ИКТ и медиаинформационная грамотность</v>
      </c>
      <c r="F73" s="21" t="str">
        <f>'[1]3нед'!O75</f>
        <v>Линник И.И.</v>
      </c>
      <c r="G73" s="22" t="str">
        <f>'[1]3нед'!P75</f>
        <v>доцент, канд. наук</v>
      </c>
      <c r="H73" s="57" t="str">
        <f>HYPERLINK(VLOOKUP(E73,$R$12:$S$180,2,FALSE))</f>
        <v>https://max.ru/join/4mCFDUjZkVK8UuftVSt2q9QOKz6Cf_Jp6XFsId-Pa_Y</v>
      </c>
      <c r="I73" s="71"/>
      <c r="J73" s="88"/>
      <c r="K73" s="14" t="s">
        <v>19</v>
      </c>
      <c r="L73" s="20" t="str">
        <f>'[1]4нед'!K75</f>
        <v>пр</v>
      </c>
      <c r="M73" s="23" t="str">
        <f>'[1]4нед'!L75</f>
        <v>Введение в Javascript и основы веб-разработки</v>
      </c>
      <c r="N73" s="21" t="str">
        <f>'[1]4нед'!O75</f>
        <v>Алешов В.В.</v>
      </c>
      <c r="O73" s="22" t="str">
        <f>'[1]4нед'!P75</f>
        <v>ст. преподаватель</v>
      </c>
      <c r="P73" s="57" t="str">
        <f>HYPERLINK(VLOOKUP(M73,$R$12:$S$180,2,FALSE))</f>
        <v>https://max.ru/join/4mCFDUjZkVK8UuftVSt2q9QOKz6Cf_Jp6XFsId-Pa_Y</v>
      </c>
    </row>
    <row r="74" spans="1:16" ht="37.5" x14ac:dyDescent="0.2">
      <c r="A74" s="82"/>
      <c r="B74" s="85"/>
      <c r="C74" s="14" t="s">
        <v>20</v>
      </c>
      <c r="D74" s="20" t="str">
        <f>'[1]3нед'!K76</f>
        <v>л</v>
      </c>
      <c r="E74" s="23" t="str">
        <f>'[1]3нед'!L76</f>
        <v>ИКТ и медиаинформационная грамотность</v>
      </c>
      <c r="F74" s="21" t="str">
        <f>'[1]3нед'!O76</f>
        <v>Линник И.И.</v>
      </c>
      <c r="G74" s="22" t="str">
        <f>'[1]3нед'!P76</f>
        <v>доцент, канд. наук</v>
      </c>
      <c r="H74" s="57" t="str">
        <f>HYPERLINK(VLOOKUP(E74,$R$12:$S$180,2,FALSE))</f>
        <v>https://max.ru/join/4mCFDUjZkVK8UuftVSt2q9QOKz6Cf_Jp6XFsId-Pa_Y</v>
      </c>
      <c r="I74" s="71"/>
      <c r="J74" s="88"/>
      <c r="K74" s="14" t="s">
        <v>20</v>
      </c>
      <c r="L74" s="20" t="str">
        <f>'[1]4нед'!K76</f>
        <v>пр</v>
      </c>
      <c r="M74" s="23" t="str">
        <f>'[1]4нед'!L76</f>
        <v>Математика для программирования</v>
      </c>
      <c r="N74" s="21" t="str">
        <f>'[1]4нед'!O76</f>
        <v>Линник Е.П.</v>
      </c>
      <c r="O74" s="22" t="str">
        <f>'[1]4нед'!P76</f>
        <v>доцент, канд. наук</v>
      </c>
      <c r="P74" s="57" t="str">
        <f>HYPERLINK(VLOOKUP(M74,$R$12:$S$180,2,FALSE))</f>
        <v>https://max.ru/join/4mCFDUjZkVK8UuftVSt2q9QOKz6Cf_Jp6XFsId-Pa_Y</v>
      </c>
    </row>
    <row r="75" spans="1:16" ht="31.5" x14ac:dyDescent="0.2">
      <c r="A75" s="82"/>
      <c r="B75" s="85"/>
      <c r="C75" s="14" t="s">
        <v>21</v>
      </c>
      <c r="D75" s="20">
        <f>'[1]3нед'!K77</f>
        <v>0</v>
      </c>
      <c r="E75" s="23">
        <f>'[1]3нед'!L77</f>
        <v>0</v>
      </c>
      <c r="F75" s="21">
        <f>'[1]3нед'!O77</f>
        <v>0</v>
      </c>
      <c r="G75" s="22" t="str">
        <f>'[1]3нед'!P77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'[1]4нед'!K77</f>
        <v>0</v>
      </c>
      <c r="M75" s="23">
        <f>'[1]4нед'!L77</f>
        <v>0</v>
      </c>
      <c r="N75" s="21">
        <f>'[1]4нед'!O77</f>
        <v>0</v>
      </c>
      <c r="O75" s="22" t="str">
        <f>'[1]4нед'!P77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'[1]3нед'!K78</f>
        <v>0</v>
      </c>
      <c r="E76" s="23">
        <f>'[1]3нед'!L78</f>
        <v>0</v>
      </c>
      <c r="F76" s="21">
        <f>'[1]3нед'!O78</f>
        <v>0</v>
      </c>
      <c r="G76" s="22" t="str">
        <f>'[1]3нед'!P78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'[1]4нед'!K78</f>
        <v>0</v>
      </c>
      <c r="M76" s="23">
        <f>'[1]4нед'!L78</f>
        <v>0</v>
      </c>
      <c r="N76" s="21">
        <f>'[1]4нед'!O78</f>
        <v>0</v>
      </c>
      <c r="O76" s="22" t="str">
        <f>'[1]4нед'!P78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'[1]3нед'!K79</f>
        <v>0</v>
      </c>
      <c r="E77" s="23">
        <f>'[1]3нед'!L79</f>
        <v>0</v>
      </c>
      <c r="F77" s="21">
        <f>'[1]3нед'!O79</f>
        <v>0</v>
      </c>
      <c r="G77" s="22" t="str">
        <f>'[1]3нед'!P79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'[1]4нед'!K79</f>
        <v>0</v>
      </c>
      <c r="M77" s="23">
        <f>'[1]4нед'!L79</f>
        <v>0</v>
      </c>
      <c r="N77" s="21">
        <f>'[1]4нед'!O79</f>
        <v>0</v>
      </c>
      <c r="O77" s="22" t="str">
        <f>'[1]4нед'!P79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'[1]3нед'!K80</f>
        <v>0</v>
      </c>
      <c r="E78" s="23">
        <f>'[1]3нед'!L80</f>
        <v>0</v>
      </c>
      <c r="F78" s="21">
        <f>'[1]3нед'!O80</f>
        <v>0</v>
      </c>
      <c r="G78" s="22" t="str">
        <f>'[1]3нед'!P80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'[1]4нед'!K80</f>
        <v>0</v>
      </c>
      <c r="M78" s="23">
        <f>'[1]4нед'!L80</f>
        <v>0</v>
      </c>
      <c r="N78" s="21">
        <f>'[1]4нед'!O80</f>
        <v>0</v>
      </c>
      <c r="O78" s="22" t="str">
        <f>'[1]4нед'!P80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'[1]3нед'!K81</f>
        <v>0</v>
      </c>
      <c r="E79" s="25">
        <f>'[1]3нед'!L81</f>
        <v>0</v>
      </c>
      <c r="F79" s="26">
        <f>'[1]3нед'!O81</f>
        <v>0</v>
      </c>
      <c r="G79" s="27" t="str">
        <f>'[1]3нед'!P81</f>
        <v/>
      </c>
      <c r="H79" s="58" t="str">
        <f>HYPERLINK(VLOOKUP(E79,$R$12:$S$180,2,FALSE))</f>
        <v/>
      </c>
      <c r="I79" s="72"/>
      <c r="J79" s="89"/>
      <c r="K79" s="15"/>
      <c r="L79" s="24">
        <f>'[1]4нед'!K81</f>
        <v>0</v>
      </c>
      <c r="M79" s="25">
        <f>'[1]4нед'!L81</f>
        <v>0</v>
      </c>
      <c r="N79" s="26">
        <f>'[1]4нед'!O81</f>
        <v>0</v>
      </c>
      <c r="O79" s="27" t="str">
        <f>'[1]4нед'!P81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'[1]3нед'!K82</f>
        <v>л</v>
      </c>
      <c r="E80" s="19" t="str">
        <f>'[1]3нед'!L82</f>
        <v>Основы компьютерных наук</v>
      </c>
      <c r="F80" s="17" t="str">
        <f>'[1]3нед'!O82</f>
        <v>Криницкий Ю.В.</v>
      </c>
      <c r="G80" s="18" t="str">
        <f>'[1]3нед'!P82</f>
        <v>преподаватель</v>
      </c>
      <c r="H80" s="56" t="str">
        <f>HYPERLINK(VLOOKUP(E80,$R$12:$S$180,2,FALSE))</f>
        <v>https://max.ru/join/4mCFDUjZkVK8UuftVSt2q9QOKz6Cf_Jp6XFsId-Pa_Y</v>
      </c>
      <c r="I80" s="70">
        <v>46287</v>
      </c>
      <c r="J80" s="87" t="s">
        <v>25</v>
      </c>
      <c r="K80" s="29" t="s">
        <v>18</v>
      </c>
      <c r="L80" s="16" t="str">
        <f>'[1]4нед'!K82</f>
        <v>л</v>
      </c>
      <c r="M80" s="19" t="str">
        <f>'[1]4нед'!L82</f>
        <v>Основы компьютерных наук</v>
      </c>
      <c r="N80" s="17" t="str">
        <f>'[1]4нед'!O82</f>
        <v>Криницкий Ю.В.</v>
      </c>
      <c r="O80" s="18" t="str">
        <f>'[1]4нед'!P82</f>
        <v>преподаватель</v>
      </c>
      <c r="P80" s="56" t="str">
        <f>HYPERLINK(VLOOKUP(M80,$R$12:$S$180,2,FALSE))</f>
        <v>https://max.ru/join/4mCFDUjZkVK8UuftVSt2q9QOKz6Cf_Jp6XFsId-Pa_Y</v>
      </c>
    </row>
    <row r="81" spans="1:16" ht="37.5" x14ac:dyDescent="0.2">
      <c r="A81" s="82"/>
      <c r="B81" s="85"/>
      <c r="C81" s="14" t="s">
        <v>19</v>
      </c>
      <c r="D81" s="20" t="str">
        <f>'[1]3нед'!K83</f>
        <v>пр</v>
      </c>
      <c r="E81" s="23" t="str">
        <f>'[1]3нед'!L83</f>
        <v>Основы компьютерных наук</v>
      </c>
      <c r="F81" s="21" t="str">
        <f>'[1]3нед'!O83</f>
        <v>Криницкий Ю.В.</v>
      </c>
      <c r="G81" s="22" t="str">
        <f>'[1]3нед'!P83</f>
        <v>преподаватель</v>
      </c>
      <c r="H81" s="57" t="str">
        <f>HYPERLINK(VLOOKUP(E81,$R$12:$S$180,2,FALSE))</f>
        <v>https://max.ru/join/4mCFDUjZkVK8UuftVSt2q9QOKz6Cf_Jp6XFsId-Pa_Y</v>
      </c>
      <c r="I81" s="71"/>
      <c r="J81" s="88"/>
      <c r="K81" s="14" t="s">
        <v>19</v>
      </c>
      <c r="L81" s="20" t="str">
        <f>'[1]4нед'!K83</f>
        <v>пр</v>
      </c>
      <c r="M81" s="23" t="str">
        <f>'[1]4нед'!L83</f>
        <v>Основы компьютерных наук</v>
      </c>
      <c r="N81" s="21" t="str">
        <f>'[1]4нед'!O83</f>
        <v>Криницкий Ю.В.</v>
      </c>
      <c r="O81" s="22" t="str">
        <f>'[1]4нед'!P83</f>
        <v>преподаватель</v>
      </c>
      <c r="P81" s="57" t="str">
        <f>HYPERLINK(VLOOKUP(M81,$R$12:$S$180,2,FALSE))</f>
        <v>https://max.ru/join/4mCFDUjZkVK8UuftVSt2q9QOKz6Cf_Jp6XFsId-Pa_Y</v>
      </c>
    </row>
    <row r="82" spans="1:16" ht="31.5" x14ac:dyDescent="0.2">
      <c r="A82" s="82"/>
      <c r="B82" s="85"/>
      <c r="C82" s="14" t="s">
        <v>20</v>
      </c>
      <c r="D82" s="20">
        <f>'[1]3нед'!K84</f>
        <v>0</v>
      </c>
      <c r="E82" s="23">
        <f>'[1]3нед'!L84</f>
        <v>0</v>
      </c>
      <c r="F82" s="21">
        <f>'[1]3нед'!O84</f>
        <v>0</v>
      </c>
      <c r="G82" s="22" t="str">
        <f>'[1]3нед'!P84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'[1]4нед'!K84</f>
        <v>0</v>
      </c>
      <c r="M82" s="23">
        <f>'[1]4нед'!L84</f>
        <v>0</v>
      </c>
      <c r="N82" s="21">
        <f>'[1]4нед'!O84</f>
        <v>0</v>
      </c>
      <c r="O82" s="22" t="str">
        <f>'[1]4нед'!P84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'[1]3нед'!K85</f>
        <v>0</v>
      </c>
      <c r="E83" s="23">
        <f>'[1]3нед'!L85</f>
        <v>0</v>
      </c>
      <c r="F83" s="21">
        <f>'[1]3нед'!O85</f>
        <v>0</v>
      </c>
      <c r="G83" s="22" t="str">
        <f>'[1]3нед'!P85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'[1]4нед'!K85</f>
        <v>0</v>
      </c>
      <c r="M83" s="23">
        <f>'[1]4нед'!L85</f>
        <v>0</v>
      </c>
      <c r="N83" s="21">
        <f>'[1]4нед'!O85</f>
        <v>0</v>
      </c>
      <c r="O83" s="22" t="str">
        <f>'[1]4нед'!P85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'[1]3нед'!K86</f>
        <v>0</v>
      </c>
      <c r="E84" s="23">
        <f>'[1]3нед'!L86</f>
        <v>0</v>
      </c>
      <c r="F84" s="21">
        <f>'[1]3нед'!O86</f>
        <v>0</v>
      </c>
      <c r="G84" s="22" t="str">
        <f>'[1]3нед'!P86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'[1]4нед'!K86</f>
        <v>0</v>
      </c>
      <c r="M84" s="23">
        <f>'[1]4нед'!L86</f>
        <v>0</v>
      </c>
      <c r="N84" s="21">
        <f>'[1]4нед'!O86</f>
        <v>0</v>
      </c>
      <c r="O84" s="22" t="str">
        <f>'[1]4нед'!P86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'[1]3нед'!K87</f>
        <v>0</v>
      </c>
      <c r="E85" s="23">
        <f>'[1]3нед'!L87</f>
        <v>0</v>
      </c>
      <c r="F85" s="21">
        <f>'[1]3нед'!O87</f>
        <v>0</v>
      </c>
      <c r="G85" s="22" t="str">
        <f>'[1]3нед'!P87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'[1]4нед'!K87</f>
        <v>0</v>
      </c>
      <c r="M85" s="23">
        <f>'[1]4нед'!L87</f>
        <v>0</v>
      </c>
      <c r="N85" s="21">
        <f>'[1]4нед'!O87</f>
        <v>0</v>
      </c>
      <c r="O85" s="22" t="str">
        <f>'[1]4нед'!P87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'[1]3нед'!K88</f>
        <v>0</v>
      </c>
      <c r="E86" s="23">
        <f>'[1]3нед'!L88</f>
        <v>0</v>
      </c>
      <c r="F86" s="21">
        <f>'[1]3нед'!O88</f>
        <v>0</v>
      </c>
      <c r="G86" s="22" t="str">
        <f>'[1]3нед'!P88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'[1]4нед'!K88</f>
        <v>0</v>
      </c>
      <c r="M86" s="23">
        <f>'[1]4нед'!L88</f>
        <v>0</v>
      </c>
      <c r="N86" s="21">
        <f>'[1]4нед'!O88</f>
        <v>0</v>
      </c>
      <c r="O86" s="22" t="str">
        <f>'[1]4нед'!P88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'[1]3нед'!K89</f>
        <v>0</v>
      </c>
      <c r="E87" s="25">
        <f>'[1]3нед'!L89</f>
        <v>0</v>
      </c>
      <c r="F87" s="26">
        <f>'[1]3нед'!O89</f>
        <v>0</v>
      </c>
      <c r="G87" s="27" t="str">
        <f>'[1]3нед'!P89</f>
        <v/>
      </c>
      <c r="H87" s="58" t="str">
        <f>HYPERLINK(VLOOKUP(E87,$R$12:$S$180,2,FALSE))</f>
        <v/>
      </c>
      <c r="I87" s="72"/>
      <c r="J87" s="89"/>
      <c r="K87" s="15"/>
      <c r="L87" s="24">
        <f>'[1]4нед'!K89</f>
        <v>0</v>
      </c>
      <c r="M87" s="25">
        <f>'[1]4нед'!L89</f>
        <v>0</v>
      </c>
      <c r="N87" s="26">
        <f>'[1]4нед'!O89</f>
        <v>0</v>
      </c>
      <c r="O87" s="27" t="str">
        <f>'[1]4нед'!P89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'[1]3нед'!K90</f>
        <v>л</v>
      </c>
      <c r="E88" s="19" t="str">
        <f>'[1]3нед'!L90</f>
        <v>Финансово-экономический практикум</v>
      </c>
      <c r="F88" s="17" t="str">
        <f>'[1]3нед'!O90</f>
        <v>Марусик Е.А.</v>
      </c>
      <c r="G88" s="18" t="str">
        <f>'[1]3нед'!P90</f>
        <v>доцент, канд. наук</v>
      </c>
      <c r="H88" s="56" t="str">
        <f>HYPERLINK(VLOOKUP(E88,$R$12:$S$180,2,FALSE))</f>
        <v>https://max.ru/join/rbLpJ5ax_sNm7y2cvgCMyBOUSIrOjgoKAtn_bNJ6fGo</v>
      </c>
      <c r="I88" s="70">
        <v>46288</v>
      </c>
      <c r="J88" s="73" t="s">
        <v>26</v>
      </c>
      <c r="K88" s="29" t="s">
        <v>18</v>
      </c>
      <c r="L88" s="16" t="str">
        <f>'[1]4нед'!K90</f>
        <v>пр</v>
      </c>
      <c r="M88" s="19" t="str">
        <f>'[1]4нед'!L90</f>
        <v xml:space="preserve"> Финансово-экономический практикум</v>
      </c>
      <c r="N88" s="17" t="str">
        <f>'[1]4нед'!O90</f>
        <v>Бойчук О.В.</v>
      </c>
      <c r="O88" s="18" t="str">
        <f>'[1]4нед'!P90</f>
        <v>ст. преподаватель</v>
      </c>
      <c r="P88" s="56" t="str">
        <f>HYPERLINK(VLOOKUP(M88,$R$12:$S$180,2,FALSE))</f>
        <v>https://max.ru/join/4mCFDUjZkVK8UuftVSt2q9QOKz6Cf_Jp6XFsId-Pa_Y</v>
      </c>
    </row>
    <row r="89" spans="1:16" ht="37.5" x14ac:dyDescent="0.2">
      <c r="A89" s="82"/>
      <c r="B89" s="68"/>
      <c r="C89" s="14" t="s">
        <v>19</v>
      </c>
      <c r="D89" s="20" t="str">
        <f>'[1]3нед'!K91</f>
        <v>л</v>
      </c>
      <c r="E89" s="23" t="str">
        <f>'[1]3нед'!L91</f>
        <v>Нормативно-правовые основы профессиональной деятельности</v>
      </c>
      <c r="F89" s="21" t="str">
        <f>'[1]3нед'!O91</f>
        <v>Милкина Е.В.</v>
      </c>
      <c r="G89" s="22" t="str">
        <f>'[1]3нед'!P91</f>
        <v>доцент, канд. наук</v>
      </c>
      <c r="H89" s="57" t="str">
        <f>HYPERLINK(VLOOKUP(E89,$R$12:$S$180,2,FALSE))</f>
        <v>https://max.ru/join/HrLKTRdTWGgXDgkuZo5FTj-f0KVF4vF-lNNZ0Bt6Dlk</v>
      </c>
      <c r="I89" s="71"/>
      <c r="J89" s="74"/>
      <c r="K89" s="14" t="s">
        <v>19</v>
      </c>
      <c r="L89" s="20" t="str">
        <f>'[1]4нед'!K91</f>
        <v>пр</v>
      </c>
      <c r="M89" s="23" t="str">
        <f>'[1]4нед'!L91</f>
        <v xml:space="preserve"> Нормативно-правовые основы профессиональной деятельности</v>
      </c>
      <c r="N89" s="21" t="str">
        <f>'[1]4нед'!O91</f>
        <v>Тымчук А.С.</v>
      </c>
      <c r="O89" s="22" t="str">
        <f>'[1]4нед'!P91</f>
        <v>преподаватель</v>
      </c>
      <c r="P89" s="57" t="str">
        <f>HYPERLINK(VLOOKUP(M89,$R$12:$S$180,2,FALSE))</f>
        <v>https://max.ru/join/4mCFDUjZkVK8UuftVSt2q9QOKz6Cf_Jp6XFsId-Pa_Y</v>
      </c>
    </row>
    <row r="90" spans="1:16" ht="37.5" x14ac:dyDescent="0.2">
      <c r="A90" s="82"/>
      <c r="B90" s="68"/>
      <c r="C90" s="14" t="s">
        <v>20</v>
      </c>
      <c r="D90" s="20" t="str">
        <f>'[1]3нед'!K92</f>
        <v>л</v>
      </c>
      <c r="E90" s="23" t="str">
        <f>'[1]3нед'!L92</f>
        <v>Нормативно-правовые основы профессиональной деятельности</v>
      </c>
      <c r="F90" s="21" t="str">
        <f>'[1]3нед'!O92</f>
        <v>Милкина Е.В.</v>
      </c>
      <c r="G90" s="22" t="str">
        <f>'[1]3нед'!P92</f>
        <v>доцент, канд. наук</v>
      </c>
      <c r="H90" s="57" t="str">
        <f>HYPERLINK(VLOOKUP(E90,$R$12:$S$180,2,FALSE))</f>
        <v>https://max.ru/join/HrLKTRdTWGgXDgkuZo5FTj-f0KVF4vF-lNNZ0Bt6Dlk</v>
      </c>
      <c r="I90" s="71"/>
      <c r="J90" s="74"/>
      <c r="K90" s="14" t="s">
        <v>20</v>
      </c>
      <c r="L90" s="20">
        <f>'[1]4нед'!K92</f>
        <v>0</v>
      </c>
      <c r="M90" s="23">
        <f>'[1]4нед'!L92</f>
        <v>0</v>
      </c>
      <c r="N90" s="21">
        <f>'[1]4нед'!O92</f>
        <v>0</v>
      </c>
      <c r="O90" s="22" t="str">
        <f>'[1]4нед'!P92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'[1]3нед'!K93</f>
        <v>0</v>
      </c>
      <c r="E91" s="23">
        <f>'[1]3нед'!L93</f>
        <v>0</v>
      </c>
      <c r="F91" s="21">
        <f>'[1]3нед'!O93</f>
        <v>0</v>
      </c>
      <c r="G91" s="22" t="str">
        <f>'[1]3нед'!P93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'[1]4нед'!K93</f>
        <v>0</v>
      </c>
      <c r="M91" s="23">
        <f>'[1]4нед'!L93</f>
        <v>0</v>
      </c>
      <c r="N91" s="21">
        <f>'[1]4нед'!O93</f>
        <v>0</v>
      </c>
      <c r="O91" s="22" t="str">
        <f>'[1]4нед'!P93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'[1]3нед'!K94</f>
        <v>0</v>
      </c>
      <c r="E92" s="23">
        <f>'[1]3нед'!L94</f>
        <v>0</v>
      </c>
      <c r="F92" s="21">
        <f>'[1]3нед'!O94</f>
        <v>0</v>
      </c>
      <c r="G92" s="22" t="str">
        <f>'[1]3нед'!P94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'[1]4нед'!K94</f>
        <v>0</v>
      </c>
      <c r="M92" s="23">
        <f>'[1]4нед'!L94</f>
        <v>0</v>
      </c>
      <c r="N92" s="21">
        <f>'[1]4нед'!O94</f>
        <v>0</v>
      </c>
      <c r="O92" s="22" t="str">
        <f>'[1]4нед'!P94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'[1]3нед'!K95</f>
        <v>0</v>
      </c>
      <c r="E93" s="23">
        <f>'[1]3нед'!L95</f>
        <v>0</v>
      </c>
      <c r="F93" s="21">
        <f>'[1]3нед'!O95</f>
        <v>0</v>
      </c>
      <c r="G93" s="22" t="str">
        <f>'[1]3нед'!P95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'[1]4нед'!K95</f>
        <v>0</v>
      </c>
      <c r="M93" s="23">
        <f>'[1]4нед'!L95</f>
        <v>0</v>
      </c>
      <c r="N93" s="21">
        <f>'[1]4нед'!O95</f>
        <v>0</v>
      </c>
      <c r="O93" s="22" t="str">
        <f>'[1]4нед'!P95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'[1]3нед'!K96</f>
        <v>0</v>
      </c>
      <c r="E94" s="23">
        <f>'[1]3нед'!L96</f>
        <v>0</v>
      </c>
      <c r="F94" s="21">
        <f>'[1]3нед'!O96</f>
        <v>0</v>
      </c>
      <c r="G94" s="22" t="str">
        <f>'[1]3нед'!P96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'[1]4нед'!K96</f>
        <v>0</v>
      </c>
      <c r="M94" s="23">
        <f>'[1]4нед'!L96</f>
        <v>0</v>
      </c>
      <c r="N94" s="21">
        <f>'[1]4нед'!O96</f>
        <v>0</v>
      </c>
      <c r="O94" s="22" t="str">
        <f>'[1]4нед'!P96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'[1]3нед'!K97</f>
        <v>0</v>
      </c>
      <c r="E95" s="25">
        <f>'[1]3нед'!L97</f>
        <v>0</v>
      </c>
      <c r="F95" s="26">
        <f>'[1]3нед'!O97</f>
        <v>0</v>
      </c>
      <c r="G95" s="27" t="str">
        <f>'[1]3нед'!P97</f>
        <v/>
      </c>
      <c r="H95" s="58" t="str">
        <f>HYPERLINK(VLOOKUP(E95,$R$12:$S$180,2,FALSE))</f>
        <v/>
      </c>
      <c r="I95" s="72"/>
      <c r="J95" s="75"/>
      <c r="K95" s="15"/>
      <c r="L95" s="24">
        <f>'[1]4нед'!K97</f>
        <v>0</v>
      </c>
      <c r="M95" s="25">
        <f>'[1]4нед'!L97</f>
        <v>0</v>
      </c>
      <c r="N95" s="26">
        <f>'[1]4нед'!O97</f>
        <v>0</v>
      </c>
      <c r="O95" s="27" t="str">
        <f>'[1]4нед'!P97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'[1]3нед'!K98</f>
        <v>пр</v>
      </c>
      <c r="E96" s="19" t="str">
        <f>'[1]3нед'!L98</f>
        <v xml:space="preserve"> ИКТ и медиаинформационная грамотность</v>
      </c>
      <c r="F96" s="17" t="str">
        <f>'[1]3нед'!O98</f>
        <v>Олейников Н.Н.</v>
      </c>
      <c r="G96" s="18" t="str">
        <f>'[1]3нед'!P98</f>
        <v>ст. преподаватель</v>
      </c>
      <c r="H96" s="56" t="str">
        <f>HYPERLINK(VLOOKUP(E96,$R$12:$S$180,2,FALSE))</f>
        <v>https://max.ru/join/4mCFDUjZkVK8UuftVSt2q9QOKz6Cf_Jp6XFsId-Pa_Y</v>
      </c>
      <c r="I96" s="70">
        <v>46289</v>
      </c>
      <c r="J96" s="87" t="s">
        <v>27</v>
      </c>
      <c r="K96" s="29" t="s">
        <v>18</v>
      </c>
      <c r="L96" s="16">
        <f>'[1]4нед'!K98</f>
        <v>0</v>
      </c>
      <c r="M96" s="19">
        <f>'[1]4нед'!L98</f>
        <v>0</v>
      </c>
      <c r="N96" s="17">
        <f>'[1]4нед'!O98</f>
        <v>0</v>
      </c>
      <c r="O96" s="18" t="str">
        <f>'[1]4нед'!P98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'[1]3нед'!K99</f>
        <v>л</v>
      </c>
      <c r="E97" s="23" t="str">
        <f>'[1]3нед'!L99</f>
        <v>Математика для программирования</v>
      </c>
      <c r="F97" s="21" t="str">
        <f>'[1]3нед'!O99</f>
        <v>Линник Е.П.</v>
      </c>
      <c r="G97" s="22" t="str">
        <f>'[1]3нед'!P99</f>
        <v>доцент, канд. наук</v>
      </c>
      <c r="H97" s="57" t="str">
        <f>HYPERLINK(VLOOKUP(E97,$R$12:$S$180,2,FALSE))</f>
        <v>https://max.ru/join/4mCFDUjZkVK8UuftVSt2q9QOKz6Cf_Jp6XFsId-Pa_Y</v>
      </c>
      <c r="I97" s="71"/>
      <c r="J97" s="88"/>
      <c r="K97" s="14" t="s">
        <v>19</v>
      </c>
      <c r="L97" s="20" t="str">
        <f>'[1]4нед'!K99</f>
        <v>пр</v>
      </c>
      <c r="M97" s="23" t="str">
        <f>'[1]4нед'!L99</f>
        <v>Математика для программирования</v>
      </c>
      <c r="N97" s="21" t="str">
        <f>'[1]4нед'!O99</f>
        <v>Линник Е.П.</v>
      </c>
      <c r="O97" s="22" t="str">
        <f>'[1]4нед'!P99</f>
        <v>доцент, канд. наук</v>
      </c>
      <c r="P97" s="57" t="str">
        <f>HYPERLINK(VLOOKUP(M97,$R$12:$S$180,2,FALSE))</f>
        <v>https://max.ru/join/4mCFDUjZkVK8UuftVSt2q9QOKz6Cf_Jp6XFsId-Pa_Y</v>
      </c>
    </row>
    <row r="98" spans="1:16" ht="37.5" x14ac:dyDescent="0.2">
      <c r="A98" s="82"/>
      <c r="B98" s="85"/>
      <c r="C98" s="14" t="s">
        <v>20</v>
      </c>
      <c r="D98" s="20" t="str">
        <f>'[1]3нед'!K100</f>
        <v>л</v>
      </c>
      <c r="E98" s="23" t="str">
        <f>'[1]3нед'!L100</f>
        <v>Математика для программирования</v>
      </c>
      <c r="F98" s="21" t="str">
        <f>'[1]3нед'!O100</f>
        <v>Линник Е.П.</v>
      </c>
      <c r="G98" s="22" t="str">
        <f>'[1]3нед'!P100</f>
        <v>доцент, канд. наук</v>
      </c>
      <c r="H98" s="57" t="str">
        <f>HYPERLINK(VLOOKUP(E98,$R$12:$S$180,2,FALSE))</f>
        <v>https://max.ru/join/4mCFDUjZkVK8UuftVSt2q9QOKz6Cf_Jp6XFsId-Pa_Y</v>
      </c>
      <c r="I98" s="71"/>
      <c r="J98" s="88"/>
      <c r="K98" s="14" t="s">
        <v>20</v>
      </c>
      <c r="L98" s="20" t="str">
        <f>'[1]4нед'!K100</f>
        <v>пр</v>
      </c>
      <c r="M98" s="23" t="str">
        <f>'[1]4нед'!L100</f>
        <v>Математика для программирования</v>
      </c>
      <c r="N98" s="21" t="str">
        <f>'[1]4нед'!O100</f>
        <v>Линник Е.П.</v>
      </c>
      <c r="O98" s="22" t="str">
        <f>'[1]4нед'!P100</f>
        <v>доцент, канд. наук</v>
      </c>
      <c r="P98" s="57" t="str">
        <f>HYPERLINK(VLOOKUP(M98,$R$12:$S$180,2,FALSE))</f>
        <v>https://max.ru/join/4mCFDUjZkVK8UuftVSt2q9QOKz6Cf_Jp6XFsId-Pa_Y</v>
      </c>
    </row>
    <row r="99" spans="1:16" ht="31.5" x14ac:dyDescent="0.2">
      <c r="A99" s="82"/>
      <c r="B99" s="85"/>
      <c r="C99" s="14" t="s">
        <v>21</v>
      </c>
      <c r="D99" s="20">
        <f>'[1]3нед'!K101</f>
        <v>0</v>
      </c>
      <c r="E99" s="23">
        <f>'[1]3нед'!L101</f>
        <v>0</v>
      </c>
      <c r="F99" s="21">
        <f>'[1]3нед'!O101</f>
        <v>0</v>
      </c>
      <c r="G99" s="22" t="str">
        <f>'[1]3нед'!P101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'[1]4нед'!K101</f>
        <v>0</v>
      </c>
      <c r="M99" s="23">
        <f>'[1]4нед'!L101</f>
        <v>0</v>
      </c>
      <c r="N99" s="21">
        <f>'[1]4нед'!O101</f>
        <v>0</v>
      </c>
      <c r="O99" s="22" t="str">
        <f>'[1]4нед'!P101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'[1]3нед'!K102</f>
        <v>0</v>
      </c>
      <c r="E100" s="23">
        <f>'[1]3нед'!L102</f>
        <v>0</v>
      </c>
      <c r="F100" s="21">
        <f>'[1]3нед'!O102</f>
        <v>0</v>
      </c>
      <c r="G100" s="22" t="str">
        <f>'[1]3нед'!P102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'[1]4нед'!K102</f>
        <v>0</v>
      </c>
      <c r="M100" s="23">
        <f>'[1]4нед'!L102</f>
        <v>0</v>
      </c>
      <c r="N100" s="21">
        <f>'[1]4нед'!O102</f>
        <v>0</v>
      </c>
      <c r="O100" s="22" t="str">
        <f>'[1]4нед'!P102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'[1]3нед'!K103</f>
        <v>0</v>
      </c>
      <c r="E101" s="23">
        <f>'[1]3нед'!L103</f>
        <v>0</v>
      </c>
      <c r="F101" s="21">
        <f>'[1]3нед'!O103</f>
        <v>0</v>
      </c>
      <c r="G101" s="22" t="str">
        <f>'[1]3нед'!P103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'[1]4нед'!K103</f>
        <v>0</v>
      </c>
      <c r="M101" s="23">
        <f>'[1]4нед'!L103</f>
        <v>0</v>
      </c>
      <c r="N101" s="21">
        <f>'[1]4нед'!O103</f>
        <v>0</v>
      </c>
      <c r="O101" s="22" t="str">
        <f>'[1]4нед'!P103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'[1]3нед'!K104</f>
        <v>0</v>
      </c>
      <c r="E102" s="23">
        <f>'[1]3нед'!L104</f>
        <v>0</v>
      </c>
      <c r="F102" s="21">
        <f>'[1]3нед'!O104</f>
        <v>0</v>
      </c>
      <c r="G102" s="22" t="str">
        <f>'[1]3нед'!P104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'[1]4нед'!K104</f>
        <v>0</v>
      </c>
      <c r="M102" s="23">
        <f>'[1]4нед'!L104</f>
        <v>0</v>
      </c>
      <c r="N102" s="21">
        <f>'[1]4нед'!O104</f>
        <v>0</v>
      </c>
      <c r="O102" s="22" t="str">
        <f>'[1]4нед'!P104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'[1]3нед'!K105</f>
        <v>0</v>
      </c>
      <c r="E103" s="25">
        <f>'[1]3нед'!L105</f>
        <v>0</v>
      </c>
      <c r="F103" s="26">
        <f>'[1]3нед'!O105</f>
        <v>0</v>
      </c>
      <c r="G103" s="27" t="str">
        <f>'[1]3нед'!P105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'[1]4нед'!K105</f>
        <v>0</v>
      </c>
      <c r="M103" s="25">
        <f>'[1]4нед'!L105</f>
        <v>0</v>
      </c>
      <c r="N103" s="26">
        <f>'[1]4нед'!O105</f>
        <v>0</v>
      </c>
      <c r="O103" s="27" t="str">
        <f>'[1]4нед'!P105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'[1]3нед'!K106</f>
        <v>0</v>
      </c>
      <c r="E104" s="19">
        <f>'[1]3нед'!L106</f>
        <v>0</v>
      </c>
      <c r="F104" s="17">
        <f>'[1]3нед'!O106</f>
        <v>0</v>
      </c>
      <c r="G104" s="18" t="str">
        <f>'[1]3нед'!P106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'[1]4нед'!K106</f>
        <v>0</v>
      </c>
      <c r="M104" s="19">
        <f>'[1]4нед'!L106</f>
        <v>0</v>
      </c>
      <c r="N104" s="17">
        <f>'[1]4нед'!O106</f>
        <v>0</v>
      </c>
      <c r="O104" s="18" t="str">
        <f>'[1]4нед'!P106</f>
        <v/>
      </c>
      <c r="P104" s="56" t="str">
        <f>HYPERLINK(VLOOKUP(M104,$R$12:$S$180,2,FALSE))</f>
        <v/>
      </c>
    </row>
    <row r="105" spans="1:16" ht="37.5" x14ac:dyDescent="0.2">
      <c r="A105" s="82"/>
      <c r="B105" s="85"/>
      <c r="C105" s="14" t="s">
        <v>19</v>
      </c>
      <c r="D105" s="20" t="str">
        <f>'[1]3нед'!K107</f>
        <v>л</v>
      </c>
      <c r="E105" s="23" t="str">
        <f>'[1]3нед'!L107</f>
        <v>Архитектура компьютера и Интернет</v>
      </c>
      <c r="F105" s="21" t="str">
        <f>'[1]3нед'!O107</f>
        <v>Криницкий Ю.В.</v>
      </c>
      <c r="G105" s="22" t="str">
        <f>'[1]3нед'!P107</f>
        <v>преподаватель</v>
      </c>
      <c r="H105" s="57" t="str">
        <f>HYPERLINK(VLOOKUP(E105,$R$12:$S$180,2,FALSE))</f>
        <v>https://max.ru/join/4mCFDUjZkVK8UuftVSt2q9QOKz6Cf_Jp6XFsId-Pa_Y</v>
      </c>
      <c r="I105" s="71"/>
      <c r="J105" s="88"/>
      <c r="K105" s="14" t="s">
        <v>19</v>
      </c>
      <c r="L105" s="20" t="str">
        <f>'[1]4нед'!K107</f>
        <v>пр</v>
      </c>
      <c r="M105" s="23" t="str">
        <f>'[1]4нед'!L107</f>
        <v>Введение в Javascript и основы веб-разработки</v>
      </c>
      <c r="N105" s="21" t="str">
        <f>'[1]4нед'!O107</f>
        <v>Алешов В.В.</v>
      </c>
      <c r="O105" s="22" t="str">
        <f>'[1]4нед'!P107</f>
        <v>ст. преподаватель</v>
      </c>
      <c r="P105" s="57" t="str">
        <f>HYPERLINK(VLOOKUP(M105,$R$12:$S$180,2,FALSE))</f>
        <v>https://max.ru/join/4mCFDUjZkVK8UuftVSt2q9QOKz6Cf_Jp6XFsId-Pa_Y</v>
      </c>
    </row>
    <row r="106" spans="1:16" ht="37.5" x14ac:dyDescent="0.2">
      <c r="A106" s="82"/>
      <c r="B106" s="85"/>
      <c r="C106" s="14" t="s">
        <v>20</v>
      </c>
      <c r="D106" s="20" t="str">
        <f>'[1]3нед'!K108</f>
        <v>пр</v>
      </c>
      <c r="E106" s="23" t="str">
        <f>'[1]3нед'!L108</f>
        <v>Архитектура компьютера и Интернет</v>
      </c>
      <c r="F106" s="21" t="str">
        <f>'[1]3нед'!O108</f>
        <v>Криницкий Ю.В.</v>
      </c>
      <c r="G106" s="22" t="str">
        <f>'[1]3нед'!P108</f>
        <v>преподаватель</v>
      </c>
      <c r="H106" s="57" t="str">
        <f>HYPERLINK(VLOOKUP(E106,$R$12:$S$180,2,FALSE))</f>
        <v>https://max.ru/join/4mCFDUjZkVK8UuftVSt2q9QOKz6Cf_Jp6XFsId-Pa_Y</v>
      </c>
      <c r="I106" s="71"/>
      <c r="J106" s="88"/>
      <c r="K106" s="14" t="s">
        <v>20</v>
      </c>
      <c r="L106" s="20" t="str">
        <f>'[1]4нед'!K108</f>
        <v>пр</v>
      </c>
      <c r="M106" s="23" t="str">
        <f>'[1]4нед'!L108</f>
        <v>Архитектура компьютера и Интернет</v>
      </c>
      <c r="N106" s="21" t="str">
        <f>'[1]4нед'!O108</f>
        <v>Криницкий Ю.В.</v>
      </c>
      <c r="O106" s="22" t="str">
        <f>'[1]4нед'!P108</f>
        <v>преподаватель</v>
      </c>
      <c r="P106" s="57" t="str">
        <f>HYPERLINK(VLOOKUP(M106,$R$12:$S$180,2,FALSE))</f>
        <v>https://max.ru/join/4mCFDUjZkVK8UuftVSt2q9QOKz6Cf_Jp6XFsId-Pa_Y</v>
      </c>
    </row>
    <row r="107" spans="1:16" ht="37.5" x14ac:dyDescent="0.2">
      <c r="A107" s="82"/>
      <c r="B107" s="85"/>
      <c r="C107" s="14" t="s">
        <v>21</v>
      </c>
      <c r="D107" s="20" t="str">
        <f>'[1]3нед'!K109</f>
        <v>пр</v>
      </c>
      <c r="E107" s="23" t="str">
        <f>'[1]3нед'!L109</f>
        <v>Физическая культура и спорт</v>
      </c>
      <c r="F107" s="21" t="str">
        <f>'[1]3нед'!O109</f>
        <v>Заболотний С.И.</v>
      </c>
      <c r="G107" s="22" t="str">
        <f>'[1]3нед'!P109</f>
        <v>преподаватель</v>
      </c>
      <c r="H107" s="57" t="str">
        <f>HYPERLINK(VLOOKUP(E107,$R$12:$S$180,2,FALSE))</f>
        <v>https://max.ru/join/4mCFDUjZkVK8UuftVSt2q9QOKz6Cf_Jp6XFsId-Pa_Y</v>
      </c>
      <c r="I107" s="71"/>
      <c r="J107" s="88"/>
      <c r="K107" s="14" t="s">
        <v>21</v>
      </c>
      <c r="L107" s="20" t="str">
        <f>'[1]4нед'!K109</f>
        <v>пр</v>
      </c>
      <c r="M107" s="23" t="str">
        <f>'[1]4нед'!L109</f>
        <v>Физическая культура и спорт</v>
      </c>
      <c r="N107" s="21" t="str">
        <f>'[1]4нед'!O109</f>
        <v>Заболотний С.И.</v>
      </c>
      <c r="O107" s="22" t="str">
        <f>'[1]4нед'!P109</f>
        <v>преподаватель</v>
      </c>
      <c r="P107" s="57" t="str">
        <f>HYPERLINK(VLOOKUP(M107,$R$12:$S$180,2,FALSE))</f>
        <v>https://max.ru/join/4mCFDUjZkVK8UuftVSt2q9QOKz6Cf_Jp6XFsId-Pa_Y</v>
      </c>
    </row>
    <row r="108" spans="1:16" ht="31.5" x14ac:dyDescent="0.2">
      <c r="A108" s="82"/>
      <c r="B108" s="85"/>
      <c r="C108" s="14" t="s">
        <v>22</v>
      </c>
      <c r="D108" s="20">
        <f>'[1]3нед'!K110</f>
        <v>0</v>
      </c>
      <c r="E108" s="23">
        <f>'[1]3нед'!L110</f>
        <v>0</v>
      </c>
      <c r="F108" s="21">
        <f>'[1]3нед'!O110</f>
        <v>0</v>
      </c>
      <c r="G108" s="22" t="str">
        <f>'[1]3нед'!P110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'[1]4нед'!K110</f>
        <v>0</v>
      </c>
      <c r="M108" s="23">
        <f>'[1]4нед'!L110</f>
        <v>0</v>
      </c>
      <c r="N108" s="21">
        <f>'[1]4нед'!O110</f>
        <v>0</v>
      </c>
      <c r="O108" s="22" t="str">
        <f>'[1]4нед'!P110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'[1]3нед'!K111</f>
        <v>0</v>
      </c>
      <c r="E109" s="23">
        <f>'[1]3нед'!L111</f>
        <v>0</v>
      </c>
      <c r="F109" s="21">
        <f>'[1]3нед'!O111</f>
        <v>0</v>
      </c>
      <c r="G109" s="22" t="str">
        <f>'[1]3нед'!P111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'[1]4нед'!K111</f>
        <v>0</v>
      </c>
      <c r="M109" s="23">
        <f>'[1]4нед'!L111</f>
        <v>0</v>
      </c>
      <c r="N109" s="21">
        <f>'[1]4нед'!O111</f>
        <v>0</v>
      </c>
      <c r="O109" s="22" t="str">
        <f>'[1]4нед'!P111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'[1]3нед'!K112</f>
        <v>0</v>
      </c>
      <c r="E110" s="23">
        <f>'[1]3нед'!L112</f>
        <v>0</v>
      </c>
      <c r="F110" s="21">
        <f>'[1]3нед'!O112</f>
        <v>0</v>
      </c>
      <c r="G110" s="22" t="str">
        <f>'[1]3нед'!P112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'[1]4нед'!K112</f>
        <v>0</v>
      </c>
      <c r="M110" s="23">
        <f>'[1]4нед'!L112</f>
        <v>0</v>
      </c>
      <c r="N110" s="21">
        <f>'[1]4нед'!O112</f>
        <v>0</v>
      </c>
      <c r="O110" s="22" t="str">
        <f>'[1]4нед'!P112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'[1]3нед'!K113</f>
        <v>0</v>
      </c>
      <c r="E111" s="25">
        <f>'[1]3нед'!L113</f>
        <v>0</v>
      </c>
      <c r="F111" s="26">
        <f>'[1]3нед'!O113</f>
        <v>0</v>
      </c>
      <c r="G111" s="27" t="str">
        <f>'[1]3нед'!P113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'[1]4нед'!K113</f>
        <v>0</v>
      </c>
      <c r="M111" s="25">
        <f>'[1]4нед'!L113</f>
        <v>0</v>
      </c>
      <c r="N111" s="26">
        <f>'[1]4нед'!O113</f>
        <v>0</v>
      </c>
      <c r="O111" s="27" t="str">
        <f>'[1]4нед'!P113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'[1]3нед'!K114</f>
        <v>0</v>
      </c>
      <c r="E112" s="19">
        <f>'[1]3нед'!L114</f>
        <v>0</v>
      </c>
      <c r="F112" s="17">
        <f>'[1]3нед'!O114</f>
        <v>0</v>
      </c>
      <c r="G112" s="18" t="str">
        <f>'[1]3нед'!P114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'[1]4нед'!K114</f>
        <v>0</v>
      </c>
      <c r="M112" s="19">
        <f>'[1]4нед'!L114</f>
        <v>0</v>
      </c>
      <c r="N112" s="17">
        <f>'[1]4нед'!O114</f>
        <v>0</v>
      </c>
      <c r="O112" s="18" t="str">
        <f>'[1]4нед'!P114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'[1]3нед'!K115</f>
        <v>0</v>
      </c>
      <c r="E113" s="23">
        <f>'[1]3нед'!L115</f>
        <v>0</v>
      </c>
      <c r="F113" s="21">
        <f>'[1]3нед'!O115</f>
        <v>0</v>
      </c>
      <c r="G113" s="22" t="str">
        <f>'[1]3нед'!P115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'[1]4нед'!K115</f>
        <v>0</v>
      </c>
      <c r="M113" s="23">
        <f>'[1]4нед'!L115</f>
        <v>0</v>
      </c>
      <c r="N113" s="21">
        <f>'[1]4нед'!O115</f>
        <v>0</v>
      </c>
      <c r="O113" s="22" t="str">
        <f>'[1]4нед'!P115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'[1]3нед'!K116</f>
        <v>0</v>
      </c>
      <c r="E114" s="23">
        <f>'[1]3нед'!L116</f>
        <v>0</v>
      </c>
      <c r="F114" s="21">
        <f>'[1]3нед'!O116</f>
        <v>0</v>
      </c>
      <c r="G114" s="22" t="str">
        <f>'[1]3нед'!P116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'[1]4нед'!K116</f>
        <v>0</v>
      </c>
      <c r="M114" s="23">
        <f>'[1]4нед'!L116</f>
        <v>0</v>
      </c>
      <c r="N114" s="21">
        <f>'[1]4нед'!O116</f>
        <v>0</v>
      </c>
      <c r="O114" s="22" t="str">
        <f>'[1]4нед'!P116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'[1]3нед'!K117</f>
        <v>0</v>
      </c>
      <c r="E115" s="23">
        <f>'[1]3нед'!L117</f>
        <v>0</v>
      </c>
      <c r="F115" s="21">
        <f>'[1]3нед'!O117</f>
        <v>0</v>
      </c>
      <c r="G115" s="22" t="str">
        <f>'[1]3нед'!P117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'[1]4нед'!K117</f>
        <v>0</v>
      </c>
      <c r="M115" s="23">
        <f>'[1]4нед'!L117</f>
        <v>0</v>
      </c>
      <c r="N115" s="21">
        <f>'[1]4нед'!O117</f>
        <v>0</v>
      </c>
      <c r="O115" s="22" t="str">
        <f>'[1]4нед'!P117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'[1]3нед'!K118</f>
        <v>0</v>
      </c>
      <c r="E116" s="23">
        <f>'[1]3нед'!L118</f>
        <v>0</v>
      </c>
      <c r="F116" s="21">
        <f>'[1]3нед'!O118</f>
        <v>0</v>
      </c>
      <c r="G116" s="22" t="str">
        <f>'[1]3нед'!P118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'[1]4нед'!K118</f>
        <v>0</v>
      </c>
      <c r="M116" s="23">
        <f>'[1]4нед'!L118</f>
        <v>0</v>
      </c>
      <c r="N116" s="21">
        <f>'[1]4нед'!O118</f>
        <v>0</v>
      </c>
      <c r="O116" s="22" t="str">
        <f>'[1]4нед'!P118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'[1]3нед'!K119</f>
        <v>0</v>
      </c>
      <c r="E117" s="23">
        <f>'[1]3нед'!L119</f>
        <v>0</v>
      </c>
      <c r="F117" s="21">
        <f>'[1]3нед'!O119</f>
        <v>0</v>
      </c>
      <c r="G117" s="22" t="str">
        <f>'[1]3нед'!P119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'[1]4нед'!K119</f>
        <v>0</v>
      </c>
      <c r="M117" s="23">
        <f>'[1]4нед'!L119</f>
        <v>0</v>
      </c>
      <c r="N117" s="21">
        <f>'[1]4нед'!O119</f>
        <v>0</v>
      </c>
      <c r="O117" s="22" t="str">
        <f>'[1]4нед'!P119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'[1]3нед'!K120</f>
        <v>0</v>
      </c>
      <c r="E118" s="23">
        <f>'[1]3нед'!L120</f>
        <v>0</v>
      </c>
      <c r="F118" s="21">
        <f>'[1]3нед'!O120</f>
        <v>0</v>
      </c>
      <c r="G118" s="22" t="str">
        <f>'[1]3нед'!P120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'[1]4нед'!K120</f>
        <v>0</v>
      </c>
      <c r="M118" s="23">
        <f>'[1]4нед'!L120</f>
        <v>0</v>
      </c>
      <c r="N118" s="21">
        <f>'[1]4нед'!O120</f>
        <v>0</v>
      </c>
      <c r="O118" s="22" t="str">
        <f>'[1]4нед'!P120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12-25ПИ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12-25ПИ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'[3]5нед'!K74</f>
        <v>пр</v>
      </c>
      <c r="E132" s="19" t="str">
        <f>'[3]5нед'!L74</f>
        <v>Дискретная математика</v>
      </c>
      <c r="F132" s="17" t="str">
        <f>'[3]5нед'!O74</f>
        <v>Казанцев Ю.А.</v>
      </c>
      <c r="G132" s="18" t="str">
        <f>'[3]5нед'!P74</f>
        <v>ст. преподаватель</v>
      </c>
      <c r="H132" s="56" t="str">
        <f>HYPERLINK(VLOOKUP(E132,$R$12:$S$180,2,FALSE))</f>
        <v>https://max.ru/join/4mCFDUjZkVK8UuftVSt2q9QOKz6Cf_Jp6XFsId-Pa_Y</v>
      </c>
      <c r="I132" s="70">
        <v>46300</v>
      </c>
      <c r="J132" s="87" t="s">
        <v>17</v>
      </c>
      <c r="K132" s="14" t="s">
        <v>18</v>
      </c>
      <c r="L132" s="16" t="str">
        <f>'[3]6нед'!K74</f>
        <v>л</v>
      </c>
      <c r="M132" s="19" t="str">
        <f>'[3]6нед'!L74</f>
        <v>Введение в Javascript и основы веб-разработки</v>
      </c>
      <c r="N132" s="17" t="str">
        <f>'[3]6нед'!O74</f>
        <v>Алешов В.В.</v>
      </c>
      <c r="O132" s="18" t="str">
        <f>'[3]6нед'!P74</f>
        <v>ст. преподаватель</v>
      </c>
      <c r="P132" s="56" t="str">
        <f>HYPERLINK(VLOOKUP(M132,$R$12:$S$180,2,FALSE))</f>
        <v>https://max.ru/join/4mCFDUjZkVK8UuftVSt2q9QOKz6Cf_Jp6XFsId-Pa_Y</v>
      </c>
    </row>
    <row r="133" spans="1:16" ht="37.5" x14ac:dyDescent="0.2">
      <c r="A133" s="82"/>
      <c r="B133" s="85"/>
      <c r="C133" s="14" t="s">
        <v>19</v>
      </c>
      <c r="D133" s="20" t="str">
        <f>'[3]5нед'!K75</f>
        <v>л</v>
      </c>
      <c r="E133" s="23" t="str">
        <f>'[3]5нед'!L75</f>
        <v>ИКТ и медиаинформационная грамотность</v>
      </c>
      <c r="F133" s="21" t="str">
        <f>'[3]5нед'!O75</f>
        <v>Линник И.И.</v>
      </c>
      <c r="G133" s="22" t="str">
        <f>'[3]5нед'!P75</f>
        <v>доцент, канд. наук</v>
      </c>
      <c r="H133" s="57" t="str">
        <f>HYPERLINK(VLOOKUP(E133,$R$12:$S$180,2,FALSE))</f>
        <v>https://max.ru/join/4mCFDUjZkVK8UuftVSt2q9QOKz6Cf_Jp6XFsId-Pa_Y</v>
      </c>
      <c r="I133" s="71"/>
      <c r="J133" s="88"/>
      <c r="K133" s="14" t="s">
        <v>19</v>
      </c>
      <c r="L133" s="20" t="str">
        <f>'[3]6нед'!K75</f>
        <v>пр</v>
      </c>
      <c r="M133" s="23" t="str">
        <f>'[3]6нед'!L75</f>
        <v>Введение в Javascript и основы веб-разработки</v>
      </c>
      <c r="N133" s="21" t="str">
        <f>'[3]6нед'!O75</f>
        <v>Алешов В.В.</v>
      </c>
      <c r="O133" s="22" t="str">
        <f>'[3]6нед'!P75</f>
        <v>ст. преподаватель</v>
      </c>
      <c r="P133" s="57" t="str">
        <f>HYPERLINK(VLOOKUP(M133,$R$12:$S$180,2,FALSE))</f>
        <v>https://max.ru/join/4mCFDUjZkVK8UuftVSt2q9QOKz6Cf_Jp6XFsId-Pa_Y</v>
      </c>
    </row>
    <row r="134" spans="1:16" ht="37.5" x14ac:dyDescent="0.2">
      <c r="A134" s="82"/>
      <c r="B134" s="85"/>
      <c r="C134" s="14" t="s">
        <v>20</v>
      </c>
      <c r="D134" s="20">
        <f>'[3]5нед'!K76</f>
        <v>0</v>
      </c>
      <c r="E134" s="23">
        <f>'[3]5нед'!L76</f>
        <v>0</v>
      </c>
      <c r="F134" s="21">
        <f>'[3]5нед'!O76</f>
        <v>0</v>
      </c>
      <c r="G134" s="22" t="str">
        <f>'[3]5нед'!P76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 t="str">
        <f>'[3]6нед'!K76</f>
        <v>пр</v>
      </c>
      <c r="M134" s="23" t="str">
        <f>'[3]6нед'!L76</f>
        <v>Математика для программирования</v>
      </c>
      <c r="N134" s="21" t="str">
        <f>'[3]6нед'!O76</f>
        <v>Линник Е.П.</v>
      </c>
      <c r="O134" s="22" t="str">
        <f>'[3]6нед'!P76</f>
        <v>доцент, канд. наук</v>
      </c>
      <c r="P134" s="57" t="str">
        <f>HYPERLINK(VLOOKUP(M134,$R$12:$S$180,2,FALSE))</f>
        <v>https://max.ru/join/4mCFDUjZkVK8UuftVSt2q9QOKz6Cf_Jp6XFsId-Pa_Y</v>
      </c>
    </row>
    <row r="135" spans="1:16" ht="31.5" x14ac:dyDescent="0.2">
      <c r="A135" s="82"/>
      <c r="B135" s="85"/>
      <c r="C135" s="14" t="s">
        <v>21</v>
      </c>
      <c r="D135" s="20">
        <f>'[3]5нед'!K77</f>
        <v>0</v>
      </c>
      <c r="E135" s="23">
        <f>'[3]5нед'!L77</f>
        <v>0</v>
      </c>
      <c r="F135" s="21">
        <f>'[3]5нед'!O77</f>
        <v>0</v>
      </c>
      <c r="G135" s="22" t="str">
        <f>'[3]5нед'!P77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'[3]6нед'!K77</f>
        <v>0</v>
      </c>
      <c r="M135" s="23">
        <f>'[3]6нед'!L77</f>
        <v>0</v>
      </c>
      <c r="N135" s="21">
        <f>'[3]6нед'!O77</f>
        <v>0</v>
      </c>
      <c r="O135" s="22" t="str">
        <f>'[3]6нед'!P77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'[3]5нед'!K78</f>
        <v>0</v>
      </c>
      <c r="E136" s="23">
        <f>'[3]5нед'!L78</f>
        <v>0</v>
      </c>
      <c r="F136" s="21">
        <f>'[3]5нед'!O78</f>
        <v>0</v>
      </c>
      <c r="G136" s="22" t="str">
        <f>'[3]5нед'!P78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'[3]6нед'!K78</f>
        <v>0</v>
      </c>
      <c r="M136" s="23">
        <f>'[3]6нед'!L78</f>
        <v>0</v>
      </c>
      <c r="N136" s="21">
        <f>'[3]6нед'!O78</f>
        <v>0</v>
      </c>
      <c r="O136" s="22" t="str">
        <f>'[3]6нед'!P78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'[3]5нед'!K79</f>
        <v>0</v>
      </c>
      <c r="E137" s="23">
        <f>'[3]5нед'!L79</f>
        <v>0</v>
      </c>
      <c r="F137" s="21">
        <f>'[3]5нед'!O79</f>
        <v>0</v>
      </c>
      <c r="G137" s="22" t="str">
        <f>'[3]5нед'!P79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'[3]6нед'!K79</f>
        <v>0</v>
      </c>
      <c r="M137" s="23">
        <f>'[3]6нед'!L79</f>
        <v>0</v>
      </c>
      <c r="N137" s="21">
        <f>'[3]6нед'!O79</f>
        <v>0</v>
      </c>
      <c r="O137" s="22" t="str">
        <f>'[3]6нед'!P79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'[3]5нед'!K80</f>
        <v>0</v>
      </c>
      <c r="E138" s="23">
        <f>'[3]5нед'!L80</f>
        <v>0</v>
      </c>
      <c r="F138" s="21">
        <f>'[3]5нед'!O80</f>
        <v>0</v>
      </c>
      <c r="G138" s="22" t="str">
        <f>'[3]5нед'!P80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'[3]6нед'!K80</f>
        <v>0</v>
      </c>
      <c r="M138" s="23">
        <f>'[3]6нед'!L80</f>
        <v>0</v>
      </c>
      <c r="N138" s="21">
        <f>'[3]6нед'!O80</f>
        <v>0</v>
      </c>
      <c r="O138" s="22" t="str">
        <f>'[3]6нед'!P80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'[3]5нед'!K81</f>
        <v>0</v>
      </c>
      <c r="E139" s="25">
        <f>'[3]5нед'!L81</f>
        <v>0</v>
      </c>
      <c r="F139" s="26">
        <f>'[3]5нед'!O81</f>
        <v>0</v>
      </c>
      <c r="G139" s="27" t="str">
        <f>'[3]5нед'!P81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'[3]6нед'!K81</f>
        <v>0</v>
      </c>
      <c r="M139" s="25">
        <f>'[3]6нед'!L81</f>
        <v>0</v>
      </c>
      <c r="N139" s="26">
        <f>'[3]6нед'!O81</f>
        <v>0</v>
      </c>
      <c r="O139" s="27" t="str">
        <f>'[3]6нед'!P81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'[3]5нед'!K82</f>
        <v>л</v>
      </c>
      <c r="E140" s="19" t="str">
        <f>'[3]5нед'!L82</f>
        <v>Основы компьютерных наук</v>
      </c>
      <c r="F140" s="17" t="str">
        <f>'[3]5нед'!O82</f>
        <v>Криницкий Ю.В.</v>
      </c>
      <c r="G140" s="18" t="str">
        <f>'[3]5нед'!P82</f>
        <v>преподаватель</v>
      </c>
      <c r="H140" s="56" t="str">
        <f>HYPERLINK(VLOOKUP(E140,$R$12:$S$180,2,FALSE))</f>
        <v>https://max.ru/join/4mCFDUjZkVK8UuftVSt2q9QOKz6Cf_Jp6XFsId-Pa_Y</v>
      </c>
      <c r="I140" s="70">
        <v>46301</v>
      </c>
      <c r="J140" s="87" t="s">
        <v>25</v>
      </c>
      <c r="K140" s="29" t="s">
        <v>18</v>
      </c>
      <c r="L140" s="16" t="str">
        <f>'[3]6нед'!K82</f>
        <v>л</v>
      </c>
      <c r="M140" s="19" t="str">
        <f>'[3]6нед'!L82</f>
        <v>Основы компьютерных наук</v>
      </c>
      <c r="N140" s="17" t="str">
        <f>'[3]6нед'!O82</f>
        <v>Криницкий Ю.В.</v>
      </c>
      <c r="O140" s="18" t="str">
        <f>'[3]6нед'!P82</f>
        <v>преподаватель</v>
      </c>
      <c r="P140" s="56" t="str">
        <f>HYPERLINK(VLOOKUP(M140,$R$12:$S$180,2,FALSE))</f>
        <v>https://max.ru/join/4mCFDUjZkVK8UuftVSt2q9QOKz6Cf_Jp6XFsId-Pa_Y</v>
      </c>
    </row>
    <row r="141" spans="1:16" ht="37.5" x14ac:dyDescent="0.2">
      <c r="A141" s="82"/>
      <c r="B141" s="85"/>
      <c r="C141" s="14" t="s">
        <v>19</v>
      </c>
      <c r="D141" s="20" t="str">
        <f>'[3]5нед'!K83</f>
        <v>пр</v>
      </c>
      <c r="E141" s="23" t="str">
        <f>'[3]5нед'!L83</f>
        <v>Основы компьютерных наук</v>
      </c>
      <c r="F141" s="21" t="str">
        <f>'[3]5нед'!O83</f>
        <v>Криницкий Ю.В.</v>
      </c>
      <c r="G141" s="22" t="str">
        <f>'[3]5нед'!P83</f>
        <v>преподаватель</v>
      </c>
      <c r="H141" s="57" t="str">
        <f>HYPERLINK(VLOOKUP(E141,$R$12:$S$180,2,FALSE))</f>
        <v>https://max.ru/join/4mCFDUjZkVK8UuftVSt2q9QOKz6Cf_Jp6XFsId-Pa_Y</v>
      </c>
      <c r="I141" s="71"/>
      <c r="J141" s="88"/>
      <c r="K141" s="14" t="s">
        <v>19</v>
      </c>
      <c r="L141" s="20" t="str">
        <f>'[3]6нед'!K83</f>
        <v>пр</v>
      </c>
      <c r="M141" s="23" t="str">
        <f>'[3]6нед'!L83</f>
        <v>Основы компьютерных наук</v>
      </c>
      <c r="N141" s="21" t="str">
        <f>'[3]6нед'!O83</f>
        <v>Криницкий Ю.В.</v>
      </c>
      <c r="O141" s="22" t="str">
        <f>'[3]6нед'!P83</f>
        <v>преподаватель</v>
      </c>
      <c r="P141" s="57" t="str">
        <f>HYPERLINK(VLOOKUP(M141,$R$12:$S$180,2,FALSE))</f>
        <v>https://max.ru/join/4mCFDUjZkVK8UuftVSt2q9QOKz6Cf_Jp6XFsId-Pa_Y</v>
      </c>
    </row>
    <row r="142" spans="1:16" ht="31.5" x14ac:dyDescent="0.2">
      <c r="A142" s="82"/>
      <c r="B142" s="85"/>
      <c r="C142" s="14" t="s">
        <v>20</v>
      </c>
      <c r="D142" s="20">
        <f>'[3]5нед'!K84</f>
        <v>0</v>
      </c>
      <c r="E142" s="23">
        <f>'[3]5нед'!L84</f>
        <v>0</v>
      </c>
      <c r="F142" s="21">
        <f>'[3]5нед'!O84</f>
        <v>0</v>
      </c>
      <c r="G142" s="22" t="str">
        <f>'[3]5нед'!P84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'[3]6нед'!K84</f>
        <v>0</v>
      </c>
      <c r="M142" s="23">
        <f>'[3]6нед'!L84</f>
        <v>0</v>
      </c>
      <c r="N142" s="21">
        <f>'[3]6нед'!O84</f>
        <v>0</v>
      </c>
      <c r="O142" s="22" t="str">
        <f>'[3]6нед'!P84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'[3]5нед'!K85</f>
        <v>0</v>
      </c>
      <c r="E143" s="23">
        <f>'[3]5нед'!L85</f>
        <v>0</v>
      </c>
      <c r="F143" s="21">
        <f>'[3]5нед'!O85</f>
        <v>0</v>
      </c>
      <c r="G143" s="22" t="str">
        <f>'[3]5нед'!P85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'[3]6нед'!K85</f>
        <v>0</v>
      </c>
      <c r="M143" s="23">
        <f>'[3]6нед'!L85</f>
        <v>0</v>
      </c>
      <c r="N143" s="21">
        <f>'[3]6нед'!O85</f>
        <v>0</v>
      </c>
      <c r="O143" s="22" t="str">
        <f>'[3]6нед'!P85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'[3]5нед'!K86</f>
        <v>0</v>
      </c>
      <c r="E144" s="23">
        <f>'[3]5нед'!L86</f>
        <v>0</v>
      </c>
      <c r="F144" s="21">
        <f>'[3]5нед'!O86</f>
        <v>0</v>
      </c>
      <c r="G144" s="22" t="str">
        <f>'[3]5нед'!P86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'[3]6нед'!K86</f>
        <v>0</v>
      </c>
      <c r="M144" s="23">
        <f>'[3]6нед'!L86</f>
        <v>0</v>
      </c>
      <c r="N144" s="21">
        <f>'[3]6нед'!O86</f>
        <v>0</v>
      </c>
      <c r="O144" s="22" t="str">
        <f>'[3]6нед'!P86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'[3]5нед'!K87</f>
        <v>0</v>
      </c>
      <c r="E145" s="23">
        <f>'[3]5нед'!L87</f>
        <v>0</v>
      </c>
      <c r="F145" s="21">
        <f>'[3]5нед'!O87</f>
        <v>0</v>
      </c>
      <c r="G145" s="22" t="str">
        <f>'[3]5нед'!P87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'[3]6нед'!K87</f>
        <v>0</v>
      </c>
      <c r="M145" s="23">
        <f>'[3]6нед'!L87</f>
        <v>0</v>
      </c>
      <c r="N145" s="21">
        <f>'[3]6нед'!O87</f>
        <v>0</v>
      </c>
      <c r="O145" s="22" t="str">
        <f>'[3]6нед'!P87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'[3]5нед'!K88</f>
        <v>0</v>
      </c>
      <c r="E146" s="23">
        <f>'[3]5нед'!L88</f>
        <v>0</v>
      </c>
      <c r="F146" s="21">
        <f>'[3]5нед'!O88</f>
        <v>0</v>
      </c>
      <c r="G146" s="22" t="str">
        <f>'[3]5нед'!P88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'[3]6нед'!K88</f>
        <v>0</v>
      </c>
      <c r="M146" s="23">
        <f>'[3]6нед'!L88</f>
        <v>0</v>
      </c>
      <c r="N146" s="21">
        <f>'[3]6нед'!O88</f>
        <v>0</v>
      </c>
      <c r="O146" s="22" t="str">
        <f>'[3]6нед'!P88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'[3]5нед'!K89</f>
        <v>0</v>
      </c>
      <c r="E147" s="25">
        <f>'[3]5нед'!L89</f>
        <v>0</v>
      </c>
      <c r="F147" s="26">
        <f>'[3]5нед'!O89</f>
        <v>0</v>
      </c>
      <c r="G147" s="27" t="str">
        <f>'[3]5нед'!P89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'[3]6нед'!K89</f>
        <v>0</v>
      </c>
      <c r="M147" s="25">
        <f>'[3]6нед'!L89</f>
        <v>0</v>
      </c>
      <c r="N147" s="26">
        <f>'[3]6нед'!O89</f>
        <v>0</v>
      </c>
      <c r="O147" s="27" t="str">
        <f>'[3]6нед'!P89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'[3]5нед'!K90</f>
        <v>0</v>
      </c>
      <c r="E148" s="19">
        <f>'[3]5нед'!L90</f>
        <v>0</v>
      </c>
      <c r="F148" s="17">
        <f>'[3]5нед'!O90</f>
        <v>0</v>
      </c>
      <c r="G148" s="18" t="str">
        <f>'[3]5нед'!P90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 t="str">
        <f>'[3]6нед'!K90</f>
        <v>пр</v>
      </c>
      <c r="M148" s="19" t="str">
        <f>'[3]6нед'!L90</f>
        <v xml:space="preserve"> Финансово-экономический практикум</v>
      </c>
      <c r="N148" s="17" t="str">
        <f>'[3]6нед'!O90</f>
        <v>Бойчук О.В.</v>
      </c>
      <c r="O148" s="18" t="str">
        <f>'[3]6нед'!P90</f>
        <v>ст. преподаватель</v>
      </c>
      <c r="P148" s="56" t="str">
        <f>HYPERLINK(VLOOKUP(M148,$R$12:$S$180,2,FALSE))</f>
        <v>https://max.ru/join/4mCFDUjZkVK8UuftVSt2q9QOKz6Cf_Jp6XFsId-Pa_Y</v>
      </c>
    </row>
    <row r="149" spans="1:16" ht="37.5" x14ac:dyDescent="0.2">
      <c r="A149" s="82"/>
      <c r="B149" s="68"/>
      <c r="C149" s="14" t="s">
        <v>19</v>
      </c>
      <c r="D149" s="20">
        <f>'[3]5нед'!K91</f>
        <v>0</v>
      </c>
      <c r="E149" s="23">
        <f>'[3]5нед'!L91</f>
        <v>0</v>
      </c>
      <c r="F149" s="21">
        <f>'[3]5нед'!O91</f>
        <v>0</v>
      </c>
      <c r="G149" s="22" t="str">
        <f>'[3]5нед'!P91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'[3]6нед'!K91</f>
        <v>пр</v>
      </c>
      <c r="M149" s="23" t="str">
        <f>'[3]6нед'!L91</f>
        <v xml:space="preserve"> Нормативно-правовые основы профессиональной деятельности</v>
      </c>
      <c r="N149" s="21" t="str">
        <f>'[3]6нед'!O91</f>
        <v>Тымчук А.С.</v>
      </c>
      <c r="O149" s="22" t="str">
        <f>'[3]6нед'!P91</f>
        <v>преподаватель</v>
      </c>
      <c r="P149" s="57" t="str">
        <f>HYPERLINK(VLOOKUP(M149,$R$12:$S$180,2,FALSE))</f>
        <v>https://max.ru/join/4mCFDUjZkVK8UuftVSt2q9QOKz6Cf_Jp6XFsId-Pa_Y</v>
      </c>
    </row>
    <row r="150" spans="1:16" ht="31.5" x14ac:dyDescent="0.2">
      <c r="A150" s="82"/>
      <c r="B150" s="68"/>
      <c r="C150" s="14" t="s">
        <v>20</v>
      </c>
      <c r="D150" s="20">
        <f>'[3]5нед'!K92</f>
        <v>0</v>
      </c>
      <c r="E150" s="23">
        <f>'[3]5нед'!L92</f>
        <v>0</v>
      </c>
      <c r="F150" s="21">
        <f>'[3]5нед'!O92</f>
        <v>0</v>
      </c>
      <c r="G150" s="22" t="str">
        <f>'[3]5нед'!P92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'[3]6нед'!K92</f>
        <v>0</v>
      </c>
      <c r="M150" s="23">
        <f>'[3]6нед'!L92</f>
        <v>0</v>
      </c>
      <c r="N150" s="21">
        <f>'[3]6нед'!O92</f>
        <v>0</v>
      </c>
      <c r="O150" s="22" t="str">
        <f>'[3]6нед'!P92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'[3]5нед'!K93</f>
        <v>0</v>
      </c>
      <c r="E151" s="23">
        <f>'[3]5нед'!L93</f>
        <v>0</v>
      </c>
      <c r="F151" s="21">
        <f>'[3]5нед'!O93</f>
        <v>0</v>
      </c>
      <c r="G151" s="22" t="str">
        <f>'[3]5нед'!P93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'[3]6нед'!K93</f>
        <v>0</v>
      </c>
      <c r="M151" s="23">
        <f>'[3]6нед'!L93</f>
        <v>0</v>
      </c>
      <c r="N151" s="21">
        <f>'[3]6нед'!O93</f>
        <v>0</v>
      </c>
      <c r="O151" s="22" t="str">
        <f>'[3]6нед'!P93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'[3]5нед'!K94</f>
        <v>0</v>
      </c>
      <c r="E152" s="23">
        <f>'[3]5нед'!L94</f>
        <v>0</v>
      </c>
      <c r="F152" s="21">
        <f>'[3]5нед'!O94</f>
        <v>0</v>
      </c>
      <c r="G152" s="22" t="str">
        <f>'[3]5нед'!P94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'[3]6нед'!K94</f>
        <v>0</v>
      </c>
      <c r="M152" s="23">
        <f>'[3]6нед'!L94</f>
        <v>0</v>
      </c>
      <c r="N152" s="21">
        <f>'[3]6нед'!O94</f>
        <v>0</v>
      </c>
      <c r="O152" s="22" t="str">
        <f>'[3]6нед'!P94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'[3]5нед'!K95</f>
        <v>0</v>
      </c>
      <c r="E153" s="23">
        <f>'[3]5нед'!L95</f>
        <v>0</v>
      </c>
      <c r="F153" s="21">
        <f>'[3]5нед'!O95</f>
        <v>0</v>
      </c>
      <c r="G153" s="22" t="str">
        <f>'[3]5нед'!P95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'[3]6нед'!K95</f>
        <v>0</v>
      </c>
      <c r="M153" s="23">
        <f>'[3]6нед'!L95</f>
        <v>0</v>
      </c>
      <c r="N153" s="21">
        <f>'[3]6нед'!O95</f>
        <v>0</v>
      </c>
      <c r="O153" s="22" t="str">
        <f>'[3]6нед'!P95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'[3]5нед'!K96</f>
        <v>0</v>
      </c>
      <c r="E154" s="23">
        <f>'[3]5нед'!L96</f>
        <v>0</v>
      </c>
      <c r="F154" s="21">
        <f>'[3]5нед'!O96</f>
        <v>0</v>
      </c>
      <c r="G154" s="22" t="str">
        <f>'[3]5нед'!P96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'[3]6нед'!K96</f>
        <v>0</v>
      </c>
      <c r="M154" s="23">
        <f>'[3]6нед'!L96</f>
        <v>0</v>
      </c>
      <c r="N154" s="21">
        <f>'[3]6нед'!O96</f>
        <v>0</v>
      </c>
      <c r="O154" s="22" t="str">
        <f>'[3]6нед'!P96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'[3]5нед'!K97</f>
        <v>0</v>
      </c>
      <c r="E155" s="25">
        <f>'[3]5нед'!L97</f>
        <v>0</v>
      </c>
      <c r="F155" s="26">
        <f>'[3]5нед'!O97</f>
        <v>0</v>
      </c>
      <c r="G155" s="27" t="str">
        <f>'[3]5нед'!P97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'[3]6нед'!K97</f>
        <v>0</v>
      </c>
      <c r="M155" s="25">
        <f>'[3]6нед'!L97</f>
        <v>0</v>
      </c>
      <c r="N155" s="26">
        <f>'[3]6нед'!O97</f>
        <v>0</v>
      </c>
      <c r="O155" s="27" t="str">
        <f>'[3]6нед'!P97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'[3]5нед'!K98</f>
        <v>пр</v>
      </c>
      <c r="E156" s="19" t="str">
        <f>'[3]5нед'!L98</f>
        <v xml:space="preserve"> ИКТ и медиаинформационная грамотность</v>
      </c>
      <c r="F156" s="17" t="str">
        <f>'[3]5нед'!O98</f>
        <v>Олейников Н.Н.</v>
      </c>
      <c r="G156" s="18" t="str">
        <f>'[3]5нед'!P98</f>
        <v>ст. преподаватель</v>
      </c>
      <c r="H156" s="56" t="str">
        <f>HYPERLINK(VLOOKUP(E156,$R$12:$S$180,2,FALSE))</f>
        <v>https://max.ru/join/4mCFDUjZkVK8UuftVSt2q9QOKz6Cf_Jp6XFsId-Pa_Y</v>
      </c>
      <c r="I156" s="70">
        <v>46303</v>
      </c>
      <c r="J156" s="87" t="s">
        <v>27</v>
      </c>
      <c r="K156" s="29" t="s">
        <v>18</v>
      </c>
      <c r="L156" s="16">
        <f>'[3]6нед'!K98</f>
        <v>0</v>
      </c>
      <c r="M156" s="19">
        <f>'[3]6нед'!L98</f>
        <v>0</v>
      </c>
      <c r="N156" s="17">
        <f>'[3]6нед'!O98</f>
        <v>0</v>
      </c>
      <c r="O156" s="18" t="str">
        <f>'[3]6нед'!P98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'[3]5нед'!K99</f>
        <v>л</v>
      </c>
      <c r="E157" s="23" t="str">
        <f>'[3]5нед'!L99</f>
        <v>Математика для программирования</v>
      </c>
      <c r="F157" s="21" t="str">
        <f>'[3]5нед'!O99</f>
        <v>Линник Е.П.</v>
      </c>
      <c r="G157" s="22" t="str">
        <f>'[3]5нед'!P99</f>
        <v>доцент, канд. наук</v>
      </c>
      <c r="H157" s="57" t="str">
        <f>HYPERLINK(VLOOKUP(E157,$R$12:$S$180,2,FALSE))</f>
        <v>https://max.ru/join/4mCFDUjZkVK8UuftVSt2q9QOKz6Cf_Jp6XFsId-Pa_Y</v>
      </c>
      <c r="I157" s="71"/>
      <c r="J157" s="88"/>
      <c r="K157" s="14" t="s">
        <v>19</v>
      </c>
      <c r="L157" s="20" t="str">
        <f>'[3]6нед'!K99</f>
        <v>пр</v>
      </c>
      <c r="M157" s="23" t="str">
        <f>'[3]6нед'!L99</f>
        <v>Математика для программирования</v>
      </c>
      <c r="N157" s="21" t="str">
        <f>'[3]6нед'!O99</f>
        <v>Линник Е.П.</v>
      </c>
      <c r="O157" s="22" t="str">
        <f>'[3]6нед'!P99</f>
        <v>доцент, канд. наук</v>
      </c>
      <c r="P157" s="57" t="str">
        <f>HYPERLINK(VLOOKUP(M157,$R$12:$S$180,2,FALSE))</f>
        <v>https://max.ru/join/4mCFDUjZkVK8UuftVSt2q9QOKz6Cf_Jp6XFsId-Pa_Y</v>
      </c>
    </row>
    <row r="158" spans="1:16" ht="37.5" x14ac:dyDescent="0.2">
      <c r="A158" s="82"/>
      <c r="B158" s="85"/>
      <c r="C158" s="14" t="s">
        <v>20</v>
      </c>
      <c r="D158" s="20" t="str">
        <f>'[3]5нед'!K100</f>
        <v>л</v>
      </c>
      <c r="E158" s="23" t="str">
        <f>'[3]5нед'!L100</f>
        <v>Математика для программирования</v>
      </c>
      <c r="F158" s="21" t="str">
        <f>'[3]5нед'!O100</f>
        <v>Линник Е.П.</v>
      </c>
      <c r="G158" s="22" t="str">
        <f>'[3]5нед'!P100</f>
        <v>доцент, канд. наук</v>
      </c>
      <c r="H158" s="57" t="str">
        <f>HYPERLINK(VLOOKUP(E158,$R$12:$S$180,2,FALSE))</f>
        <v>https://max.ru/join/4mCFDUjZkVK8UuftVSt2q9QOKz6Cf_Jp6XFsId-Pa_Y</v>
      </c>
      <c r="I158" s="71"/>
      <c r="J158" s="88"/>
      <c r="K158" s="14" t="s">
        <v>20</v>
      </c>
      <c r="L158" s="20" t="str">
        <f>'[3]6нед'!K100</f>
        <v>пр</v>
      </c>
      <c r="M158" s="23" t="str">
        <f>'[3]6нед'!L100</f>
        <v>Математика для программирования</v>
      </c>
      <c r="N158" s="21" t="str">
        <f>'[3]6нед'!O100</f>
        <v>Линник Е.П.</v>
      </c>
      <c r="O158" s="22" t="str">
        <f>'[3]6нед'!P100</f>
        <v>доцент, канд. наук</v>
      </c>
      <c r="P158" s="57" t="str">
        <f>HYPERLINK(VLOOKUP(M158,$R$12:$S$180,2,FALSE))</f>
        <v>https://max.ru/join/4mCFDUjZkVK8UuftVSt2q9QOKz6Cf_Jp6XFsId-Pa_Y</v>
      </c>
    </row>
    <row r="159" spans="1:16" ht="31.5" x14ac:dyDescent="0.2">
      <c r="A159" s="82"/>
      <c r="B159" s="85"/>
      <c r="C159" s="14" t="s">
        <v>21</v>
      </c>
      <c r="D159" s="20">
        <f>'[3]5нед'!K101</f>
        <v>0</v>
      </c>
      <c r="E159" s="23">
        <f>'[3]5нед'!L101</f>
        <v>0</v>
      </c>
      <c r="F159" s="21">
        <f>'[3]5нед'!O101</f>
        <v>0</v>
      </c>
      <c r="G159" s="22" t="str">
        <f>'[3]5нед'!P101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'[3]6нед'!K101</f>
        <v>0</v>
      </c>
      <c r="M159" s="23">
        <f>'[3]6нед'!L101</f>
        <v>0</v>
      </c>
      <c r="N159" s="21">
        <f>'[3]6нед'!O101</f>
        <v>0</v>
      </c>
      <c r="O159" s="22" t="str">
        <f>'[3]6нед'!P101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'[3]5нед'!K102</f>
        <v>0</v>
      </c>
      <c r="E160" s="23">
        <f>'[3]5нед'!L102</f>
        <v>0</v>
      </c>
      <c r="F160" s="21">
        <f>'[3]5нед'!O102</f>
        <v>0</v>
      </c>
      <c r="G160" s="22" t="str">
        <f>'[3]5нед'!P102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'[3]6нед'!K102</f>
        <v>0</v>
      </c>
      <c r="M160" s="23">
        <f>'[3]6нед'!L102</f>
        <v>0</v>
      </c>
      <c r="N160" s="21">
        <f>'[3]6нед'!O102</f>
        <v>0</v>
      </c>
      <c r="O160" s="22" t="str">
        <f>'[3]6нед'!P102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'[3]5нед'!K103</f>
        <v>0</v>
      </c>
      <c r="E161" s="23">
        <f>'[3]5нед'!L103</f>
        <v>0</v>
      </c>
      <c r="F161" s="21">
        <f>'[3]5нед'!O103</f>
        <v>0</v>
      </c>
      <c r="G161" s="22" t="str">
        <f>'[3]5нед'!P103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'[3]6нед'!K103</f>
        <v>0</v>
      </c>
      <c r="M161" s="23">
        <f>'[3]6нед'!L103</f>
        <v>0</v>
      </c>
      <c r="N161" s="21">
        <f>'[3]6нед'!O103</f>
        <v>0</v>
      </c>
      <c r="O161" s="22" t="str">
        <f>'[3]6нед'!P103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'[3]5нед'!K104</f>
        <v>0</v>
      </c>
      <c r="E162" s="23">
        <f>'[3]5нед'!L104</f>
        <v>0</v>
      </c>
      <c r="F162" s="21">
        <f>'[3]5нед'!O104</f>
        <v>0</v>
      </c>
      <c r="G162" s="22" t="str">
        <f>'[3]5нед'!P104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'[3]6нед'!K104</f>
        <v>0</v>
      </c>
      <c r="M162" s="23">
        <f>'[3]6нед'!L104</f>
        <v>0</v>
      </c>
      <c r="N162" s="21">
        <f>'[3]6нед'!O104</f>
        <v>0</v>
      </c>
      <c r="O162" s="22" t="str">
        <f>'[3]6нед'!P104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'[3]5нед'!K105</f>
        <v>0</v>
      </c>
      <c r="E163" s="25">
        <f>'[3]5нед'!L105</f>
        <v>0</v>
      </c>
      <c r="F163" s="26">
        <f>'[3]5нед'!O105</f>
        <v>0</v>
      </c>
      <c r="G163" s="27" t="str">
        <f>'[3]5нед'!P105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'[3]6нед'!K105</f>
        <v>0</v>
      </c>
      <c r="M163" s="25">
        <f>'[3]6нед'!L105</f>
        <v>0</v>
      </c>
      <c r="N163" s="26">
        <f>'[3]6нед'!O105</f>
        <v>0</v>
      </c>
      <c r="O163" s="27" t="str">
        <f>'[3]6нед'!P105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'[3]5нед'!K106</f>
        <v>0</v>
      </c>
      <c r="E164" s="19">
        <f>'[3]5нед'!L106</f>
        <v>0</v>
      </c>
      <c r="F164" s="17">
        <f>'[3]5нед'!O106</f>
        <v>0</v>
      </c>
      <c r="G164" s="18" t="str">
        <f>'[3]5нед'!P106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'[3]6нед'!K106</f>
        <v>0</v>
      </c>
      <c r="M164" s="19">
        <f>'[3]6нед'!L106</f>
        <v>0</v>
      </c>
      <c r="N164" s="17">
        <f>'[3]6нед'!O106</f>
        <v>0</v>
      </c>
      <c r="O164" s="18" t="str">
        <f>'[3]6нед'!P106</f>
        <v/>
      </c>
      <c r="P164" s="56" t="str">
        <f>HYPERLINK(VLOOKUP(M164,$R$12:$S$180,2,FALSE))</f>
        <v/>
      </c>
    </row>
    <row r="165" spans="1:16" ht="37.5" x14ac:dyDescent="0.2">
      <c r="A165" s="82"/>
      <c r="B165" s="85"/>
      <c r="C165" s="14" t="s">
        <v>19</v>
      </c>
      <c r="D165" s="20" t="str">
        <f>'[3]5нед'!K107</f>
        <v>л</v>
      </c>
      <c r="E165" s="23" t="str">
        <f>'[3]5нед'!L107</f>
        <v>Архитектура компьютера и Интернет</v>
      </c>
      <c r="F165" s="21" t="str">
        <f>'[3]5нед'!O107</f>
        <v>Криницкий Ю.В.</v>
      </c>
      <c r="G165" s="22" t="str">
        <f>'[3]5нед'!P107</f>
        <v>преподаватель</v>
      </c>
      <c r="H165" s="57" t="str">
        <f>HYPERLINK(VLOOKUP(E165,$R$12:$S$180,2,FALSE))</f>
        <v>https://max.ru/join/4mCFDUjZkVK8UuftVSt2q9QOKz6Cf_Jp6XFsId-Pa_Y</v>
      </c>
      <c r="I165" s="71"/>
      <c r="J165" s="88"/>
      <c r="K165" s="14" t="s">
        <v>19</v>
      </c>
      <c r="L165" s="20" t="str">
        <f>'[3]6нед'!K107</f>
        <v>пр</v>
      </c>
      <c r="M165" s="23" t="str">
        <f>'[3]6нед'!L107</f>
        <v>Введение в Javascript и основы веб-разработки</v>
      </c>
      <c r="N165" s="21" t="str">
        <f>'[3]6нед'!O107</f>
        <v>Алешов В.В.</v>
      </c>
      <c r="O165" s="22" t="str">
        <f>'[3]6нед'!P107</f>
        <v>ст. преподаватель</v>
      </c>
      <c r="P165" s="57" t="str">
        <f>HYPERLINK(VLOOKUP(M165,$R$12:$S$180,2,FALSE))</f>
        <v>https://max.ru/join/4mCFDUjZkVK8UuftVSt2q9QOKz6Cf_Jp6XFsId-Pa_Y</v>
      </c>
    </row>
    <row r="166" spans="1:16" ht="37.5" x14ac:dyDescent="0.2">
      <c r="A166" s="82"/>
      <c r="B166" s="85"/>
      <c r="C166" s="14" t="s">
        <v>20</v>
      </c>
      <c r="D166" s="20" t="str">
        <f>'[3]5нед'!K108</f>
        <v>пр</v>
      </c>
      <c r="E166" s="23" t="str">
        <f>'[3]5нед'!L108</f>
        <v>Архитектура компьютера и Интернет</v>
      </c>
      <c r="F166" s="21" t="str">
        <f>'[3]5нед'!O108</f>
        <v>Криницкий Ю.В.</v>
      </c>
      <c r="G166" s="22" t="str">
        <f>'[3]5нед'!P108</f>
        <v>преподаватель</v>
      </c>
      <c r="H166" s="57" t="str">
        <f>HYPERLINK(VLOOKUP(E166,$R$12:$S$180,2,FALSE))</f>
        <v>https://max.ru/join/4mCFDUjZkVK8UuftVSt2q9QOKz6Cf_Jp6XFsId-Pa_Y</v>
      </c>
      <c r="I166" s="71"/>
      <c r="J166" s="88"/>
      <c r="K166" s="14" t="s">
        <v>20</v>
      </c>
      <c r="L166" s="20" t="str">
        <f>'[3]6нед'!K108</f>
        <v>пр</v>
      </c>
      <c r="M166" s="23" t="str">
        <f>'[3]6нед'!L108</f>
        <v>Архитектура компьютера и Интернет</v>
      </c>
      <c r="N166" s="21" t="str">
        <f>'[3]6нед'!O108</f>
        <v>Криницкий Ю.В.</v>
      </c>
      <c r="O166" s="22" t="str">
        <f>'[3]6нед'!P108</f>
        <v>преподаватель</v>
      </c>
      <c r="P166" s="57" t="str">
        <f>HYPERLINK(VLOOKUP(M166,$R$12:$S$180,2,FALSE))</f>
        <v>https://max.ru/join/4mCFDUjZkVK8UuftVSt2q9QOKz6Cf_Jp6XFsId-Pa_Y</v>
      </c>
    </row>
    <row r="167" spans="1:16" ht="37.5" x14ac:dyDescent="0.2">
      <c r="A167" s="82"/>
      <c r="B167" s="85"/>
      <c r="C167" s="14" t="s">
        <v>21</v>
      </c>
      <c r="D167" s="20" t="str">
        <f>'[3]5нед'!K109</f>
        <v>пр</v>
      </c>
      <c r="E167" s="23" t="str">
        <f>'[3]5нед'!L109</f>
        <v>Физическая культура и спорт</v>
      </c>
      <c r="F167" s="21" t="str">
        <f>'[3]5нед'!O109</f>
        <v>Заболотний С.И.</v>
      </c>
      <c r="G167" s="22" t="str">
        <f>'[3]5нед'!P109</f>
        <v>преподаватель</v>
      </c>
      <c r="H167" s="57" t="str">
        <f>HYPERLINK(VLOOKUP(E167,$R$12:$S$180,2,FALSE))</f>
        <v>https://max.ru/join/4mCFDUjZkVK8UuftVSt2q9QOKz6Cf_Jp6XFsId-Pa_Y</v>
      </c>
      <c r="I167" s="71"/>
      <c r="J167" s="88"/>
      <c r="K167" s="14" t="s">
        <v>21</v>
      </c>
      <c r="L167" s="20" t="str">
        <f>'[3]6нед'!K109</f>
        <v>пр</v>
      </c>
      <c r="M167" s="23" t="str">
        <f>'[3]6нед'!L109</f>
        <v>Физическая культура и спорт</v>
      </c>
      <c r="N167" s="21" t="str">
        <f>'[3]6нед'!O109</f>
        <v>Заболотний С.И.</v>
      </c>
      <c r="O167" s="22" t="str">
        <f>'[3]6нед'!P109</f>
        <v>преподаватель</v>
      </c>
      <c r="P167" s="57" t="str">
        <f>HYPERLINK(VLOOKUP(M167,$R$12:$S$180,2,FALSE))</f>
        <v>https://max.ru/join/4mCFDUjZkVK8UuftVSt2q9QOKz6Cf_Jp6XFsId-Pa_Y</v>
      </c>
    </row>
    <row r="168" spans="1:16" ht="31.5" x14ac:dyDescent="0.2">
      <c r="A168" s="82"/>
      <c r="B168" s="85"/>
      <c r="C168" s="14" t="s">
        <v>22</v>
      </c>
      <c r="D168" s="20">
        <f>'[3]5нед'!K110</f>
        <v>0</v>
      </c>
      <c r="E168" s="23">
        <f>'[3]5нед'!L110</f>
        <v>0</v>
      </c>
      <c r="F168" s="21">
        <f>'[3]5нед'!O110</f>
        <v>0</v>
      </c>
      <c r="G168" s="22" t="str">
        <f>'[3]5нед'!P110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'[3]6нед'!K110</f>
        <v>0</v>
      </c>
      <c r="M168" s="23">
        <f>'[3]6нед'!L110</f>
        <v>0</v>
      </c>
      <c r="N168" s="21">
        <f>'[3]6нед'!O110</f>
        <v>0</v>
      </c>
      <c r="O168" s="22" t="str">
        <f>'[3]6нед'!P110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'[3]5нед'!K111</f>
        <v>0</v>
      </c>
      <c r="E169" s="23">
        <f>'[3]5нед'!L111</f>
        <v>0</v>
      </c>
      <c r="F169" s="21">
        <f>'[3]5нед'!O111</f>
        <v>0</v>
      </c>
      <c r="G169" s="22" t="str">
        <f>'[3]5нед'!P111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'[3]6нед'!K111</f>
        <v>0</v>
      </c>
      <c r="M169" s="23">
        <f>'[3]6нед'!L111</f>
        <v>0</v>
      </c>
      <c r="N169" s="21">
        <f>'[3]6нед'!O111</f>
        <v>0</v>
      </c>
      <c r="O169" s="22" t="str">
        <f>'[3]6нед'!P111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'[3]5нед'!K112</f>
        <v>0</v>
      </c>
      <c r="E170" s="23">
        <f>'[3]5нед'!L112</f>
        <v>0</v>
      </c>
      <c r="F170" s="21">
        <f>'[3]5нед'!O112</f>
        <v>0</v>
      </c>
      <c r="G170" s="22" t="str">
        <f>'[3]5нед'!P112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'[3]6нед'!K112</f>
        <v>0</v>
      </c>
      <c r="M170" s="23">
        <f>'[3]6нед'!L112</f>
        <v>0</v>
      </c>
      <c r="N170" s="21">
        <f>'[3]6нед'!O112</f>
        <v>0</v>
      </c>
      <c r="O170" s="22" t="str">
        <f>'[3]6нед'!P112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'[3]5нед'!K113</f>
        <v>0</v>
      </c>
      <c r="E171" s="25">
        <f>'[3]5нед'!L113</f>
        <v>0</v>
      </c>
      <c r="F171" s="26">
        <f>'[3]5нед'!O113</f>
        <v>0</v>
      </c>
      <c r="G171" s="27" t="str">
        <f>'[3]5нед'!P113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'[3]6нед'!K113</f>
        <v>0</v>
      </c>
      <c r="M171" s="25">
        <f>'[3]6нед'!L113</f>
        <v>0</v>
      </c>
      <c r="N171" s="26">
        <f>'[3]6нед'!O113</f>
        <v>0</v>
      </c>
      <c r="O171" s="27" t="str">
        <f>'[3]6нед'!P113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'[3]5нед'!K114</f>
        <v>0</v>
      </c>
      <c r="E172" s="19">
        <f>'[3]5нед'!L114</f>
        <v>0</v>
      </c>
      <c r="F172" s="17">
        <f>'[3]5нед'!O114</f>
        <v>0</v>
      </c>
      <c r="G172" s="18" t="str">
        <f>'[3]5нед'!P114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'[3]6нед'!K114</f>
        <v>0</v>
      </c>
      <c r="M172" s="19">
        <f>'[3]6нед'!L114</f>
        <v>0</v>
      </c>
      <c r="N172" s="17">
        <f>'[3]6нед'!O114</f>
        <v>0</v>
      </c>
      <c r="O172" s="18" t="str">
        <f>'[3]6нед'!P114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'[3]5нед'!K115</f>
        <v>0</v>
      </c>
      <c r="E173" s="23">
        <f>'[3]5нед'!L115</f>
        <v>0</v>
      </c>
      <c r="F173" s="21">
        <f>'[3]5нед'!O115</f>
        <v>0</v>
      </c>
      <c r="G173" s="22" t="str">
        <f>'[3]5нед'!P115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'[3]6нед'!K115</f>
        <v>0</v>
      </c>
      <c r="M173" s="23">
        <f>'[3]6нед'!L115</f>
        <v>0</v>
      </c>
      <c r="N173" s="21">
        <f>'[3]6нед'!O115</f>
        <v>0</v>
      </c>
      <c r="O173" s="22" t="str">
        <f>'[3]6нед'!P115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'[3]5нед'!K116</f>
        <v>0</v>
      </c>
      <c r="E174" s="23">
        <f>'[3]5нед'!L116</f>
        <v>0</v>
      </c>
      <c r="F174" s="21">
        <f>'[3]5нед'!O116</f>
        <v>0</v>
      </c>
      <c r="G174" s="22" t="str">
        <f>'[3]5нед'!P116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'[3]6нед'!K116</f>
        <v>0</v>
      </c>
      <c r="M174" s="23">
        <f>'[3]6нед'!L116</f>
        <v>0</v>
      </c>
      <c r="N174" s="21">
        <f>'[3]6нед'!O116</f>
        <v>0</v>
      </c>
      <c r="O174" s="22" t="str">
        <f>'[3]6нед'!P116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'[3]5нед'!K117</f>
        <v>0</v>
      </c>
      <c r="E175" s="23">
        <f>'[3]5нед'!L117</f>
        <v>0</v>
      </c>
      <c r="F175" s="21">
        <f>'[3]5нед'!O117</f>
        <v>0</v>
      </c>
      <c r="G175" s="22" t="str">
        <f>'[3]5нед'!P117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'[3]6нед'!K117</f>
        <v>0</v>
      </c>
      <c r="M175" s="23">
        <f>'[3]6нед'!L117</f>
        <v>0</v>
      </c>
      <c r="N175" s="21">
        <f>'[3]6нед'!O117</f>
        <v>0</v>
      </c>
      <c r="O175" s="22" t="str">
        <f>'[3]6нед'!P117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'[3]5нед'!K118</f>
        <v>0</v>
      </c>
      <c r="E176" s="23">
        <f>'[3]5нед'!L118</f>
        <v>0</v>
      </c>
      <c r="F176" s="21">
        <f>'[3]5нед'!O118</f>
        <v>0</v>
      </c>
      <c r="G176" s="22" t="str">
        <f>'[3]5нед'!P118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'[3]6нед'!K118</f>
        <v>0</v>
      </c>
      <c r="M176" s="23">
        <f>'[3]6нед'!L118</f>
        <v>0</v>
      </c>
      <c r="N176" s="21">
        <f>'[3]6нед'!O118</f>
        <v>0</v>
      </c>
      <c r="O176" s="22" t="str">
        <f>'[3]6нед'!P118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'[3]5нед'!K119</f>
        <v>0</v>
      </c>
      <c r="E177" s="23">
        <f>'[3]5нед'!L119</f>
        <v>0</v>
      </c>
      <c r="F177" s="21">
        <f>'[3]5нед'!O119</f>
        <v>0</v>
      </c>
      <c r="G177" s="22" t="str">
        <f>'[3]5нед'!P119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'[3]6нед'!K119</f>
        <v>0</v>
      </c>
      <c r="M177" s="23">
        <f>'[3]6нед'!L119</f>
        <v>0</v>
      </c>
      <c r="N177" s="21">
        <f>'[3]6нед'!O119</f>
        <v>0</v>
      </c>
      <c r="O177" s="22" t="str">
        <f>'[3]6нед'!P119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'[3]5нед'!K120</f>
        <v>0</v>
      </c>
      <c r="E178" s="23">
        <f>'[3]5нед'!L120</f>
        <v>0</v>
      </c>
      <c r="F178" s="21">
        <f>'[3]5нед'!O120</f>
        <v>0</v>
      </c>
      <c r="G178" s="22" t="str">
        <f>'[3]5нед'!P120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'[3]6нед'!K120</f>
        <v>0</v>
      </c>
      <c r="M178" s="23">
        <f>'[3]6нед'!L120</f>
        <v>0</v>
      </c>
      <c r="N178" s="21">
        <f>'[3]6нед'!O120</f>
        <v>0</v>
      </c>
      <c r="O178" s="22" t="str">
        <f>'[3]6нед'!P120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'[3]5нед'!K59</f>
        <v>0</v>
      </c>
      <c r="E179" s="25">
        <f>'[3]5нед'!L59</f>
        <v>0</v>
      </c>
      <c r="F179" s="26">
        <f>'[3]5нед'!O59</f>
        <v>0</v>
      </c>
      <c r="G179" s="27" t="str">
        <f>'[3]5нед'!P59</f>
        <v/>
      </c>
      <c r="H179" s="39"/>
      <c r="I179" s="72"/>
      <c r="J179" s="89"/>
      <c r="K179" s="15"/>
      <c r="L179" s="24">
        <f>'[3]6нед'!K121</f>
        <v>0</v>
      </c>
      <c r="M179" s="25">
        <f>'[3]6нед'!L121</f>
        <v>0</v>
      </c>
      <c r="N179" s="26">
        <f>'[3]6нед'!O121</f>
        <v>0</v>
      </c>
      <c r="O179" s="27" t="str">
        <f>'[3]6нед'!P121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91491B54-92DD-4248-8427-85D1756E4838}"/>
    <hyperlink ref="S13" r:id="rId2" xr:uid="{5219FC9F-0AF3-4EBE-85EC-39FB7BA8C2E2}"/>
    <hyperlink ref="S14" r:id="rId3" xr:uid="{D698CFE6-306C-4E22-BF9C-29B081F940EB}"/>
    <hyperlink ref="S15:S23" r:id="rId4" display="https://max.ru/join/4mCFDUjZkVK8UuftVSt2q9QOKz6Cf_Jp6XFsId-Pa_Y" xr:uid="{0BF7724D-F5D6-4407-9A99-6E829AC1FD18}"/>
  </hyperlinks>
  <pageMargins left="0.70866141732283472" right="0.70866141732283472" top="0.74803149606299213" bottom="0.74803149606299213" header="0.31496062992125984" footer="0.31496062992125984"/>
  <pageSetup paperSize="9" scale="41" orientation="portrait" r:id="rId5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80"/>
  <sheetViews>
    <sheetView view="pageBreakPreview" topLeftCell="H123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2.7109375" customWidth="1"/>
    <col min="19" max="19" width="30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'[1]1нед'!$T$68</f>
        <v>09.03.04Программная инженерия (Программно-информационные системы)</v>
      </c>
      <c r="F7" s="7"/>
      <c r="G7" s="7" t="str">
        <f>'[1]1нед'!$T$72</f>
        <v>12-24ПИ</v>
      </c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 t="str">
        <f>G7</f>
        <v>12-24ПИ</v>
      </c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'[1]1нед'!S74</f>
        <v>0</v>
      </c>
      <c r="E12" s="19">
        <f>'[1]1нед'!T74</f>
        <v>0</v>
      </c>
      <c r="F12" s="17">
        <f>'[1]1нед'!W74</f>
        <v>0</v>
      </c>
      <c r="G12" s="18" t="str">
        <f>'[1]1нед'!X74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'[1]2нед'!S74</f>
        <v>0</v>
      </c>
      <c r="M12" s="19">
        <f>'[1]2нед'!T74</f>
        <v>0</v>
      </c>
      <c r="N12" s="17">
        <f>'[1]2нед'!W74</f>
        <v>0</v>
      </c>
      <c r="O12" s="18" t="str">
        <f>'[1]2нед'!X74</f>
        <v/>
      </c>
      <c r="P12" s="56" t="str">
        <f>HYPERLINK(VLOOKUP(M12,$R$12:$S$180,2,FALSE))</f>
        <v/>
      </c>
      <c r="R12" t="str">
        <f>[2]Уч.План!B257</f>
        <v>Основы военной подготовки</v>
      </c>
      <c r="S12" s="61" t="s">
        <v>48</v>
      </c>
    </row>
    <row r="13" spans="1:19" ht="37.5" x14ac:dyDescent="0.2">
      <c r="A13" s="82"/>
      <c r="B13" s="85"/>
      <c r="C13" s="14" t="s">
        <v>19</v>
      </c>
      <c r="D13" s="20">
        <f>'[1]1нед'!S75</f>
        <v>0</v>
      </c>
      <c r="E13" s="23">
        <f>'[1]1нед'!T75</f>
        <v>0</v>
      </c>
      <c r="F13" s="21">
        <f>'[1]1нед'!W75</f>
        <v>0</v>
      </c>
      <c r="G13" s="22" t="str">
        <f>'[1]1нед'!X75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'[1]2нед'!S75</f>
        <v>пр</v>
      </c>
      <c r="M13" s="23" t="str">
        <f>'[1]2нед'!T75</f>
        <v>Компьютерная безопасность</v>
      </c>
      <c r="N13" s="21" t="str">
        <f>'[1]2нед'!W75</f>
        <v>Алешов Е.В.</v>
      </c>
      <c r="O13" s="22" t="str">
        <f>'[1]2нед'!X75</f>
        <v>преподаватель</v>
      </c>
      <c r="P13" s="57" t="str">
        <f>HYPERLINK(VLOOKUP(M13,$R$12:$S$180,2,FALSE))</f>
        <v>https://max.ru/join/831brpfUKBZ45r5lLawJQ4x_fudzUfMZk87zumhD3l4</v>
      </c>
      <c r="R13" t="str">
        <f>[2]Уч.План!B258</f>
        <v>Разработка программного обеспечения, дизайн алгоритмов и аналитика</v>
      </c>
      <c r="S13" s="61" t="s">
        <v>49</v>
      </c>
    </row>
    <row r="14" spans="1:19" ht="37.5" x14ac:dyDescent="0.2">
      <c r="A14" s="82"/>
      <c r="B14" s="85"/>
      <c r="C14" s="14" t="s">
        <v>20</v>
      </c>
      <c r="D14" s="20">
        <f>'[1]1нед'!S76</f>
        <v>0</v>
      </c>
      <c r="E14" s="23">
        <f>'[1]1нед'!T76</f>
        <v>0</v>
      </c>
      <c r="F14" s="21">
        <f>'[1]1нед'!W76</f>
        <v>0</v>
      </c>
      <c r="G14" s="22" t="str">
        <f>'[1]1нед'!X76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'[1]2нед'!S76</f>
        <v>пр</v>
      </c>
      <c r="M14" s="23" t="str">
        <f>'[1]2нед'!T76</f>
        <v>Графика и анимация в 3D</v>
      </c>
      <c r="N14" s="21" t="str">
        <f>'[1]2нед'!W76</f>
        <v>Алешов В.В.</v>
      </c>
      <c r="O14" s="22" t="str">
        <f>'[1]2нед'!X76</f>
        <v>ст. преподаватель</v>
      </c>
      <c r="P14" s="57" t="str">
        <f>HYPERLINK(VLOOKUP(M14,$R$12:$S$180,2,FALSE))</f>
        <v>https://max.ru/join/831brpfUKBZ45r5lLawJQ4x_fudzUfMZk87zumhD3l4</v>
      </c>
      <c r="R14" t="str">
        <f>[2]Уч.План!B259</f>
        <v>Компьютерная безопасность</v>
      </c>
      <c r="S14" s="61" t="s">
        <v>49</v>
      </c>
    </row>
    <row r="15" spans="1:19" ht="37.5" x14ac:dyDescent="0.2">
      <c r="A15" s="82"/>
      <c r="B15" s="85"/>
      <c r="C15" s="14" t="s">
        <v>21</v>
      </c>
      <c r="D15" s="20">
        <f>'[1]1нед'!S77</f>
        <v>0</v>
      </c>
      <c r="E15" s="23">
        <f>'[1]1нед'!T77</f>
        <v>0</v>
      </c>
      <c r="F15" s="21">
        <f>'[1]1нед'!W77</f>
        <v>0</v>
      </c>
      <c r="G15" s="22" t="str">
        <f>'[1]1нед'!X77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'[1]2нед'!S77</f>
        <v>пр</v>
      </c>
      <c r="M15" s="23" t="str">
        <f>'[1]2нед'!T77</f>
        <v>Графика и анимация в 3D</v>
      </c>
      <c r="N15" s="21" t="str">
        <f>'[1]2нед'!W77</f>
        <v>Алешов В.В.</v>
      </c>
      <c r="O15" s="22" t="str">
        <f>'[1]2нед'!X77</f>
        <v>ст. преподаватель</v>
      </c>
      <c r="P15" s="57" t="str">
        <f>HYPERLINK(VLOOKUP(M15,$R$12:$S$180,2,FALSE))</f>
        <v>https://max.ru/join/831brpfUKBZ45r5lLawJQ4x_fudzUfMZk87zumhD3l4</v>
      </c>
      <c r="R15" t="str">
        <f>[2]Уч.План!B260</f>
        <v>Управление ИТ-проектами и гибкая методология</v>
      </c>
      <c r="S15" s="61" t="s">
        <v>49</v>
      </c>
    </row>
    <row r="16" spans="1:19" ht="31.5" x14ac:dyDescent="0.2">
      <c r="A16" s="82"/>
      <c r="B16" s="85"/>
      <c r="C16" s="14" t="s">
        <v>22</v>
      </c>
      <c r="D16" s="20">
        <f>'[1]1нед'!S78</f>
        <v>0</v>
      </c>
      <c r="E16" s="23">
        <f>'[1]1нед'!T78</f>
        <v>0</v>
      </c>
      <c r="F16" s="21">
        <f>'[1]1нед'!W78</f>
        <v>0</v>
      </c>
      <c r="G16" s="22" t="str">
        <f>'[1]1нед'!X78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'[1]2нед'!S78</f>
        <v>0</v>
      </c>
      <c r="M16" s="23">
        <f>'[1]2нед'!T78</f>
        <v>0</v>
      </c>
      <c r="N16" s="21">
        <f>'[1]2нед'!W78</f>
        <v>0</v>
      </c>
      <c r="O16" s="22" t="str">
        <f>'[1]2нед'!X78</f>
        <v/>
      </c>
      <c r="P16" s="57" t="str">
        <f>HYPERLINK(VLOOKUP(M16,$R$12:$S$180,2,FALSE))</f>
        <v/>
      </c>
      <c r="R16" t="str">
        <f>[2]Уч.План!B261</f>
        <v>Графика и анимация в 3D</v>
      </c>
      <c r="S16" s="61" t="s">
        <v>49</v>
      </c>
    </row>
    <row r="17" spans="1:19" ht="31.5" x14ac:dyDescent="0.2">
      <c r="A17" s="82"/>
      <c r="B17" s="85"/>
      <c r="C17" s="14" t="s">
        <v>23</v>
      </c>
      <c r="D17" s="20">
        <f>'[1]1нед'!S79</f>
        <v>0</v>
      </c>
      <c r="E17" s="23">
        <f>'[1]1нед'!T79</f>
        <v>0</v>
      </c>
      <c r="F17" s="21">
        <f>'[1]1нед'!W79</f>
        <v>0</v>
      </c>
      <c r="G17" s="22" t="str">
        <f>'[1]1нед'!X79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'[1]2нед'!S79</f>
        <v>0</v>
      </c>
      <c r="M17" s="23">
        <f>'[1]2нед'!T79</f>
        <v>0</v>
      </c>
      <c r="N17" s="21">
        <f>'[1]2нед'!W79</f>
        <v>0</v>
      </c>
      <c r="O17" s="22" t="str">
        <f>'[1]2нед'!X79</f>
        <v/>
      </c>
      <c r="P17" s="55" t="str">
        <f>HYPERLINK(VLOOKUP(M17,$R$12:$S$180,2,FALSE))</f>
        <v/>
      </c>
      <c r="R17" t="str">
        <f>[2]Уч.План!B262</f>
        <v>Физическая культура и спорт</v>
      </c>
      <c r="S17" s="61" t="s">
        <v>49</v>
      </c>
    </row>
    <row r="18" spans="1:19" ht="31.5" x14ac:dyDescent="0.2">
      <c r="A18" s="82"/>
      <c r="B18" s="85"/>
      <c r="C18" s="14" t="s">
        <v>24</v>
      </c>
      <c r="D18" s="20">
        <f>'[1]1нед'!S80</f>
        <v>0</v>
      </c>
      <c r="E18" s="23">
        <f>'[1]1нед'!T80</f>
        <v>0</v>
      </c>
      <c r="F18" s="21">
        <f>'[1]1нед'!W80</f>
        <v>0</v>
      </c>
      <c r="G18" s="22" t="str">
        <f>'[1]1нед'!X80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'[1]2нед'!S80</f>
        <v>0</v>
      </c>
      <c r="M18" s="23">
        <f>'[1]2нед'!T80</f>
        <v>0</v>
      </c>
      <c r="N18" s="21">
        <f>'[1]2нед'!W80</f>
        <v>0</v>
      </c>
      <c r="O18" s="22" t="str">
        <f>'[1]2нед'!X80</f>
        <v/>
      </c>
      <c r="P18" s="55" t="str">
        <f>HYPERLINK(VLOOKUP(M18,$R$12:$S$180,2,FALSE))</f>
        <v/>
      </c>
      <c r="R18" t="str">
        <f>[2]Уч.План!B263</f>
        <v>Управление ИТ-проектами и гибкая методология (курсовая работа)</v>
      </c>
      <c r="S18" s="61" t="s">
        <v>49</v>
      </c>
    </row>
    <row r="19" spans="1:19" ht="18.399999999999999" customHeight="1" thickBot="1" x14ac:dyDescent="0.25">
      <c r="A19" s="83"/>
      <c r="B19" s="86"/>
      <c r="C19" s="15"/>
      <c r="D19" s="24">
        <f>'[1]1нед'!S81</f>
        <v>0</v>
      </c>
      <c r="E19" s="25">
        <f>'[1]1нед'!T81</f>
        <v>0</v>
      </c>
      <c r="F19" s="26">
        <f>'[1]1нед'!W81</f>
        <v>0</v>
      </c>
      <c r="G19" s="27" t="str">
        <f>'[1]1нед'!X81</f>
        <v/>
      </c>
      <c r="H19" s="58" t="str">
        <f>HYPERLINK(VLOOKUP(E19,$R$12:$S$180,2,FALSE))</f>
        <v/>
      </c>
      <c r="I19" s="72"/>
      <c r="J19" s="89"/>
      <c r="K19" s="15"/>
      <c r="L19" s="24">
        <f>'[1]2нед'!S81</f>
        <v>0</v>
      </c>
      <c r="M19" s="25">
        <f>'[1]2нед'!T81</f>
        <v>0</v>
      </c>
      <c r="N19" s="26">
        <f>'[1]2нед'!W81</f>
        <v>0</v>
      </c>
      <c r="O19" s="27" t="str">
        <f>'[1]2нед'!X81</f>
        <v/>
      </c>
      <c r="P19" s="58" t="str">
        <f>HYPERLINK(VLOOKUP(M19,$R$12:$S$180,2,FALSE))</f>
        <v/>
      </c>
      <c r="R19" t="str">
        <f>[2]Уч.План!B264</f>
        <v xml:space="preserve"> Основы военной подготовки</v>
      </c>
      <c r="S19" s="61" t="s">
        <v>49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'[1]1нед'!S82</f>
        <v>0</v>
      </c>
      <c r="E20" s="19">
        <f>'[1]1нед'!T82</f>
        <v>0</v>
      </c>
      <c r="F20" s="17">
        <f>'[1]1нед'!W82</f>
        <v>0</v>
      </c>
      <c r="G20" s="18" t="str">
        <f>'[1]1нед'!X82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 t="str">
        <f>'[1]2нед'!S82</f>
        <v>л</v>
      </c>
      <c r="M20" s="19" t="str">
        <f>'[1]2нед'!T82</f>
        <v>Разработка программного обеспечения, дизайн алгоритмов и аналитика</v>
      </c>
      <c r="N20" s="17" t="str">
        <f>'[1]2нед'!W82</f>
        <v>Алешов Е.В.</v>
      </c>
      <c r="O20" s="18" t="str">
        <f>'[1]2нед'!X82</f>
        <v>преподаватель</v>
      </c>
      <c r="P20" s="56" t="str">
        <f>HYPERLINK(VLOOKUP(M20,$R$12:$S$180,2,FALSE))</f>
        <v>https://max.ru/join/831brpfUKBZ45r5lLawJQ4x_fudzUfMZk87zumhD3l4</v>
      </c>
      <c r="R20">
        <f>[2]Уч.План!B265</f>
        <v>0</v>
      </c>
    </row>
    <row r="21" spans="1:19" ht="37.5" x14ac:dyDescent="0.2">
      <c r="A21" s="82"/>
      <c r="B21" s="85"/>
      <c r="C21" s="14" t="s">
        <v>19</v>
      </c>
      <c r="D21" s="20">
        <f>'[1]1нед'!S83</f>
        <v>0</v>
      </c>
      <c r="E21" s="23">
        <f>'[1]1нед'!T83</f>
        <v>0</v>
      </c>
      <c r="F21" s="21">
        <f>'[1]1нед'!W83</f>
        <v>0</v>
      </c>
      <c r="G21" s="22" t="str">
        <f>'[1]1нед'!X83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 t="str">
        <f>'[1]2нед'!S83</f>
        <v>пр</v>
      </c>
      <c r="M21" s="23" t="str">
        <f>'[1]2нед'!T83</f>
        <v>Разработка программного обеспечения, дизайн алгоритмов и аналитика</v>
      </c>
      <c r="N21" s="21" t="str">
        <f>'[1]2нед'!W83</f>
        <v>Алешов Е.В.</v>
      </c>
      <c r="O21" s="22" t="str">
        <f>'[1]2нед'!X83</f>
        <v>преподаватель</v>
      </c>
      <c r="P21" s="57" t="str">
        <f>HYPERLINK(VLOOKUP(M21,$R$12:$S$180,2,FALSE))</f>
        <v>https://max.ru/join/831brpfUKBZ45r5lLawJQ4x_fudzUfMZk87zumhD3l4</v>
      </c>
      <c r="R21">
        <f>[2]Уч.План!B266</f>
        <v>0</v>
      </c>
    </row>
    <row r="22" spans="1:19" ht="31.5" x14ac:dyDescent="0.2">
      <c r="A22" s="82"/>
      <c r="B22" s="85"/>
      <c r="C22" s="14" t="s">
        <v>20</v>
      </c>
      <c r="D22" s="20">
        <f>'[1]1нед'!S84</f>
        <v>0</v>
      </c>
      <c r="E22" s="23">
        <f>'[1]1нед'!T84</f>
        <v>0</v>
      </c>
      <c r="F22" s="21">
        <f>'[1]1нед'!W84</f>
        <v>0</v>
      </c>
      <c r="G22" s="22" t="str">
        <f>'[1]1нед'!X84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'[1]2нед'!S84</f>
        <v>0</v>
      </c>
      <c r="M22" s="23">
        <f>'[1]2нед'!T84</f>
        <v>0</v>
      </c>
      <c r="N22" s="21">
        <f>'[1]2нед'!W84</f>
        <v>0</v>
      </c>
      <c r="O22" s="22" t="str">
        <f>'[1]2нед'!X84</f>
        <v/>
      </c>
      <c r="P22" s="57" t="str">
        <f>HYPERLINK(VLOOKUP(M22,$R$12:$S$180,2,FALSE))</f>
        <v/>
      </c>
      <c r="R22">
        <f>[2]Уч.План!B267</f>
        <v>0</v>
      </c>
    </row>
    <row r="23" spans="1:19" ht="31.5" x14ac:dyDescent="0.2">
      <c r="A23" s="82"/>
      <c r="B23" s="85"/>
      <c r="C23" s="14" t="s">
        <v>21</v>
      </c>
      <c r="D23" s="20">
        <f>'[1]1нед'!S85</f>
        <v>0</v>
      </c>
      <c r="E23" s="23">
        <f>'[1]1нед'!T85</f>
        <v>0</v>
      </c>
      <c r="F23" s="21">
        <f>'[1]1нед'!W85</f>
        <v>0</v>
      </c>
      <c r="G23" s="22" t="str">
        <f>'[1]1нед'!X85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'[1]2нед'!S85</f>
        <v>0</v>
      </c>
      <c r="M23" s="23">
        <f>'[1]2нед'!T85</f>
        <v>0</v>
      </c>
      <c r="N23" s="21">
        <f>'[1]2нед'!W85</f>
        <v>0</v>
      </c>
      <c r="O23" s="22" t="str">
        <f>'[1]2нед'!X85</f>
        <v/>
      </c>
      <c r="P23" s="57" t="str">
        <f>HYPERLINK(VLOOKUP(M23,$R$12:$S$180,2,FALSE))</f>
        <v/>
      </c>
      <c r="R23">
        <f>[2]Уч.План!B268</f>
        <v>0</v>
      </c>
    </row>
    <row r="24" spans="1:19" ht="31.5" x14ac:dyDescent="0.2">
      <c r="A24" s="82"/>
      <c r="B24" s="85"/>
      <c r="C24" s="14" t="s">
        <v>22</v>
      </c>
      <c r="D24" s="20">
        <f>'[1]1нед'!S86</f>
        <v>0</v>
      </c>
      <c r="E24" s="23">
        <f>'[1]1нед'!T86</f>
        <v>0</v>
      </c>
      <c r="F24" s="21">
        <f>'[1]1нед'!W86</f>
        <v>0</v>
      </c>
      <c r="G24" s="22" t="str">
        <f>'[1]1нед'!X86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'[1]2нед'!S86</f>
        <v>0</v>
      </c>
      <c r="M24" s="23">
        <f>'[1]2нед'!T86</f>
        <v>0</v>
      </c>
      <c r="N24" s="21">
        <f>'[1]2нед'!W86</f>
        <v>0</v>
      </c>
      <c r="O24" s="22" t="str">
        <f>'[1]2нед'!X86</f>
        <v/>
      </c>
      <c r="P24" s="57" t="str">
        <f>HYPERLINK(VLOOKUP(M24,$R$12:$S$180,2,FALSE))</f>
        <v/>
      </c>
      <c r="R24">
        <f>[2]Уч.План!B269</f>
        <v>0</v>
      </c>
    </row>
    <row r="25" spans="1:19" ht="31.5" x14ac:dyDescent="0.2">
      <c r="A25" s="82"/>
      <c r="B25" s="85"/>
      <c r="C25" s="14" t="s">
        <v>23</v>
      </c>
      <c r="D25" s="20">
        <f>'[1]1нед'!S87</f>
        <v>0</v>
      </c>
      <c r="E25" s="23">
        <f>'[1]1нед'!T87</f>
        <v>0</v>
      </c>
      <c r="F25" s="21">
        <f>'[1]1нед'!W87</f>
        <v>0</v>
      </c>
      <c r="G25" s="22" t="str">
        <f>'[1]1нед'!X87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'[1]2нед'!S87</f>
        <v>0</v>
      </c>
      <c r="M25" s="23">
        <f>'[1]2нед'!T87</f>
        <v>0</v>
      </c>
      <c r="N25" s="21">
        <f>'[1]2нед'!W87</f>
        <v>0</v>
      </c>
      <c r="O25" s="22" t="str">
        <f>'[1]2нед'!X87</f>
        <v/>
      </c>
      <c r="P25" s="57" t="str">
        <f>HYPERLINK(VLOOKUP(M25,$R$12:$S$180,2,FALSE))</f>
        <v/>
      </c>
      <c r="R25">
        <f>[2]Уч.План!B270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'[1]1нед'!S88</f>
        <v>0</v>
      </c>
      <c r="E26" s="23">
        <f>'[1]1нед'!T88</f>
        <v>0</v>
      </c>
      <c r="F26" s="21">
        <f>'[1]1нед'!W88</f>
        <v>0</v>
      </c>
      <c r="G26" s="22" t="str">
        <f>'[1]1нед'!X88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'[1]2нед'!S88</f>
        <v>0</v>
      </c>
      <c r="M26" s="23">
        <f>'[1]2нед'!T88</f>
        <v>0</v>
      </c>
      <c r="N26" s="21">
        <f>'[1]2нед'!W88</f>
        <v>0</v>
      </c>
      <c r="O26" s="22" t="str">
        <f>'[1]2нед'!X88</f>
        <v/>
      </c>
      <c r="P26" s="57" t="str">
        <f>HYPERLINK(VLOOKUP(M26,$R$12:$S$180,2,FALSE))</f>
        <v/>
      </c>
      <c r="R26">
        <f>[2]Уч.План!B271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'[1]1нед'!S89</f>
        <v>0</v>
      </c>
      <c r="E27" s="25">
        <f>'[1]1нед'!T89</f>
        <v>0</v>
      </c>
      <c r="F27" s="26">
        <f>'[1]1нед'!W89</f>
        <v>0</v>
      </c>
      <c r="G27" s="27" t="str">
        <f>'[1]1нед'!X89</f>
        <v/>
      </c>
      <c r="H27" s="58" t="str">
        <f>HYPERLINK(VLOOKUP(E27,$R$12:$S$180,2,FALSE))</f>
        <v/>
      </c>
      <c r="I27" s="72"/>
      <c r="J27" s="89"/>
      <c r="K27" s="15"/>
      <c r="L27" s="24">
        <f>'[1]2нед'!S89</f>
        <v>0</v>
      </c>
      <c r="M27" s="25">
        <f>'[1]2нед'!T89</f>
        <v>0</v>
      </c>
      <c r="N27" s="26">
        <f>'[1]2нед'!W89</f>
        <v>0</v>
      </c>
      <c r="O27" s="27" t="str">
        <f>'[1]2нед'!X89</f>
        <v/>
      </c>
      <c r="P27" s="58" t="str">
        <f>HYPERLINK(VLOOKUP(M27,$R$12:$S$180,2,FALSE))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 t="str">
        <f>'[1]1нед'!S90</f>
        <v>л</v>
      </c>
      <c r="E28" s="19" t="str">
        <f>'[1]1нед'!T90</f>
        <v>Графика и анимация в 3D</v>
      </c>
      <c r="F28" s="17" t="str">
        <f>'[1]1нед'!W90</f>
        <v>Алешов В.В.</v>
      </c>
      <c r="G28" s="18" t="str">
        <f>'[1]1нед'!X90</f>
        <v>ст. преподаватель</v>
      </c>
      <c r="H28" s="56" t="str">
        <f>HYPERLINK(VLOOKUP(E28,$R$12:$S$180,2,FALSE))</f>
        <v>https://max.ru/join/831brpfUKBZ45r5lLawJQ4x_fudzUfMZk87zumhD3l4</v>
      </c>
      <c r="I28" s="70">
        <v>46274</v>
      </c>
      <c r="J28" s="73" t="s">
        <v>26</v>
      </c>
      <c r="K28" s="29" t="s">
        <v>18</v>
      </c>
      <c r="L28" s="16" t="str">
        <f>'[1]2нед'!S90</f>
        <v>пр</v>
      </c>
      <c r="M28" s="19" t="str">
        <f>'[1]2нед'!T90</f>
        <v>Графика и анимация в 3D</v>
      </c>
      <c r="N28" s="17" t="str">
        <f>'[1]2нед'!W90</f>
        <v>Алешов В.В.</v>
      </c>
      <c r="O28" s="18" t="str">
        <f>'[1]2нед'!X90</f>
        <v>ст. преподаватель</v>
      </c>
      <c r="P28" s="56" t="str">
        <f>HYPERLINK(VLOOKUP(M28,$R$12:$S$180,2,FALSE))</f>
        <v>https://max.ru/join/831brpfUKBZ45r5lLawJQ4x_fudzUfMZk87zumhD3l4</v>
      </c>
    </row>
    <row r="29" spans="1:19" ht="37.5" x14ac:dyDescent="0.2">
      <c r="A29" s="82"/>
      <c r="B29" s="68"/>
      <c r="C29" s="14" t="s">
        <v>19</v>
      </c>
      <c r="D29" s="20" t="str">
        <f>'[1]1нед'!S91</f>
        <v>л</v>
      </c>
      <c r="E29" s="23" t="str">
        <f>'[1]1нед'!T91</f>
        <v>Графика и анимация в 3D</v>
      </c>
      <c r="F29" s="21" t="str">
        <f>'[1]1нед'!W91</f>
        <v>Алешов В.В.</v>
      </c>
      <c r="G29" s="22" t="str">
        <f>'[1]1нед'!X91</f>
        <v>ст. преподаватель</v>
      </c>
      <c r="H29" s="57" t="str">
        <f>HYPERLINK(VLOOKUP(E29,$R$12:$S$180,2,FALSE))</f>
        <v>https://max.ru/join/831brpfUKBZ45r5lLawJQ4x_fudzUfMZk87zumhD3l4</v>
      </c>
      <c r="I29" s="71"/>
      <c r="J29" s="74"/>
      <c r="K29" s="14" t="s">
        <v>19</v>
      </c>
      <c r="L29" s="20" t="str">
        <f>'[1]2нед'!S91</f>
        <v>пр</v>
      </c>
      <c r="M29" s="23" t="str">
        <f>'[1]2нед'!T91</f>
        <v>Графика и анимация в 3D</v>
      </c>
      <c r="N29" s="21" t="str">
        <f>'[1]2нед'!W91</f>
        <v>Алешов В.В.</v>
      </c>
      <c r="O29" s="22" t="str">
        <f>'[1]2нед'!X91</f>
        <v>ст. преподаватель</v>
      </c>
      <c r="P29" s="57" t="str">
        <f>HYPERLINK(VLOOKUP(M29,$R$12:$S$180,2,FALSE))</f>
        <v>https://max.ru/join/831brpfUKBZ45r5lLawJQ4x_fudzUfMZk87zumhD3l4</v>
      </c>
    </row>
    <row r="30" spans="1:19" ht="37.5" x14ac:dyDescent="0.2">
      <c r="A30" s="82"/>
      <c r="B30" s="68"/>
      <c r="C30" s="14" t="s">
        <v>20</v>
      </c>
      <c r="D30" s="20" t="str">
        <f>'[1]1нед'!S92</f>
        <v>пр</v>
      </c>
      <c r="E30" s="23" t="str">
        <f>'[1]1нед'!T92</f>
        <v>Физическая культура и спорт</v>
      </c>
      <c r="F30" s="21" t="str">
        <f>'[1]1нед'!W92</f>
        <v>Продан С.В.</v>
      </c>
      <c r="G30" s="22" t="str">
        <f>'[1]1нед'!X92</f>
        <v>преподаватель</v>
      </c>
      <c r="H30" s="57" t="str">
        <f>HYPERLINK(VLOOKUP(E30,$R$12:$S$180,2,FALSE))</f>
        <v>https://max.ru/join/831brpfUKBZ45r5lLawJQ4x_fudzUfMZk87zumhD3l4</v>
      </c>
      <c r="I30" s="71"/>
      <c r="J30" s="74"/>
      <c r="K30" s="14" t="s">
        <v>20</v>
      </c>
      <c r="L30" s="20" t="str">
        <f>'[1]2нед'!S92</f>
        <v>пр</v>
      </c>
      <c r="M30" s="23" t="str">
        <f>'[1]2нед'!T92</f>
        <v>Физическая культура и спорт</v>
      </c>
      <c r="N30" s="21" t="str">
        <f>'[1]2нед'!W92</f>
        <v>Продан С.В.</v>
      </c>
      <c r="O30" s="22" t="str">
        <f>'[1]2нед'!X92</f>
        <v>преподаватель</v>
      </c>
      <c r="P30" s="57" t="str">
        <f>HYPERLINK(VLOOKUP(M30,$R$12:$S$180,2,FALSE))</f>
        <v>https://max.ru/join/831brpfUKBZ45r5lLawJQ4x_fudzUfMZk87zumhD3l4</v>
      </c>
    </row>
    <row r="31" spans="1:19" ht="31.5" x14ac:dyDescent="0.2">
      <c r="A31" s="82"/>
      <c r="B31" s="68"/>
      <c r="C31" s="14" t="s">
        <v>21</v>
      </c>
      <c r="D31" s="20">
        <f>'[1]1нед'!S93</f>
        <v>0</v>
      </c>
      <c r="E31" s="23">
        <f>'[1]1нед'!T93</f>
        <v>0</v>
      </c>
      <c r="F31" s="21">
        <f>'[1]1нед'!W93</f>
        <v>0</v>
      </c>
      <c r="G31" s="22" t="str">
        <f>'[1]1нед'!X93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'[1]2нед'!S93</f>
        <v>0</v>
      </c>
      <c r="M31" s="23">
        <f>'[1]2нед'!T93</f>
        <v>0</v>
      </c>
      <c r="N31" s="21">
        <f>'[1]2нед'!W93</f>
        <v>0</v>
      </c>
      <c r="O31" s="22" t="str">
        <f>'[1]2нед'!X93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'[1]1нед'!S94</f>
        <v>0</v>
      </c>
      <c r="E32" s="23">
        <f>'[1]1нед'!T94</f>
        <v>0</v>
      </c>
      <c r="F32" s="21">
        <f>'[1]1нед'!W94</f>
        <v>0</v>
      </c>
      <c r="G32" s="22" t="str">
        <f>'[1]1нед'!X94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'[1]2нед'!S94</f>
        <v>0</v>
      </c>
      <c r="M32" s="23">
        <f>'[1]2нед'!T94</f>
        <v>0</v>
      </c>
      <c r="N32" s="21">
        <f>'[1]2нед'!W94</f>
        <v>0</v>
      </c>
      <c r="O32" s="22" t="str">
        <f>'[1]2нед'!X94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'[1]1нед'!S95</f>
        <v>0</v>
      </c>
      <c r="E33" s="23">
        <f>'[1]1нед'!T95</f>
        <v>0</v>
      </c>
      <c r="F33" s="21">
        <f>'[1]1нед'!W95</f>
        <v>0</v>
      </c>
      <c r="G33" s="22" t="str">
        <f>'[1]1нед'!X95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'[1]2нед'!S95</f>
        <v>0</v>
      </c>
      <c r="M33" s="23">
        <f>'[1]2нед'!T95</f>
        <v>0</v>
      </c>
      <c r="N33" s="21">
        <f>'[1]2нед'!W95</f>
        <v>0</v>
      </c>
      <c r="O33" s="22" t="str">
        <f>'[1]2нед'!X95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'[1]1нед'!S96</f>
        <v>0</v>
      </c>
      <c r="E34" s="23">
        <f>'[1]1нед'!T96</f>
        <v>0</v>
      </c>
      <c r="F34" s="21">
        <f>'[1]1нед'!W96</f>
        <v>0</v>
      </c>
      <c r="G34" s="22" t="str">
        <f>'[1]1нед'!X96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'[1]2нед'!S96</f>
        <v>0</v>
      </c>
      <c r="M34" s="23">
        <f>'[1]2нед'!T96</f>
        <v>0</v>
      </c>
      <c r="N34" s="21">
        <f>'[1]2нед'!W96</f>
        <v>0</v>
      </c>
      <c r="O34" s="22" t="str">
        <f>'[1]2нед'!X96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'[1]1нед'!S97</f>
        <v>0</v>
      </c>
      <c r="E35" s="25">
        <f>'[1]1нед'!T97</f>
        <v>0</v>
      </c>
      <c r="F35" s="26">
        <f>'[1]1нед'!W97</f>
        <v>0</v>
      </c>
      <c r="G35" s="27" t="str">
        <f>'[1]1нед'!X97</f>
        <v/>
      </c>
      <c r="H35" s="58" t="str">
        <f>HYPERLINK(VLOOKUP(E35,$R$12:$S$180,2,FALSE))</f>
        <v/>
      </c>
      <c r="I35" s="72"/>
      <c r="J35" s="75"/>
      <c r="K35" s="15"/>
      <c r="L35" s="24">
        <f>'[1]2нед'!S97</f>
        <v>0</v>
      </c>
      <c r="M35" s="25">
        <f>'[1]2нед'!T97</f>
        <v>0</v>
      </c>
      <c r="N35" s="26">
        <f>'[1]2нед'!W97</f>
        <v>0</v>
      </c>
      <c r="O35" s="27" t="str">
        <f>'[1]2нед'!X97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'[1]1нед'!S98</f>
        <v>л</v>
      </c>
      <c r="E36" s="19" t="str">
        <f>'[1]1нед'!T98</f>
        <v>Управление ИТ-проектами и гибкая методология</v>
      </c>
      <c r="F36" s="17" t="str">
        <f>'[1]1нед'!W98</f>
        <v>Гришин И.Ю.</v>
      </c>
      <c r="G36" s="18" t="str">
        <f>'[1]1нед'!X98</f>
        <v>профессор, д-р наук</v>
      </c>
      <c r="H36" s="56" t="str">
        <f>HYPERLINK(VLOOKUP(E36,$R$12:$S$180,2,FALSE))</f>
        <v>https://max.ru/join/831brpfUKBZ45r5lLawJQ4x_fudzUfMZk87zumhD3l4</v>
      </c>
      <c r="I36" s="70">
        <v>46275</v>
      </c>
      <c r="J36" s="87" t="s">
        <v>27</v>
      </c>
      <c r="K36" s="29" t="s">
        <v>18</v>
      </c>
      <c r="L36" s="16" t="str">
        <f>'[1]2нед'!S98</f>
        <v>пр</v>
      </c>
      <c r="M36" s="19" t="str">
        <f>'[1]2нед'!T98</f>
        <v>Управление ИТ-проектами и гибкая методология</v>
      </c>
      <c r="N36" s="17" t="str">
        <f>'[1]2нед'!W98</f>
        <v>Гришин И.Ю.</v>
      </c>
      <c r="O36" s="18" t="str">
        <f>'[1]2нед'!X98</f>
        <v>профессор, д-р наук</v>
      </c>
      <c r="P36" s="56" t="str">
        <f>HYPERLINK(VLOOKUP(M36,$R$12:$S$180,2,FALSE))</f>
        <v>https://max.ru/join/831brpfUKBZ45r5lLawJQ4x_fudzUfMZk87zumhD3l4</v>
      </c>
    </row>
    <row r="37" spans="1:16" ht="37.5" x14ac:dyDescent="0.2">
      <c r="A37" s="82"/>
      <c r="B37" s="85"/>
      <c r="C37" s="14" t="s">
        <v>19</v>
      </c>
      <c r="D37" s="20" t="str">
        <f>'[1]1нед'!S99</f>
        <v>л</v>
      </c>
      <c r="E37" s="23" t="str">
        <f>'[1]1нед'!T99</f>
        <v>Управление ИТ-проектами и гибкая методология</v>
      </c>
      <c r="F37" s="21" t="str">
        <f>'[1]1нед'!W99</f>
        <v>Гришин И.Ю.</v>
      </c>
      <c r="G37" s="22" t="str">
        <f>'[1]1нед'!X99</f>
        <v>профессор, д-р наук</v>
      </c>
      <c r="H37" s="57" t="str">
        <f>HYPERLINK(VLOOKUP(E37,$R$12:$S$180,2,FALSE))</f>
        <v>https://max.ru/join/831brpfUKBZ45r5lLawJQ4x_fudzUfMZk87zumhD3l4</v>
      </c>
      <c r="I37" s="71"/>
      <c r="J37" s="88"/>
      <c r="K37" s="14" t="s">
        <v>19</v>
      </c>
      <c r="L37" s="20" t="str">
        <f>'[1]2нед'!S99</f>
        <v>пр</v>
      </c>
      <c r="M37" s="23" t="str">
        <f>'[1]2нед'!T99</f>
        <v>Управление ИТ-проектами и гибкая методология</v>
      </c>
      <c r="N37" s="21" t="str">
        <f>'[1]2нед'!W99</f>
        <v>Гришин И.Ю.</v>
      </c>
      <c r="O37" s="22" t="str">
        <f>'[1]2нед'!X99</f>
        <v>профессор, д-р наук</v>
      </c>
      <c r="P37" s="57" t="str">
        <f>HYPERLINK(VLOOKUP(M37,$R$12:$S$180,2,FALSE))</f>
        <v>https://max.ru/join/831brpfUKBZ45r5lLawJQ4x_fudzUfMZk87zumhD3l4</v>
      </c>
    </row>
    <row r="38" spans="1:16" ht="37.5" x14ac:dyDescent="0.2">
      <c r="A38" s="82"/>
      <c r="B38" s="85"/>
      <c r="C38" s="14" t="s">
        <v>20</v>
      </c>
      <c r="D38" s="20" t="str">
        <f>'[1]1нед'!S100</f>
        <v>л</v>
      </c>
      <c r="E38" s="23" t="str">
        <f>'[1]1нед'!T100</f>
        <v>Основы военной подготовки</v>
      </c>
      <c r="F38" s="21" t="str">
        <f>'[1]1нед'!W100</f>
        <v>Кулак А.Ф.</v>
      </c>
      <c r="G38" s="22" t="str">
        <f>'[1]1нед'!X100</f>
        <v>преподаватель</v>
      </c>
      <c r="H38" s="57" t="str">
        <f>HYPERLINK(VLOOKUP(E38,$R$12:$S$180,2,FALSE))</f>
        <v>https://max.ru/join/JliUDf7xjuRKGpBay-DL6RCwrYm2Hzj4E__hjp6UgOQ</v>
      </c>
      <c r="I38" s="71"/>
      <c r="J38" s="88"/>
      <c r="K38" s="14" t="s">
        <v>20</v>
      </c>
      <c r="L38" s="20" t="str">
        <f>'[1]2нед'!S100</f>
        <v>пр</v>
      </c>
      <c r="M38" s="23" t="str">
        <f>'[1]2нед'!T100</f>
        <v xml:space="preserve"> Основы военной подготовки</v>
      </c>
      <c r="N38" s="21" t="str">
        <f>'[1]2нед'!W100</f>
        <v>Кулак А.Ф.</v>
      </c>
      <c r="O38" s="22" t="str">
        <f>'[1]2нед'!X100</f>
        <v>преподаватель</v>
      </c>
      <c r="P38" s="57" t="str">
        <f>HYPERLINK(VLOOKUP(M38,$R$12:$S$180,2,FALSE))</f>
        <v>https://max.ru/join/831brpfUKBZ45r5lLawJQ4x_fudzUfMZk87zumhD3l4</v>
      </c>
    </row>
    <row r="39" spans="1:16" ht="37.5" x14ac:dyDescent="0.2">
      <c r="A39" s="82"/>
      <c r="B39" s="85"/>
      <c r="C39" s="14" t="s">
        <v>21</v>
      </c>
      <c r="D39" s="20" t="str">
        <f>'[1]1нед'!S101</f>
        <v>л</v>
      </c>
      <c r="E39" s="23" t="str">
        <f>'[1]1нед'!T101</f>
        <v>Основы военной подготовки</v>
      </c>
      <c r="F39" s="21" t="str">
        <f>'[1]1нед'!W101</f>
        <v>Кулак А.Ф.</v>
      </c>
      <c r="G39" s="22" t="str">
        <f>'[1]1нед'!X101</f>
        <v>преподаватель</v>
      </c>
      <c r="H39" s="57" t="str">
        <f>HYPERLINK(VLOOKUP(E39,$R$12:$S$180,2,FALSE))</f>
        <v>https://max.ru/join/JliUDf7xjuRKGpBay-DL6RCwrYm2Hzj4E__hjp6UgOQ</v>
      </c>
      <c r="I39" s="71"/>
      <c r="J39" s="88"/>
      <c r="K39" s="14" t="s">
        <v>21</v>
      </c>
      <c r="L39" s="20">
        <f>'[1]2нед'!S101</f>
        <v>0</v>
      </c>
      <c r="M39" s="23">
        <f>'[1]2нед'!T101</f>
        <v>0</v>
      </c>
      <c r="N39" s="21">
        <f>'[1]2нед'!W101</f>
        <v>0</v>
      </c>
      <c r="O39" s="22" t="str">
        <f>'[1]2нед'!X101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'[1]1нед'!S102</f>
        <v>0</v>
      </c>
      <c r="E40" s="23">
        <f>'[1]1нед'!T102</f>
        <v>0</v>
      </c>
      <c r="F40" s="21">
        <f>'[1]1нед'!W102</f>
        <v>0</v>
      </c>
      <c r="G40" s="22" t="str">
        <f>'[1]1нед'!X102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'[1]2нед'!S102</f>
        <v>0</v>
      </c>
      <c r="M40" s="23">
        <f>'[1]2нед'!T102</f>
        <v>0</v>
      </c>
      <c r="N40" s="21">
        <f>'[1]2нед'!W102</f>
        <v>0</v>
      </c>
      <c r="O40" s="22" t="str">
        <f>'[1]2нед'!X102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'[1]1нед'!S103</f>
        <v>0</v>
      </c>
      <c r="E41" s="23">
        <f>'[1]1нед'!T103</f>
        <v>0</v>
      </c>
      <c r="F41" s="21">
        <f>'[1]1нед'!W103</f>
        <v>0</v>
      </c>
      <c r="G41" s="22" t="str">
        <f>'[1]1нед'!X103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'[1]2нед'!S103</f>
        <v>0</v>
      </c>
      <c r="M41" s="23">
        <f>'[1]2нед'!T103</f>
        <v>0</v>
      </c>
      <c r="N41" s="21">
        <f>'[1]2нед'!W103</f>
        <v>0</v>
      </c>
      <c r="O41" s="22" t="str">
        <f>'[1]2нед'!X103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'[1]1нед'!S104</f>
        <v>0</v>
      </c>
      <c r="E42" s="23">
        <f>'[1]1нед'!T104</f>
        <v>0</v>
      </c>
      <c r="F42" s="21">
        <f>'[1]1нед'!W104</f>
        <v>0</v>
      </c>
      <c r="G42" s="22" t="str">
        <f>'[1]1нед'!X104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'[1]2нед'!S104</f>
        <v>0</v>
      </c>
      <c r="M42" s="23">
        <f>'[1]2нед'!T104</f>
        <v>0</v>
      </c>
      <c r="N42" s="21">
        <f>'[1]2нед'!W104</f>
        <v>0</v>
      </c>
      <c r="O42" s="22" t="str">
        <f>'[1]2нед'!X104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'[1]1нед'!S105</f>
        <v>0</v>
      </c>
      <c r="E43" s="25">
        <f>'[1]1нед'!T105</f>
        <v>0</v>
      </c>
      <c r="F43" s="26">
        <f>'[1]1нед'!W105</f>
        <v>0</v>
      </c>
      <c r="G43" s="27" t="str">
        <f>'[1]1нед'!X105</f>
        <v/>
      </c>
      <c r="H43" s="58" t="str">
        <f>HYPERLINK(VLOOKUP(E43,$R$12:$S$180,2,FALSE))</f>
        <v/>
      </c>
      <c r="I43" s="72"/>
      <c r="J43" s="89"/>
      <c r="K43" s="15"/>
      <c r="L43" s="24">
        <f>'[1]2нед'!S105</f>
        <v>0</v>
      </c>
      <c r="M43" s="25">
        <f>'[1]2нед'!T105</f>
        <v>0</v>
      </c>
      <c r="N43" s="26">
        <f>'[1]2нед'!W105</f>
        <v>0</v>
      </c>
      <c r="O43" s="27" t="str">
        <f>'[1]2нед'!X105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'[1]1нед'!S106</f>
        <v>л</v>
      </c>
      <c r="E44" s="19" t="str">
        <f>'[1]1нед'!T106</f>
        <v>Управление ИТ-проектами и гибкая методология</v>
      </c>
      <c r="F44" s="17" t="str">
        <f>'[1]1нед'!W106</f>
        <v>Гришин И.Ю.</v>
      </c>
      <c r="G44" s="18" t="str">
        <f>'[1]1нед'!X106</f>
        <v>профессор, д-р наук</v>
      </c>
      <c r="H44" s="56" t="str">
        <f>HYPERLINK(VLOOKUP(E44,$R$12:$S$180,2,FALSE))</f>
        <v>https://max.ru/join/831brpfUKBZ45r5lLawJQ4x_fudzUfMZk87zumhD3l4</v>
      </c>
      <c r="I44" s="70">
        <v>46276</v>
      </c>
      <c r="J44" s="87" t="s">
        <v>28</v>
      </c>
      <c r="K44" s="29" t="s">
        <v>18</v>
      </c>
      <c r="L44" s="16" t="str">
        <f>'[1]2нед'!S106</f>
        <v>пр</v>
      </c>
      <c r="M44" s="19" t="str">
        <f>'[1]2нед'!T106</f>
        <v>Управление ИТ-проектами и гибкая методология</v>
      </c>
      <c r="N44" s="17" t="str">
        <f>'[1]2нед'!W106</f>
        <v>Гришин И.Ю.</v>
      </c>
      <c r="O44" s="18" t="str">
        <f>'[1]2нед'!X106</f>
        <v>профессор, д-р наук</v>
      </c>
      <c r="P44" s="56" t="str">
        <f>HYPERLINK(VLOOKUP(M44,$R$12:$S$180,2,FALSE))</f>
        <v>https://max.ru/join/831brpfUKBZ45r5lLawJQ4x_fudzUfMZk87zumhD3l4</v>
      </c>
    </row>
    <row r="45" spans="1:16" ht="37.5" x14ac:dyDescent="0.2">
      <c r="A45" s="82"/>
      <c r="B45" s="85"/>
      <c r="C45" s="14" t="s">
        <v>19</v>
      </c>
      <c r="D45" s="20" t="str">
        <f>'[1]1нед'!S107</f>
        <v>л</v>
      </c>
      <c r="E45" s="23" t="str">
        <f>'[1]1нед'!T107</f>
        <v>Компьютерная безопасность</v>
      </c>
      <c r="F45" s="21" t="str">
        <f>'[1]1нед'!W107</f>
        <v>Алешов Е.В.</v>
      </c>
      <c r="G45" s="22" t="str">
        <f>'[1]1нед'!X107</f>
        <v>преподаватель</v>
      </c>
      <c r="H45" s="57" t="str">
        <f>HYPERLINK(VLOOKUP(E45,$R$12:$S$180,2,FALSE))</f>
        <v>https://max.ru/join/831brpfUKBZ45r5lLawJQ4x_fudzUfMZk87zumhD3l4</v>
      </c>
      <c r="I45" s="71"/>
      <c r="J45" s="88"/>
      <c r="K45" s="14" t="s">
        <v>19</v>
      </c>
      <c r="L45" s="20" t="str">
        <f>'[1]2нед'!S107</f>
        <v>л</v>
      </c>
      <c r="M45" s="23" t="str">
        <f>'[1]2нед'!T107</f>
        <v>Компьютерная безопасность</v>
      </c>
      <c r="N45" s="21" t="str">
        <f>'[1]2нед'!W107</f>
        <v>Алешов Е.В.</v>
      </c>
      <c r="O45" s="22" t="str">
        <f>'[1]2нед'!X107</f>
        <v>преподаватель</v>
      </c>
      <c r="P45" s="57" t="str">
        <f>HYPERLINK(VLOOKUP(M45,$R$12:$S$180,2,FALSE))</f>
        <v>https://max.ru/join/831brpfUKBZ45r5lLawJQ4x_fudzUfMZk87zumhD3l4</v>
      </c>
    </row>
    <row r="46" spans="1:16" ht="37.5" x14ac:dyDescent="0.2">
      <c r="A46" s="82"/>
      <c r="B46" s="85"/>
      <c r="C46" s="14" t="s">
        <v>20</v>
      </c>
      <c r="D46" s="20" t="str">
        <f>'[1]1нед'!S108</f>
        <v>пр</v>
      </c>
      <c r="E46" s="23" t="str">
        <f>'[1]1нед'!T108</f>
        <v>Компьютерная безопасность</v>
      </c>
      <c r="F46" s="21" t="str">
        <f>'[1]1нед'!W108</f>
        <v>Алешов Е.В.</v>
      </c>
      <c r="G46" s="22" t="str">
        <f>'[1]1нед'!X108</f>
        <v>преподаватель</v>
      </c>
      <c r="H46" s="57" t="str">
        <f>HYPERLINK(VLOOKUP(E46,$R$12:$S$180,2,FALSE))</f>
        <v>https://max.ru/join/831brpfUKBZ45r5lLawJQ4x_fudzUfMZk87zumhD3l4</v>
      </c>
      <c r="I46" s="71"/>
      <c r="J46" s="88"/>
      <c r="K46" s="14" t="s">
        <v>20</v>
      </c>
      <c r="L46" s="20" t="str">
        <f>'[1]2нед'!S108</f>
        <v>пр</v>
      </c>
      <c r="M46" s="23" t="str">
        <f>'[1]2нед'!T108</f>
        <v>Компьютерная безопасность</v>
      </c>
      <c r="N46" s="21" t="str">
        <f>'[1]2нед'!W108</f>
        <v>Алешов Е.В.</v>
      </c>
      <c r="O46" s="22" t="str">
        <f>'[1]2нед'!X108</f>
        <v>преподаватель</v>
      </c>
      <c r="P46" s="57" t="str">
        <f>HYPERLINK(VLOOKUP(M46,$R$12:$S$180,2,FALSE))</f>
        <v>https://max.ru/join/831brpfUKBZ45r5lLawJQ4x_fudzUfMZk87zumhD3l4</v>
      </c>
    </row>
    <row r="47" spans="1:16" ht="31.5" x14ac:dyDescent="0.2">
      <c r="A47" s="82"/>
      <c r="B47" s="85"/>
      <c r="C47" s="14" t="s">
        <v>21</v>
      </c>
      <c r="D47" s="20">
        <f>'[1]1нед'!S109</f>
        <v>0</v>
      </c>
      <c r="E47" s="23">
        <f>'[1]1нед'!T109</f>
        <v>0</v>
      </c>
      <c r="F47" s="21">
        <f>'[1]1нед'!W109</f>
        <v>0</v>
      </c>
      <c r="G47" s="22" t="str">
        <f>'[1]1нед'!X109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'[1]2нед'!S109</f>
        <v>0</v>
      </c>
      <c r="M47" s="23">
        <f>'[1]2нед'!T109</f>
        <v>0</v>
      </c>
      <c r="N47" s="21">
        <f>'[1]2нед'!W109</f>
        <v>0</v>
      </c>
      <c r="O47" s="22" t="str">
        <f>'[1]2нед'!X109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'[1]1нед'!S110</f>
        <v>0</v>
      </c>
      <c r="E48" s="23">
        <f>'[1]1нед'!T110</f>
        <v>0</v>
      </c>
      <c r="F48" s="21">
        <f>'[1]1нед'!W110</f>
        <v>0</v>
      </c>
      <c r="G48" s="22" t="str">
        <f>'[1]1нед'!X110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'[1]2нед'!S110</f>
        <v>0</v>
      </c>
      <c r="M48" s="23">
        <f>'[1]2нед'!T110</f>
        <v>0</v>
      </c>
      <c r="N48" s="21">
        <f>'[1]2нед'!W110</f>
        <v>0</v>
      </c>
      <c r="O48" s="22" t="str">
        <f>'[1]2нед'!X110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'[1]1нед'!S111</f>
        <v>0</v>
      </c>
      <c r="E49" s="23">
        <f>'[1]1нед'!T111</f>
        <v>0</v>
      </c>
      <c r="F49" s="21">
        <f>'[1]1нед'!W111</f>
        <v>0</v>
      </c>
      <c r="G49" s="22" t="str">
        <f>'[1]1нед'!X111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'[1]2нед'!S111</f>
        <v>0</v>
      </c>
      <c r="M49" s="23">
        <f>'[1]2нед'!T111</f>
        <v>0</v>
      </c>
      <c r="N49" s="21">
        <f>'[1]2нед'!W111</f>
        <v>0</v>
      </c>
      <c r="O49" s="22" t="str">
        <f>'[1]2нед'!X111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'[1]1нед'!S112</f>
        <v>0</v>
      </c>
      <c r="E50" s="23">
        <f>'[1]1нед'!T112</f>
        <v>0</v>
      </c>
      <c r="F50" s="21">
        <f>'[1]1нед'!W112</f>
        <v>0</v>
      </c>
      <c r="G50" s="22" t="str">
        <f>'[1]1нед'!X112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'[1]2нед'!S112</f>
        <v>0</v>
      </c>
      <c r="M50" s="23">
        <f>'[1]2нед'!T112</f>
        <v>0</v>
      </c>
      <c r="N50" s="21">
        <f>'[1]2нед'!W112</f>
        <v>0</v>
      </c>
      <c r="O50" s="22" t="str">
        <f>'[1]2нед'!X112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'[1]1нед'!S113</f>
        <v>0</v>
      </c>
      <c r="E51" s="25">
        <f>'[1]1нед'!T113</f>
        <v>0</v>
      </c>
      <c r="F51" s="26">
        <f>'[1]1нед'!W113</f>
        <v>0</v>
      </c>
      <c r="G51" s="27" t="str">
        <f>'[1]1нед'!X113</f>
        <v/>
      </c>
      <c r="H51" s="58" t="str">
        <f>HYPERLINK(VLOOKUP(E51,$R$12:$S$180,2,FALSE))</f>
        <v/>
      </c>
      <c r="I51" s="72"/>
      <c r="J51" s="89"/>
      <c r="K51" s="15"/>
      <c r="L51" s="24">
        <f>'[1]2нед'!S113</f>
        <v>0</v>
      </c>
      <c r="M51" s="25">
        <f>'[1]2нед'!T113</f>
        <v>0</v>
      </c>
      <c r="N51" s="26">
        <f>'[1]2нед'!W113</f>
        <v>0</v>
      </c>
      <c r="O51" s="27" t="str">
        <f>'[1]2нед'!X113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'[1]1нед'!S114</f>
        <v>0</v>
      </c>
      <c r="E52" s="19">
        <f>'[1]1нед'!T114</f>
        <v>0</v>
      </c>
      <c r="F52" s="17">
        <f>'[1]1нед'!W114</f>
        <v>0</v>
      </c>
      <c r="G52" s="18" t="str">
        <f>'[1]1нед'!X114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'[1]2нед'!S114</f>
        <v>0</v>
      </c>
      <c r="M52" s="19">
        <f>'[1]2нед'!T114</f>
        <v>0</v>
      </c>
      <c r="N52" s="17">
        <f>'[1]2нед'!W114</f>
        <v>0</v>
      </c>
      <c r="O52" s="18" t="str">
        <f>'[1]2нед'!X114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'[1]1нед'!S115</f>
        <v>0</v>
      </c>
      <c r="E53" s="23">
        <f>'[1]1нед'!T115</f>
        <v>0</v>
      </c>
      <c r="F53" s="21">
        <f>'[1]1нед'!W115</f>
        <v>0</v>
      </c>
      <c r="G53" s="22" t="str">
        <f>'[1]1нед'!X115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'[1]2нед'!S115</f>
        <v>0</v>
      </c>
      <c r="M53" s="23">
        <f>'[1]2нед'!T115</f>
        <v>0</v>
      </c>
      <c r="N53" s="21">
        <f>'[1]2нед'!W115</f>
        <v>0</v>
      </c>
      <c r="O53" s="22" t="str">
        <f>'[1]2нед'!X115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'[1]1нед'!S116</f>
        <v>0</v>
      </c>
      <c r="E54" s="23">
        <f>'[1]1нед'!T116</f>
        <v>0</v>
      </c>
      <c r="F54" s="21">
        <f>'[1]1нед'!W116</f>
        <v>0</v>
      </c>
      <c r="G54" s="22" t="str">
        <f>'[1]1нед'!X116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'[1]2нед'!S116</f>
        <v>0</v>
      </c>
      <c r="M54" s="23">
        <f>'[1]2нед'!T116</f>
        <v>0</v>
      </c>
      <c r="N54" s="21">
        <f>'[1]2нед'!W116</f>
        <v>0</v>
      </c>
      <c r="O54" s="22" t="str">
        <f>'[1]2нед'!X116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'[1]1нед'!S117</f>
        <v>0</v>
      </c>
      <c r="E55" s="23">
        <f>'[1]1нед'!T117</f>
        <v>0</v>
      </c>
      <c r="F55" s="21">
        <f>'[1]1нед'!W117</f>
        <v>0</v>
      </c>
      <c r="G55" s="22" t="str">
        <f>'[1]1нед'!X117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'[1]2нед'!S117</f>
        <v>0</v>
      </c>
      <c r="M55" s="23">
        <f>'[1]2нед'!T117</f>
        <v>0</v>
      </c>
      <c r="N55" s="21">
        <f>'[1]2нед'!W117</f>
        <v>0</v>
      </c>
      <c r="O55" s="22" t="str">
        <f>'[1]2нед'!X117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'[1]1нед'!S118</f>
        <v>0</v>
      </c>
      <c r="E56" s="23">
        <f>'[1]1нед'!T118</f>
        <v>0</v>
      </c>
      <c r="F56" s="21">
        <f>'[1]1нед'!W118</f>
        <v>0</v>
      </c>
      <c r="G56" s="22" t="str">
        <f>'[1]1нед'!X118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'[1]2нед'!S118</f>
        <v>0</v>
      </c>
      <c r="M56" s="23">
        <f>'[1]2нед'!T118</f>
        <v>0</v>
      </c>
      <c r="N56" s="21">
        <f>'[1]2нед'!W118</f>
        <v>0</v>
      </c>
      <c r="O56" s="22" t="str">
        <f>'[1]2нед'!X118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'[1]1нед'!S119</f>
        <v>0</v>
      </c>
      <c r="E57" s="23">
        <f>'[1]1нед'!T119</f>
        <v>0</v>
      </c>
      <c r="F57" s="21">
        <f>'[1]1нед'!W119</f>
        <v>0</v>
      </c>
      <c r="G57" s="22" t="str">
        <f>'[1]1нед'!X119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'[1]2нед'!S119</f>
        <v>0</v>
      </c>
      <c r="M57" s="23">
        <f>'[1]2нед'!T119</f>
        <v>0</v>
      </c>
      <c r="N57" s="21">
        <f>'[1]2нед'!W119</f>
        <v>0</v>
      </c>
      <c r="O57" s="22" t="str">
        <f>'[1]2нед'!X119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'[1]1нед'!S120</f>
        <v>0</v>
      </c>
      <c r="E58" s="23">
        <f>'[1]1нед'!T120</f>
        <v>0</v>
      </c>
      <c r="F58" s="21">
        <f>'[1]1нед'!W120</f>
        <v>0</v>
      </c>
      <c r="G58" s="22" t="str">
        <f>'[1]1нед'!X120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'[1]2нед'!S120</f>
        <v>0</v>
      </c>
      <c r="M58" s="23">
        <f>'[1]2нед'!T120</f>
        <v>0</v>
      </c>
      <c r="N58" s="21">
        <f>'[1]2нед'!W120</f>
        <v>0</v>
      </c>
      <c r="O58" s="22" t="str">
        <f>'[1]2нед'!X120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 t="str">
        <f>G7</f>
        <v>12-24ПИ</v>
      </c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 t="str">
        <f>G7</f>
        <v>12-24ПИ</v>
      </c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'[1]3нед'!S74</f>
        <v>0</v>
      </c>
      <c r="E72" s="19">
        <f>'[1]3нед'!T74</f>
        <v>0</v>
      </c>
      <c r="F72" s="17">
        <f>'[1]3нед'!W74</f>
        <v>0</v>
      </c>
      <c r="G72" s="18" t="str">
        <f>'[1]3нед'!X74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'[1]4нед'!S74</f>
        <v>0</v>
      </c>
      <c r="M72" s="19">
        <f>'[1]4нед'!T74</f>
        <v>0</v>
      </c>
      <c r="N72" s="17">
        <f>'[1]4нед'!W74</f>
        <v>0</v>
      </c>
      <c r="O72" s="18" t="str">
        <f>'[1]4нед'!X74</f>
        <v/>
      </c>
      <c r="P72" s="56" t="str">
        <f>HYPERLINK(VLOOKUP(M72,$R$12:$S$180,2,FALSE))</f>
        <v/>
      </c>
    </row>
    <row r="73" spans="1:16" ht="37.5" x14ac:dyDescent="0.2">
      <c r="A73" s="82"/>
      <c r="B73" s="85"/>
      <c r="C73" s="14" t="s">
        <v>19</v>
      </c>
      <c r="D73" s="20" t="str">
        <f>'[1]3нед'!S75</f>
        <v>пр</v>
      </c>
      <c r="E73" s="23" t="str">
        <f>'[1]3нед'!T75</f>
        <v>Разработка программного обеспечения, дизайн алгоритмов и аналитика</v>
      </c>
      <c r="F73" s="21" t="str">
        <f>'[1]3нед'!W75</f>
        <v>Алешов Е.В.</v>
      </c>
      <c r="G73" s="22" t="str">
        <f>'[1]3нед'!X75</f>
        <v>преподаватель</v>
      </c>
      <c r="H73" s="57" t="str">
        <f>HYPERLINK(VLOOKUP(E73,$R$12:$S$180,2,FALSE))</f>
        <v>https://max.ru/join/831brpfUKBZ45r5lLawJQ4x_fudzUfMZk87zumhD3l4</v>
      </c>
      <c r="I73" s="71"/>
      <c r="J73" s="88"/>
      <c r="K73" s="14" t="s">
        <v>19</v>
      </c>
      <c r="L73" s="20" t="str">
        <f>'[1]4нед'!S75</f>
        <v>пр</v>
      </c>
      <c r="M73" s="23" t="str">
        <f>'[1]4нед'!T75</f>
        <v>Компьютерная безопасность</v>
      </c>
      <c r="N73" s="21" t="str">
        <f>'[1]4нед'!W75</f>
        <v>Алешов Е.В.</v>
      </c>
      <c r="O73" s="22" t="str">
        <f>'[1]4нед'!X75</f>
        <v>преподаватель</v>
      </c>
      <c r="P73" s="57" t="str">
        <f>HYPERLINK(VLOOKUP(M73,$R$12:$S$180,2,FALSE))</f>
        <v>https://max.ru/join/831brpfUKBZ45r5lLawJQ4x_fudzUfMZk87zumhD3l4</v>
      </c>
    </row>
    <row r="74" spans="1:16" ht="37.5" x14ac:dyDescent="0.2">
      <c r="A74" s="82"/>
      <c r="B74" s="85"/>
      <c r="C74" s="14" t="s">
        <v>20</v>
      </c>
      <c r="D74" s="20" t="str">
        <f>'[1]3нед'!S76</f>
        <v>пр</v>
      </c>
      <c r="E74" s="23" t="str">
        <f>'[1]3нед'!T76</f>
        <v>Графика и анимация в 3D</v>
      </c>
      <c r="F74" s="21" t="str">
        <f>'[1]3нед'!W76</f>
        <v>Алешов В.В.</v>
      </c>
      <c r="G74" s="22" t="str">
        <f>'[1]3нед'!X76</f>
        <v>ст. преподаватель</v>
      </c>
      <c r="H74" s="57" t="str">
        <f>HYPERLINK(VLOOKUP(E74,$R$12:$S$180,2,FALSE))</f>
        <v>https://max.ru/join/831brpfUKBZ45r5lLawJQ4x_fudzUfMZk87zumhD3l4</v>
      </c>
      <c r="I74" s="71"/>
      <c r="J74" s="88"/>
      <c r="K74" s="14" t="s">
        <v>20</v>
      </c>
      <c r="L74" s="20" t="str">
        <f>'[1]4нед'!S76</f>
        <v>пр</v>
      </c>
      <c r="M74" s="23" t="str">
        <f>'[1]4нед'!T76</f>
        <v>Графика и анимация в 3D</v>
      </c>
      <c r="N74" s="21" t="str">
        <f>'[1]4нед'!W76</f>
        <v>Алешов В.В.</v>
      </c>
      <c r="O74" s="22" t="str">
        <f>'[1]4нед'!X76</f>
        <v>ст. преподаватель</v>
      </c>
      <c r="P74" s="57" t="str">
        <f>HYPERLINK(VLOOKUP(M74,$R$12:$S$180,2,FALSE))</f>
        <v>https://max.ru/join/831brpfUKBZ45r5lLawJQ4x_fudzUfMZk87zumhD3l4</v>
      </c>
    </row>
    <row r="75" spans="1:16" ht="37.5" x14ac:dyDescent="0.2">
      <c r="A75" s="82"/>
      <c r="B75" s="85"/>
      <c r="C75" s="14" t="s">
        <v>21</v>
      </c>
      <c r="D75" s="20" t="str">
        <f>'[1]3нед'!S77</f>
        <v>пр</v>
      </c>
      <c r="E75" s="23" t="str">
        <f>'[1]3нед'!T77</f>
        <v>Графика и анимация в 3D</v>
      </c>
      <c r="F75" s="21" t="str">
        <f>'[1]3нед'!W77</f>
        <v>Алешов В.В.</v>
      </c>
      <c r="G75" s="22" t="str">
        <f>'[1]3нед'!X77</f>
        <v>ст. преподаватель</v>
      </c>
      <c r="H75" s="57" t="str">
        <f>HYPERLINK(VLOOKUP(E75,$R$12:$S$180,2,FALSE))</f>
        <v>https://max.ru/join/831brpfUKBZ45r5lLawJQ4x_fudzUfMZk87zumhD3l4</v>
      </c>
      <c r="I75" s="71"/>
      <c r="J75" s="88"/>
      <c r="K75" s="14" t="s">
        <v>21</v>
      </c>
      <c r="L75" s="20" t="str">
        <f>'[1]4нед'!S77</f>
        <v>пр</v>
      </c>
      <c r="M75" s="23" t="str">
        <f>'[1]4нед'!T77</f>
        <v>Графика и анимация в 3D</v>
      </c>
      <c r="N75" s="21" t="str">
        <f>'[1]4нед'!W77</f>
        <v>Алешов В.В.</v>
      </c>
      <c r="O75" s="22" t="str">
        <f>'[1]4нед'!X77</f>
        <v>ст. преподаватель</v>
      </c>
      <c r="P75" s="57" t="str">
        <f>HYPERLINK(VLOOKUP(M75,$R$12:$S$180,2,FALSE))</f>
        <v>https://max.ru/join/831brpfUKBZ45r5lLawJQ4x_fudzUfMZk87zumhD3l4</v>
      </c>
    </row>
    <row r="76" spans="1:16" ht="31.5" x14ac:dyDescent="0.2">
      <c r="A76" s="82"/>
      <c r="B76" s="85"/>
      <c r="C76" s="14" t="s">
        <v>22</v>
      </c>
      <c r="D76" s="20">
        <f>'[1]3нед'!S78</f>
        <v>0</v>
      </c>
      <c r="E76" s="23">
        <f>'[1]3нед'!T78</f>
        <v>0</v>
      </c>
      <c r="F76" s="21">
        <f>'[1]3нед'!W78</f>
        <v>0</v>
      </c>
      <c r="G76" s="22" t="str">
        <f>'[1]3нед'!X78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'[1]4нед'!S78</f>
        <v>0</v>
      </c>
      <c r="M76" s="23">
        <f>'[1]4нед'!T78</f>
        <v>0</v>
      </c>
      <c r="N76" s="21">
        <f>'[1]4нед'!W78</f>
        <v>0</v>
      </c>
      <c r="O76" s="22" t="str">
        <f>'[1]4нед'!X78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'[1]3нед'!S79</f>
        <v>0</v>
      </c>
      <c r="E77" s="23">
        <f>'[1]3нед'!T79</f>
        <v>0</v>
      </c>
      <c r="F77" s="21">
        <f>'[1]3нед'!W79</f>
        <v>0</v>
      </c>
      <c r="G77" s="22" t="str">
        <f>'[1]3нед'!X79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'[1]4нед'!S79</f>
        <v>0</v>
      </c>
      <c r="M77" s="23">
        <f>'[1]4нед'!T79</f>
        <v>0</v>
      </c>
      <c r="N77" s="21">
        <f>'[1]4нед'!W79</f>
        <v>0</v>
      </c>
      <c r="O77" s="22" t="str">
        <f>'[1]4нед'!X79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'[1]3нед'!S80</f>
        <v>0</v>
      </c>
      <c r="E78" s="23">
        <f>'[1]3нед'!T80</f>
        <v>0</v>
      </c>
      <c r="F78" s="21">
        <f>'[1]3нед'!W80</f>
        <v>0</v>
      </c>
      <c r="G78" s="22" t="str">
        <f>'[1]3нед'!X80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'[1]4нед'!S80</f>
        <v>0</v>
      </c>
      <c r="M78" s="23">
        <f>'[1]4нед'!T80</f>
        <v>0</v>
      </c>
      <c r="N78" s="21">
        <f>'[1]4нед'!W80</f>
        <v>0</v>
      </c>
      <c r="O78" s="22" t="str">
        <f>'[1]4нед'!X80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'[1]3нед'!S81</f>
        <v>0</v>
      </c>
      <c r="E79" s="25">
        <f>'[1]3нед'!T81</f>
        <v>0</v>
      </c>
      <c r="F79" s="26">
        <f>'[1]3нед'!W81</f>
        <v>0</v>
      </c>
      <c r="G79" s="27" t="str">
        <f>'[1]3нед'!X81</f>
        <v/>
      </c>
      <c r="H79" s="58" t="str">
        <f>HYPERLINK(VLOOKUP(E79,$R$12:$S$180,2,FALSE))</f>
        <v/>
      </c>
      <c r="I79" s="72"/>
      <c r="J79" s="89"/>
      <c r="K79" s="15"/>
      <c r="L79" s="24">
        <f>'[1]4нед'!S81</f>
        <v>0</v>
      </c>
      <c r="M79" s="25">
        <f>'[1]4нед'!T81</f>
        <v>0</v>
      </c>
      <c r="N79" s="26">
        <f>'[1]4нед'!W81</f>
        <v>0</v>
      </c>
      <c r="O79" s="27" t="str">
        <f>'[1]4нед'!X81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 t="str">
        <f>'[1]3нед'!S82</f>
        <v>л</v>
      </c>
      <c r="E80" s="19" t="str">
        <f>'[1]3нед'!T82</f>
        <v>Разработка программного обеспечения, дизайн алгоритмов и аналитика</v>
      </c>
      <c r="F80" s="17" t="str">
        <f>'[1]3нед'!W82</f>
        <v>Алешов Е.В.</v>
      </c>
      <c r="G80" s="18" t="str">
        <f>'[1]3нед'!X82</f>
        <v>преподаватель</v>
      </c>
      <c r="H80" s="56" t="str">
        <f>HYPERLINK(VLOOKUP(E80,$R$12:$S$180,2,FALSE))</f>
        <v>https://max.ru/join/831brpfUKBZ45r5lLawJQ4x_fudzUfMZk87zumhD3l4</v>
      </c>
      <c r="I80" s="70">
        <v>46287</v>
      </c>
      <c r="J80" s="87" t="s">
        <v>25</v>
      </c>
      <c r="K80" s="29" t="s">
        <v>18</v>
      </c>
      <c r="L80" s="16" t="str">
        <f>'[1]4нед'!S82</f>
        <v>л</v>
      </c>
      <c r="M80" s="19" t="str">
        <f>'[1]4нед'!T82</f>
        <v>Разработка программного обеспечения, дизайн алгоритмов и аналитика</v>
      </c>
      <c r="N80" s="17" t="str">
        <f>'[1]4нед'!W82</f>
        <v>Алешов Е.В.</v>
      </c>
      <c r="O80" s="18" t="str">
        <f>'[1]4нед'!X82</f>
        <v>преподаватель</v>
      </c>
      <c r="P80" s="56" t="str">
        <f>HYPERLINK(VLOOKUP(M80,$R$12:$S$180,2,FALSE))</f>
        <v>https://max.ru/join/831brpfUKBZ45r5lLawJQ4x_fudzUfMZk87zumhD3l4</v>
      </c>
    </row>
    <row r="81" spans="1:16" ht="37.5" x14ac:dyDescent="0.2">
      <c r="A81" s="82"/>
      <c r="B81" s="85"/>
      <c r="C81" s="14" t="s">
        <v>19</v>
      </c>
      <c r="D81" s="20" t="str">
        <f>'[1]3нед'!S83</f>
        <v>пр</v>
      </c>
      <c r="E81" s="23" t="str">
        <f>'[1]3нед'!T83</f>
        <v>Разработка программного обеспечения, дизайн алгоритмов и аналитика</v>
      </c>
      <c r="F81" s="21" t="str">
        <f>'[1]3нед'!W83</f>
        <v>Алешов Е.В.</v>
      </c>
      <c r="G81" s="22" t="str">
        <f>'[1]3нед'!X83</f>
        <v>преподаватель</v>
      </c>
      <c r="H81" s="57" t="str">
        <f>HYPERLINK(VLOOKUP(E81,$R$12:$S$180,2,FALSE))</f>
        <v>https://max.ru/join/831brpfUKBZ45r5lLawJQ4x_fudzUfMZk87zumhD3l4</v>
      </c>
      <c r="I81" s="71"/>
      <c r="J81" s="88"/>
      <c r="K81" s="14" t="s">
        <v>19</v>
      </c>
      <c r="L81" s="20" t="str">
        <f>'[1]4нед'!S83</f>
        <v>пр</v>
      </c>
      <c r="M81" s="23" t="str">
        <f>'[1]4нед'!T83</f>
        <v>Разработка программного обеспечения, дизайн алгоритмов и аналитика</v>
      </c>
      <c r="N81" s="21" t="str">
        <f>'[1]4нед'!W83</f>
        <v>Алешов Е.В.</v>
      </c>
      <c r="O81" s="22" t="str">
        <f>'[1]4нед'!X83</f>
        <v>преподаватель</v>
      </c>
      <c r="P81" s="57" t="str">
        <f>HYPERLINK(VLOOKUP(M81,$R$12:$S$180,2,FALSE))</f>
        <v>https://max.ru/join/831brpfUKBZ45r5lLawJQ4x_fudzUfMZk87zumhD3l4</v>
      </c>
    </row>
    <row r="82" spans="1:16" ht="31.5" x14ac:dyDescent="0.2">
      <c r="A82" s="82"/>
      <c r="B82" s="85"/>
      <c r="C82" s="14" t="s">
        <v>20</v>
      </c>
      <c r="D82" s="20">
        <f>'[1]3нед'!S84</f>
        <v>0</v>
      </c>
      <c r="E82" s="23">
        <f>'[1]3нед'!T84</f>
        <v>0</v>
      </c>
      <c r="F82" s="21">
        <f>'[1]3нед'!W84</f>
        <v>0</v>
      </c>
      <c r="G82" s="22" t="str">
        <f>'[1]3нед'!X84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'[1]4нед'!S84</f>
        <v>0</v>
      </c>
      <c r="M82" s="23">
        <f>'[1]4нед'!T84</f>
        <v>0</v>
      </c>
      <c r="N82" s="21">
        <f>'[1]4нед'!W84</f>
        <v>0</v>
      </c>
      <c r="O82" s="22" t="str">
        <f>'[1]4нед'!X84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'[1]3нед'!S85</f>
        <v>0</v>
      </c>
      <c r="E83" s="23">
        <f>'[1]3нед'!T85</f>
        <v>0</v>
      </c>
      <c r="F83" s="21">
        <f>'[1]3нед'!W85</f>
        <v>0</v>
      </c>
      <c r="G83" s="22" t="str">
        <f>'[1]3нед'!X85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'[1]4нед'!S85</f>
        <v>0</v>
      </c>
      <c r="M83" s="23">
        <f>'[1]4нед'!T85</f>
        <v>0</v>
      </c>
      <c r="N83" s="21">
        <f>'[1]4нед'!W85</f>
        <v>0</v>
      </c>
      <c r="O83" s="22" t="str">
        <f>'[1]4нед'!X85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'[1]3нед'!S86</f>
        <v>0</v>
      </c>
      <c r="E84" s="23">
        <f>'[1]3нед'!T86</f>
        <v>0</v>
      </c>
      <c r="F84" s="21">
        <f>'[1]3нед'!W86</f>
        <v>0</v>
      </c>
      <c r="G84" s="22" t="str">
        <f>'[1]3нед'!X86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'[1]4нед'!S86</f>
        <v>0</v>
      </c>
      <c r="M84" s="23">
        <f>'[1]4нед'!T86</f>
        <v>0</v>
      </c>
      <c r="N84" s="21">
        <f>'[1]4нед'!W86</f>
        <v>0</v>
      </c>
      <c r="O84" s="22" t="str">
        <f>'[1]4нед'!X86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'[1]3нед'!S87</f>
        <v>0</v>
      </c>
      <c r="E85" s="23">
        <f>'[1]3нед'!T87</f>
        <v>0</v>
      </c>
      <c r="F85" s="21">
        <f>'[1]3нед'!W87</f>
        <v>0</v>
      </c>
      <c r="G85" s="22" t="str">
        <f>'[1]3нед'!X87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'[1]4нед'!S87</f>
        <v>0</v>
      </c>
      <c r="M85" s="23">
        <f>'[1]4нед'!T87</f>
        <v>0</v>
      </c>
      <c r="N85" s="21">
        <f>'[1]4нед'!W87</f>
        <v>0</v>
      </c>
      <c r="O85" s="22" t="str">
        <f>'[1]4нед'!X87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'[1]3нед'!S88</f>
        <v>0</v>
      </c>
      <c r="E86" s="23">
        <f>'[1]3нед'!T88</f>
        <v>0</v>
      </c>
      <c r="F86" s="21">
        <f>'[1]3нед'!W88</f>
        <v>0</v>
      </c>
      <c r="G86" s="22" t="str">
        <f>'[1]3нед'!X88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'[1]4нед'!S88</f>
        <v>0</v>
      </c>
      <c r="M86" s="23">
        <f>'[1]4нед'!T88</f>
        <v>0</v>
      </c>
      <c r="N86" s="21">
        <f>'[1]4нед'!W88</f>
        <v>0</v>
      </c>
      <c r="O86" s="22" t="str">
        <f>'[1]4нед'!X88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'[1]3нед'!S89</f>
        <v>0</v>
      </c>
      <c r="E87" s="25">
        <f>'[1]3нед'!T89</f>
        <v>0</v>
      </c>
      <c r="F87" s="26">
        <f>'[1]3нед'!W89</f>
        <v>0</v>
      </c>
      <c r="G87" s="27" t="str">
        <f>'[1]3нед'!X89</f>
        <v/>
      </c>
      <c r="H87" s="58" t="str">
        <f>HYPERLINK(VLOOKUP(E87,$R$12:$S$180,2,FALSE))</f>
        <v/>
      </c>
      <c r="I87" s="72"/>
      <c r="J87" s="89"/>
      <c r="K87" s="15"/>
      <c r="L87" s="24">
        <f>'[1]4нед'!S89</f>
        <v>0</v>
      </c>
      <c r="M87" s="25">
        <f>'[1]4нед'!T89</f>
        <v>0</v>
      </c>
      <c r="N87" s="26">
        <f>'[1]4нед'!W89</f>
        <v>0</v>
      </c>
      <c r="O87" s="27" t="str">
        <f>'[1]4нед'!X89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'[1]3нед'!S90</f>
        <v>л</v>
      </c>
      <c r="E88" s="19" t="str">
        <f>'[1]3нед'!T90</f>
        <v>Графика и анимация в 3D</v>
      </c>
      <c r="F88" s="17" t="str">
        <f>'[1]3нед'!W90</f>
        <v>Алешов В.В.</v>
      </c>
      <c r="G88" s="18" t="str">
        <f>'[1]3нед'!X90</f>
        <v>ст. преподаватель</v>
      </c>
      <c r="H88" s="56" t="str">
        <f>HYPERLINK(VLOOKUP(E88,$R$12:$S$180,2,FALSE))</f>
        <v>https://max.ru/join/831brpfUKBZ45r5lLawJQ4x_fudzUfMZk87zumhD3l4</v>
      </c>
      <c r="I88" s="70">
        <v>46288</v>
      </c>
      <c r="J88" s="73" t="s">
        <v>26</v>
      </c>
      <c r="K88" s="29" t="s">
        <v>18</v>
      </c>
      <c r="L88" s="16" t="str">
        <f>'[1]4нед'!S90</f>
        <v>пр</v>
      </c>
      <c r="M88" s="19" t="str">
        <f>'[1]4нед'!T90</f>
        <v>Графика и анимация в 3D</v>
      </c>
      <c r="N88" s="17" t="str">
        <f>'[1]4нед'!W90</f>
        <v>Алешов В.В.</v>
      </c>
      <c r="O88" s="18" t="str">
        <f>'[1]4нед'!X90</f>
        <v>ст. преподаватель</v>
      </c>
      <c r="P88" s="56" t="str">
        <f>HYPERLINK(VLOOKUP(M88,$R$12:$S$180,2,FALSE))</f>
        <v>https://max.ru/join/831brpfUKBZ45r5lLawJQ4x_fudzUfMZk87zumhD3l4</v>
      </c>
    </row>
    <row r="89" spans="1:16" ht="37.5" x14ac:dyDescent="0.2">
      <c r="A89" s="82"/>
      <c r="B89" s="68"/>
      <c r="C89" s="14" t="s">
        <v>19</v>
      </c>
      <c r="D89" s="20" t="str">
        <f>'[1]3нед'!S91</f>
        <v>л</v>
      </c>
      <c r="E89" s="23" t="str">
        <f>'[1]3нед'!T91</f>
        <v>Графика и анимация в 3D</v>
      </c>
      <c r="F89" s="21" t="str">
        <f>'[1]3нед'!W91</f>
        <v>Алешов В.В.</v>
      </c>
      <c r="G89" s="22" t="str">
        <f>'[1]3нед'!X91</f>
        <v>ст. преподаватель</v>
      </c>
      <c r="H89" s="57" t="str">
        <f>HYPERLINK(VLOOKUP(E89,$R$12:$S$180,2,FALSE))</f>
        <v>https://max.ru/join/831brpfUKBZ45r5lLawJQ4x_fudzUfMZk87zumhD3l4</v>
      </c>
      <c r="I89" s="71"/>
      <c r="J89" s="74"/>
      <c r="K89" s="14" t="s">
        <v>19</v>
      </c>
      <c r="L89" s="20" t="str">
        <f>'[1]4нед'!S91</f>
        <v>пр</v>
      </c>
      <c r="M89" s="23" t="str">
        <f>'[1]4нед'!T91</f>
        <v>Графика и анимация в 3D</v>
      </c>
      <c r="N89" s="21" t="str">
        <f>'[1]4нед'!W91</f>
        <v>Алешов В.В.</v>
      </c>
      <c r="O89" s="22" t="str">
        <f>'[1]4нед'!X91</f>
        <v>ст. преподаватель</v>
      </c>
      <c r="P89" s="57" t="str">
        <f>HYPERLINK(VLOOKUP(M89,$R$12:$S$180,2,FALSE))</f>
        <v>https://max.ru/join/831brpfUKBZ45r5lLawJQ4x_fudzUfMZk87zumhD3l4</v>
      </c>
    </row>
    <row r="90" spans="1:16" ht="37.5" x14ac:dyDescent="0.2">
      <c r="A90" s="82"/>
      <c r="B90" s="68"/>
      <c r="C90" s="14" t="s">
        <v>20</v>
      </c>
      <c r="D90" s="20" t="str">
        <f>'[1]3нед'!S92</f>
        <v>пр</v>
      </c>
      <c r="E90" s="23" t="str">
        <f>'[1]3нед'!T92</f>
        <v>Физическая культура и спорт</v>
      </c>
      <c r="F90" s="21" t="str">
        <f>'[1]3нед'!W92</f>
        <v>Продан С.В.</v>
      </c>
      <c r="G90" s="22" t="str">
        <f>'[1]3нед'!X92</f>
        <v>преподаватель</v>
      </c>
      <c r="H90" s="57" t="str">
        <f>HYPERLINK(VLOOKUP(E90,$R$12:$S$180,2,FALSE))</f>
        <v>https://max.ru/join/831brpfUKBZ45r5lLawJQ4x_fudzUfMZk87zumhD3l4</v>
      </c>
      <c r="I90" s="71"/>
      <c r="J90" s="74"/>
      <c r="K90" s="14" t="s">
        <v>20</v>
      </c>
      <c r="L90" s="20" t="str">
        <f>'[1]4нед'!S92</f>
        <v>пр</v>
      </c>
      <c r="M90" s="23" t="str">
        <f>'[1]4нед'!T92</f>
        <v>Физическая культура и спорт</v>
      </c>
      <c r="N90" s="21" t="str">
        <f>'[1]4нед'!W92</f>
        <v>Продан С.В.</v>
      </c>
      <c r="O90" s="22" t="str">
        <f>'[1]4нед'!X92</f>
        <v>преподаватель</v>
      </c>
      <c r="P90" s="57" t="str">
        <f>HYPERLINK(VLOOKUP(M90,$R$12:$S$180,2,FALSE))</f>
        <v>https://max.ru/join/831brpfUKBZ45r5lLawJQ4x_fudzUfMZk87zumhD3l4</v>
      </c>
    </row>
    <row r="91" spans="1:16" ht="31.5" x14ac:dyDescent="0.2">
      <c r="A91" s="82"/>
      <c r="B91" s="68"/>
      <c r="C91" s="14" t="s">
        <v>21</v>
      </c>
      <c r="D91" s="20">
        <f>'[1]3нед'!S93</f>
        <v>0</v>
      </c>
      <c r="E91" s="23">
        <f>'[1]3нед'!T93</f>
        <v>0</v>
      </c>
      <c r="F91" s="21">
        <f>'[1]3нед'!W93</f>
        <v>0</v>
      </c>
      <c r="G91" s="22" t="str">
        <f>'[1]3нед'!X93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'[1]4нед'!S93</f>
        <v>0</v>
      </c>
      <c r="M91" s="23">
        <f>'[1]4нед'!T93</f>
        <v>0</v>
      </c>
      <c r="N91" s="21">
        <f>'[1]4нед'!W93</f>
        <v>0</v>
      </c>
      <c r="O91" s="22" t="str">
        <f>'[1]4нед'!X93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'[1]3нед'!S94</f>
        <v>0</v>
      </c>
      <c r="E92" s="23">
        <f>'[1]3нед'!T94</f>
        <v>0</v>
      </c>
      <c r="F92" s="21">
        <f>'[1]3нед'!W94</f>
        <v>0</v>
      </c>
      <c r="G92" s="22" t="str">
        <f>'[1]3нед'!X94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'[1]4нед'!S94</f>
        <v>0</v>
      </c>
      <c r="M92" s="23">
        <f>'[1]4нед'!T94</f>
        <v>0</v>
      </c>
      <c r="N92" s="21">
        <f>'[1]4нед'!W94</f>
        <v>0</v>
      </c>
      <c r="O92" s="22" t="str">
        <f>'[1]4нед'!X94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'[1]3нед'!S95</f>
        <v>0</v>
      </c>
      <c r="E93" s="23">
        <f>'[1]3нед'!T95</f>
        <v>0</v>
      </c>
      <c r="F93" s="21">
        <f>'[1]3нед'!W95</f>
        <v>0</v>
      </c>
      <c r="G93" s="22" t="str">
        <f>'[1]3нед'!X95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'[1]4нед'!S95</f>
        <v>0</v>
      </c>
      <c r="M93" s="23">
        <f>'[1]4нед'!T95</f>
        <v>0</v>
      </c>
      <c r="N93" s="21">
        <f>'[1]4нед'!W95</f>
        <v>0</v>
      </c>
      <c r="O93" s="22" t="str">
        <f>'[1]4нед'!X95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'[1]3нед'!S96</f>
        <v>0</v>
      </c>
      <c r="E94" s="23">
        <f>'[1]3нед'!T96</f>
        <v>0</v>
      </c>
      <c r="F94" s="21">
        <f>'[1]3нед'!W96</f>
        <v>0</v>
      </c>
      <c r="G94" s="22" t="str">
        <f>'[1]3нед'!X96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'[1]4нед'!S96</f>
        <v>0</v>
      </c>
      <c r="M94" s="23">
        <f>'[1]4нед'!T96</f>
        <v>0</v>
      </c>
      <c r="N94" s="21">
        <f>'[1]4нед'!W96</f>
        <v>0</v>
      </c>
      <c r="O94" s="22" t="str">
        <f>'[1]4нед'!X96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'[1]3нед'!S97</f>
        <v>0</v>
      </c>
      <c r="E95" s="25">
        <f>'[1]3нед'!T97</f>
        <v>0</v>
      </c>
      <c r="F95" s="26">
        <f>'[1]3нед'!W97</f>
        <v>0</v>
      </c>
      <c r="G95" s="27" t="str">
        <f>'[1]3нед'!X97</f>
        <v/>
      </c>
      <c r="H95" s="58" t="str">
        <f>HYPERLINK(VLOOKUP(E95,$R$12:$S$180,2,FALSE))</f>
        <v/>
      </c>
      <c r="I95" s="72"/>
      <c r="J95" s="75"/>
      <c r="K95" s="15"/>
      <c r="L95" s="24">
        <f>'[1]4нед'!S97</f>
        <v>0</v>
      </c>
      <c r="M95" s="25">
        <f>'[1]4нед'!T97</f>
        <v>0</v>
      </c>
      <c r="N95" s="26">
        <f>'[1]4нед'!W97</f>
        <v>0</v>
      </c>
      <c r="O95" s="27" t="str">
        <f>'[1]4нед'!X97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'[1]3нед'!S98</f>
        <v>л</v>
      </c>
      <c r="E96" s="19" t="str">
        <f>'[1]3нед'!T98</f>
        <v>Управление ИТ-проектами и гибкая методология</v>
      </c>
      <c r="F96" s="17" t="str">
        <f>'[1]3нед'!W98</f>
        <v>Гришин И.Ю.</v>
      </c>
      <c r="G96" s="18" t="str">
        <f>'[1]3нед'!X98</f>
        <v>профессор, д-р наук</v>
      </c>
      <c r="H96" s="56" t="str">
        <f>HYPERLINK(VLOOKUP(E96,$R$12:$S$180,2,FALSE))</f>
        <v>https://max.ru/join/831brpfUKBZ45r5lLawJQ4x_fudzUfMZk87zumhD3l4</v>
      </c>
      <c r="I96" s="70">
        <v>46289</v>
      </c>
      <c r="J96" s="87" t="s">
        <v>27</v>
      </c>
      <c r="K96" s="29" t="s">
        <v>18</v>
      </c>
      <c r="L96" s="16" t="str">
        <f>'[1]4нед'!S98</f>
        <v>пр</v>
      </c>
      <c r="M96" s="19" t="str">
        <f>'[1]4нед'!T98</f>
        <v>Управление ИТ-проектами и гибкая методология</v>
      </c>
      <c r="N96" s="17" t="str">
        <f>'[1]4нед'!W98</f>
        <v>Гришин И.Ю.</v>
      </c>
      <c r="O96" s="18" t="str">
        <f>'[1]4нед'!X98</f>
        <v>профессор, д-р наук</v>
      </c>
      <c r="P96" s="56" t="str">
        <f>HYPERLINK(VLOOKUP(M96,$R$12:$S$180,2,FALSE))</f>
        <v>https://max.ru/join/831brpfUKBZ45r5lLawJQ4x_fudzUfMZk87zumhD3l4</v>
      </c>
    </row>
    <row r="97" spans="1:16" ht="37.5" x14ac:dyDescent="0.2">
      <c r="A97" s="82"/>
      <c r="B97" s="85"/>
      <c r="C97" s="14" t="s">
        <v>19</v>
      </c>
      <c r="D97" s="20" t="str">
        <f>'[1]3нед'!S99</f>
        <v>л</v>
      </c>
      <c r="E97" s="23" t="str">
        <f>'[1]3нед'!T99</f>
        <v>Управление ИТ-проектами и гибкая методология</v>
      </c>
      <c r="F97" s="21" t="str">
        <f>'[1]3нед'!W99</f>
        <v>Гришин И.Ю.</v>
      </c>
      <c r="G97" s="22" t="str">
        <f>'[1]3нед'!X99</f>
        <v>профессор, д-р наук</v>
      </c>
      <c r="H97" s="57" t="str">
        <f>HYPERLINK(VLOOKUP(E97,$R$12:$S$180,2,FALSE))</f>
        <v>https://max.ru/join/831brpfUKBZ45r5lLawJQ4x_fudzUfMZk87zumhD3l4</v>
      </c>
      <c r="I97" s="71"/>
      <c r="J97" s="88"/>
      <c r="K97" s="14" t="s">
        <v>19</v>
      </c>
      <c r="L97" s="20" t="str">
        <f>'[1]4нед'!S99</f>
        <v>пр</v>
      </c>
      <c r="M97" s="23" t="str">
        <f>'[1]4нед'!T99</f>
        <v>Управление ИТ-проектами и гибкая методология</v>
      </c>
      <c r="N97" s="21" t="str">
        <f>'[1]4нед'!W99</f>
        <v>Гришин И.Ю.</v>
      </c>
      <c r="O97" s="22" t="str">
        <f>'[1]4нед'!X99</f>
        <v>профессор, д-р наук</v>
      </c>
      <c r="P97" s="57" t="str">
        <f>HYPERLINK(VLOOKUP(M97,$R$12:$S$180,2,FALSE))</f>
        <v>https://max.ru/join/831brpfUKBZ45r5lLawJQ4x_fudzUfMZk87zumhD3l4</v>
      </c>
    </row>
    <row r="98" spans="1:16" ht="37.5" x14ac:dyDescent="0.2">
      <c r="A98" s="82"/>
      <c r="B98" s="85"/>
      <c r="C98" s="14" t="s">
        <v>20</v>
      </c>
      <c r="D98" s="20" t="str">
        <f>'[1]3нед'!S100</f>
        <v>л</v>
      </c>
      <c r="E98" s="23" t="str">
        <f>'[1]3нед'!T100</f>
        <v>Основы военной подготовки</v>
      </c>
      <c r="F98" s="21" t="str">
        <f>'[1]3нед'!W100</f>
        <v>Кулак А.Ф.</v>
      </c>
      <c r="G98" s="22" t="str">
        <f>'[1]3нед'!X100</f>
        <v>преподаватель</v>
      </c>
      <c r="H98" s="57" t="str">
        <f>HYPERLINK(VLOOKUP(E98,$R$12:$S$180,2,FALSE))</f>
        <v>https://max.ru/join/JliUDf7xjuRKGpBay-DL6RCwrYm2Hzj4E__hjp6UgOQ</v>
      </c>
      <c r="I98" s="71"/>
      <c r="J98" s="88"/>
      <c r="K98" s="14" t="s">
        <v>20</v>
      </c>
      <c r="L98" s="20" t="str">
        <f>'[1]4нед'!S100</f>
        <v>пр</v>
      </c>
      <c r="M98" s="23" t="str">
        <f>'[1]4нед'!T100</f>
        <v xml:space="preserve"> Основы военной подготовки</v>
      </c>
      <c r="N98" s="21" t="str">
        <f>'[1]4нед'!W100</f>
        <v>Кулак А.Ф.</v>
      </c>
      <c r="O98" s="22" t="str">
        <f>'[1]4нед'!X100</f>
        <v>преподаватель</v>
      </c>
      <c r="P98" s="57" t="str">
        <f>HYPERLINK(VLOOKUP(M98,$R$12:$S$180,2,FALSE))</f>
        <v>https://max.ru/join/831brpfUKBZ45r5lLawJQ4x_fudzUfMZk87zumhD3l4</v>
      </c>
    </row>
    <row r="99" spans="1:16" ht="37.5" x14ac:dyDescent="0.2">
      <c r="A99" s="82"/>
      <c r="B99" s="85"/>
      <c r="C99" s="14" t="s">
        <v>21</v>
      </c>
      <c r="D99" s="20" t="str">
        <f>'[1]3нед'!S101</f>
        <v>л</v>
      </c>
      <c r="E99" s="23" t="str">
        <f>'[1]3нед'!T101</f>
        <v>Основы военной подготовки</v>
      </c>
      <c r="F99" s="21" t="str">
        <f>'[1]3нед'!W101</f>
        <v>Кулак А.Ф.</v>
      </c>
      <c r="G99" s="22" t="str">
        <f>'[1]3нед'!X101</f>
        <v>преподаватель</v>
      </c>
      <c r="H99" s="57" t="str">
        <f>HYPERLINK(VLOOKUP(E99,$R$12:$S$180,2,FALSE))</f>
        <v>https://max.ru/join/JliUDf7xjuRKGpBay-DL6RCwrYm2Hzj4E__hjp6UgOQ</v>
      </c>
      <c r="I99" s="71"/>
      <c r="J99" s="88"/>
      <c r="K99" s="14" t="s">
        <v>21</v>
      </c>
      <c r="L99" s="20">
        <f>'[1]4нед'!S101</f>
        <v>0</v>
      </c>
      <c r="M99" s="23">
        <f>'[1]4нед'!T101</f>
        <v>0</v>
      </c>
      <c r="N99" s="21">
        <f>'[1]4нед'!W101</f>
        <v>0</v>
      </c>
      <c r="O99" s="22" t="str">
        <f>'[1]4нед'!X101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'[1]3нед'!S102</f>
        <v>0</v>
      </c>
      <c r="E100" s="23">
        <f>'[1]3нед'!T102</f>
        <v>0</v>
      </c>
      <c r="F100" s="21">
        <f>'[1]3нед'!W102</f>
        <v>0</v>
      </c>
      <c r="G100" s="22" t="str">
        <f>'[1]3нед'!X102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'[1]4нед'!S102</f>
        <v>0</v>
      </c>
      <c r="M100" s="23">
        <f>'[1]4нед'!T102</f>
        <v>0</v>
      </c>
      <c r="N100" s="21">
        <f>'[1]4нед'!W102</f>
        <v>0</v>
      </c>
      <c r="O100" s="22" t="str">
        <f>'[1]4нед'!X102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'[1]3нед'!S103</f>
        <v>0</v>
      </c>
      <c r="E101" s="23">
        <f>'[1]3нед'!T103</f>
        <v>0</v>
      </c>
      <c r="F101" s="21">
        <f>'[1]3нед'!W103</f>
        <v>0</v>
      </c>
      <c r="G101" s="22" t="str">
        <f>'[1]3нед'!X103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'[1]4нед'!S103</f>
        <v>0</v>
      </c>
      <c r="M101" s="23">
        <f>'[1]4нед'!T103</f>
        <v>0</v>
      </c>
      <c r="N101" s="21">
        <f>'[1]4нед'!W103</f>
        <v>0</v>
      </c>
      <c r="O101" s="22" t="str">
        <f>'[1]4нед'!X103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'[1]3нед'!S104</f>
        <v>0</v>
      </c>
      <c r="E102" s="23">
        <f>'[1]3нед'!T104</f>
        <v>0</v>
      </c>
      <c r="F102" s="21">
        <f>'[1]3нед'!W104</f>
        <v>0</v>
      </c>
      <c r="G102" s="22" t="str">
        <f>'[1]3нед'!X104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'[1]4нед'!S104</f>
        <v>0</v>
      </c>
      <c r="M102" s="23">
        <f>'[1]4нед'!T104</f>
        <v>0</v>
      </c>
      <c r="N102" s="21">
        <f>'[1]4нед'!W104</f>
        <v>0</v>
      </c>
      <c r="O102" s="22" t="str">
        <f>'[1]4нед'!X104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'[1]3нед'!S105</f>
        <v>0</v>
      </c>
      <c r="E103" s="25">
        <f>'[1]3нед'!T105</f>
        <v>0</v>
      </c>
      <c r="F103" s="26">
        <f>'[1]3нед'!W105</f>
        <v>0</v>
      </c>
      <c r="G103" s="27" t="str">
        <f>'[1]3нед'!X105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'[1]4нед'!S105</f>
        <v>0</v>
      </c>
      <c r="M103" s="25">
        <f>'[1]4нед'!T105</f>
        <v>0</v>
      </c>
      <c r="N103" s="26">
        <f>'[1]4нед'!W105</f>
        <v>0</v>
      </c>
      <c r="O103" s="27" t="str">
        <f>'[1]4нед'!X105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'[1]3нед'!S106</f>
        <v>л</v>
      </c>
      <c r="E104" s="19" t="str">
        <f>'[1]3нед'!T106</f>
        <v>Управление ИТ-проектами и гибкая методология</v>
      </c>
      <c r="F104" s="17" t="str">
        <f>'[1]3нед'!W106</f>
        <v>Гришин И.Ю.</v>
      </c>
      <c r="G104" s="18" t="str">
        <f>'[1]3нед'!X106</f>
        <v>профессор, д-р наук</v>
      </c>
      <c r="H104" s="56" t="str">
        <f>HYPERLINK(VLOOKUP(E104,$R$12:$S$180,2,FALSE))</f>
        <v>https://max.ru/join/831brpfUKBZ45r5lLawJQ4x_fudzUfMZk87zumhD3l4</v>
      </c>
      <c r="I104" s="70">
        <v>46290</v>
      </c>
      <c r="J104" s="87" t="s">
        <v>28</v>
      </c>
      <c r="K104" s="29" t="s">
        <v>18</v>
      </c>
      <c r="L104" s="16" t="str">
        <f>'[1]4нед'!S106</f>
        <v>пр</v>
      </c>
      <c r="M104" s="19" t="str">
        <f>'[1]4нед'!T106</f>
        <v>Управление ИТ-проектами и гибкая методология</v>
      </c>
      <c r="N104" s="17" t="str">
        <f>'[1]4нед'!W106</f>
        <v>Гришин И.Ю.</v>
      </c>
      <c r="O104" s="18" t="str">
        <f>'[1]4нед'!X106</f>
        <v>профессор, д-р наук</v>
      </c>
      <c r="P104" s="56" t="str">
        <f>HYPERLINK(VLOOKUP(M104,$R$12:$S$180,2,FALSE))</f>
        <v>https://max.ru/join/831brpfUKBZ45r5lLawJQ4x_fudzUfMZk87zumhD3l4</v>
      </c>
    </row>
    <row r="105" spans="1:16" ht="37.5" x14ac:dyDescent="0.2">
      <c r="A105" s="82"/>
      <c r="B105" s="85"/>
      <c r="C105" s="14" t="s">
        <v>19</v>
      </c>
      <c r="D105" s="20" t="str">
        <f>'[1]3нед'!S107</f>
        <v>л</v>
      </c>
      <c r="E105" s="23" t="str">
        <f>'[1]3нед'!T107</f>
        <v>Компьютерная безопасность</v>
      </c>
      <c r="F105" s="21" t="str">
        <f>'[1]3нед'!W107</f>
        <v>Алешов Е.В.</v>
      </c>
      <c r="G105" s="22" t="str">
        <f>'[1]3нед'!X107</f>
        <v>преподаватель</v>
      </c>
      <c r="H105" s="57" t="str">
        <f>HYPERLINK(VLOOKUP(E105,$R$12:$S$180,2,FALSE))</f>
        <v>https://max.ru/join/831brpfUKBZ45r5lLawJQ4x_fudzUfMZk87zumhD3l4</v>
      </c>
      <c r="I105" s="71"/>
      <c r="J105" s="88"/>
      <c r="K105" s="14" t="s">
        <v>19</v>
      </c>
      <c r="L105" s="20" t="str">
        <f>'[1]4нед'!S107</f>
        <v>л</v>
      </c>
      <c r="M105" s="23" t="str">
        <f>'[1]4нед'!T107</f>
        <v>Компьютерная безопасность</v>
      </c>
      <c r="N105" s="21" t="str">
        <f>'[1]4нед'!W107</f>
        <v>Алешов Е.В.</v>
      </c>
      <c r="O105" s="22" t="str">
        <f>'[1]4нед'!X107</f>
        <v>преподаватель</v>
      </c>
      <c r="P105" s="57" t="str">
        <f>HYPERLINK(VLOOKUP(M105,$R$12:$S$180,2,FALSE))</f>
        <v>https://max.ru/join/831brpfUKBZ45r5lLawJQ4x_fudzUfMZk87zumhD3l4</v>
      </c>
    </row>
    <row r="106" spans="1:16" ht="37.5" x14ac:dyDescent="0.2">
      <c r="A106" s="82"/>
      <c r="B106" s="85"/>
      <c r="C106" s="14" t="s">
        <v>20</v>
      </c>
      <c r="D106" s="20" t="str">
        <f>'[1]3нед'!S108</f>
        <v>пр</v>
      </c>
      <c r="E106" s="23" t="str">
        <f>'[1]3нед'!T108</f>
        <v>Компьютерная безопасность</v>
      </c>
      <c r="F106" s="21" t="str">
        <f>'[1]3нед'!W108</f>
        <v>Алешов Е.В.</v>
      </c>
      <c r="G106" s="22" t="str">
        <f>'[1]3нед'!X108</f>
        <v>преподаватель</v>
      </c>
      <c r="H106" s="57" t="str">
        <f>HYPERLINK(VLOOKUP(E106,$R$12:$S$180,2,FALSE))</f>
        <v>https://max.ru/join/831brpfUKBZ45r5lLawJQ4x_fudzUfMZk87zumhD3l4</v>
      </c>
      <c r="I106" s="71"/>
      <c r="J106" s="88"/>
      <c r="K106" s="14" t="s">
        <v>20</v>
      </c>
      <c r="L106" s="20" t="str">
        <f>'[1]4нед'!S108</f>
        <v>пр</v>
      </c>
      <c r="M106" s="23" t="str">
        <f>'[1]4нед'!T108</f>
        <v>Компьютерная безопасность</v>
      </c>
      <c r="N106" s="21" t="str">
        <f>'[1]4нед'!W108</f>
        <v>Алешов Е.В.</v>
      </c>
      <c r="O106" s="22" t="str">
        <f>'[1]4нед'!X108</f>
        <v>преподаватель</v>
      </c>
      <c r="P106" s="57" t="str">
        <f>HYPERLINK(VLOOKUP(M106,$R$12:$S$180,2,FALSE))</f>
        <v>https://max.ru/join/831brpfUKBZ45r5lLawJQ4x_fudzUfMZk87zumhD3l4</v>
      </c>
    </row>
    <row r="107" spans="1:16" ht="31.5" x14ac:dyDescent="0.2">
      <c r="A107" s="82"/>
      <c r="B107" s="85"/>
      <c r="C107" s="14" t="s">
        <v>21</v>
      </c>
      <c r="D107" s="20">
        <f>'[1]3нед'!S109</f>
        <v>0</v>
      </c>
      <c r="E107" s="23">
        <f>'[1]3нед'!T109</f>
        <v>0</v>
      </c>
      <c r="F107" s="21">
        <f>'[1]3нед'!W109</f>
        <v>0</v>
      </c>
      <c r="G107" s="22" t="str">
        <f>'[1]3нед'!X109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'[1]4нед'!S109</f>
        <v>0</v>
      </c>
      <c r="M107" s="23">
        <f>'[1]4нед'!T109</f>
        <v>0</v>
      </c>
      <c r="N107" s="21">
        <f>'[1]4нед'!W109</f>
        <v>0</v>
      </c>
      <c r="O107" s="22" t="str">
        <f>'[1]4нед'!X109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'[1]3нед'!S110</f>
        <v>0</v>
      </c>
      <c r="E108" s="23">
        <f>'[1]3нед'!T110</f>
        <v>0</v>
      </c>
      <c r="F108" s="21">
        <f>'[1]3нед'!W110</f>
        <v>0</v>
      </c>
      <c r="G108" s="22" t="str">
        <f>'[1]3нед'!X110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'[1]4нед'!S110</f>
        <v>0</v>
      </c>
      <c r="M108" s="23">
        <f>'[1]4нед'!T110</f>
        <v>0</v>
      </c>
      <c r="N108" s="21">
        <f>'[1]4нед'!W110</f>
        <v>0</v>
      </c>
      <c r="O108" s="22" t="str">
        <f>'[1]4нед'!X110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'[1]3нед'!S111</f>
        <v>0</v>
      </c>
      <c r="E109" s="23">
        <f>'[1]3нед'!T111</f>
        <v>0</v>
      </c>
      <c r="F109" s="21">
        <f>'[1]3нед'!W111</f>
        <v>0</v>
      </c>
      <c r="G109" s="22" t="str">
        <f>'[1]3нед'!X111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'[1]4нед'!S111</f>
        <v>0</v>
      </c>
      <c r="M109" s="23">
        <f>'[1]4нед'!T111</f>
        <v>0</v>
      </c>
      <c r="N109" s="21">
        <f>'[1]4нед'!W111</f>
        <v>0</v>
      </c>
      <c r="O109" s="22" t="str">
        <f>'[1]4нед'!X111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'[1]3нед'!S112</f>
        <v>0</v>
      </c>
      <c r="E110" s="23">
        <f>'[1]3нед'!T112</f>
        <v>0</v>
      </c>
      <c r="F110" s="21">
        <f>'[1]3нед'!W112</f>
        <v>0</v>
      </c>
      <c r="G110" s="22" t="str">
        <f>'[1]3нед'!X112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'[1]4нед'!S112</f>
        <v>0</v>
      </c>
      <c r="M110" s="23">
        <f>'[1]4нед'!T112</f>
        <v>0</v>
      </c>
      <c r="N110" s="21">
        <f>'[1]4нед'!W112</f>
        <v>0</v>
      </c>
      <c r="O110" s="22" t="str">
        <f>'[1]4нед'!X112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'[1]3нед'!S113</f>
        <v>0</v>
      </c>
      <c r="E111" s="25">
        <f>'[1]3нед'!T113</f>
        <v>0</v>
      </c>
      <c r="F111" s="26">
        <f>'[1]3нед'!W113</f>
        <v>0</v>
      </c>
      <c r="G111" s="27" t="str">
        <f>'[1]3нед'!X113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'[1]4нед'!S113</f>
        <v>0</v>
      </c>
      <c r="M111" s="25">
        <f>'[1]4нед'!T113</f>
        <v>0</v>
      </c>
      <c r="N111" s="26">
        <f>'[1]4нед'!W113</f>
        <v>0</v>
      </c>
      <c r="O111" s="27" t="str">
        <f>'[1]4нед'!X113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'[1]3нед'!S114</f>
        <v>0</v>
      </c>
      <c r="E112" s="19">
        <f>'[1]3нед'!T114</f>
        <v>0</v>
      </c>
      <c r="F112" s="17">
        <f>'[1]3нед'!W114</f>
        <v>0</v>
      </c>
      <c r="G112" s="18" t="str">
        <f>'[1]3нед'!X114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'[1]4нед'!S114</f>
        <v>0</v>
      </c>
      <c r="M112" s="19">
        <f>'[1]4нед'!T114</f>
        <v>0</v>
      </c>
      <c r="N112" s="17">
        <f>'[1]4нед'!W114</f>
        <v>0</v>
      </c>
      <c r="O112" s="18" t="str">
        <f>'[1]4нед'!X114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'[1]3нед'!S115</f>
        <v>0</v>
      </c>
      <c r="E113" s="23">
        <f>'[1]3нед'!T115</f>
        <v>0</v>
      </c>
      <c r="F113" s="21">
        <f>'[1]3нед'!W115</f>
        <v>0</v>
      </c>
      <c r="G113" s="22" t="str">
        <f>'[1]3нед'!X115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'[1]4нед'!S115</f>
        <v>0</v>
      </c>
      <c r="M113" s="23">
        <f>'[1]4нед'!T115</f>
        <v>0</v>
      </c>
      <c r="N113" s="21">
        <f>'[1]4нед'!W115</f>
        <v>0</v>
      </c>
      <c r="O113" s="22" t="str">
        <f>'[1]4нед'!X115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'[1]3нед'!S116</f>
        <v>0</v>
      </c>
      <c r="E114" s="23">
        <f>'[1]3нед'!T116</f>
        <v>0</v>
      </c>
      <c r="F114" s="21">
        <f>'[1]3нед'!W116</f>
        <v>0</v>
      </c>
      <c r="G114" s="22" t="str">
        <f>'[1]3нед'!X116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'[1]4нед'!S116</f>
        <v>0</v>
      </c>
      <c r="M114" s="23">
        <f>'[1]4нед'!T116</f>
        <v>0</v>
      </c>
      <c r="N114" s="21">
        <f>'[1]4нед'!W116</f>
        <v>0</v>
      </c>
      <c r="O114" s="22" t="str">
        <f>'[1]4нед'!X116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'[1]3нед'!S117</f>
        <v>0</v>
      </c>
      <c r="E115" s="23">
        <f>'[1]3нед'!T117</f>
        <v>0</v>
      </c>
      <c r="F115" s="21">
        <f>'[1]3нед'!W117</f>
        <v>0</v>
      </c>
      <c r="G115" s="22" t="str">
        <f>'[1]3нед'!X117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'[1]4нед'!S117</f>
        <v>0</v>
      </c>
      <c r="M115" s="23">
        <f>'[1]4нед'!T117</f>
        <v>0</v>
      </c>
      <c r="N115" s="21">
        <f>'[1]4нед'!W117</f>
        <v>0</v>
      </c>
      <c r="O115" s="22" t="str">
        <f>'[1]4нед'!X117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'[1]3нед'!S118</f>
        <v>0</v>
      </c>
      <c r="E116" s="23">
        <f>'[1]3нед'!T118</f>
        <v>0</v>
      </c>
      <c r="F116" s="21">
        <f>'[1]3нед'!W118</f>
        <v>0</v>
      </c>
      <c r="G116" s="22" t="str">
        <f>'[1]3нед'!X118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'[1]4нед'!S118</f>
        <v>0</v>
      </c>
      <c r="M116" s="23">
        <f>'[1]4нед'!T118</f>
        <v>0</v>
      </c>
      <c r="N116" s="21">
        <f>'[1]4нед'!W118</f>
        <v>0</v>
      </c>
      <c r="O116" s="22" t="str">
        <f>'[1]4нед'!X118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'[1]3нед'!S119</f>
        <v>0</v>
      </c>
      <c r="E117" s="23">
        <f>'[1]3нед'!T119</f>
        <v>0</v>
      </c>
      <c r="F117" s="21">
        <f>'[1]3нед'!W119</f>
        <v>0</v>
      </c>
      <c r="G117" s="22" t="str">
        <f>'[1]3нед'!X119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'[1]4нед'!S119</f>
        <v>0</v>
      </c>
      <c r="M117" s="23">
        <f>'[1]4нед'!T119</f>
        <v>0</v>
      </c>
      <c r="N117" s="21">
        <f>'[1]4нед'!W119</f>
        <v>0</v>
      </c>
      <c r="O117" s="22" t="str">
        <f>'[1]4нед'!X119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'[1]3нед'!S120</f>
        <v>0</v>
      </c>
      <c r="E118" s="23">
        <f>'[1]3нед'!T120</f>
        <v>0</v>
      </c>
      <c r="F118" s="21">
        <f>'[1]3нед'!W120</f>
        <v>0</v>
      </c>
      <c r="G118" s="22" t="str">
        <f>'[1]3нед'!X120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'[1]4нед'!S120</f>
        <v>0</v>
      </c>
      <c r="M118" s="23">
        <f>'[1]4нед'!T120</f>
        <v>0</v>
      </c>
      <c r="N118" s="21">
        <f>'[1]4нед'!W120</f>
        <v>0</v>
      </c>
      <c r="O118" s="22" t="str">
        <f>'[1]4нед'!X120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'[1]4нед'!S59</f>
        <v>0</v>
      </c>
      <c r="M119" s="25">
        <f>'[1]4нед'!T59</f>
        <v>0</v>
      </c>
      <c r="N119" s="26">
        <f>'[1]4нед'!W59</f>
        <v>0</v>
      </c>
      <c r="O119" s="27" t="str">
        <f>'[1]4нед'!X59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 t="str">
        <f>G7</f>
        <v>12-24ПИ</v>
      </c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 t="str">
        <f>G7</f>
        <v>12-24ПИ</v>
      </c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'[3]5нед'!S74</f>
        <v>0</v>
      </c>
      <c r="E132" s="19">
        <f>'[3]5нед'!T74</f>
        <v>0</v>
      </c>
      <c r="F132" s="17">
        <f>'[3]5нед'!W74</f>
        <v>0</v>
      </c>
      <c r="G132" s="18" t="str">
        <f>'[3]5нед'!X74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'[3]6нед'!S74</f>
        <v>0</v>
      </c>
      <c r="M132" s="19">
        <f>'[3]6нед'!T74</f>
        <v>0</v>
      </c>
      <c r="N132" s="17">
        <f>'[3]6нед'!W74</f>
        <v>0</v>
      </c>
      <c r="O132" s="18" t="str">
        <f>'[3]6нед'!X74</f>
        <v/>
      </c>
      <c r="P132" s="56" t="str">
        <f>HYPERLINK(VLOOKUP(M132,$R$12:$S$180,2,FALSE))</f>
        <v/>
      </c>
    </row>
    <row r="133" spans="1:16" ht="37.5" x14ac:dyDescent="0.2">
      <c r="A133" s="82"/>
      <c r="B133" s="85"/>
      <c r="C133" s="14" t="s">
        <v>19</v>
      </c>
      <c r="D133" s="20" t="str">
        <f>'[3]5нед'!S75</f>
        <v>пр</v>
      </c>
      <c r="E133" s="23" t="str">
        <f>'[3]5нед'!T75</f>
        <v>Разработка программного обеспечения, дизайн алгоритмов и аналитика</v>
      </c>
      <c r="F133" s="21" t="str">
        <f>'[3]5нед'!W75</f>
        <v>Алешов Е.В.</v>
      </c>
      <c r="G133" s="22" t="str">
        <f>'[3]5нед'!X75</f>
        <v>преподаватель</v>
      </c>
      <c r="H133" s="57" t="str">
        <f>HYPERLINK(VLOOKUP(E133,$R$12:$S$180,2,FALSE))</f>
        <v>https://max.ru/join/831brpfUKBZ45r5lLawJQ4x_fudzUfMZk87zumhD3l4</v>
      </c>
      <c r="I133" s="71"/>
      <c r="J133" s="88"/>
      <c r="K133" s="14" t="s">
        <v>19</v>
      </c>
      <c r="L133" s="20" t="str">
        <f>'[3]6нед'!S75</f>
        <v>пр</v>
      </c>
      <c r="M133" s="23" t="str">
        <f>'[3]6нед'!T75</f>
        <v>Компьютерная безопасность</v>
      </c>
      <c r="N133" s="21" t="str">
        <f>'[3]6нед'!W75</f>
        <v>Алешов Е.В.</v>
      </c>
      <c r="O133" s="22" t="str">
        <f>'[3]6нед'!X75</f>
        <v>преподаватель</v>
      </c>
      <c r="P133" s="57" t="str">
        <f>HYPERLINK(VLOOKUP(M133,$R$12:$S$180,2,FALSE))</f>
        <v>https://max.ru/join/831brpfUKBZ45r5lLawJQ4x_fudzUfMZk87zumhD3l4</v>
      </c>
    </row>
    <row r="134" spans="1:16" ht="37.5" x14ac:dyDescent="0.2">
      <c r="A134" s="82"/>
      <c r="B134" s="85"/>
      <c r="C134" s="14" t="s">
        <v>20</v>
      </c>
      <c r="D134" s="20" t="str">
        <f>'[3]5нед'!S76</f>
        <v>л</v>
      </c>
      <c r="E134" s="23" t="str">
        <f>'[3]5нед'!T76</f>
        <v>Графика и анимация в 3D</v>
      </c>
      <c r="F134" s="21" t="str">
        <f>'[3]5нед'!W76</f>
        <v>Алешов В.В.</v>
      </c>
      <c r="G134" s="22" t="str">
        <f>'[3]5нед'!X76</f>
        <v>ст. преподаватель</v>
      </c>
      <c r="H134" s="57" t="str">
        <f>HYPERLINK(VLOOKUP(E134,$R$12:$S$180,2,FALSE))</f>
        <v>https://max.ru/join/831brpfUKBZ45r5lLawJQ4x_fudzUfMZk87zumhD3l4</v>
      </c>
      <c r="I134" s="71"/>
      <c r="J134" s="88"/>
      <c r="K134" s="14" t="s">
        <v>20</v>
      </c>
      <c r="L134" s="20" t="str">
        <f>'[3]6нед'!S76</f>
        <v>пр</v>
      </c>
      <c r="M134" s="23" t="str">
        <f>'[3]6нед'!T76</f>
        <v>Графика и анимация в 3D</v>
      </c>
      <c r="N134" s="21" t="str">
        <f>'[3]6нед'!W76</f>
        <v>Алешов В.В.</v>
      </c>
      <c r="O134" s="22" t="str">
        <f>'[3]6нед'!X76</f>
        <v>ст. преподаватель</v>
      </c>
      <c r="P134" s="57" t="str">
        <f>HYPERLINK(VLOOKUP(M134,$R$12:$S$180,2,FALSE))</f>
        <v>https://max.ru/join/831brpfUKBZ45r5lLawJQ4x_fudzUfMZk87zumhD3l4</v>
      </c>
    </row>
    <row r="135" spans="1:16" ht="37.5" x14ac:dyDescent="0.2">
      <c r="A135" s="82"/>
      <c r="B135" s="85"/>
      <c r="C135" s="14" t="s">
        <v>21</v>
      </c>
      <c r="D135" s="20" t="str">
        <f>'[3]5нед'!S77</f>
        <v>л</v>
      </c>
      <c r="E135" s="23" t="str">
        <f>'[3]5нед'!T77</f>
        <v>Графика и анимация в 3D</v>
      </c>
      <c r="F135" s="21" t="str">
        <f>'[3]5нед'!W77</f>
        <v>Алешов В.В.</v>
      </c>
      <c r="G135" s="22" t="str">
        <f>'[3]5нед'!X77</f>
        <v>ст. преподаватель</v>
      </c>
      <c r="H135" s="57" t="str">
        <f>HYPERLINK(VLOOKUP(E135,$R$12:$S$180,2,FALSE))</f>
        <v>https://max.ru/join/831brpfUKBZ45r5lLawJQ4x_fudzUfMZk87zumhD3l4</v>
      </c>
      <c r="I135" s="71"/>
      <c r="J135" s="88"/>
      <c r="K135" s="14" t="s">
        <v>21</v>
      </c>
      <c r="L135" s="20" t="str">
        <f>'[3]6нед'!S77</f>
        <v>пр</v>
      </c>
      <c r="M135" s="23" t="str">
        <f>'[3]6нед'!T77</f>
        <v>Графика и анимация в 3D</v>
      </c>
      <c r="N135" s="21" t="str">
        <f>'[3]6нед'!W77</f>
        <v>Алешов В.В.</v>
      </c>
      <c r="O135" s="22" t="str">
        <f>'[3]6нед'!X77</f>
        <v>ст. преподаватель</v>
      </c>
      <c r="P135" s="57" t="str">
        <f>HYPERLINK(VLOOKUP(M135,$R$12:$S$180,2,FALSE))</f>
        <v>https://max.ru/join/831brpfUKBZ45r5lLawJQ4x_fudzUfMZk87zumhD3l4</v>
      </c>
    </row>
    <row r="136" spans="1:16" ht="31.5" x14ac:dyDescent="0.2">
      <c r="A136" s="82"/>
      <c r="B136" s="85"/>
      <c r="C136" s="14" t="s">
        <v>22</v>
      </c>
      <c r="D136" s="20">
        <f>'[3]5нед'!S78</f>
        <v>0</v>
      </c>
      <c r="E136" s="23">
        <f>'[3]5нед'!T78</f>
        <v>0</v>
      </c>
      <c r="F136" s="21">
        <f>'[3]5нед'!W78</f>
        <v>0</v>
      </c>
      <c r="G136" s="22" t="str">
        <f>'[3]5нед'!X78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'[3]6нед'!S78</f>
        <v>0</v>
      </c>
      <c r="M136" s="23">
        <f>'[3]6нед'!T78</f>
        <v>0</v>
      </c>
      <c r="N136" s="21">
        <f>'[3]6нед'!W78</f>
        <v>0</v>
      </c>
      <c r="O136" s="22" t="str">
        <f>'[3]6нед'!X78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'[3]5нед'!S79</f>
        <v>0</v>
      </c>
      <c r="E137" s="23">
        <f>'[3]5нед'!T79</f>
        <v>0</v>
      </c>
      <c r="F137" s="21">
        <f>'[3]5нед'!W79</f>
        <v>0</v>
      </c>
      <c r="G137" s="22" t="str">
        <f>'[3]5нед'!X79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'[3]6нед'!S79</f>
        <v>0</v>
      </c>
      <c r="M137" s="23">
        <f>'[3]6нед'!T79</f>
        <v>0</v>
      </c>
      <c r="N137" s="21">
        <f>'[3]6нед'!W79</f>
        <v>0</v>
      </c>
      <c r="O137" s="22" t="str">
        <f>'[3]6нед'!X79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'[3]5нед'!S80</f>
        <v>0</v>
      </c>
      <c r="E138" s="23">
        <f>'[3]5нед'!T80</f>
        <v>0</v>
      </c>
      <c r="F138" s="21">
        <f>'[3]5нед'!W80</f>
        <v>0</v>
      </c>
      <c r="G138" s="22" t="str">
        <f>'[3]5нед'!X80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'[3]6нед'!S80</f>
        <v>0</v>
      </c>
      <c r="M138" s="23">
        <f>'[3]6нед'!T80</f>
        <v>0</v>
      </c>
      <c r="N138" s="21">
        <f>'[3]6нед'!W80</f>
        <v>0</v>
      </c>
      <c r="O138" s="22" t="str">
        <f>'[3]6нед'!X80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'[3]5нед'!S81</f>
        <v>0</v>
      </c>
      <c r="E139" s="25">
        <f>'[3]5нед'!T81</f>
        <v>0</v>
      </c>
      <c r="F139" s="26">
        <f>'[3]5нед'!W81</f>
        <v>0</v>
      </c>
      <c r="G139" s="27" t="str">
        <f>'[3]5нед'!X81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'[3]6нед'!S81</f>
        <v>0</v>
      </c>
      <c r="M139" s="25">
        <f>'[3]6нед'!T81</f>
        <v>0</v>
      </c>
      <c r="N139" s="26">
        <f>'[3]6нед'!W81</f>
        <v>0</v>
      </c>
      <c r="O139" s="27" t="str">
        <f>'[3]6нед'!X81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 t="str">
        <f>'[3]5нед'!S82</f>
        <v>л</v>
      </c>
      <c r="E140" s="19" t="str">
        <f>'[3]5нед'!T82</f>
        <v>Разработка программного обеспечения, дизайн алгоритмов и аналитика</v>
      </c>
      <c r="F140" s="17" t="str">
        <f>'[3]5нед'!W82</f>
        <v>Алешов Е.В.</v>
      </c>
      <c r="G140" s="18" t="str">
        <f>'[3]5нед'!X82</f>
        <v>преподаватель</v>
      </c>
      <c r="H140" s="56" t="str">
        <f>HYPERLINK(VLOOKUP(E140,$R$12:$S$180,2,FALSE))</f>
        <v>https://max.ru/join/831brpfUKBZ45r5lLawJQ4x_fudzUfMZk87zumhD3l4</v>
      </c>
      <c r="I140" s="70">
        <v>46301</v>
      </c>
      <c r="J140" s="87" t="s">
        <v>25</v>
      </c>
      <c r="K140" s="29" t="s">
        <v>18</v>
      </c>
      <c r="L140" s="16" t="str">
        <f>'[3]6нед'!S82</f>
        <v>л</v>
      </c>
      <c r="M140" s="19" t="str">
        <f>'[3]6нед'!T82</f>
        <v>Разработка программного обеспечения, дизайн алгоритмов и аналитика</v>
      </c>
      <c r="N140" s="17" t="str">
        <f>'[3]6нед'!W82</f>
        <v>Алешов Е.В.</v>
      </c>
      <c r="O140" s="18" t="str">
        <f>'[3]6нед'!X82</f>
        <v>преподаватель</v>
      </c>
      <c r="P140" s="56" t="str">
        <f>HYPERLINK(VLOOKUP(M140,$R$12:$S$180,2,FALSE))</f>
        <v>https://max.ru/join/831brpfUKBZ45r5lLawJQ4x_fudzUfMZk87zumhD3l4</v>
      </c>
    </row>
    <row r="141" spans="1:16" ht="37.5" x14ac:dyDescent="0.2">
      <c r="A141" s="82"/>
      <c r="B141" s="85"/>
      <c r="C141" s="14" t="s">
        <v>19</v>
      </c>
      <c r="D141" s="20" t="str">
        <f>'[3]5нед'!S83</f>
        <v>пр</v>
      </c>
      <c r="E141" s="23" t="str">
        <f>'[3]5нед'!T83</f>
        <v>Разработка программного обеспечения, дизайн алгоритмов и аналитика</v>
      </c>
      <c r="F141" s="21" t="str">
        <f>'[3]5нед'!W83</f>
        <v>Алешов Е.В.</v>
      </c>
      <c r="G141" s="22" t="str">
        <f>'[3]5нед'!X83</f>
        <v>преподаватель</v>
      </c>
      <c r="H141" s="57" t="str">
        <f>HYPERLINK(VLOOKUP(E141,$R$12:$S$180,2,FALSE))</f>
        <v>https://max.ru/join/831brpfUKBZ45r5lLawJQ4x_fudzUfMZk87zumhD3l4</v>
      </c>
      <c r="I141" s="71"/>
      <c r="J141" s="88"/>
      <c r="K141" s="14" t="s">
        <v>19</v>
      </c>
      <c r="L141" s="20" t="str">
        <f>'[3]6нед'!S83</f>
        <v>пр</v>
      </c>
      <c r="M141" s="23" t="str">
        <f>'[3]6нед'!T83</f>
        <v>Разработка программного обеспечения, дизайн алгоритмов и аналитика</v>
      </c>
      <c r="N141" s="21" t="str">
        <f>'[3]6нед'!W83</f>
        <v>Алешов Е.В.</v>
      </c>
      <c r="O141" s="22" t="str">
        <f>'[3]6нед'!X83</f>
        <v>преподаватель</v>
      </c>
      <c r="P141" s="57" t="str">
        <f>HYPERLINK(VLOOKUP(M141,$R$12:$S$180,2,FALSE))</f>
        <v>https://max.ru/join/831brpfUKBZ45r5lLawJQ4x_fudzUfMZk87zumhD3l4</v>
      </c>
    </row>
    <row r="142" spans="1:16" ht="31.5" x14ac:dyDescent="0.2">
      <c r="A142" s="82"/>
      <c r="B142" s="85"/>
      <c r="C142" s="14" t="s">
        <v>20</v>
      </c>
      <c r="D142" s="20">
        <f>'[3]5нед'!S84</f>
        <v>0</v>
      </c>
      <c r="E142" s="23">
        <f>'[3]5нед'!T84</f>
        <v>0</v>
      </c>
      <c r="F142" s="21">
        <f>'[3]5нед'!W84</f>
        <v>0</v>
      </c>
      <c r="G142" s="22" t="str">
        <f>'[3]5нед'!X84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'[3]6нед'!S84</f>
        <v>0</v>
      </c>
      <c r="M142" s="23">
        <f>'[3]6нед'!T84</f>
        <v>0</v>
      </c>
      <c r="N142" s="21">
        <f>'[3]6нед'!W84</f>
        <v>0</v>
      </c>
      <c r="O142" s="22" t="str">
        <f>'[3]6нед'!X84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'[3]5нед'!S85</f>
        <v>0</v>
      </c>
      <c r="E143" s="23">
        <f>'[3]5нед'!T85</f>
        <v>0</v>
      </c>
      <c r="F143" s="21">
        <f>'[3]5нед'!W85</f>
        <v>0</v>
      </c>
      <c r="G143" s="22" t="str">
        <f>'[3]5нед'!X85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'[3]6нед'!S85</f>
        <v>0</v>
      </c>
      <c r="M143" s="23">
        <f>'[3]6нед'!T85</f>
        <v>0</v>
      </c>
      <c r="N143" s="21">
        <f>'[3]6нед'!W85</f>
        <v>0</v>
      </c>
      <c r="O143" s="22" t="str">
        <f>'[3]6нед'!X85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'[3]5нед'!S86</f>
        <v>0</v>
      </c>
      <c r="E144" s="23">
        <f>'[3]5нед'!T86</f>
        <v>0</v>
      </c>
      <c r="F144" s="21">
        <f>'[3]5нед'!W86</f>
        <v>0</v>
      </c>
      <c r="G144" s="22" t="str">
        <f>'[3]5нед'!X86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'[3]6нед'!S86</f>
        <v>0</v>
      </c>
      <c r="M144" s="23">
        <f>'[3]6нед'!T86</f>
        <v>0</v>
      </c>
      <c r="N144" s="21">
        <f>'[3]6нед'!W86</f>
        <v>0</v>
      </c>
      <c r="O144" s="22" t="str">
        <f>'[3]6нед'!X86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'[3]5нед'!S87</f>
        <v>0</v>
      </c>
      <c r="E145" s="23">
        <f>'[3]5нед'!T87</f>
        <v>0</v>
      </c>
      <c r="F145" s="21">
        <f>'[3]5нед'!W87</f>
        <v>0</v>
      </c>
      <c r="G145" s="22" t="str">
        <f>'[3]5нед'!X87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'[3]6нед'!S87</f>
        <v>0</v>
      </c>
      <c r="M145" s="23">
        <f>'[3]6нед'!T87</f>
        <v>0</v>
      </c>
      <c r="N145" s="21">
        <f>'[3]6нед'!W87</f>
        <v>0</v>
      </c>
      <c r="O145" s="22" t="str">
        <f>'[3]6нед'!X87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'[3]5нед'!S88</f>
        <v>0</v>
      </c>
      <c r="E146" s="23">
        <f>'[3]5нед'!T88</f>
        <v>0</v>
      </c>
      <c r="F146" s="21">
        <f>'[3]5нед'!W88</f>
        <v>0</v>
      </c>
      <c r="G146" s="22" t="str">
        <f>'[3]5нед'!X88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'[3]6нед'!S88</f>
        <v>0</v>
      </c>
      <c r="M146" s="23">
        <f>'[3]6нед'!T88</f>
        <v>0</v>
      </c>
      <c r="N146" s="21">
        <f>'[3]6нед'!W88</f>
        <v>0</v>
      </c>
      <c r="O146" s="22" t="str">
        <f>'[3]6нед'!X88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'[3]5нед'!S89</f>
        <v>0</v>
      </c>
      <c r="E147" s="25">
        <f>'[3]5нед'!T89</f>
        <v>0</v>
      </c>
      <c r="F147" s="26">
        <f>'[3]5нед'!W89</f>
        <v>0</v>
      </c>
      <c r="G147" s="27" t="str">
        <f>'[3]5нед'!X89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'[3]6нед'!S89</f>
        <v>0</v>
      </c>
      <c r="M147" s="25">
        <f>'[3]6нед'!T89</f>
        <v>0</v>
      </c>
      <c r="N147" s="26">
        <f>'[3]6нед'!W89</f>
        <v>0</v>
      </c>
      <c r="O147" s="27" t="str">
        <f>'[3]6нед'!X89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'[3]5нед'!S90</f>
        <v>0</v>
      </c>
      <c r="E148" s="19">
        <f>'[3]5нед'!T90</f>
        <v>0</v>
      </c>
      <c r="F148" s="17">
        <f>'[3]5нед'!W90</f>
        <v>0</v>
      </c>
      <c r="G148" s="18" t="str">
        <f>'[3]5нед'!X90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 t="str">
        <f>'[3]6нед'!S90</f>
        <v>пр</v>
      </c>
      <c r="M148" s="19" t="str">
        <f>'[3]6нед'!T90</f>
        <v>Графика и анимация в 3D</v>
      </c>
      <c r="N148" s="17" t="str">
        <f>'[3]6нед'!W90</f>
        <v>Алешов В.В.</v>
      </c>
      <c r="O148" s="18" t="str">
        <f>'[3]6нед'!X90</f>
        <v>ст. преподаватель</v>
      </c>
      <c r="P148" s="56" t="str">
        <f>HYPERLINK(VLOOKUP(M148,$R$12:$S$180,2,FALSE))</f>
        <v>https://max.ru/join/831brpfUKBZ45r5lLawJQ4x_fudzUfMZk87zumhD3l4</v>
      </c>
    </row>
    <row r="149" spans="1:16" ht="37.5" x14ac:dyDescent="0.2">
      <c r="A149" s="82"/>
      <c r="B149" s="68"/>
      <c r="C149" s="14" t="s">
        <v>19</v>
      </c>
      <c r="D149" s="20">
        <f>'[3]5нед'!S91</f>
        <v>0</v>
      </c>
      <c r="E149" s="23">
        <f>'[3]5нед'!T91</f>
        <v>0</v>
      </c>
      <c r="F149" s="21">
        <f>'[3]5нед'!W91</f>
        <v>0</v>
      </c>
      <c r="G149" s="22" t="str">
        <f>'[3]5нед'!X91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'[3]6нед'!S91</f>
        <v>пр</v>
      </c>
      <c r="M149" s="23" t="str">
        <f>'[3]6нед'!T91</f>
        <v>Графика и анимация в 3D</v>
      </c>
      <c r="N149" s="21" t="str">
        <f>'[3]6нед'!W91</f>
        <v>Алешов В.В.</v>
      </c>
      <c r="O149" s="22" t="str">
        <f>'[3]6нед'!X91</f>
        <v>ст. преподаватель</v>
      </c>
      <c r="P149" s="57" t="str">
        <f>HYPERLINK(VLOOKUP(M149,$R$12:$S$180,2,FALSE))</f>
        <v>https://max.ru/join/831brpfUKBZ45r5lLawJQ4x_fudzUfMZk87zumhD3l4</v>
      </c>
    </row>
    <row r="150" spans="1:16" ht="37.5" x14ac:dyDescent="0.2">
      <c r="A150" s="82"/>
      <c r="B150" s="68"/>
      <c r="C150" s="14" t="s">
        <v>20</v>
      </c>
      <c r="D150" s="20">
        <f>'[3]5нед'!S92</f>
        <v>0</v>
      </c>
      <c r="E150" s="23">
        <f>'[3]5нед'!T92</f>
        <v>0</v>
      </c>
      <c r="F150" s="21">
        <f>'[3]5нед'!W92</f>
        <v>0</v>
      </c>
      <c r="G150" s="22" t="str">
        <f>'[3]5нед'!X92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'[3]6нед'!S92</f>
        <v>пр</v>
      </c>
      <c r="M150" s="23" t="str">
        <f>'[3]6нед'!T92</f>
        <v>Физическая культура и спорт</v>
      </c>
      <c r="N150" s="21" t="str">
        <f>'[3]6нед'!W92</f>
        <v>Продан С.В.</v>
      </c>
      <c r="O150" s="22" t="str">
        <f>'[3]6нед'!X92</f>
        <v>преподаватель</v>
      </c>
      <c r="P150" s="57" t="str">
        <f>HYPERLINK(VLOOKUP(M150,$R$12:$S$180,2,FALSE))</f>
        <v>https://max.ru/join/831brpfUKBZ45r5lLawJQ4x_fudzUfMZk87zumhD3l4</v>
      </c>
    </row>
    <row r="151" spans="1:16" ht="31.5" x14ac:dyDescent="0.2">
      <c r="A151" s="82"/>
      <c r="B151" s="68"/>
      <c r="C151" s="14" t="s">
        <v>21</v>
      </c>
      <c r="D151" s="20">
        <f>'[3]5нед'!S93</f>
        <v>0</v>
      </c>
      <c r="E151" s="23">
        <f>'[3]5нед'!T93</f>
        <v>0</v>
      </c>
      <c r="F151" s="21">
        <f>'[3]5нед'!W93</f>
        <v>0</v>
      </c>
      <c r="G151" s="22" t="str">
        <f>'[3]5нед'!X93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'[3]6нед'!S93</f>
        <v>0</v>
      </c>
      <c r="M151" s="23">
        <f>'[3]6нед'!T93</f>
        <v>0</v>
      </c>
      <c r="N151" s="21">
        <f>'[3]6нед'!W93</f>
        <v>0</v>
      </c>
      <c r="O151" s="22" t="str">
        <f>'[3]6нед'!X93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'[3]5нед'!S94</f>
        <v>0</v>
      </c>
      <c r="E152" s="23">
        <f>'[3]5нед'!T94</f>
        <v>0</v>
      </c>
      <c r="F152" s="21">
        <f>'[3]5нед'!W94</f>
        <v>0</v>
      </c>
      <c r="G152" s="22" t="str">
        <f>'[3]5нед'!X94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'[3]6нед'!S94</f>
        <v>0</v>
      </c>
      <c r="M152" s="23">
        <f>'[3]6нед'!T94</f>
        <v>0</v>
      </c>
      <c r="N152" s="21">
        <f>'[3]6нед'!W94</f>
        <v>0</v>
      </c>
      <c r="O152" s="22" t="str">
        <f>'[3]6нед'!X94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'[3]5нед'!S95</f>
        <v>0</v>
      </c>
      <c r="E153" s="23">
        <f>'[3]5нед'!T95</f>
        <v>0</v>
      </c>
      <c r="F153" s="21">
        <f>'[3]5нед'!W95</f>
        <v>0</v>
      </c>
      <c r="G153" s="22" t="str">
        <f>'[3]5нед'!X95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'[3]6нед'!S95</f>
        <v>0</v>
      </c>
      <c r="M153" s="23">
        <f>'[3]6нед'!T95</f>
        <v>0</v>
      </c>
      <c r="N153" s="21">
        <f>'[3]6нед'!W95</f>
        <v>0</v>
      </c>
      <c r="O153" s="22" t="str">
        <f>'[3]6нед'!X95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'[3]5нед'!S96</f>
        <v>0</v>
      </c>
      <c r="E154" s="23">
        <f>'[3]5нед'!T96</f>
        <v>0</v>
      </c>
      <c r="F154" s="21">
        <f>'[3]5нед'!W96</f>
        <v>0</v>
      </c>
      <c r="G154" s="22" t="str">
        <f>'[3]5нед'!X96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'[3]6нед'!S96</f>
        <v>0</v>
      </c>
      <c r="M154" s="23">
        <f>'[3]6нед'!T96</f>
        <v>0</v>
      </c>
      <c r="N154" s="21">
        <f>'[3]6нед'!W96</f>
        <v>0</v>
      </c>
      <c r="O154" s="22" t="str">
        <f>'[3]6нед'!X96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'[3]5нед'!S97</f>
        <v>0</v>
      </c>
      <c r="E155" s="25">
        <f>'[3]5нед'!T97</f>
        <v>0</v>
      </c>
      <c r="F155" s="26">
        <f>'[3]5нед'!W97</f>
        <v>0</v>
      </c>
      <c r="G155" s="27" t="str">
        <f>'[3]5нед'!X97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'[3]6нед'!S97</f>
        <v>0</v>
      </c>
      <c r="M155" s="25">
        <f>'[3]6нед'!T97</f>
        <v>0</v>
      </c>
      <c r="N155" s="26">
        <f>'[3]6нед'!W97</f>
        <v>0</v>
      </c>
      <c r="O155" s="27" t="str">
        <f>'[3]6нед'!X97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'[3]5нед'!S98</f>
        <v>л</v>
      </c>
      <c r="E156" s="19" t="str">
        <f>'[3]5нед'!T98</f>
        <v>Управление ИТ-проектами и гибкая методология</v>
      </c>
      <c r="F156" s="17" t="str">
        <f>'[3]5нед'!W98</f>
        <v>Гришин И.Ю.</v>
      </c>
      <c r="G156" s="18" t="str">
        <f>'[3]5нед'!X98</f>
        <v>профессор, д-р наук</v>
      </c>
      <c r="H156" s="56" t="str">
        <f>HYPERLINK(VLOOKUP(E156,$R$12:$S$180,2,FALSE))</f>
        <v>https://max.ru/join/831brpfUKBZ45r5lLawJQ4x_fudzUfMZk87zumhD3l4</v>
      </c>
      <c r="I156" s="70">
        <v>46303</v>
      </c>
      <c r="J156" s="87" t="s">
        <v>27</v>
      </c>
      <c r="K156" s="29" t="s">
        <v>18</v>
      </c>
      <c r="L156" s="16" t="str">
        <f>'[3]6нед'!S98</f>
        <v>пр</v>
      </c>
      <c r="M156" s="19" t="str">
        <f>'[3]6нед'!T98</f>
        <v>Управление ИТ-проектами и гибкая методология</v>
      </c>
      <c r="N156" s="17" t="str">
        <f>'[3]6нед'!W98</f>
        <v>Гришин И.Ю.</v>
      </c>
      <c r="O156" s="18" t="str">
        <f>'[3]6нед'!X98</f>
        <v>профессор, д-р наук</v>
      </c>
      <c r="P156" s="56" t="str">
        <f>HYPERLINK(VLOOKUP(M156,$R$12:$S$180,2,FALSE))</f>
        <v>https://max.ru/join/831brpfUKBZ45r5lLawJQ4x_fudzUfMZk87zumhD3l4</v>
      </c>
    </row>
    <row r="157" spans="1:16" ht="37.5" x14ac:dyDescent="0.2">
      <c r="A157" s="82"/>
      <c r="B157" s="85"/>
      <c r="C157" s="14" t="s">
        <v>19</v>
      </c>
      <c r="D157" s="20" t="str">
        <f>'[3]5нед'!S99</f>
        <v>л</v>
      </c>
      <c r="E157" s="23" t="str">
        <f>'[3]5нед'!T99</f>
        <v>Управление ИТ-проектами и гибкая методология</v>
      </c>
      <c r="F157" s="21" t="str">
        <f>'[3]5нед'!W99</f>
        <v>Гришин И.Ю.</v>
      </c>
      <c r="G157" s="22" t="str">
        <f>'[3]5нед'!X99</f>
        <v>профессор, д-р наук</v>
      </c>
      <c r="H157" s="57" t="str">
        <f>HYPERLINK(VLOOKUP(E157,$R$12:$S$180,2,FALSE))</f>
        <v>https://max.ru/join/831brpfUKBZ45r5lLawJQ4x_fudzUfMZk87zumhD3l4</v>
      </c>
      <c r="I157" s="71"/>
      <c r="J157" s="88"/>
      <c r="K157" s="14" t="s">
        <v>19</v>
      </c>
      <c r="L157" s="20" t="str">
        <f>'[3]6нед'!S99</f>
        <v>пр</v>
      </c>
      <c r="M157" s="23" t="str">
        <f>'[3]6нед'!T99</f>
        <v>Управление ИТ-проектами и гибкая методология</v>
      </c>
      <c r="N157" s="21" t="str">
        <f>'[3]6нед'!W99</f>
        <v>Гришин И.Ю.</v>
      </c>
      <c r="O157" s="22" t="str">
        <f>'[3]6нед'!X99</f>
        <v>профессор, д-р наук</v>
      </c>
      <c r="P157" s="57" t="str">
        <f>HYPERLINK(VLOOKUP(M157,$R$12:$S$180,2,FALSE))</f>
        <v>https://max.ru/join/831brpfUKBZ45r5lLawJQ4x_fudzUfMZk87zumhD3l4</v>
      </c>
    </row>
    <row r="158" spans="1:16" ht="37.5" x14ac:dyDescent="0.2">
      <c r="A158" s="82"/>
      <c r="B158" s="85"/>
      <c r="C158" s="14" t="s">
        <v>20</v>
      </c>
      <c r="D158" s="20">
        <f>'[3]5нед'!S100</f>
        <v>0</v>
      </c>
      <c r="E158" s="23">
        <f>'[3]5нед'!T100</f>
        <v>0</v>
      </c>
      <c r="F158" s="21">
        <f>'[3]5нед'!W100</f>
        <v>0</v>
      </c>
      <c r="G158" s="22" t="str">
        <f>'[3]5нед'!X100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 t="str">
        <f>'[3]6нед'!S100</f>
        <v>пр</v>
      </c>
      <c r="M158" s="23" t="str">
        <f>'[3]6нед'!T100</f>
        <v xml:space="preserve"> Основы военной подготовки</v>
      </c>
      <c r="N158" s="21" t="str">
        <f>'[3]6нед'!W100</f>
        <v>Кулак А.Ф.</v>
      </c>
      <c r="O158" s="22" t="str">
        <f>'[3]6нед'!X100</f>
        <v>преподаватель</v>
      </c>
      <c r="P158" s="57" t="str">
        <f>HYPERLINK(VLOOKUP(M158,$R$12:$S$180,2,FALSE))</f>
        <v>https://max.ru/join/831brpfUKBZ45r5lLawJQ4x_fudzUfMZk87zumhD3l4</v>
      </c>
    </row>
    <row r="159" spans="1:16" ht="31.5" x14ac:dyDescent="0.2">
      <c r="A159" s="82"/>
      <c r="B159" s="85"/>
      <c r="C159" s="14" t="s">
        <v>21</v>
      </c>
      <c r="D159" s="20">
        <f>'[3]5нед'!S101</f>
        <v>0</v>
      </c>
      <c r="E159" s="23">
        <f>'[3]5нед'!T101</f>
        <v>0</v>
      </c>
      <c r="F159" s="21">
        <f>'[3]5нед'!W101</f>
        <v>0</v>
      </c>
      <c r="G159" s="22" t="str">
        <f>'[3]5нед'!X101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'[3]6нед'!S101</f>
        <v>0</v>
      </c>
      <c r="M159" s="23">
        <f>'[3]6нед'!T101</f>
        <v>0</v>
      </c>
      <c r="N159" s="21">
        <f>'[3]6нед'!W101</f>
        <v>0</v>
      </c>
      <c r="O159" s="22" t="str">
        <f>'[3]6нед'!X101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'[3]5нед'!S102</f>
        <v>0</v>
      </c>
      <c r="E160" s="23">
        <f>'[3]5нед'!T102</f>
        <v>0</v>
      </c>
      <c r="F160" s="21">
        <f>'[3]5нед'!W102</f>
        <v>0</v>
      </c>
      <c r="G160" s="22" t="str">
        <f>'[3]5нед'!X102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'[3]6нед'!S102</f>
        <v>0</v>
      </c>
      <c r="M160" s="23">
        <f>'[3]6нед'!T102</f>
        <v>0</v>
      </c>
      <c r="N160" s="21">
        <f>'[3]6нед'!W102</f>
        <v>0</v>
      </c>
      <c r="O160" s="22" t="str">
        <f>'[3]6нед'!X102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'[3]5нед'!S103</f>
        <v>0</v>
      </c>
      <c r="E161" s="23">
        <f>'[3]5нед'!T103</f>
        <v>0</v>
      </c>
      <c r="F161" s="21">
        <f>'[3]5нед'!W103</f>
        <v>0</v>
      </c>
      <c r="G161" s="22" t="str">
        <f>'[3]5нед'!X103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'[3]6нед'!S103</f>
        <v>0</v>
      </c>
      <c r="M161" s="23">
        <f>'[3]6нед'!T103</f>
        <v>0</v>
      </c>
      <c r="N161" s="21">
        <f>'[3]6нед'!W103</f>
        <v>0</v>
      </c>
      <c r="O161" s="22" t="str">
        <f>'[3]6нед'!X103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'[3]5нед'!S104</f>
        <v>0</v>
      </c>
      <c r="E162" s="23">
        <f>'[3]5нед'!T104</f>
        <v>0</v>
      </c>
      <c r="F162" s="21">
        <f>'[3]5нед'!W104</f>
        <v>0</v>
      </c>
      <c r="G162" s="22" t="str">
        <f>'[3]5нед'!X104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'[3]6нед'!S104</f>
        <v>0</v>
      </c>
      <c r="M162" s="23">
        <f>'[3]6нед'!T104</f>
        <v>0</v>
      </c>
      <c r="N162" s="21">
        <f>'[3]6нед'!W104</f>
        <v>0</v>
      </c>
      <c r="O162" s="22" t="str">
        <f>'[3]6нед'!X104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'[3]5нед'!S105</f>
        <v>0</v>
      </c>
      <c r="E163" s="25">
        <f>'[3]5нед'!T105</f>
        <v>0</v>
      </c>
      <c r="F163" s="26">
        <f>'[3]5нед'!W105</f>
        <v>0</v>
      </c>
      <c r="G163" s="27" t="str">
        <f>'[3]5нед'!X105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'[3]6нед'!S105</f>
        <v>0</v>
      </c>
      <c r="M163" s="25">
        <f>'[3]6нед'!T105</f>
        <v>0</v>
      </c>
      <c r="N163" s="26">
        <f>'[3]6нед'!W105</f>
        <v>0</v>
      </c>
      <c r="O163" s="27" t="str">
        <f>'[3]6нед'!X105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'[3]5нед'!S106</f>
        <v>л</v>
      </c>
      <c r="E164" s="19" t="str">
        <f>'[3]5нед'!T106</f>
        <v>Управление ИТ-проектами и гибкая методология</v>
      </c>
      <c r="F164" s="17" t="str">
        <f>'[3]5нед'!W106</f>
        <v>Гришин И.Ю.</v>
      </c>
      <c r="G164" s="18" t="str">
        <f>'[3]5нед'!X106</f>
        <v>профессор, д-р наук</v>
      </c>
      <c r="H164" s="56" t="str">
        <f>HYPERLINK(VLOOKUP(E164,$R$12:$S$180,2,FALSE))</f>
        <v>https://max.ru/join/831brpfUKBZ45r5lLawJQ4x_fudzUfMZk87zumhD3l4</v>
      </c>
      <c r="I164" s="70">
        <v>46304</v>
      </c>
      <c r="J164" s="87" t="s">
        <v>28</v>
      </c>
      <c r="K164" s="29" t="s">
        <v>18</v>
      </c>
      <c r="L164" s="16" t="str">
        <f>'[3]6нед'!S106</f>
        <v>пр</v>
      </c>
      <c r="M164" s="19" t="str">
        <f>'[3]6нед'!T106</f>
        <v>Управление ИТ-проектами и гибкая методология</v>
      </c>
      <c r="N164" s="17" t="str">
        <f>'[3]6нед'!W106</f>
        <v>Гришин И.Ю.</v>
      </c>
      <c r="O164" s="18" t="str">
        <f>'[3]6нед'!X106</f>
        <v>профессор, д-р наук</v>
      </c>
      <c r="P164" s="56" t="str">
        <f>HYPERLINK(VLOOKUP(M164,$R$12:$S$180,2,FALSE))</f>
        <v>https://max.ru/join/831brpfUKBZ45r5lLawJQ4x_fudzUfMZk87zumhD3l4</v>
      </c>
    </row>
    <row r="165" spans="1:16" ht="37.5" x14ac:dyDescent="0.2">
      <c r="A165" s="82"/>
      <c r="B165" s="85"/>
      <c r="C165" s="14" t="s">
        <v>19</v>
      </c>
      <c r="D165" s="20" t="str">
        <f>'[3]5нед'!S107</f>
        <v>л</v>
      </c>
      <c r="E165" s="23" t="str">
        <f>'[3]5нед'!T107</f>
        <v>Компьютерная безопасность</v>
      </c>
      <c r="F165" s="21" t="str">
        <f>'[3]5нед'!W107</f>
        <v>Алешов Е.В.</v>
      </c>
      <c r="G165" s="22" t="str">
        <f>'[3]5нед'!X107</f>
        <v>преподаватель</v>
      </c>
      <c r="H165" s="57" t="str">
        <f>HYPERLINK(VLOOKUP(E165,$R$12:$S$180,2,FALSE))</f>
        <v>https://max.ru/join/831brpfUKBZ45r5lLawJQ4x_fudzUfMZk87zumhD3l4</v>
      </c>
      <c r="I165" s="71"/>
      <c r="J165" s="88"/>
      <c r="K165" s="14" t="s">
        <v>19</v>
      </c>
      <c r="L165" s="20" t="str">
        <f>'[3]6нед'!S107</f>
        <v>л</v>
      </c>
      <c r="M165" s="23" t="str">
        <f>'[3]6нед'!T107</f>
        <v>Компьютерная безопасность</v>
      </c>
      <c r="N165" s="21" t="str">
        <f>'[3]6нед'!W107</f>
        <v>Алешов Е.В.</v>
      </c>
      <c r="O165" s="22" t="str">
        <f>'[3]6нед'!X107</f>
        <v>преподаватель</v>
      </c>
      <c r="P165" s="57" t="str">
        <f>HYPERLINK(VLOOKUP(M165,$R$12:$S$180,2,FALSE))</f>
        <v>https://max.ru/join/831brpfUKBZ45r5lLawJQ4x_fudzUfMZk87zumhD3l4</v>
      </c>
    </row>
    <row r="166" spans="1:16" ht="37.5" x14ac:dyDescent="0.2">
      <c r="A166" s="82"/>
      <c r="B166" s="85"/>
      <c r="C166" s="14" t="s">
        <v>20</v>
      </c>
      <c r="D166" s="20" t="str">
        <f>'[3]5нед'!S108</f>
        <v>пр</v>
      </c>
      <c r="E166" s="23" t="str">
        <f>'[3]5нед'!T108</f>
        <v>Компьютерная безопасность</v>
      </c>
      <c r="F166" s="21" t="str">
        <f>'[3]5нед'!W108</f>
        <v>Алешов Е.В.</v>
      </c>
      <c r="G166" s="22" t="str">
        <f>'[3]5нед'!X108</f>
        <v>преподаватель</v>
      </c>
      <c r="H166" s="57" t="str">
        <f>HYPERLINK(VLOOKUP(E166,$R$12:$S$180,2,FALSE))</f>
        <v>https://max.ru/join/831brpfUKBZ45r5lLawJQ4x_fudzUfMZk87zumhD3l4</v>
      </c>
      <c r="I166" s="71"/>
      <c r="J166" s="88"/>
      <c r="K166" s="14" t="s">
        <v>20</v>
      </c>
      <c r="L166" s="20" t="str">
        <f>'[3]6нед'!S108</f>
        <v>пр</v>
      </c>
      <c r="M166" s="23" t="str">
        <f>'[3]6нед'!T108</f>
        <v>Компьютерная безопасность</v>
      </c>
      <c r="N166" s="21" t="str">
        <f>'[3]6нед'!W108</f>
        <v>Алешов Е.В.</v>
      </c>
      <c r="O166" s="22" t="str">
        <f>'[3]6нед'!X108</f>
        <v>преподаватель</v>
      </c>
      <c r="P166" s="57" t="str">
        <f>HYPERLINK(VLOOKUP(M166,$R$12:$S$180,2,FALSE))</f>
        <v>https://max.ru/join/831brpfUKBZ45r5lLawJQ4x_fudzUfMZk87zumhD3l4</v>
      </c>
    </row>
    <row r="167" spans="1:16" ht="31.5" x14ac:dyDescent="0.2">
      <c r="A167" s="82"/>
      <c r="B167" s="85"/>
      <c r="C167" s="14" t="s">
        <v>21</v>
      </c>
      <c r="D167" s="20">
        <f>'[3]5нед'!S109</f>
        <v>0</v>
      </c>
      <c r="E167" s="23">
        <f>'[3]5нед'!T109</f>
        <v>0</v>
      </c>
      <c r="F167" s="21">
        <f>'[3]5нед'!W109</f>
        <v>0</v>
      </c>
      <c r="G167" s="22" t="str">
        <f>'[3]5нед'!X109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'[3]6нед'!S109</f>
        <v>0</v>
      </c>
      <c r="M167" s="23">
        <f>'[3]6нед'!T109</f>
        <v>0</v>
      </c>
      <c r="N167" s="21">
        <f>'[3]6нед'!W109</f>
        <v>0</v>
      </c>
      <c r="O167" s="22" t="str">
        <f>'[3]6нед'!X109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'[3]5нед'!S110</f>
        <v>0</v>
      </c>
      <c r="E168" s="23">
        <f>'[3]5нед'!T110</f>
        <v>0</v>
      </c>
      <c r="F168" s="21">
        <f>'[3]5нед'!W110</f>
        <v>0</v>
      </c>
      <c r="G168" s="22" t="str">
        <f>'[3]5нед'!X110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'[3]6нед'!S110</f>
        <v>0</v>
      </c>
      <c r="M168" s="23">
        <f>'[3]6нед'!T110</f>
        <v>0</v>
      </c>
      <c r="N168" s="21">
        <f>'[3]6нед'!W110</f>
        <v>0</v>
      </c>
      <c r="O168" s="22" t="str">
        <f>'[3]6нед'!X110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'[3]5нед'!S111</f>
        <v>0</v>
      </c>
      <c r="E169" s="23">
        <f>'[3]5нед'!T111</f>
        <v>0</v>
      </c>
      <c r="F169" s="21">
        <f>'[3]5нед'!W111</f>
        <v>0</v>
      </c>
      <c r="G169" s="22" t="str">
        <f>'[3]5нед'!X111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'[3]6нед'!S111</f>
        <v>0</v>
      </c>
      <c r="M169" s="23">
        <f>'[3]6нед'!T111</f>
        <v>0</v>
      </c>
      <c r="N169" s="21">
        <f>'[3]6нед'!W111</f>
        <v>0</v>
      </c>
      <c r="O169" s="22" t="str">
        <f>'[3]6нед'!X111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'[3]5нед'!S112</f>
        <v>0</v>
      </c>
      <c r="E170" s="23">
        <f>'[3]5нед'!T112</f>
        <v>0</v>
      </c>
      <c r="F170" s="21">
        <f>'[3]5нед'!W112</f>
        <v>0</v>
      </c>
      <c r="G170" s="22" t="str">
        <f>'[3]5нед'!X112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'[3]6нед'!S112</f>
        <v>0</v>
      </c>
      <c r="M170" s="23">
        <f>'[3]6нед'!T112</f>
        <v>0</v>
      </c>
      <c r="N170" s="21">
        <f>'[3]6нед'!W112</f>
        <v>0</v>
      </c>
      <c r="O170" s="22" t="str">
        <f>'[3]6нед'!X112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'[3]5нед'!S113</f>
        <v>0</v>
      </c>
      <c r="E171" s="25">
        <f>'[3]5нед'!T113</f>
        <v>0</v>
      </c>
      <c r="F171" s="26">
        <f>'[3]5нед'!W113</f>
        <v>0</v>
      </c>
      <c r="G171" s="27" t="str">
        <f>'[3]5нед'!X113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'[3]6нед'!S113</f>
        <v>0</v>
      </c>
      <c r="M171" s="25">
        <f>'[3]6нед'!T113</f>
        <v>0</v>
      </c>
      <c r="N171" s="26">
        <f>'[3]6нед'!W113</f>
        <v>0</v>
      </c>
      <c r="O171" s="27" t="str">
        <f>'[3]6нед'!X113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'[3]5нед'!S114</f>
        <v>0</v>
      </c>
      <c r="E172" s="19">
        <f>'[3]5нед'!T114</f>
        <v>0</v>
      </c>
      <c r="F172" s="17">
        <f>'[3]5нед'!W114</f>
        <v>0</v>
      </c>
      <c r="G172" s="18" t="str">
        <f>'[3]5нед'!X114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'[3]6нед'!S114</f>
        <v>0</v>
      </c>
      <c r="M172" s="19">
        <f>'[3]6нед'!T114</f>
        <v>0</v>
      </c>
      <c r="N172" s="17">
        <f>'[3]6нед'!W114</f>
        <v>0</v>
      </c>
      <c r="O172" s="18" t="str">
        <f>'[3]6нед'!X114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'[3]5нед'!S115</f>
        <v>0</v>
      </c>
      <c r="E173" s="23">
        <f>'[3]5нед'!T115</f>
        <v>0</v>
      </c>
      <c r="F173" s="21">
        <f>'[3]5нед'!W115</f>
        <v>0</v>
      </c>
      <c r="G173" s="22" t="str">
        <f>'[3]5нед'!X115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'[3]6нед'!S115</f>
        <v>0</v>
      </c>
      <c r="M173" s="23">
        <f>'[3]6нед'!T115</f>
        <v>0</v>
      </c>
      <c r="N173" s="21">
        <f>'[3]6нед'!W115</f>
        <v>0</v>
      </c>
      <c r="O173" s="22" t="str">
        <f>'[3]6нед'!X115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'[3]5нед'!S116</f>
        <v>0</v>
      </c>
      <c r="E174" s="23">
        <f>'[3]5нед'!T116</f>
        <v>0</v>
      </c>
      <c r="F174" s="21">
        <f>'[3]5нед'!W116</f>
        <v>0</v>
      </c>
      <c r="G174" s="22" t="str">
        <f>'[3]5нед'!X116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'[3]6нед'!S116</f>
        <v>0</v>
      </c>
      <c r="M174" s="23">
        <f>'[3]6нед'!T116</f>
        <v>0</v>
      </c>
      <c r="N174" s="21">
        <f>'[3]6нед'!W116</f>
        <v>0</v>
      </c>
      <c r="O174" s="22" t="str">
        <f>'[3]6нед'!X116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'[3]5нед'!S117</f>
        <v>0</v>
      </c>
      <c r="E175" s="23">
        <f>'[3]5нед'!T117</f>
        <v>0</v>
      </c>
      <c r="F175" s="21">
        <f>'[3]5нед'!W117</f>
        <v>0</v>
      </c>
      <c r="G175" s="22" t="str">
        <f>'[3]5нед'!X117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'[3]6нед'!S117</f>
        <v>0</v>
      </c>
      <c r="M175" s="23">
        <f>'[3]6нед'!T117</f>
        <v>0</v>
      </c>
      <c r="N175" s="21">
        <f>'[3]6нед'!W117</f>
        <v>0</v>
      </c>
      <c r="O175" s="22" t="str">
        <f>'[3]6нед'!X117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'[3]5нед'!S118</f>
        <v>0</v>
      </c>
      <c r="E176" s="23">
        <f>'[3]5нед'!T118</f>
        <v>0</v>
      </c>
      <c r="F176" s="21">
        <f>'[3]5нед'!W118</f>
        <v>0</v>
      </c>
      <c r="G176" s="22" t="str">
        <f>'[3]5нед'!X118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'[3]6нед'!S118</f>
        <v>0</v>
      </c>
      <c r="M176" s="23">
        <f>'[3]6нед'!T118</f>
        <v>0</v>
      </c>
      <c r="N176" s="21">
        <f>'[3]6нед'!W118</f>
        <v>0</v>
      </c>
      <c r="O176" s="22" t="str">
        <f>'[3]6нед'!X118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'[3]5нед'!S119</f>
        <v>0</v>
      </c>
      <c r="E177" s="23">
        <f>'[3]5нед'!T119</f>
        <v>0</v>
      </c>
      <c r="F177" s="21">
        <f>'[3]5нед'!W119</f>
        <v>0</v>
      </c>
      <c r="G177" s="22" t="str">
        <f>'[3]5нед'!X119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'[3]6нед'!S119</f>
        <v>0</v>
      </c>
      <c r="M177" s="23">
        <f>'[3]6нед'!T119</f>
        <v>0</v>
      </c>
      <c r="N177" s="21">
        <f>'[3]6нед'!W119</f>
        <v>0</v>
      </c>
      <c r="O177" s="22" t="str">
        <f>'[3]6нед'!X119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'[3]5нед'!S120</f>
        <v>0</v>
      </c>
      <c r="E178" s="23">
        <f>'[3]5нед'!T120</f>
        <v>0</v>
      </c>
      <c r="F178" s="21">
        <f>'[3]5нед'!W120</f>
        <v>0</v>
      </c>
      <c r="G178" s="22" t="str">
        <f>'[3]5нед'!X120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'[3]6нед'!S120</f>
        <v>0</v>
      </c>
      <c r="M178" s="23">
        <f>'[3]6нед'!T120</f>
        <v>0</v>
      </c>
      <c r="N178" s="21">
        <f>'[3]6нед'!W120</f>
        <v>0</v>
      </c>
      <c r="O178" s="22" t="str">
        <f>'[3]6нед'!X120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'[3]5нед'!S59</f>
        <v>0</v>
      </c>
      <c r="E179" s="25">
        <f>'[3]5нед'!T59</f>
        <v>0</v>
      </c>
      <c r="F179" s="26">
        <f>'[3]5нед'!W59</f>
        <v>0</v>
      </c>
      <c r="G179" s="27" t="str">
        <f>'[3]5нед'!X59</f>
        <v/>
      </c>
      <c r="H179" s="39"/>
      <c r="I179" s="72"/>
      <c r="J179" s="89"/>
      <c r="K179" s="15"/>
      <c r="L179" s="24">
        <f>'[3]6нед'!S121</f>
        <v>0</v>
      </c>
      <c r="M179" s="25">
        <f>'[3]6нед'!T121</f>
        <v>0</v>
      </c>
      <c r="N179" s="26">
        <f>'[3]6нед'!W121</f>
        <v>0</v>
      </c>
      <c r="O179" s="27" t="str">
        <f>'[3]6нед'!X121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D9A4B1BD-93E6-42CD-803D-7BF0126629DA}"/>
    <hyperlink ref="S13" r:id="rId2" xr:uid="{99A2C5DB-6D32-4AB0-B7FF-E9B578D88FD6}"/>
    <hyperlink ref="S14:S17" r:id="rId3" display="https://max.ru/join/831brpfUKBZ45r5lLawJQ4x_fudzUfMZk87zumhD3l4" xr:uid="{ED7D5060-456F-45C6-B0E2-D8F79FF5B1B6}"/>
    <hyperlink ref="S18" r:id="rId4" xr:uid="{460828A8-EA85-457D-A0FC-E56D4633A353}"/>
    <hyperlink ref="S19" r:id="rId5" xr:uid="{23A3CB53-7233-48CD-BBE5-EDCB048E8A79}"/>
  </hyperlinks>
  <pageMargins left="0.70866141732283472" right="0.70866141732283472" top="0.74803149606299213" bottom="0.74803149606299213" header="0.31496062992125984" footer="0.31496062992125984"/>
  <pageSetup paperSize="9" scale="40" orientation="portrait" r:id="rId6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80"/>
  <sheetViews>
    <sheetView view="pageBreakPreview" topLeftCell="H123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7109375" customWidth="1"/>
    <col min="19" max="19" width="40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4</v>
      </c>
      <c r="F9" s="62"/>
      <c r="G9" s="62" t="str">
        <f>'[1]1нед'!$D$134</f>
        <v>12-23ПИ</v>
      </c>
      <c r="H9" s="35"/>
      <c r="I9" s="45"/>
      <c r="J9" s="81" t="s">
        <v>7</v>
      </c>
      <c r="K9" s="81"/>
      <c r="L9" s="81"/>
      <c r="M9" s="62">
        <f>E9</f>
        <v>4</v>
      </c>
      <c r="N9" s="62" t="str">
        <f>'[1]1нед'!$D$134</f>
        <v>12-23ПИ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'[1]1нед'!C136</f>
        <v>0</v>
      </c>
      <c r="E12" s="19">
        <f>'[1]1нед'!D136</f>
        <v>0</v>
      </c>
      <c r="F12" s="17">
        <f>'[1]1нед'!G136</f>
        <v>0</v>
      </c>
      <c r="G12" s="18" t="str">
        <f>'[1]1нед'!H136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 t="str">
        <f>'[1]2нед'!C136</f>
        <v>пр</v>
      </c>
      <c r="M12" s="19" t="str">
        <f>'[1]2нед'!D136</f>
        <v>Операционные системы семейства Unix / Linux</v>
      </c>
      <c r="N12" s="17" t="str">
        <f>'[1]2нед'!G136</f>
        <v>Криницкий Ю.В.</v>
      </c>
      <c r="O12" s="18" t="str">
        <f>'[1]2нед'!H136</f>
        <v>преподаватель</v>
      </c>
      <c r="P12" s="56" t="str">
        <f>HYPERLINK(VLOOKUP(M12,$R$12:$S$180,2,FALSE))</f>
        <v>https://max.ru/join/HWJDG1wxuQDCiC0TUN5E66zyt7VXJqMWtv_aHX-fd1o</v>
      </c>
      <c r="R12" t="str">
        <f>[2]Уч.План!B306</f>
        <v>Взаимодействие с лицами с ОВЗ и с инвалидностью в социальной и профессиональной сферах</v>
      </c>
      <c r="S12" s="61" t="s">
        <v>50</v>
      </c>
    </row>
    <row r="13" spans="1:19" ht="37.5" x14ac:dyDescent="0.2">
      <c r="A13" s="82"/>
      <c r="B13" s="85"/>
      <c r="C13" s="14" t="s">
        <v>19</v>
      </c>
      <c r="D13" s="20">
        <f>'[1]1нед'!C137</f>
        <v>0</v>
      </c>
      <c r="E13" s="23">
        <f>'[1]1нед'!D137</f>
        <v>0</v>
      </c>
      <c r="F13" s="21">
        <f>'[1]1нед'!G137</f>
        <v>0</v>
      </c>
      <c r="G13" s="22" t="str">
        <f>'[1]1нед'!H137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'[1]2нед'!C137</f>
        <v>пр</v>
      </c>
      <c r="M13" s="23" t="str">
        <f>'[1]2нед'!D137</f>
        <v>Операционные системы семейства Unix / Linux</v>
      </c>
      <c r="N13" s="21" t="str">
        <f>'[1]2нед'!G137</f>
        <v>Криницкий Ю.В.</v>
      </c>
      <c r="O13" s="22" t="str">
        <f>'[1]2нед'!H137</f>
        <v>преподаватель</v>
      </c>
      <c r="P13" s="57" t="str">
        <f>HYPERLINK(VLOOKUP(M13,$R$12:$S$180,2,FALSE))</f>
        <v>https://max.ru/join/HWJDG1wxuQDCiC0TUN5E66zyt7VXJqMWtv_aHX-fd1o</v>
      </c>
      <c r="R13" t="str">
        <f>[2]Уч.План!B307</f>
        <v>Технологии искусственного интеллекта</v>
      </c>
      <c r="S13" s="61" t="s">
        <v>50</v>
      </c>
    </row>
    <row r="14" spans="1:19" ht="37.5" x14ac:dyDescent="0.2">
      <c r="A14" s="82"/>
      <c r="B14" s="85"/>
      <c r="C14" s="14" t="s">
        <v>20</v>
      </c>
      <c r="D14" s="20">
        <f>'[1]1нед'!C138</f>
        <v>0</v>
      </c>
      <c r="E14" s="23">
        <f>'[1]1нед'!D138</f>
        <v>0</v>
      </c>
      <c r="F14" s="21">
        <f>'[1]1нед'!G138</f>
        <v>0</v>
      </c>
      <c r="G14" s="22" t="str">
        <f>'[1]1нед'!H138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'[1]2нед'!C138</f>
        <v>пр</v>
      </c>
      <c r="M14" s="23" t="str">
        <f>'[1]2нед'!D138</f>
        <v>Разработка приложений для мобильных устройств</v>
      </c>
      <c r="N14" s="21" t="str">
        <f>'[1]2нед'!G138</f>
        <v>Алешов Е.В.</v>
      </c>
      <c r="O14" s="22" t="str">
        <f>'[1]2нед'!H138</f>
        <v>преподаватель</v>
      </c>
      <c r="P14" s="57" t="str">
        <f>HYPERLINK(VLOOKUP(M14,$R$12:$S$180,2,FALSE))</f>
        <v>https://max.ru/join/HWJDG1wxuQDCiC0TUN5E66zyt7VXJqMWtv_aHX-fd1o</v>
      </c>
      <c r="R14" t="str">
        <f>[2]Уч.План!B308</f>
        <v>Операционные системы семейства Unix / Linux</v>
      </c>
      <c r="S14" s="61" t="s">
        <v>50</v>
      </c>
    </row>
    <row r="15" spans="1:19" ht="37.5" x14ac:dyDescent="0.2">
      <c r="A15" s="82"/>
      <c r="B15" s="85"/>
      <c r="C15" s="14" t="s">
        <v>21</v>
      </c>
      <c r="D15" s="20">
        <f>'[1]1нед'!C139</f>
        <v>0</v>
      </c>
      <c r="E15" s="23">
        <f>'[1]1нед'!D139</f>
        <v>0</v>
      </c>
      <c r="F15" s="21">
        <f>'[1]1нед'!G139</f>
        <v>0</v>
      </c>
      <c r="G15" s="22" t="str">
        <f>'[1]1нед'!H139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'[1]2нед'!C139</f>
        <v>пр</v>
      </c>
      <c r="M15" s="23" t="str">
        <f>'[1]2нед'!D139</f>
        <v>Разработка приложений для мобильных устройств</v>
      </c>
      <c r="N15" s="21" t="str">
        <f>'[1]2нед'!G139</f>
        <v>Алешов Е.В.</v>
      </c>
      <c r="O15" s="22" t="str">
        <f>'[1]2нед'!H139</f>
        <v>преподаватель</v>
      </c>
      <c r="P15" s="57" t="str">
        <f>HYPERLINK(VLOOKUP(M15,$R$12:$S$180,2,FALSE))</f>
        <v>https://max.ru/join/HWJDG1wxuQDCiC0TUN5E66zyt7VXJqMWtv_aHX-fd1o</v>
      </c>
      <c r="R15" t="str">
        <f>[2]Уч.План!B309</f>
        <v>Продвинутые технологии искусственного интеллекта</v>
      </c>
      <c r="S15" s="61" t="s">
        <v>50</v>
      </c>
    </row>
    <row r="16" spans="1:19" ht="31.5" x14ac:dyDescent="0.2">
      <c r="A16" s="82"/>
      <c r="B16" s="85"/>
      <c r="C16" s="14" t="s">
        <v>22</v>
      </c>
      <c r="D16" s="20">
        <f>'[1]1нед'!C140</f>
        <v>0</v>
      </c>
      <c r="E16" s="23">
        <f>'[1]1нед'!D140</f>
        <v>0</v>
      </c>
      <c r="F16" s="21">
        <f>'[1]1нед'!G140</f>
        <v>0</v>
      </c>
      <c r="G16" s="22" t="str">
        <f>'[1]1нед'!H140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'[1]2нед'!C140</f>
        <v>0</v>
      </c>
      <c r="M16" s="23">
        <f>'[1]2нед'!D140</f>
        <v>0</v>
      </c>
      <c r="N16" s="21">
        <f>'[1]2нед'!G140</f>
        <v>0</v>
      </c>
      <c r="O16" s="22" t="str">
        <f>'[1]2нед'!H140</f>
        <v/>
      </c>
      <c r="P16" s="57" t="str">
        <f>HYPERLINK(VLOOKUP(M16,$R$12:$S$180,2,FALSE))</f>
        <v/>
      </c>
      <c r="R16" t="str">
        <f>[2]Уч.План!B310</f>
        <v>Проектирование человеко-машинного интерфейса</v>
      </c>
      <c r="S16" s="61" t="s">
        <v>50</v>
      </c>
    </row>
    <row r="17" spans="1:19" ht="31.5" x14ac:dyDescent="0.2">
      <c r="A17" s="82"/>
      <c r="B17" s="85"/>
      <c r="C17" s="14" t="s">
        <v>23</v>
      </c>
      <c r="D17" s="20">
        <f>'[1]1нед'!C141</f>
        <v>0</v>
      </c>
      <c r="E17" s="23">
        <f>'[1]1нед'!D141</f>
        <v>0</v>
      </c>
      <c r="F17" s="21">
        <f>'[1]1нед'!G141</f>
        <v>0</v>
      </c>
      <c r="G17" s="22" t="str">
        <f>'[1]1нед'!H141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'[1]2нед'!C141</f>
        <v>0</v>
      </c>
      <c r="M17" s="23">
        <f>'[1]2нед'!D141</f>
        <v>0</v>
      </c>
      <c r="N17" s="21">
        <f>'[1]2нед'!G141</f>
        <v>0</v>
      </c>
      <c r="O17" s="22" t="str">
        <f>'[1]2нед'!H141</f>
        <v/>
      </c>
      <c r="P17" s="55" t="str">
        <f>HYPERLINK(VLOOKUP(M17,$R$12:$S$180,2,FALSE))</f>
        <v/>
      </c>
      <c r="R17" t="str">
        <f>[2]Уч.План!B311</f>
        <v>Разработка приложений для мобильных устройств</v>
      </c>
      <c r="S17" s="61" t="s">
        <v>50</v>
      </c>
    </row>
    <row r="18" spans="1:19" ht="31.5" x14ac:dyDescent="0.2">
      <c r="A18" s="82"/>
      <c r="B18" s="85"/>
      <c r="C18" s="14" t="s">
        <v>24</v>
      </c>
      <c r="D18" s="20">
        <f>'[1]1нед'!C142</f>
        <v>0</v>
      </c>
      <c r="E18" s="23">
        <f>'[1]1нед'!D142</f>
        <v>0</v>
      </c>
      <c r="F18" s="21">
        <f>'[1]1нед'!G142</f>
        <v>0</v>
      </c>
      <c r="G18" s="22" t="str">
        <f>'[1]1нед'!H142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'[1]2нед'!C142</f>
        <v>0</v>
      </c>
      <c r="M18" s="23">
        <f>'[1]2нед'!D142</f>
        <v>0</v>
      </c>
      <c r="N18" s="21">
        <f>'[1]2нед'!G142</f>
        <v>0</v>
      </c>
      <c r="O18" s="22" t="str">
        <f>'[1]2нед'!H142</f>
        <v/>
      </c>
      <c r="P18" s="55" t="str">
        <f>HYPERLINK(VLOOKUP(M18,$R$12:$S$180,2,FALSE))</f>
        <v/>
      </c>
      <c r="R18" t="str">
        <f>[2]Уч.План!B312</f>
        <v>Учебная практика (ознакомительная практика)</v>
      </c>
      <c r="S18" s="61" t="s">
        <v>50</v>
      </c>
    </row>
    <row r="19" spans="1:19" ht="18.399999999999999" customHeight="1" thickBot="1" x14ac:dyDescent="0.25">
      <c r="A19" s="83"/>
      <c r="B19" s="86"/>
      <c r="C19" s="15"/>
      <c r="D19" s="24">
        <f>'[1]1нед'!C143</f>
        <v>0</v>
      </c>
      <c r="E19" s="25">
        <f>'[1]1нед'!D143</f>
        <v>0</v>
      </c>
      <c r="F19" s="26">
        <f>'[1]1нед'!G143</f>
        <v>0</v>
      </c>
      <c r="G19" s="27" t="str">
        <f>'[1]1нед'!H143</f>
        <v/>
      </c>
      <c r="H19" s="58" t="str">
        <f>HYPERLINK(VLOOKUP(E19,$R$12:$S$180,2,FALSE))</f>
        <v/>
      </c>
      <c r="I19" s="72"/>
      <c r="J19" s="89"/>
      <c r="K19" s="15"/>
      <c r="L19" s="24">
        <f>'[1]2нед'!C143</f>
        <v>0</v>
      </c>
      <c r="M19" s="25">
        <f>'[1]2нед'!D143</f>
        <v>0</v>
      </c>
      <c r="N19" s="26">
        <f>'[1]2нед'!G143</f>
        <v>0</v>
      </c>
      <c r="O19" s="27" t="str">
        <f>'[1]2нед'!H143</f>
        <v/>
      </c>
      <c r="P19" s="58" t="str">
        <f>HYPERLINK(VLOOKUP(M19,$R$12:$S$180,2,FALSE))</f>
        <v/>
      </c>
      <c r="R19" t="str">
        <f>[2]Уч.План!B313</f>
        <v>Производственная практика (технологическая (проектно-технологическая) практика)</v>
      </c>
      <c r="S19" s="61" t="s">
        <v>50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'[1]1нед'!C144</f>
        <v>0</v>
      </c>
      <c r="E20" s="19">
        <f>'[1]1нед'!D144</f>
        <v>0</v>
      </c>
      <c r="F20" s="17">
        <f>'[1]1нед'!G144</f>
        <v>0</v>
      </c>
      <c r="G20" s="18" t="str">
        <f>'[1]1нед'!H144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'[1]2нед'!C144</f>
        <v>0</v>
      </c>
      <c r="M20" s="19">
        <f>'[1]2нед'!D144</f>
        <v>0</v>
      </c>
      <c r="N20" s="17">
        <f>'[1]2нед'!G144</f>
        <v>0</v>
      </c>
      <c r="O20" s="18" t="str">
        <f>'[1]2нед'!H144</f>
        <v/>
      </c>
      <c r="P20" s="56" t="str">
        <f>HYPERLINK(VLOOKUP(M20,$R$12:$S$180,2,FALSE))</f>
        <v/>
      </c>
      <c r="R20">
        <f>[2]Уч.План!B314</f>
        <v>0</v>
      </c>
    </row>
    <row r="21" spans="1:19" ht="31.5" x14ac:dyDescent="0.2">
      <c r="A21" s="82"/>
      <c r="B21" s="85"/>
      <c r="C21" s="14" t="s">
        <v>19</v>
      </c>
      <c r="D21" s="20">
        <f>'[1]1нед'!C145</f>
        <v>0</v>
      </c>
      <c r="E21" s="23">
        <f>'[1]1нед'!D145</f>
        <v>0</v>
      </c>
      <c r="F21" s="21">
        <f>'[1]1нед'!G145</f>
        <v>0</v>
      </c>
      <c r="G21" s="22" t="str">
        <f>'[1]1нед'!H145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'[1]2нед'!C145</f>
        <v>0</v>
      </c>
      <c r="M21" s="23">
        <f>'[1]2нед'!D145</f>
        <v>0</v>
      </c>
      <c r="N21" s="21">
        <f>'[1]2нед'!G145</f>
        <v>0</v>
      </c>
      <c r="O21" s="22" t="str">
        <f>'[1]2нед'!H145</f>
        <v/>
      </c>
      <c r="P21" s="57" t="str">
        <f>HYPERLINK(VLOOKUP(M21,$R$12:$S$180,2,FALSE))</f>
        <v/>
      </c>
      <c r="R21">
        <f>[2]Уч.План!B315</f>
        <v>0</v>
      </c>
    </row>
    <row r="22" spans="1:19" ht="37.5" x14ac:dyDescent="0.2">
      <c r="A22" s="82"/>
      <c r="B22" s="85"/>
      <c r="C22" s="14" t="s">
        <v>20</v>
      </c>
      <c r="D22" s="20">
        <f>'[1]1нед'!C146</f>
        <v>0</v>
      </c>
      <c r="E22" s="23">
        <f>'[1]1нед'!D146</f>
        <v>0</v>
      </c>
      <c r="F22" s="21">
        <f>'[1]1нед'!G146</f>
        <v>0</v>
      </c>
      <c r="G22" s="22" t="str">
        <f>'[1]1нед'!H146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 t="str">
        <f>'[1]2нед'!C146</f>
        <v>л</v>
      </c>
      <c r="M22" s="23" t="str">
        <f>'[1]2нед'!D146</f>
        <v>Проектирование человеко-машинного интерфейса</v>
      </c>
      <c r="N22" s="21" t="str">
        <f>'[1]2нед'!G146</f>
        <v>Алешов В.В.</v>
      </c>
      <c r="O22" s="22" t="str">
        <f>'[1]2нед'!H146</f>
        <v>ст. преподаватель</v>
      </c>
      <c r="P22" s="57" t="str">
        <f>HYPERLINK(VLOOKUP(M22,$R$12:$S$180,2,FALSE))</f>
        <v>https://max.ru/join/HWJDG1wxuQDCiC0TUN5E66zyt7VXJqMWtv_aHX-fd1o</v>
      </c>
      <c r="R22">
        <f>[2]Уч.План!B316</f>
        <v>0</v>
      </c>
    </row>
    <row r="23" spans="1:19" ht="37.5" x14ac:dyDescent="0.2">
      <c r="A23" s="82"/>
      <c r="B23" s="85"/>
      <c r="C23" s="14" t="s">
        <v>21</v>
      </c>
      <c r="D23" s="20">
        <f>'[1]1нед'!C147</f>
        <v>0</v>
      </c>
      <c r="E23" s="23">
        <f>'[1]1нед'!D147</f>
        <v>0</v>
      </c>
      <c r="F23" s="21">
        <f>'[1]1нед'!G147</f>
        <v>0</v>
      </c>
      <c r="G23" s="22" t="str">
        <f>'[1]1нед'!H147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'[1]2нед'!C147</f>
        <v>пр</v>
      </c>
      <c r="M23" s="23" t="str">
        <f>'[1]2нед'!D147</f>
        <v>Проектирование человеко-машинного интерфейса</v>
      </c>
      <c r="N23" s="21" t="str">
        <f>'[1]2нед'!G147</f>
        <v>Алешов В.В.</v>
      </c>
      <c r="O23" s="22" t="str">
        <f>'[1]2нед'!H147</f>
        <v>ст. преподаватель</v>
      </c>
      <c r="P23" s="57" t="str">
        <f>HYPERLINK(VLOOKUP(M23,$R$12:$S$180,2,FALSE))</f>
        <v>https://max.ru/join/HWJDG1wxuQDCiC0TUN5E66zyt7VXJqMWtv_aHX-fd1o</v>
      </c>
      <c r="R23">
        <f>[2]Уч.План!B317</f>
        <v>0</v>
      </c>
    </row>
    <row r="24" spans="1:19" ht="31.5" x14ac:dyDescent="0.2">
      <c r="A24" s="82"/>
      <c r="B24" s="85"/>
      <c r="C24" s="14" t="s">
        <v>22</v>
      </c>
      <c r="D24" s="20">
        <f>'[1]1нед'!C148</f>
        <v>0</v>
      </c>
      <c r="E24" s="23">
        <f>'[1]1нед'!D148</f>
        <v>0</v>
      </c>
      <c r="F24" s="21">
        <f>'[1]1нед'!G148</f>
        <v>0</v>
      </c>
      <c r="G24" s="22" t="str">
        <f>'[1]1нед'!H148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'[1]2нед'!C148</f>
        <v>0</v>
      </c>
      <c r="M24" s="23">
        <f>'[1]2нед'!D148</f>
        <v>0</v>
      </c>
      <c r="N24" s="21">
        <f>'[1]2нед'!G148</f>
        <v>0</v>
      </c>
      <c r="O24" s="22" t="str">
        <f>'[1]2нед'!H148</f>
        <v/>
      </c>
      <c r="P24" s="57" t="str">
        <f>HYPERLINK(VLOOKUP(M24,$R$12:$S$180,2,FALSE))</f>
        <v/>
      </c>
      <c r="R24">
        <f>[2]Уч.План!B318</f>
        <v>0</v>
      </c>
    </row>
    <row r="25" spans="1:19" ht="31.5" x14ac:dyDescent="0.2">
      <c r="A25" s="82"/>
      <c r="B25" s="85"/>
      <c r="C25" s="14" t="s">
        <v>23</v>
      </c>
      <c r="D25" s="20">
        <f>'[1]1нед'!C149</f>
        <v>0</v>
      </c>
      <c r="E25" s="23">
        <f>'[1]1нед'!D149</f>
        <v>0</v>
      </c>
      <c r="F25" s="21">
        <f>'[1]1нед'!G149</f>
        <v>0</v>
      </c>
      <c r="G25" s="22" t="str">
        <f>'[1]1нед'!H149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'[1]2нед'!C149</f>
        <v>0</v>
      </c>
      <c r="M25" s="23">
        <f>'[1]2нед'!D149</f>
        <v>0</v>
      </c>
      <c r="N25" s="21">
        <f>'[1]2нед'!G149</f>
        <v>0</v>
      </c>
      <c r="O25" s="22" t="str">
        <f>'[1]2нед'!H149</f>
        <v/>
      </c>
      <c r="P25" s="57" t="str">
        <f>HYPERLINK(VLOOKUP(M25,$R$12:$S$180,2,FALSE))</f>
        <v/>
      </c>
      <c r="R25">
        <f>[2]Уч.План!B319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'[1]1нед'!C150</f>
        <v>0</v>
      </c>
      <c r="E26" s="23">
        <f>'[1]1нед'!D150</f>
        <v>0</v>
      </c>
      <c r="F26" s="21">
        <f>'[1]1нед'!G150</f>
        <v>0</v>
      </c>
      <c r="G26" s="22" t="str">
        <f>'[1]1нед'!H150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'[1]2нед'!C150</f>
        <v>0</v>
      </c>
      <c r="M26" s="23">
        <f>'[1]2нед'!D150</f>
        <v>0</v>
      </c>
      <c r="N26" s="21">
        <f>'[1]2нед'!G150</f>
        <v>0</v>
      </c>
      <c r="O26" s="22" t="str">
        <f>'[1]2нед'!H150</f>
        <v/>
      </c>
      <c r="P26" s="57" t="str">
        <f>HYPERLINK(VLOOKUP(M26,$R$12:$S$180,2,FALSE))</f>
        <v/>
      </c>
      <c r="R26">
        <f>[2]Уч.План!B320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'[1]1нед'!C151</f>
        <v>0</v>
      </c>
      <c r="E27" s="25">
        <f>'[1]1нед'!D151</f>
        <v>0</v>
      </c>
      <c r="F27" s="26">
        <f>'[1]1нед'!G151</f>
        <v>0</v>
      </c>
      <c r="G27" s="27" t="str">
        <f>'[1]1нед'!H151</f>
        <v/>
      </c>
      <c r="H27" s="58" t="str">
        <f>HYPERLINK(VLOOKUP(E27,$R$12:$S$180,2,FALSE))</f>
        <v/>
      </c>
      <c r="I27" s="72"/>
      <c r="J27" s="89"/>
      <c r="K27" s="15"/>
      <c r="L27" s="24">
        <f>'[1]2нед'!C151</f>
        <v>0</v>
      </c>
      <c r="M27" s="25">
        <f>'[1]2нед'!D151</f>
        <v>0</v>
      </c>
      <c r="N27" s="26">
        <f>'[1]2нед'!G151</f>
        <v>0</v>
      </c>
      <c r="O27" s="27" t="str">
        <f>'[1]2нед'!H151</f>
        <v/>
      </c>
      <c r="P27" s="58" t="str">
        <f>HYPERLINK(VLOOKUP(M27,$R$12:$S$180,2,FALSE))</f>
        <v/>
      </c>
      <c r="R27">
        <f>[2]Уч.План!B321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'[1]1нед'!C152</f>
        <v>0</v>
      </c>
      <c r="E28" s="19">
        <f>'[1]1нед'!D152</f>
        <v>0</v>
      </c>
      <c r="F28" s="17">
        <f>'[1]1нед'!G152</f>
        <v>0</v>
      </c>
      <c r="G28" s="18" t="str">
        <f>'[1]1нед'!H152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'[1]2нед'!C152</f>
        <v>0</v>
      </c>
      <c r="M28" s="19">
        <f>'[1]2нед'!D152</f>
        <v>0</v>
      </c>
      <c r="N28" s="17">
        <f>'[1]2нед'!G152</f>
        <v>0</v>
      </c>
      <c r="O28" s="18" t="str">
        <f>'[1]2нед'!H152</f>
        <v/>
      </c>
      <c r="P28" s="56" t="str">
        <f>HYPERLINK(VLOOKUP(M28,$R$12:$S$180,2,FALSE))</f>
        <v/>
      </c>
      <c r="R28">
        <f>[2]Уч.План!B322</f>
        <v>0</v>
      </c>
    </row>
    <row r="29" spans="1:19" ht="37.5" x14ac:dyDescent="0.2">
      <c r="A29" s="82"/>
      <c r="B29" s="68"/>
      <c r="C29" s="14" t="s">
        <v>19</v>
      </c>
      <c r="D29" s="20">
        <f>'[1]1нед'!C153</f>
        <v>0</v>
      </c>
      <c r="E29" s="23">
        <f>'[1]1нед'!D153</f>
        <v>0</v>
      </c>
      <c r="F29" s="21">
        <f>'[1]1нед'!G153</f>
        <v>0</v>
      </c>
      <c r="G29" s="22" t="str">
        <f>'[1]1нед'!H153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 t="str">
        <f>'[1]2нед'!C153</f>
        <v>л</v>
      </c>
      <c r="M29" s="23" t="str">
        <f>'[1]2нед'!D153</f>
        <v>Разработка приложений для мобильных устройств</v>
      </c>
      <c r="N29" s="21" t="str">
        <f>'[1]2нед'!G153</f>
        <v>Алешов Е.В.</v>
      </c>
      <c r="O29" s="22" t="str">
        <f>'[1]2нед'!H153</f>
        <v>преподаватель</v>
      </c>
      <c r="P29" s="57" t="str">
        <f>HYPERLINK(VLOOKUP(M29,$R$12:$S$180,2,FALSE))</f>
        <v>https://max.ru/join/HWJDG1wxuQDCiC0TUN5E66zyt7VXJqMWtv_aHX-fd1o</v>
      </c>
      <c r="R29">
        <f>[2]Уч.План!B323</f>
        <v>0</v>
      </c>
    </row>
    <row r="30" spans="1:19" ht="37.5" x14ac:dyDescent="0.2">
      <c r="A30" s="82"/>
      <c r="B30" s="68"/>
      <c r="C30" s="14" t="s">
        <v>20</v>
      </c>
      <c r="D30" s="20" t="str">
        <f>'[1]1нед'!C154</f>
        <v>л</v>
      </c>
      <c r="E30" s="23" t="str">
        <f>'[1]1нед'!D154</f>
        <v>Продвинутые технологии искусственного интеллекта</v>
      </c>
      <c r="F30" s="21" t="str">
        <f>'[1]1нед'!G154</f>
        <v>Алешов В.В.</v>
      </c>
      <c r="G30" s="22" t="str">
        <f>'[1]1нед'!H154</f>
        <v>ст. преподаватель</v>
      </c>
      <c r="H30" s="57" t="str">
        <f>HYPERLINK(VLOOKUP(E30,$R$12:$S$180,2,FALSE))</f>
        <v>https://max.ru/join/HWJDG1wxuQDCiC0TUN5E66zyt7VXJqMWtv_aHX-fd1o</v>
      </c>
      <c r="I30" s="71"/>
      <c r="J30" s="74"/>
      <c r="K30" s="14" t="s">
        <v>20</v>
      </c>
      <c r="L30" s="20" t="str">
        <f>'[1]2нед'!C154</f>
        <v>л</v>
      </c>
      <c r="M30" s="23" t="str">
        <f>'[1]2нед'!D154</f>
        <v>Продвинутые технологии искусственного интеллекта</v>
      </c>
      <c r="N30" s="21" t="str">
        <f>'[1]2нед'!G154</f>
        <v>Алешов В.В.</v>
      </c>
      <c r="O30" s="22" t="str">
        <f>'[1]2нед'!H154</f>
        <v>ст. преподаватель</v>
      </c>
      <c r="P30" s="57" t="str">
        <f>HYPERLINK(VLOOKUP(M30,$R$12:$S$180,2,FALSE))</f>
        <v>https://max.ru/join/HWJDG1wxuQDCiC0TUN5E66zyt7VXJqMWtv_aHX-fd1o</v>
      </c>
      <c r="R30">
        <f>[2]Уч.План!B324</f>
        <v>0</v>
      </c>
    </row>
    <row r="31" spans="1:19" ht="37.5" x14ac:dyDescent="0.2">
      <c r="A31" s="82"/>
      <c r="B31" s="68"/>
      <c r="C31" s="14" t="s">
        <v>21</v>
      </c>
      <c r="D31" s="20" t="str">
        <f>'[1]1нед'!C155</f>
        <v>пр</v>
      </c>
      <c r="E31" s="23" t="str">
        <f>'[1]1нед'!D155</f>
        <v>Продвинутые технологии искусственного интеллекта</v>
      </c>
      <c r="F31" s="21" t="str">
        <f>'[1]1нед'!G155</f>
        <v>Алешов В.В.</v>
      </c>
      <c r="G31" s="22" t="str">
        <f>'[1]1нед'!H155</f>
        <v>ст. преподаватель</v>
      </c>
      <c r="H31" s="57" t="str">
        <f>HYPERLINK(VLOOKUP(E31,$R$12:$S$180,2,FALSE))</f>
        <v>https://max.ru/join/HWJDG1wxuQDCiC0TUN5E66zyt7VXJqMWtv_aHX-fd1o</v>
      </c>
      <c r="I31" s="71"/>
      <c r="J31" s="74"/>
      <c r="K31" s="14" t="s">
        <v>21</v>
      </c>
      <c r="L31" s="20" t="str">
        <f>'[1]2нед'!C155</f>
        <v>пр</v>
      </c>
      <c r="M31" s="23" t="str">
        <f>'[1]2нед'!D155</f>
        <v>Продвинутые технологии искусственного интеллекта</v>
      </c>
      <c r="N31" s="21" t="str">
        <f>'[1]2нед'!G155</f>
        <v>Алешов В.В.</v>
      </c>
      <c r="O31" s="22" t="str">
        <f>'[1]2нед'!H155</f>
        <v>ст. преподаватель</v>
      </c>
      <c r="P31" s="57" t="str">
        <f>HYPERLINK(VLOOKUP(M31,$R$12:$S$180,2,FALSE))</f>
        <v>https://max.ru/join/HWJDG1wxuQDCiC0TUN5E66zyt7VXJqMWtv_aHX-fd1o</v>
      </c>
      <c r="R31">
        <f>[2]Уч.План!B325</f>
        <v>0</v>
      </c>
    </row>
    <row r="32" spans="1:19" ht="31.5" x14ac:dyDescent="0.2">
      <c r="A32" s="82"/>
      <c r="B32" s="68"/>
      <c r="C32" s="14" t="s">
        <v>22</v>
      </c>
      <c r="D32" s="20">
        <f>'[1]1нед'!C156</f>
        <v>0</v>
      </c>
      <c r="E32" s="23">
        <f>'[1]1нед'!D156</f>
        <v>0</v>
      </c>
      <c r="F32" s="21">
        <f>'[1]1нед'!G156</f>
        <v>0</v>
      </c>
      <c r="G32" s="22" t="str">
        <f>'[1]1нед'!H156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'[1]2нед'!C156</f>
        <v>0</v>
      </c>
      <c r="M32" s="23">
        <f>'[1]2нед'!D156</f>
        <v>0</v>
      </c>
      <c r="N32" s="21">
        <f>'[1]2нед'!G156</f>
        <v>0</v>
      </c>
      <c r="O32" s="22" t="str">
        <f>'[1]2нед'!H156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>
        <f>'[1]1нед'!C157</f>
        <v>0</v>
      </c>
      <c r="E33" s="23">
        <f>'[1]1нед'!D157</f>
        <v>0</v>
      </c>
      <c r="F33" s="21">
        <f>'[1]1нед'!G157</f>
        <v>0</v>
      </c>
      <c r="G33" s="22" t="str">
        <f>'[1]1нед'!H157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'[1]2нед'!C157</f>
        <v>0</v>
      </c>
      <c r="M33" s="23">
        <f>'[1]2нед'!D157</f>
        <v>0</v>
      </c>
      <c r="N33" s="21">
        <f>'[1]2нед'!G157</f>
        <v>0</v>
      </c>
      <c r="O33" s="22" t="str">
        <f>'[1]2нед'!H157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'[1]1нед'!C158</f>
        <v>0</v>
      </c>
      <c r="E34" s="23">
        <f>'[1]1нед'!D158</f>
        <v>0</v>
      </c>
      <c r="F34" s="21">
        <f>'[1]1нед'!G158</f>
        <v>0</v>
      </c>
      <c r="G34" s="22" t="str">
        <f>'[1]1нед'!H158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'[1]2нед'!C158</f>
        <v>0</v>
      </c>
      <c r="M34" s="23">
        <f>'[1]2нед'!D158</f>
        <v>0</v>
      </c>
      <c r="N34" s="21">
        <f>'[1]2нед'!G158</f>
        <v>0</v>
      </c>
      <c r="O34" s="22" t="str">
        <f>'[1]2нед'!H158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'[1]1нед'!C159</f>
        <v>0</v>
      </c>
      <c r="E35" s="25">
        <f>'[1]1нед'!D159</f>
        <v>0</v>
      </c>
      <c r="F35" s="26">
        <f>'[1]1нед'!G159</f>
        <v>0</v>
      </c>
      <c r="G35" s="27" t="str">
        <f>'[1]1нед'!H159</f>
        <v/>
      </c>
      <c r="H35" s="58" t="str">
        <f>HYPERLINK(VLOOKUP(E35,$R$12:$S$180,2,FALSE))</f>
        <v/>
      </c>
      <c r="I35" s="72"/>
      <c r="J35" s="75"/>
      <c r="K35" s="15"/>
      <c r="L35" s="24">
        <f>'[1]2нед'!C159</f>
        <v>0</v>
      </c>
      <c r="M35" s="25">
        <f>'[1]2нед'!D159</f>
        <v>0</v>
      </c>
      <c r="N35" s="26">
        <f>'[1]2нед'!G159</f>
        <v>0</v>
      </c>
      <c r="O35" s="27" t="str">
        <f>'[1]2нед'!H159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 t="str">
        <f>'[1]1нед'!C160</f>
        <v>л</v>
      </c>
      <c r="E36" s="19" t="str">
        <f>'[1]1нед'!D160</f>
        <v>Проектирование человеко-машинного интерфейса</v>
      </c>
      <c r="F36" s="17" t="str">
        <f>'[1]1нед'!G160</f>
        <v>Алешов В.В.</v>
      </c>
      <c r="G36" s="18" t="str">
        <f>'[1]1нед'!H160</f>
        <v>ст. преподаватель</v>
      </c>
      <c r="H36" s="56" t="str">
        <f>HYPERLINK(VLOOKUP(E36,$R$12:$S$180,2,FALSE))</f>
        <v>https://max.ru/join/HWJDG1wxuQDCiC0TUN5E66zyt7VXJqMWtv_aHX-fd1o</v>
      </c>
      <c r="I36" s="70">
        <v>46275</v>
      </c>
      <c r="J36" s="87" t="s">
        <v>27</v>
      </c>
      <c r="K36" s="29" t="s">
        <v>18</v>
      </c>
      <c r="L36" s="16">
        <f>'[1]2нед'!C160</f>
        <v>0</v>
      </c>
      <c r="M36" s="19">
        <f>'[1]2нед'!D160</f>
        <v>0</v>
      </c>
      <c r="N36" s="17">
        <f>'[1]2нед'!G160</f>
        <v>0</v>
      </c>
      <c r="O36" s="18" t="str">
        <f>'[1]2нед'!H160</f>
        <v/>
      </c>
      <c r="P36" s="56" t="str">
        <f>HYPERLINK(VLOOKUP(M36,$R$12:$S$180,2,FALSE))</f>
        <v/>
      </c>
    </row>
    <row r="37" spans="1:16" ht="37.5" x14ac:dyDescent="0.2">
      <c r="A37" s="82"/>
      <c r="B37" s="85"/>
      <c r="C37" s="14" t="s">
        <v>19</v>
      </c>
      <c r="D37" s="20" t="str">
        <f>'[1]1нед'!C161</f>
        <v>л</v>
      </c>
      <c r="E37" s="23" t="str">
        <f>'[1]1нед'!D161</f>
        <v>Продвинутые технологии искусственного интеллекта</v>
      </c>
      <c r="F37" s="21" t="str">
        <f>'[1]1нед'!G161</f>
        <v>Алешов В.В.</v>
      </c>
      <c r="G37" s="22" t="str">
        <f>'[1]1нед'!H161</f>
        <v>ст. преподаватель</v>
      </c>
      <c r="H37" s="57" t="str">
        <f>HYPERLINK(VLOOKUP(E37,$R$12:$S$180,2,FALSE))</f>
        <v>https://max.ru/join/HWJDG1wxuQDCiC0TUN5E66zyt7VXJqMWtv_aHX-fd1o</v>
      </c>
      <c r="I37" s="71"/>
      <c r="J37" s="88"/>
      <c r="K37" s="14" t="s">
        <v>19</v>
      </c>
      <c r="L37" s="20" t="str">
        <f>'[1]2нед'!C161</f>
        <v>л</v>
      </c>
      <c r="M37" s="23" t="str">
        <f>'[1]2нед'!D161</f>
        <v>Операционные системы семейства Unix / Linux</v>
      </c>
      <c r="N37" s="21" t="str">
        <f>'[1]2нед'!G161</f>
        <v>Криницкий Ю.В.</v>
      </c>
      <c r="O37" s="22" t="str">
        <f>'[1]2нед'!H161</f>
        <v>преподаватель</v>
      </c>
      <c r="P37" s="57" t="str">
        <f>HYPERLINK(VLOOKUP(M37,$R$12:$S$180,2,FALSE))</f>
        <v>https://max.ru/join/HWJDG1wxuQDCiC0TUN5E66zyt7VXJqMWtv_aHX-fd1o</v>
      </c>
    </row>
    <row r="38" spans="1:16" ht="37.5" x14ac:dyDescent="0.2">
      <c r="A38" s="82"/>
      <c r="B38" s="85"/>
      <c r="C38" s="14" t="s">
        <v>20</v>
      </c>
      <c r="D38" s="20" t="str">
        <f>'[1]1нед'!C162</f>
        <v>л</v>
      </c>
      <c r="E38" s="23" t="str">
        <f>'[1]1нед'!D162</f>
        <v>Операционные системы семейства Unix / Linux</v>
      </c>
      <c r="F38" s="21" t="str">
        <f>'[1]1нед'!G162</f>
        <v>Криницкий Ю.В.</v>
      </c>
      <c r="G38" s="22" t="str">
        <f>'[1]1нед'!H162</f>
        <v>преподаватель</v>
      </c>
      <c r="H38" s="57" t="str">
        <f>HYPERLINK(VLOOKUP(E38,$R$12:$S$180,2,FALSE))</f>
        <v>https://max.ru/join/HWJDG1wxuQDCiC0TUN5E66zyt7VXJqMWtv_aHX-fd1o</v>
      </c>
      <c r="I38" s="71"/>
      <c r="J38" s="88"/>
      <c r="K38" s="14" t="s">
        <v>20</v>
      </c>
      <c r="L38" s="20" t="str">
        <f>'[1]2нед'!C162</f>
        <v>пр</v>
      </c>
      <c r="M38" s="23" t="str">
        <f>'[1]2нед'!D162</f>
        <v>Проектирование человеко-машинного интерфейса</v>
      </c>
      <c r="N38" s="21" t="str">
        <f>'[1]2нед'!G162</f>
        <v>Алешов В.В.</v>
      </c>
      <c r="O38" s="22" t="str">
        <f>'[1]2нед'!H162</f>
        <v>ст. преподаватель</v>
      </c>
      <c r="P38" s="57" t="str">
        <f>HYPERLINK(VLOOKUP(M38,$R$12:$S$180,2,FALSE))</f>
        <v>https://max.ru/join/HWJDG1wxuQDCiC0TUN5E66zyt7VXJqMWtv_aHX-fd1o</v>
      </c>
    </row>
    <row r="39" spans="1:16" ht="37.5" x14ac:dyDescent="0.2">
      <c r="A39" s="82"/>
      <c r="B39" s="85"/>
      <c r="C39" s="14" t="s">
        <v>21</v>
      </c>
      <c r="D39" s="20">
        <f>'[1]1нед'!C163</f>
        <v>0</v>
      </c>
      <c r="E39" s="23">
        <f>'[1]1нед'!D163</f>
        <v>0</v>
      </c>
      <c r="F39" s="21">
        <f>'[1]1нед'!G163</f>
        <v>0</v>
      </c>
      <c r="G39" s="22" t="str">
        <f>'[1]1нед'!H163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'[1]2нед'!C163</f>
        <v>пр</v>
      </c>
      <c r="M39" s="23" t="str">
        <f>'[1]2нед'!D163</f>
        <v>Проектирование человеко-машинного интерфейса</v>
      </c>
      <c r="N39" s="21" t="str">
        <f>'[1]2нед'!G163</f>
        <v>Алешов В.В.</v>
      </c>
      <c r="O39" s="22" t="str">
        <f>'[1]2нед'!H163</f>
        <v>ст. преподаватель</v>
      </c>
      <c r="P39" s="57" t="str">
        <f>HYPERLINK(VLOOKUP(M39,$R$12:$S$180,2,FALSE))</f>
        <v>https://max.ru/join/HWJDG1wxuQDCiC0TUN5E66zyt7VXJqMWtv_aHX-fd1o</v>
      </c>
    </row>
    <row r="40" spans="1:16" ht="31.5" x14ac:dyDescent="0.2">
      <c r="A40" s="82"/>
      <c r="B40" s="85"/>
      <c r="C40" s="14" t="s">
        <v>22</v>
      </c>
      <c r="D40" s="20">
        <f>'[1]1нед'!C164</f>
        <v>0</v>
      </c>
      <c r="E40" s="23">
        <f>'[1]1нед'!D164</f>
        <v>0</v>
      </c>
      <c r="F40" s="21">
        <f>'[1]1нед'!G164</f>
        <v>0</v>
      </c>
      <c r="G40" s="22" t="str">
        <f>'[1]1нед'!H164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'[1]2нед'!C164</f>
        <v>0</v>
      </c>
      <c r="M40" s="23">
        <f>'[1]2нед'!D164</f>
        <v>0</v>
      </c>
      <c r="N40" s="21">
        <f>'[1]2нед'!G164</f>
        <v>0</v>
      </c>
      <c r="O40" s="22" t="str">
        <f>'[1]2нед'!H164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'[1]1нед'!C165</f>
        <v>0</v>
      </c>
      <c r="E41" s="23">
        <f>'[1]1нед'!D165</f>
        <v>0</v>
      </c>
      <c r="F41" s="21">
        <f>'[1]1нед'!G165</f>
        <v>0</v>
      </c>
      <c r="G41" s="22" t="str">
        <f>'[1]1нед'!H165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'[1]2нед'!C165</f>
        <v>0</v>
      </c>
      <c r="M41" s="23">
        <f>'[1]2нед'!D165</f>
        <v>0</v>
      </c>
      <c r="N41" s="21">
        <f>'[1]2нед'!G165</f>
        <v>0</v>
      </c>
      <c r="O41" s="22" t="str">
        <f>'[1]2нед'!H165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'[1]1нед'!C166</f>
        <v>0</v>
      </c>
      <c r="E42" s="23">
        <f>'[1]1нед'!D166</f>
        <v>0</v>
      </c>
      <c r="F42" s="21">
        <f>'[1]1нед'!G166</f>
        <v>0</v>
      </c>
      <c r="G42" s="22" t="str">
        <f>'[1]1нед'!H166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'[1]2нед'!C166</f>
        <v>0</v>
      </c>
      <c r="M42" s="23">
        <f>'[1]2нед'!D166</f>
        <v>0</v>
      </c>
      <c r="N42" s="21">
        <f>'[1]2нед'!G166</f>
        <v>0</v>
      </c>
      <c r="O42" s="22" t="str">
        <f>'[1]2нед'!H166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'[1]1нед'!C167</f>
        <v>0</v>
      </c>
      <c r="E43" s="25">
        <f>'[1]1нед'!D167</f>
        <v>0</v>
      </c>
      <c r="F43" s="26">
        <f>'[1]1нед'!G167</f>
        <v>0</v>
      </c>
      <c r="G43" s="27" t="str">
        <f>'[1]1нед'!H167</f>
        <v/>
      </c>
      <c r="H43" s="58" t="str">
        <f>HYPERLINK(VLOOKUP(E43,$R$12:$S$180,2,FALSE))</f>
        <v/>
      </c>
      <c r="I43" s="72"/>
      <c r="J43" s="89"/>
      <c r="K43" s="15"/>
      <c r="L43" s="24">
        <f>'[1]2нед'!C167</f>
        <v>0</v>
      </c>
      <c r="M43" s="25">
        <f>'[1]2нед'!D167</f>
        <v>0</v>
      </c>
      <c r="N43" s="26">
        <f>'[1]2нед'!G167</f>
        <v>0</v>
      </c>
      <c r="O43" s="27" t="str">
        <f>'[1]2нед'!H167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 t="str">
        <f>'[1]1нед'!C168</f>
        <v>л</v>
      </c>
      <c r="E44" s="19" t="str">
        <f>'[1]1нед'!D168</f>
        <v>Разработка приложений для мобильных устройств</v>
      </c>
      <c r="F44" s="17" t="str">
        <f>'[1]1нед'!G168</f>
        <v>Алешов Е.В.</v>
      </c>
      <c r="G44" s="18" t="str">
        <f>'[1]1нед'!H168</f>
        <v>преподаватель</v>
      </c>
      <c r="H44" s="56" t="str">
        <f>HYPERLINK(VLOOKUP(E44,$R$12:$S$180,2,FALSE))</f>
        <v>https://max.ru/join/HWJDG1wxuQDCiC0TUN5E66zyt7VXJqMWtv_aHX-fd1o</v>
      </c>
      <c r="I44" s="70">
        <v>46276</v>
      </c>
      <c r="J44" s="87" t="s">
        <v>28</v>
      </c>
      <c r="K44" s="29" t="s">
        <v>18</v>
      </c>
      <c r="L44" s="16" t="str">
        <f>'[1]2нед'!C168</f>
        <v>пр</v>
      </c>
      <c r="M44" s="19" t="str">
        <f>'[1]2нед'!D168</f>
        <v>Продвинутые технологии искусственного интеллекта</v>
      </c>
      <c r="N44" s="17" t="str">
        <f>'[1]2нед'!G168</f>
        <v>Алешов В.В.</v>
      </c>
      <c r="O44" s="18" t="str">
        <f>'[1]2нед'!H168</f>
        <v>ст. преподаватель</v>
      </c>
      <c r="P44" s="56" t="str">
        <f>HYPERLINK(VLOOKUP(M44,$R$12:$S$180,2,FALSE))</f>
        <v>https://max.ru/join/HWJDG1wxuQDCiC0TUN5E66zyt7VXJqMWtv_aHX-fd1o</v>
      </c>
    </row>
    <row r="45" spans="1:16" ht="37.5" x14ac:dyDescent="0.2">
      <c r="A45" s="82"/>
      <c r="B45" s="85"/>
      <c r="C45" s="14" t="s">
        <v>19</v>
      </c>
      <c r="D45" s="20" t="str">
        <f>'[1]1нед'!C169</f>
        <v>л</v>
      </c>
      <c r="E45" s="23" t="str">
        <f>'[1]1нед'!D169</f>
        <v>Технологии искусственного интеллекта</v>
      </c>
      <c r="F45" s="21" t="str">
        <f>'[1]1нед'!G169</f>
        <v>Гришин И.Ю.</v>
      </c>
      <c r="G45" s="22" t="str">
        <f>'[1]1нед'!H169</f>
        <v>профессор, д-р наук</v>
      </c>
      <c r="H45" s="57" t="str">
        <f>HYPERLINK(VLOOKUP(E45,$R$12:$S$180,2,FALSE))</f>
        <v>https://max.ru/join/HWJDG1wxuQDCiC0TUN5E66zyt7VXJqMWtv_aHX-fd1o</v>
      </c>
      <c r="I45" s="71"/>
      <c r="J45" s="88"/>
      <c r="K45" s="14" t="s">
        <v>19</v>
      </c>
      <c r="L45" s="20" t="str">
        <f>'[1]2нед'!C169</f>
        <v>пр</v>
      </c>
      <c r="M45" s="23" t="str">
        <f>'[1]2нед'!D169</f>
        <v>Технологии искусственного интеллекта</v>
      </c>
      <c r="N45" s="21" t="str">
        <f>'[1]2нед'!G169</f>
        <v>Гришин И.Ю.</v>
      </c>
      <c r="O45" s="22" t="str">
        <f>'[1]2нед'!H169</f>
        <v>профессор, д-р наук</v>
      </c>
      <c r="P45" s="57" t="str">
        <f>HYPERLINK(VLOOKUP(M45,$R$12:$S$180,2,FALSE))</f>
        <v>https://max.ru/join/HWJDG1wxuQDCiC0TUN5E66zyt7VXJqMWtv_aHX-fd1o</v>
      </c>
    </row>
    <row r="46" spans="1:16" ht="37.5" x14ac:dyDescent="0.2">
      <c r="A46" s="82"/>
      <c r="B46" s="85"/>
      <c r="C46" s="14" t="s">
        <v>20</v>
      </c>
      <c r="D46" s="20" t="str">
        <f>'[1]1нед'!C170</f>
        <v>л</v>
      </c>
      <c r="E46" s="23" t="str">
        <f>'[1]1нед'!D170</f>
        <v>Технологии искусственного интеллекта</v>
      </c>
      <c r="F46" s="21" t="str">
        <f>'[1]1нед'!G170</f>
        <v>Гришин И.Ю.</v>
      </c>
      <c r="G46" s="22" t="str">
        <f>'[1]1нед'!H170</f>
        <v>профессор, д-р наук</v>
      </c>
      <c r="H46" s="57" t="str">
        <f>HYPERLINK(VLOOKUP(E46,$R$12:$S$180,2,FALSE))</f>
        <v>https://max.ru/join/HWJDG1wxuQDCiC0TUN5E66zyt7VXJqMWtv_aHX-fd1o</v>
      </c>
      <c r="I46" s="71"/>
      <c r="J46" s="88"/>
      <c r="K46" s="14" t="s">
        <v>20</v>
      </c>
      <c r="L46" s="20" t="str">
        <f>'[1]2нед'!C170</f>
        <v>пр</v>
      </c>
      <c r="M46" s="23" t="str">
        <f>'[1]2нед'!D170</f>
        <v>Технологии искусственного интеллекта</v>
      </c>
      <c r="N46" s="21" t="str">
        <f>'[1]2нед'!G170</f>
        <v>Гришин И.Ю.</v>
      </c>
      <c r="O46" s="22" t="str">
        <f>'[1]2нед'!H170</f>
        <v>профессор, д-р наук</v>
      </c>
      <c r="P46" s="57" t="str">
        <f>HYPERLINK(VLOOKUP(M46,$R$12:$S$180,2,FALSE))</f>
        <v>https://max.ru/join/HWJDG1wxuQDCiC0TUN5E66zyt7VXJqMWtv_aHX-fd1o</v>
      </c>
    </row>
    <row r="47" spans="1:16" ht="31.5" x14ac:dyDescent="0.2">
      <c r="A47" s="82"/>
      <c r="B47" s="85"/>
      <c r="C47" s="14" t="s">
        <v>21</v>
      </c>
      <c r="D47" s="20">
        <f>'[1]1нед'!C171</f>
        <v>0</v>
      </c>
      <c r="E47" s="23">
        <f>'[1]1нед'!D171</f>
        <v>0</v>
      </c>
      <c r="F47" s="21">
        <f>'[1]1нед'!G171</f>
        <v>0</v>
      </c>
      <c r="G47" s="22" t="str">
        <f>'[1]1нед'!H171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'[1]2нед'!C171</f>
        <v>0</v>
      </c>
      <c r="M47" s="23">
        <f>'[1]2нед'!D171</f>
        <v>0</v>
      </c>
      <c r="N47" s="21">
        <f>'[1]2нед'!G171</f>
        <v>0</v>
      </c>
      <c r="O47" s="22" t="str">
        <f>'[1]2нед'!H171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'[1]1нед'!C172</f>
        <v>0</v>
      </c>
      <c r="E48" s="23">
        <f>'[1]1нед'!D172</f>
        <v>0</v>
      </c>
      <c r="F48" s="21">
        <f>'[1]1нед'!G172</f>
        <v>0</v>
      </c>
      <c r="G48" s="22" t="str">
        <f>'[1]1нед'!H172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'[1]2нед'!C172</f>
        <v>0</v>
      </c>
      <c r="M48" s="23">
        <f>'[1]2нед'!D172</f>
        <v>0</v>
      </c>
      <c r="N48" s="21">
        <f>'[1]2нед'!G172</f>
        <v>0</v>
      </c>
      <c r="O48" s="22" t="str">
        <f>'[1]2нед'!H172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'[1]1нед'!C173</f>
        <v>0</v>
      </c>
      <c r="E49" s="23">
        <f>'[1]1нед'!D173</f>
        <v>0</v>
      </c>
      <c r="F49" s="21">
        <f>'[1]1нед'!G173</f>
        <v>0</v>
      </c>
      <c r="G49" s="22" t="str">
        <f>'[1]1нед'!H173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'[1]2нед'!C173</f>
        <v>0</v>
      </c>
      <c r="M49" s="23">
        <f>'[1]2нед'!D173</f>
        <v>0</v>
      </c>
      <c r="N49" s="21">
        <f>'[1]2нед'!G173</f>
        <v>0</v>
      </c>
      <c r="O49" s="22" t="str">
        <f>'[1]2нед'!H173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'[1]1нед'!C174</f>
        <v>0</v>
      </c>
      <c r="E50" s="23">
        <f>'[1]1нед'!D174</f>
        <v>0</v>
      </c>
      <c r="F50" s="21">
        <f>'[1]1нед'!G174</f>
        <v>0</v>
      </c>
      <c r="G50" s="22" t="str">
        <f>'[1]1нед'!H174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'[1]2нед'!C174</f>
        <v>0</v>
      </c>
      <c r="M50" s="23">
        <f>'[1]2нед'!D174</f>
        <v>0</v>
      </c>
      <c r="N50" s="21">
        <f>'[1]2нед'!G174</f>
        <v>0</v>
      </c>
      <c r="O50" s="22" t="str">
        <f>'[1]2нед'!H174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'[1]1нед'!C175</f>
        <v>0</v>
      </c>
      <c r="E51" s="25">
        <f>'[1]1нед'!D175</f>
        <v>0</v>
      </c>
      <c r="F51" s="26">
        <f>'[1]1нед'!G175</f>
        <v>0</v>
      </c>
      <c r="G51" s="27" t="str">
        <f>'[1]1нед'!H175</f>
        <v/>
      </c>
      <c r="H51" s="58" t="str">
        <f>HYPERLINK(VLOOKUP(E51,$R$12:$S$180,2,FALSE))</f>
        <v/>
      </c>
      <c r="I51" s="72"/>
      <c r="J51" s="89"/>
      <c r="K51" s="15"/>
      <c r="L51" s="24">
        <f>'[1]2нед'!C175</f>
        <v>0</v>
      </c>
      <c r="M51" s="25">
        <f>'[1]2нед'!D175</f>
        <v>0</v>
      </c>
      <c r="N51" s="26">
        <f>'[1]2нед'!G175</f>
        <v>0</v>
      </c>
      <c r="O51" s="27" t="str">
        <f>'[1]2нед'!H175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'[1]1нед'!C176</f>
        <v>0</v>
      </c>
      <c r="E52" s="19">
        <f>'[1]1нед'!D176</f>
        <v>0</v>
      </c>
      <c r="F52" s="17">
        <f>'[1]1нед'!G176</f>
        <v>0</v>
      </c>
      <c r="G52" s="18" t="str">
        <f>'[1]1нед'!H176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'[1]2нед'!C176</f>
        <v>0</v>
      </c>
      <c r="M52" s="19">
        <f>'[1]2нед'!D176</f>
        <v>0</v>
      </c>
      <c r="N52" s="17">
        <f>'[1]2нед'!G176</f>
        <v>0</v>
      </c>
      <c r="O52" s="18" t="str">
        <f>'[1]2нед'!H176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'[1]1нед'!C177</f>
        <v>0</v>
      </c>
      <c r="E53" s="23">
        <f>'[1]1нед'!D177</f>
        <v>0</v>
      </c>
      <c r="F53" s="21">
        <f>'[1]1нед'!G177</f>
        <v>0</v>
      </c>
      <c r="G53" s="22" t="str">
        <f>'[1]1нед'!H177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'[1]2нед'!C177</f>
        <v>0</v>
      </c>
      <c r="M53" s="23">
        <f>'[1]2нед'!D177</f>
        <v>0</v>
      </c>
      <c r="N53" s="21">
        <f>'[1]2нед'!G177</f>
        <v>0</v>
      </c>
      <c r="O53" s="22" t="str">
        <f>'[1]2нед'!H177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'[1]1нед'!C178</f>
        <v>0</v>
      </c>
      <c r="E54" s="23">
        <f>'[1]1нед'!D178</f>
        <v>0</v>
      </c>
      <c r="F54" s="21">
        <f>'[1]1нед'!G178</f>
        <v>0</v>
      </c>
      <c r="G54" s="22" t="str">
        <f>'[1]1нед'!H178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'[1]2нед'!C178</f>
        <v>0</v>
      </c>
      <c r="M54" s="23">
        <f>'[1]2нед'!D178</f>
        <v>0</v>
      </c>
      <c r="N54" s="21">
        <f>'[1]2нед'!G178</f>
        <v>0</v>
      </c>
      <c r="O54" s="22" t="str">
        <f>'[1]2нед'!H178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'[1]1нед'!C179</f>
        <v>0</v>
      </c>
      <c r="E55" s="23">
        <f>'[1]1нед'!D179</f>
        <v>0</v>
      </c>
      <c r="F55" s="21">
        <f>'[1]1нед'!G179</f>
        <v>0</v>
      </c>
      <c r="G55" s="22" t="str">
        <f>'[1]1нед'!H179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'[1]2нед'!C179</f>
        <v>0</v>
      </c>
      <c r="M55" s="23">
        <f>'[1]2нед'!D179</f>
        <v>0</v>
      </c>
      <c r="N55" s="21">
        <f>'[1]2нед'!G179</f>
        <v>0</v>
      </c>
      <c r="O55" s="22" t="str">
        <f>'[1]2нед'!H179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'[1]1нед'!C180</f>
        <v>0</v>
      </c>
      <c r="E56" s="23">
        <f>'[1]1нед'!D180</f>
        <v>0</v>
      </c>
      <c r="F56" s="21">
        <f>'[1]1нед'!G180</f>
        <v>0</v>
      </c>
      <c r="G56" s="22" t="str">
        <f>'[1]1нед'!H180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'[1]2нед'!C180</f>
        <v>0</v>
      </c>
      <c r="M56" s="23">
        <f>'[1]2нед'!D180</f>
        <v>0</v>
      </c>
      <c r="N56" s="21">
        <f>'[1]2нед'!G180</f>
        <v>0</v>
      </c>
      <c r="O56" s="22" t="str">
        <f>'[1]2нед'!H180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'[1]1нед'!C181</f>
        <v>0</v>
      </c>
      <c r="E57" s="23">
        <f>'[1]1нед'!D181</f>
        <v>0</v>
      </c>
      <c r="F57" s="21">
        <f>'[1]1нед'!G181</f>
        <v>0</v>
      </c>
      <c r="G57" s="22" t="str">
        <f>'[1]1нед'!H181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'[1]2нед'!C181</f>
        <v>0</v>
      </c>
      <c r="M57" s="23">
        <f>'[1]2нед'!D181</f>
        <v>0</v>
      </c>
      <c r="N57" s="21">
        <f>'[1]2нед'!G181</f>
        <v>0</v>
      </c>
      <c r="O57" s="22" t="str">
        <f>'[1]2нед'!H181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'[1]1нед'!C182</f>
        <v>0</v>
      </c>
      <c r="E58" s="23">
        <f>'[1]1нед'!D182</f>
        <v>0</v>
      </c>
      <c r="F58" s="21">
        <f>'[1]1нед'!G182</f>
        <v>0</v>
      </c>
      <c r="G58" s="22" t="str">
        <f>'[1]1нед'!H182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'[1]2нед'!C182</f>
        <v>0</v>
      </c>
      <c r="M58" s="23">
        <f>'[1]2нед'!D182</f>
        <v>0</v>
      </c>
      <c r="N58" s="21">
        <f>'[1]2нед'!G182</f>
        <v>0</v>
      </c>
      <c r="O58" s="22" t="str">
        <f>'[1]2нед'!H182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'[1]1нед'!C59</f>
        <v>0</v>
      </c>
      <c r="E59" s="25">
        <f>'[1]1нед'!D59</f>
        <v>0</v>
      </c>
      <c r="F59" s="26">
        <f>'[1]1нед'!G59</f>
        <v>0</v>
      </c>
      <c r="G59" s="27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4</v>
      </c>
      <c r="F69" s="62" t="str">
        <f>'[1]1нед'!$D$134</f>
        <v>12-23ПИ</v>
      </c>
      <c r="G69" s="62"/>
      <c r="H69" s="35"/>
      <c r="I69" s="45"/>
      <c r="J69" s="81" t="s">
        <v>7</v>
      </c>
      <c r="K69" s="81"/>
      <c r="L69" s="81"/>
      <c r="M69" s="62">
        <f>E9</f>
        <v>4</v>
      </c>
      <c r="N69" s="62" t="str">
        <f>'[1]1нед'!$D$134</f>
        <v>12-23ПИ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 t="str">
        <f>'[1]3нед'!C136</f>
        <v>пр</v>
      </c>
      <c r="E72" s="19" t="str">
        <f>'[1]3нед'!D136</f>
        <v>Операционные системы семейства Unix / Linux</v>
      </c>
      <c r="F72" s="17" t="str">
        <f>'[1]3нед'!G136</f>
        <v>Криницкий Ю.В.</v>
      </c>
      <c r="G72" s="18" t="str">
        <f>'[1]3нед'!H136</f>
        <v>преподаватель</v>
      </c>
      <c r="H72" s="56" t="str">
        <f>HYPERLINK(VLOOKUP(E72,$R$12:$S$180,2,FALSE))</f>
        <v>https://max.ru/join/HWJDG1wxuQDCiC0TUN5E66zyt7VXJqMWtv_aHX-fd1o</v>
      </c>
      <c r="I72" s="70">
        <v>46286</v>
      </c>
      <c r="J72" s="87" t="s">
        <v>17</v>
      </c>
      <c r="K72" s="14" t="s">
        <v>18</v>
      </c>
      <c r="L72" s="16" t="str">
        <f>'[1]4нед'!C136</f>
        <v>пр</v>
      </c>
      <c r="M72" s="19" t="str">
        <f>'[1]4нед'!D136</f>
        <v>Операционные системы семейства Unix / Linux</v>
      </c>
      <c r="N72" s="17" t="str">
        <f>'[1]4нед'!G136</f>
        <v>Криницкий Ю.В.</v>
      </c>
      <c r="O72" s="18" t="str">
        <f>'[1]4нед'!H136</f>
        <v>преподаватель</v>
      </c>
      <c r="P72" s="56" t="str">
        <f>HYPERLINK(VLOOKUP(M72,$R$12:$S$180,2,FALSE))</f>
        <v>https://max.ru/join/HWJDG1wxuQDCiC0TUN5E66zyt7VXJqMWtv_aHX-fd1o</v>
      </c>
    </row>
    <row r="73" spans="1:16" ht="37.5" x14ac:dyDescent="0.2">
      <c r="A73" s="82"/>
      <c r="B73" s="85"/>
      <c r="C73" s="14" t="s">
        <v>19</v>
      </c>
      <c r="D73" s="20" t="str">
        <f>'[1]3нед'!C137</f>
        <v>пр</v>
      </c>
      <c r="E73" s="23" t="str">
        <f>'[1]3нед'!D137</f>
        <v>Операционные системы семейства Unix / Linux</v>
      </c>
      <c r="F73" s="21" t="str">
        <f>'[1]3нед'!G137</f>
        <v>Криницкий Ю.В.</v>
      </c>
      <c r="G73" s="22" t="str">
        <f>'[1]3нед'!H137</f>
        <v>преподаватель</v>
      </c>
      <c r="H73" s="57" t="str">
        <f>HYPERLINK(VLOOKUP(E73,$R$12:$S$180,2,FALSE))</f>
        <v>https://max.ru/join/HWJDG1wxuQDCiC0TUN5E66zyt7VXJqMWtv_aHX-fd1o</v>
      </c>
      <c r="I73" s="71"/>
      <c r="J73" s="88"/>
      <c r="K73" s="14" t="s">
        <v>19</v>
      </c>
      <c r="L73" s="20" t="str">
        <f>'[1]4нед'!C137</f>
        <v>пр</v>
      </c>
      <c r="M73" s="23" t="str">
        <f>'[1]4нед'!D137</f>
        <v>Операционные системы семейства Unix / Linux</v>
      </c>
      <c r="N73" s="21" t="str">
        <f>'[1]4нед'!G137</f>
        <v>Криницкий Ю.В.</v>
      </c>
      <c r="O73" s="22" t="str">
        <f>'[1]4нед'!H137</f>
        <v>преподаватель</v>
      </c>
      <c r="P73" s="57" t="str">
        <f>HYPERLINK(VLOOKUP(M73,$R$12:$S$180,2,FALSE))</f>
        <v>https://max.ru/join/HWJDG1wxuQDCiC0TUN5E66zyt7VXJqMWtv_aHX-fd1o</v>
      </c>
    </row>
    <row r="74" spans="1:16" ht="37.5" x14ac:dyDescent="0.2">
      <c r="A74" s="82"/>
      <c r="B74" s="85"/>
      <c r="C74" s="14" t="s">
        <v>20</v>
      </c>
      <c r="D74" s="20" t="str">
        <f>'[1]3нед'!C138</f>
        <v>пр</v>
      </c>
      <c r="E74" s="23" t="str">
        <f>'[1]3нед'!D138</f>
        <v>Разработка приложений для мобильных устройств</v>
      </c>
      <c r="F74" s="21" t="str">
        <f>'[1]3нед'!G138</f>
        <v>Алешов Е.В.</v>
      </c>
      <c r="G74" s="22" t="str">
        <f>'[1]3нед'!H138</f>
        <v>преподаватель</v>
      </c>
      <c r="H74" s="57" t="str">
        <f>HYPERLINK(VLOOKUP(E74,$R$12:$S$180,2,FALSE))</f>
        <v>https://max.ru/join/HWJDG1wxuQDCiC0TUN5E66zyt7VXJqMWtv_aHX-fd1o</v>
      </c>
      <c r="I74" s="71"/>
      <c r="J74" s="88"/>
      <c r="K74" s="14" t="s">
        <v>20</v>
      </c>
      <c r="L74" s="20" t="str">
        <f>'[1]4нед'!C138</f>
        <v>пр</v>
      </c>
      <c r="M74" s="23" t="str">
        <f>'[1]4нед'!D138</f>
        <v>Разработка приложений для мобильных устройств</v>
      </c>
      <c r="N74" s="21" t="str">
        <f>'[1]4нед'!G138</f>
        <v>Алешов Е.В.</v>
      </c>
      <c r="O74" s="22" t="str">
        <f>'[1]4нед'!H138</f>
        <v>преподаватель</v>
      </c>
      <c r="P74" s="57" t="str">
        <f>HYPERLINK(VLOOKUP(M74,$R$12:$S$180,2,FALSE))</f>
        <v>https://max.ru/join/HWJDG1wxuQDCiC0TUN5E66zyt7VXJqMWtv_aHX-fd1o</v>
      </c>
    </row>
    <row r="75" spans="1:16" ht="37.5" x14ac:dyDescent="0.2">
      <c r="A75" s="82"/>
      <c r="B75" s="85"/>
      <c r="C75" s="14" t="s">
        <v>21</v>
      </c>
      <c r="D75" s="20" t="str">
        <f>'[1]3нед'!C139</f>
        <v>пр</v>
      </c>
      <c r="E75" s="23" t="str">
        <f>'[1]3нед'!D139</f>
        <v>Разработка приложений для мобильных устройств</v>
      </c>
      <c r="F75" s="21" t="str">
        <f>'[1]3нед'!G139</f>
        <v>Алешов Е.В.</v>
      </c>
      <c r="G75" s="22" t="str">
        <f>'[1]3нед'!H139</f>
        <v>преподаватель</v>
      </c>
      <c r="H75" s="57" t="str">
        <f>HYPERLINK(VLOOKUP(E75,$R$12:$S$180,2,FALSE))</f>
        <v>https://max.ru/join/HWJDG1wxuQDCiC0TUN5E66zyt7VXJqMWtv_aHX-fd1o</v>
      </c>
      <c r="I75" s="71"/>
      <c r="J75" s="88"/>
      <c r="K75" s="14" t="s">
        <v>21</v>
      </c>
      <c r="L75" s="20" t="str">
        <f>'[1]4нед'!C139</f>
        <v>пр</v>
      </c>
      <c r="M75" s="23" t="str">
        <f>'[1]4нед'!D139</f>
        <v>Разработка приложений для мобильных устройств</v>
      </c>
      <c r="N75" s="21" t="str">
        <f>'[1]4нед'!G139</f>
        <v>Алешов Е.В.</v>
      </c>
      <c r="O75" s="22" t="str">
        <f>'[1]4нед'!H139</f>
        <v>преподаватель</v>
      </c>
      <c r="P75" s="57" t="str">
        <f>HYPERLINK(VLOOKUP(M75,$R$12:$S$180,2,FALSE))</f>
        <v>https://max.ru/join/HWJDG1wxuQDCiC0TUN5E66zyt7VXJqMWtv_aHX-fd1o</v>
      </c>
    </row>
    <row r="76" spans="1:16" ht="31.5" x14ac:dyDescent="0.2">
      <c r="A76" s="82"/>
      <c r="B76" s="85"/>
      <c r="C76" s="14" t="s">
        <v>22</v>
      </c>
      <c r="D76" s="20">
        <f>'[1]3нед'!C140</f>
        <v>0</v>
      </c>
      <c r="E76" s="23">
        <f>'[1]3нед'!D140</f>
        <v>0</v>
      </c>
      <c r="F76" s="21">
        <f>'[1]3нед'!G140</f>
        <v>0</v>
      </c>
      <c r="G76" s="22" t="str">
        <f>'[1]3нед'!H140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'[1]4нед'!C140</f>
        <v>0</v>
      </c>
      <c r="M76" s="23">
        <f>'[1]4нед'!D140</f>
        <v>0</v>
      </c>
      <c r="N76" s="21">
        <f>'[1]4нед'!G140</f>
        <v>0</v>
      </c>
      <c r="O76" s="22" t="str">
        <f>'[1]4нед'!H140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'[1]3нед'!C141</f>
        <v>0</v>
      </c>
      <c r="E77" s="23">
        <f>'[1]3нед'!D141</f>
        <v>0</v>
      </c>
      <c r="F77" s="21">
        <f>'[1]3нед'!G141</f>
        <v>0</v>
      </c>
      <c r="G77" s="22" t="str">
        <f>'[1]3нед'!H141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'[1]4нед'!C141</f>
        <v>0</v>
      </c>
      <c r="M77" s="23">
        <f>'[1]4нед'!D141</f>
        <v>0</v>
      </c>
      <c r="N77" s="21">
        <f>'[1]4нед'!G141</f>
        <v>0</v>
      </c>
      <c r="O77" s="22" t="str">
        <f>'[1]4нед'!H141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'[1]3нед'!C142</f>
        <v>0</v>
      </c>
      <c r="E78" s="23">
        <f>'[1]3нед'!D142</f>
        <v>0</v>
      </c>
      <c r="F78" s="21">
        <f>'[1]3нед'!G142</f>
        <v>0</v>
      </c>
      <c r="G78" s="22" t="str">
        <f>'[1]3нед'!H142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'[1]4нед'!C142</f>
        <v>0</v>
      </c>
      <c r="M78" s="23">
        <f>'[1]4нед'!D142</f>
        <v>0</v>
      </c>
      <c r="N78" s="21">
        <f>'[1]4нед'!G142</f>
        <v>0</v>
      </c>
      <c r="O78" s="22" t="str">
        <f>'[1]4нед'!H142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'[1]3нед'!C143</f>
        <v>0</v>
      </c>
      <c r="E79" s="25">
        <f>'[1]3нед'!D143</f>
        <v>0</v>
      </c>
      <c r="F79" s="26">
        <f>'[1]3нед'!G143</f>
        <v>0</v>
      </c>
      <c r="G79" s="27" t="str">
        <f>'[1]3нед'!H143</f>
        <v/>
      </c>
      <c r="H79" s="58" t="str">
        <f>HYPERLINK(VLOOKUP(E79,$R$12:$S$180,2,FALSE))</f>
        <v/>
      </c>
      <c r="I79" s="72"/>
      <c r="J79" s="89"/>
      <c r="K79" s="15"/>
      <c r="L79" s="24">
        <f>'[1]4нед'!C143</f>
        <v>0</v>
      </c>
      <c r="M79" s="25">
        <f>'[1]4нед'!D143</f>
        <v>0</v>
      </c>
      <c r="N79" s="26">
        <f>'[1]4нед'!G143</f>
        <v>0</v>
      </c>
      <c r="O79" s="27" t="str">
        <f>'[1]4нед'!H143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'[1]3нед'!C144</f>
        <v>0</v>
      </c>
      <c r="E80" s="19">
        <f>'[1]3нед'!D144</f>
        <v>0</v>
      </c>
      <c r="F80" s="17">
        <f>'[1]3нед'!G144</f>
        <v>0</v>
      </c>
      <c r="G80" s="18" t="str">
        <f>'[1]3нед'!H144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'[1]4нед'!C144</f>
        <v>0</v>
      </c>
      <c r="M80" s="19">
        <f>'[1]4нед'!D144</f>
        <v>0</v>
      </c>
      <c r="N80" s="17">
        <f>'[1]4нед'!G144</f>
        <v>0</v>
      </c>
      <c r="O80" s="18" t="str">
        <f>'[1]4нед'!H144</f>
        <v/>
      </c>
      <c r="P80" s="56" t="str">
        <f>HYPERLINK(VLOOKUP(M80,$R$12:$S$180,2,FALSE))</f>
        <v/>
      </c>
    </row>
    <row r="81" spans="1:16" ht="56.25" x14ac:dyDescent="0.2">
      <c r="A81" s="82"/>
      <c r="B81" s="85"/>
      <c r="C81" s="14" t="s">
        <v>19</v>
      </c>
      <c r="D81" s="20" t="str">
        <f>'[1]3нед'!C145</f>
        <v>л</v>
      </c>
      <c r="E81" s="23" t="str">
        <f>'[1]3нед'!D145</f>
        <v>Взаимодействие с лицами с ОВЗ и с инвалидностью в социальной и профессиональной сферах</v>
      </c>
      <c r="F81" s="21" t="str">
        <f>'[1]3нед'!G145</f>
        <v>Образцова Е.Н.</v>
      </c>
      <c r="G81" s="22" t="str">
        <f>'[1]3нед'!H145</f>
        <v>доцент, канд. наук</v>
      </c>
      <c r="H81" s="57" t="str">
        <f>HYPERLINK(VLOOKUP(E81,$R$12:$S$180,2,FALSE))</f>
        <v>https://max.ru/join/HWJDG1wxuQDCiC0TUN5E66zyt7VXJqMWtv_aHX-fd1o</v>
      </c>
      <c r="I81" s="71"/>
      <c r="J81" s="88"/>
      <c r="K81" s="14" t="s">
        <v>19</v>
      </c>
      <c r="L81" s="20" t="str">
        <f>'[1]4нед'!C145</f>
        <v>л</v>
      </c>
      <c r="M81" s="23" t="str">
        <f>'[1]4нед'!D145</f>
        <v>Взаимодействие с лицами с ОВЗ и с инвалидностью в социальной и профессиональной сферах</v>
      </c>
      <c r="N81" s="21" t="str">
        <f>'[1]4нед'!G145</f>
        <v>Образцова Е.Н.</v>
      </c>
      <c r="O81" s="22" t="str">
        <f>'[1]4нед'!H145</f>
        <v>доцент, канд. наук</v>
      </c>
      <c r="P81" s="57" t="str">
        <f>HYPERLINK(VLOOKUP(M81,$R$12:$S$180,2,FALSE))</f>
        <v>https://max.ru/join/HWJDG1wxuQDCiC0TUN5E66zyt7VXJqMWtv_aHX-fd1o</v>
      </c>
    </row>
    <row r="82" spans="1:16" ht="37.5" x14ac:dyDescent="0.2">
      <c r="A82" s="82"/>
      <c r="B82" s="85"/>
      <c r="C82" s="14" t="s">
        <v>20</v>
      </c>
      <c r="D82" s="20" t="str">
        <f>'[1]3нед'!C146</f>
        <v>л</v>
      </c>
      <c r="E82" s="23" t="str">
        <f>'[1]3нед'!D146</f>
        <v>Проектирование человеко-машинного интерфейса</v>
      </c>
      <c r="F82" s="21" t="str">
        <f>'[1]3нед'!G146</f>
        <v>Алешов В.В.</v>
      </c>
      <c r="G82" s="22" t="str">
        <f>'[1]3нед'!H146</f>
        <v>ст. преподаватель</v>
      </c>
      <c r="H82" s="57" t="str">
        <f>HYPERLINK(VLOOKUP(E82,$R$12:$S$180,2,FALSE))</f>
        <v>https://max.ru/join/HWJDG1wxuQDCiC0TUN5E66zyt7VXJqMWtv_aHX-fd1o</v>
      </c>
      <c r="I82" s="71"/>
      <c r="J82" s="88"/>
      <c r="K82" s="14" t="s">
        <v>20</v>
      </c>
      <c r="L82" s="20" t="str">
        <f>'[1]4нед'!C146</f>
        <v>л</v>
      </c>
      <c r="M82" s="23" t="str">
        <f>'[1]4нед'!D146</f>
        <v>Проектирование человеко-машинного интерфейса</v>
      </c>
      <c r="N82" s="21" t="str">
        <f>'[1]4нед'!G146</f>
        <v>Алешов В.В.</v>
      </c>
      <c r="O82" s="22" t="str">
        <f>'[1]4нед'!H146</f>
        <v>ст. преподаватель</v>
      </c>
      <c r="P82" s="57" t="str">
        <f>HYPERLINK(VLOOKUP(M82,$R$12:$S$180,2,FALSE))</f>
        <v>https://max.ru/join/HWJDG1wxuQDCiC0TUN5E66zyt7VXJqMWtv_aHX-fd1o</v>
      </c>
    </row>
    <row r="83" spans="1:16" ht="37.5" x14ac:dyDescent="0.2">
      <c r="A83" s="82"/>
      <c r="B83" s="85"/>
      <c r="C83" s="14" t="s">
        <v>21</v>
      </c>
      <c r="D83" s="20" t="str">
        <f>'[1]3нед'!C147</f>
        <v>пр</v>
      </c>
      <c r="E83" s="23" t="str">
        <f>'[1]3нед'!D147</f>
        <v>Проектирование человеко-машинного интерфейса</v>
      </c>
      <c r="F83" s="21" t="str">
        <f>'[1]3нед'!G147</f>
        <v>Алешов В.В.</v>
      </c>
      <c r="G83" s="22" t="str">
        <f>'[1]3нед'!H147</f>
        <v>ст. преподаватель</v>
      </c>
      <c r="H83" s="57" t="str">
        <f>HYPERLINK(VLOOKUP(E83,$R$12:$S$180,2,FALSE))</f>
        <v>https://max.ru/join/HWJDG1wxuQDCiC0TUN5E66zyt7VXJqMWtv_aHX-fd1o</v>
      </c>
      <c r="I83" s="71"/>
      <c r="J83" s="88"/>
      <c r="K83" s="14" t="s">
        <v>21</v>
      </c>
      <c r="L83" s="20" t="str">
        <f>'[1]4нед'!C147</f>
        <v>пр</v>
      </c>
      <c r="M83" s="23" t="str">
        <f>'[1]4нед'!D147</f>
        <v>Проектирование человеко-машинного интерфейса</v>
      </c>
      <c r="N83" s="21" t="str">
        <f>'[1]4нед'!G147</f>
        <v>Алешов В.В.</v>
      </c>
      <c r="O83" s="22" t="str">
        <f>'[1]4нед'!H147</f>
        <v>ст. преподаватель</v>
      </c>
      <c r="P83" s="57" t="str">
        <f>HYPERLINK(VLOOKUP(M83,$R$12:$S$180,2,FALSE))</f>
        <v>https://max.ru/join/HWJDG1wxuQDCiC0TUN5E66zyt7VXJqMWtv_aHX-fd1o</v>
      </c>
    </row>
    <row r="84" spans="1:16" ht="31.5" x14ac:dyDescent="0.2">
      <c r="A84" s="82"/>
      <c r="B84" s="85"/>
      <c r="C84" s="14" t="s">
        <v>22</v>
      </c>
      <c r="D84" s="20">
        <f>'[1]3нед'!C148</f>
        <v>0</v>
      </c>
      <c r="E84" s="23">
        <f>'[1]3нед'!D148</f>
        <v>0</v>
      </c>
      <c r="F84" s="21">
        <f>'[1]3нед'!G148</f>
        <v>0</v>
      </c>
      <c r="G84" s="22" t="str">
        <f>'[1]3нед'!H148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'[1]4нед'!C148</f>
        <v>0</v>
      </c>
      <c r="M84" s="23">
        <f>'[1]4нед'!D148</f>
        <v>0</v>
      </c>
      <c r="N84" s="21">
        <f>'[1]4нед'!G148</f>
        <v>0</v>
      </c>
      <c r="O84" s="22" t="str">
        <f>'[1]4нед'!H148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'[1]3нед'!C149</f>
        <v>0</v>
      </c>
      <c r="E85" s="23">
        <f>'[1]3нед'!D149</f>
        <v>0</v>
      </c>
      <c r="F85" s="21">
        <f>'[1]3нед'!G149</f>
        <v>0</v>
      </c>
      <c r="G85" s="22" t="str">
        <f>'[1]3нед'!H149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'[1]4нед'!C149</f>
        <v>0</v>
      </c>
      <c r="M85" s="23">
        <f>'[1]4нед'!D149</f>
        <v>0</v>
      </c>
      <c r="N85" s="21">
        <f>'[1]4нед'!G149</f>
        <v>0</v>
      </c>
      <c r="O85" s="22" t="str">
        <f>'[1]4нед'!H149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'[1]3нед'!C150</f>
        <v>0</v>
      </c>
      <c r="E86" s="23">
        <f>'[1]3нед'!D150</f>
        <v>0</v>
      </c>
      <c r="F86" s="21">
        <f>'[1]3нед'!G150</f>
        <v>0</v>
      </c>
      <c r="G86" s="22" t="str">
        <f>'[1]3нед'!H150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'[1]4нед'!C150</f>
        <v>0</v>
      </c>
      <c r="M86" s="23">
        <f>'[1]4нед'!D150</f>
        <v>0</v>
      </c>
      <c r="N86" s="21">
        <f>'[1]4нед'!G150</f>
        <v>0</v>
      </c>
      <c r="O86" s="22" t="str">
        <f>'[1]4нед'!H150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'[1]3нед'!C151</f>
        <v>0</v>
      </c>
      <c r="E87" s="25">
        <f>'[1]3нед'!D151</f>
        <v>0</v>
      </c>
      <c r="F87" s="26">
        <f>'[1]3нед'!G151</f>
        <v>0</v>
      </c>
      <c r="G87" s="27" t="str">
        <f>'[1]3нед'!H151</f>
        <v/>
      </c>
      <c r="H87" s="58" t="str">
        <f>HYPERLINK(VLOOKUP(E87,$R$12:$S$180,2,FALSE))</f>
        <v/>
      </c>
      <c r="I87" s="72"/>
      <c r="J87" s="89"/>
      <c r="K87" s="15"/>
      <c r="L87" s="24">
        <f>'[1]4нед'!C151</f>
        <v>0</v>
      </c>
      <c r="M87" s="25">
        <f>'[1]4нед'!D151</f>
        <v>0</v>
      </c>
      <c r="N87" s="26">
        <f>'[1]4нед'!G151</f>
        <v>0</v>
      </c>
      <c r="O87" s="27" t="str">
        <f>'[1]4нед'!H151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 t="str">
        <f>'[1]3нед'!C152</f>
        <v>л</v>
      </c>
      <c r="E88" s="19" t="str">
        <f>'[1]3нед'!D152</f>
        <v>Разработка приложений для мобильных устройств</v>
      </c>
      <c r="F88" s="17" t="str">
        <f>'[1]3нед'!G152</f>
        <v>Алешов Е.В.</v>
      </c>
      <c r="G88" s="18" t="str">
        <f>'[1]3нед'!H152</f>
        <v>преподаватель</v>
      </c>
      <c r="H88" s="56" t="str">
        <f>HYPERLINK(VLOOKUP(E88,$R$12:$S$180,2,FALSE))</f>
        <v>https://max.ru/join/HWJDG1wxuQDCiC0TUN5E66zyt7VXJqMWtv_aHX-fd1o</v>
      </c>
      <c r="I88" s="70">
        <v>46288</v>
      </c>
      <c r="J88" s="73" t="s">
        <v>26</v>
      </c>
      <c r="K88" s="29" t="s">
        <v>18</v>
      </c>
      <c r="L88" s="16">
        <f>'[1]4нед'!C152</f>
        <v>0</v>
      </c>
      <c r="M88" s="19">
        <f>'[1]4нед'!D152</f>
        <v>0</v>
      </c>
      <c r="N88" s="17">
        <f>'[1]4нед'!G152</f>
        <v>0</v>
      </c>
      <c r="O88" s="18" t="str">
        <f>'[1]4нед'!H152</f>
        <v/>
      </c>
      <c r="P88" s="56" t="str">
        <f>HYPERLINK(VLOOKUP(M88,$R$12:$S$180,2,FALSE))</f>
        <v/>
      </c>
    </row>
    <row r="89" spans="1:16" ht="37.5" x14ac:dyDescent="0.2">
      <c r="A89" s="82"/>
      <c r="B89" s="68"/>
      <c r="C89" s="14" t="s">
        <v>19</v>
      </c>
      <c r="D89" s="20" t="str">
        <f>'[1]3нед'!C153</f>
        <v>л</v>
      </c>
      <c r="E89" s="23" t="str">
        <f>'[1]3нед'!D153</f>
        <v>Разработка приложений для мобильных устройств</v>
      </c>
      <c r="F89" s="21" t="str">
        <f>'[1]3нед'!G153</f>
        <v>Алешов Е.В.</v>
      </c>
      <c r="G89" s="22" t="str">
        <f>'[1]3нед'!H153</f>
        <v>преподаватель</v>
      </c>
      <c r="H89" s="57" t="str">
        <f>HYPERLINK(VLOOKUP(E89,$R$12:$S$180,2,FALSE))</f>
        <v>https://max.ru/join/HWJDG1wxuQDCiC0TUN5E66zyt7VXJqMWtv_aHX-fd1o</v>
      </c>
      <c r="I89" s="71"/>
      <c r="J89" s="74"/>
      <c r="K89" s="14" t="s">
        <v>19</v>
      </c>
      <c r="L89" s="20" t="str">
        <f>'[1]4нед'!C153</f>
        <v>л</v>
      </c>
      <c r="M89" s="23" t="str">
        <f>'[1]4нед'!D153</f>
        <v>Разработка приложений для мобильных устройств</v>
      </c>
      <c r="N89" s="21" t="str">
        <f>'[1]4нед'!G153</f>
        <v>Алешов Е.В.</v>
      </c>
      <c r="O89" s="22" t="str">
        <f>'[1]4нед'!H153</f>
        <v>преподаватель</v>
      </c>
      <c r="P89" s="57" t="str">
        <f>HYPERLINK(VLOOKUP(M89,$R$12:$S$180,2,FALSE))</f>
        <v>https://max.ru/join/HWJDG1wxuQDCiC0TUN5E66zyt7VXJqMWtv_aHX-fd1o</v>
      </c>
    </row>
    <row r="90" spans="1:16" ht="37.5" x14ac:dyDescent="0.2">
      <c r="A90" s="82"/>
      <c r="B90" s="68"/>
      <c r="C90" s="14" t="s">
        <v>20</v>
      </c>
      <c r="D90" s="20" t="str">
        <f>'[1]3нед'!C154</f>
        <v>л</v>
      </c>
      <c r="E90" s="23" t="str">
        <f>'[1]3нед'!D154</f>
        <v>Продвинутые технологии искусственного интеллекта</v>
      </c>
      <c r="F90" s="21" t="str">
        <f>'[1]3нед'!G154</f>
        <v>Алешов В.В.</v>
      </c>
      <c r="G90" s="22" t="str">
        <f>'[1]3нед'!H154</f>
        <v>ст. преподаватель</v>
      </c>
      <c r="H90" s="57" t="str">
        <f>HYPERLINK(VLOOKUP(E90,$R$12:$S$180,2,FALSE))</f>
        <v>https://max.ru/join/HWJDG1wxuQDCiC0TUN5E66zyt7VXJqMWtv_aHX-fd1o</v>
      </c>
      <c r="I90" s="71"/>
      <c r="J90" s="74"/>
      <c r="K90" s="14" t="s">
        <v>20</v>
      </c>
      <c r="L90" s="20" t="str">
        <f>'[1]4нед'!C154</f>
        <v>л</v>
      </c>
      <c r="M90" s="23" t="str">
        <f>'[1]4нед'!D154</f>
        <v>Продвинутые технологии искусственного интеллекта</v>
      </c>
      <c r="N90" s="21" t="str">
        <f>'[1]4нед'!G154</f>
        <v>Алешов В.В.</v>
      </c>
      <c r="O90" s="22" t="str">
        <f>'[1]4нед'!H154</f>
        <v>ст. преподаватель</v>
      </c>
      <c r="P90" s="57" t="str">
        <f>HYPERLINK(VLOOKUP(M90,$R$12:$S$180,2,FALSE))</f>
        <v>https://max.ru/join/HWJDG1wxuQDCiC0TUN5E66zyt7VXJqMWtv_aHX-fd1o</v>
      </c>
    </row>
    <row r="91" spans="1:16" ht="37.5" x14ac:dyDescent="0.2">
      <c r="A91" s="82"/>
      <c r="B91" s="68"/>
      <c r="C91" s="14" t="s">
        <v>21</v>
      </c>
      <c r="D91" s="20" t="str">
        <f>'[1]3нед'!C155</f>
        <v>пр</v>
      </c>
      <c r="E91" s="23" t="str">
        <f>'[1]3нед'!D155</f>
        <v>Продвинутые технологии искусственного интеллекта</v>
      </c>
      <c r="F91" s="21" t="str">
        <f>'[1]3нед'!G155</f>
        <v>Алешов В.В.</v>
      </c>
      <c r="G91" s="22" t="str">
        <f>'[1]3нед'!H155</f>
        <v>ст. преподаватель</v>
      </c>
      <c r="H91" s="57" t="str">
        <f>HYPERLINK(VLOOKUP(E91,$R$12:$S$180,2,FALSE))</f>
        <v>https://max.ru/join/HWJDG1wxuQDCiC0TUN5E66zyt7VXJqMWtv_aHX-fd1o</v>
      </c>
      <c r="I91" s="71"/>
      <c r="J91" s="74"/>
      <c r="K91" s="14" t="s">
        <v>21</v>
      </c>
      <c r="L91" s="20" t="str">
        <f>'[1]4нед'!C155</f>
        <v>пр</v>
      </c>
      <c r="M91" s="23" t="str">
        <f>'[1]4нед'!D155</f>
        <v>Продвинутые технологии искусственного интеллекта</v>
      </c>
      <c r="N91" s="21" t="str">
        <f>'[1]4нед'!G155</f>
        <v>Алешов В.В.</v>
      </c>
      <c r="O91" s="22" t="str">
        <f>'[1]4нед'!H155</f>
        <v>ст. преподаватель</v>
      </c>
      <c r="P91" s="57" t="str">
        <f>HYPERLINK(VLOOKUP(M91,$R$12:$S$180,2,FALSE))</f>
        <v>https://max.ru/join/HWJDG1wxuQDCiC0TUN5E66zyt7VXJqMWtv_aHX-fd1o</v>
      </c>
    </row>
    <row r="92" spans="1:16" ht="31.5" x14ac:dyDescent="0.2">
      <c r="A92" s="82"/>
      <c r="B92" s="68"/>
      <c r="C92" s="14" t="s">
        <v>22</v>
      </c>
      <c r="D92" s="20">
        <f>'[1]3нед'!C156</f>
        <v>0</v>
      </c>
      <c r="E92" s="23">
        <f>'[1]3нед'!D156</f>
        <v>0</v>
      </c>
      <c r="F92" s="21">
        <f>'[1]3нед'!G156</f>
        <v>0</v>
      </c>
      <c r="G92" s="22" t="str">
        <f>'[1]3нед'!H156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'[1]4нед'!C156</f>
        <v>0</v>
      </c>
      <c r="M92" s="23">
        <f>'[1]4нед'!D156</f>
        <v>0</v>
      </c>
      <c r="N92" s="21">
        <f>'[1]4нед'!G156</f>
        <v>0</v>
      </c>
      <c r="O92" s="22" t="str">
        <f>'[1]4нед'!H156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'[1]3нед'!C157</f>
        <v>0</v>
      </c>
      <c r="E93" s="23">
        <f>'[1]3нед'!D157</f>
        <v>0</v>
      </c>
      <c r="F93" s="21">
        <f>'[1]3нед'!G157</f>
        <v>0</v>
      </c>
      <c r="G93" s="22" t="str">
        <f>'[1]3нед'!H157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'[1]4нед'!C157</f>
        <v>0</v>
      </c>
      <c r="M93" s="23">
        <f>'[1]4нед'!D157</f>
        <v>0</v>
      </c>
      <c r="N93" s="21">
        <f>'[1]4нед'!G157</f>
        <v>0</v>
      </c>
      <c r="O93" s="22" t="str">
        <f>'[1]4нед'!H157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'[1]3нед'!C158</f>
        <v>0</v>
      </c>
      <c r="E94" s="23">
        <f>'[1]3нед'!D158</f>
        <v>0</v>
      </c>
      <c r="F94" s="21">
        <f>'[1]3нед'!G158</f>
        <v>0</v>
      </c>
      <c r="G94" s="22" t="str">
        <f>'[1]3нед'!H158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'[1]4нед'!C158</f>
        <v>0</v>
      </c>
      <c r="M94" s="23">
        <f>'[1]4нед'!D158</f>
        <v>0</v>
      </c>
      <c r="N94" s="21">
        <f>'[1]4нед'!G158</f>
        <v>0</v>
      </c>
      <c r="O94" s="22" t="str">
        <f>'[1]4нед'!H158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'[1]3нед'!C159</f>
        <v>0</v>
      </c>
      <c r="E95" s="25">
        <f>'[1]3нед'!D159</f>
        <v>0</v>
      </c>
      <c r="F95" s="26">
        <f>'[1]3нед'!G159</f>
        <v>0</v>
      </c>
      <c r="G95" s="27" t="str">
        <f>'[1]3нед'!H159</f>
        <v/>
      </c>
      <c r="H95" s="58" t="str">
        <f>HYPERLINK(VLOOKUP(E95,$R$12:$S$180,2,FALSE))</f>
        <v/>
      </c>
      <c r="I95" s="72"/>
      <c r="J95" s="75"/>
      <c r="K95" s="15"/>
      <c r="L95" s="24">
        <f>'[1]4нед'!C159</f>
        <v>0</v>
      </c>
      <c r="M95" s="25">
        <f>'[1]4нед'!D159</f>
        <v>0</v>
      </c>
      <c r="N95" s="26">
        <f>'[1]4нед'!G159</f>
        <v>0</v>
      </c>
      <c r="O95" s="27" t="str">
        <f>'[1]4нед'!H159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 t="str">
        <f>'[1]3нед'!C160</f>
        <v>л</v>
      </c>
      <c r="E96" s="19" t="str">
        <f>'[1]3нед'!D160</f>
        <v>Операционные системы семейства Unix / Linux</v>
      </c>
      <c r="F96" s="17" t="str">
        <f>'[1]3нед'!G160</f>
        <v>Криницкий Ю.В.</v>
      </c>
      <c r="G96" s="18" t="str">
        <f>'[1]3нед'!H160</f>
        <v>преподаватель</v>
      </c>
      <c r="H96" s="56" t="str">
        <f>HYPERLINK(VLOOKUP(E96,$R$12:$S$180,2,FALSE))</f>
        <v>https://max.ru/join/HWJDG1wxuQDCiC0TUN5E66zyt7VXJqMWtv_aHX-fd1o</v>
      </c>
      <c r="I96" s="70">
        <v>46289</v>
      </c>
      <c r="J96" s="87" t="s">
        <v>27</v>
      </c>
      <c r="K96" s="29" t="s">
        <v>18</v>
      </c>
      <c r="L96" s="16" t="str">
        <f>'[1]4нед'!C160</f>
        <v>л</v>
      </c>
      <c r="M96" s="19" t="str">
        <f>'[1]4нед'!D160</f>
        <v>Проектирование человеко-машинного интерфейса</v>
      </c>
      <c r="N96" s="17" t="str">
        <f>'[1]4нед'!G160</f>
        <v>Алешов В.В.</v>
      </c>
      <c r="O96" s="18" t="str">
        <f>'[1]4нед'!H160</f>
        <v>ст. преподаватель</v>
      </c>
      <c r="P96" s="56" t="str">
        <f>HYPERLINK(VLOOKUP(M96,$R$12:$S$180,2,FALSE))</f>
        <v>https://max.ru/join/HWJDG1wxuQDCiC0TUN5E66zyt7VXJqMWtv_aHX-fd1o</v>
      </c>
    </row>
    <row r="97" spans="1:16" ht="37.5" x14ac:dyDescent="0.2">
      <c r="A97" s="82"/>
      <c r="B97" s="85"/>
      <c r="C97" s="14" t="s">
        <v>19</v>
      </c>
      <c r="D97" s="20" t="str">
        <f>'[1]3нед'!C161</f>
        <v>л</v>
      </c>
      <c r="E97" s="23" t="str">
        <f>'[1]3нед'!D161</f>
        <v>Операционные системы семейства Unix / Linux</v>
      </c>
      <c r="F97" s="21" t="str">
        <f>'[1]3нед'!G161</f>
        <v>Криницкий Ю.В.</v>
      </c>
      <c r="G97" s="22" t="str">
        <f>'[1]3нед'!H161</f>
        <v>преподаватель</v>
      </c>
      <c r="H97" s="57" t="str">
        <f>HYPERLINK(VLOOKUP(E97,$R$12:$S$180,2,FALSE))</f>
        <v>https://max.ru/join/HWJDG1wxuQDCiC0TUN5E66zyt7VXJqMWtv_aHX-fd1o</v>
      </c>
      <c r="I97" s="71"/>
      <c r="J97" s="88"/>
      <c r="K97" s="14" t="s">
        <v>19</v>
      </c>
      <c r="L97" s="20" t="str">
        <f>'[1]4нед'!C161</f>
        <v>л</v>
      </c>
      <c r="M97" s="23" t="str">
        <f>'[1]4нед'!D161</f>
        <v>Продвинутые технологии искусственного интеллекта</v>
      </c>
      <c r="N97" s="21" t="str">
        <f>'[1]4нед'!G161</f>
        <v>Алешов В.В.</v>
      </c>
      <c r="O97" s="22" t="str">
        <f>'[1]4нед'!H161</f>
        <v>ст. преподаватель</v>
      </c>
      <c r="P97" s="57" t="str">
        <f>HYPERLINK(VLOOKUP(M97,$R$12:$S$180,2,FALSE))</f>
        <v>https://max.ru/join/HWJDG1wxuQDCiC0TUN5E66zyt7VXJqMWtv_aHX-fd1o</v>
      </c>
    </row>
    <row r="98" spans="1:16" ht="37.5" x14ac:dyDescent="0.2">
      <c r="A98" s="82"/>
      <c r="B98" s="85"/>
      <c r="C98" s="14" t="s">
        <v>20</v>
      </c>
      <c r="D98" s="20" t="str">
        <f>'[1]3нед'!C162</f>
        <v>пр</v>
      </c>
      <c r="E98" s="23" t="str">
        <f>'[1]3нед'!D162</f>
        <v>Продвинутые технологии искусственного интеллекта</v>
      </c>
      <c r="F98" s="21" t="str">
        <f>'[1]3нед'!G162</f>
        <v>Алешов В.В.</v>
      </c>
      <c r="G98" s="22" t="str">
        <f>'[1]3нед'!H162</f>
        <v>ст. преподаватель</v>
      </c>
      <c r="H98" s="57" t="str">
        <f>HYPERLINK(VLOOKUP(E98,$R$12:$S$180,2,FALSE))</f>
        <v>https://max.ru/join/HWJDG1wxuQDCiC0TUN5E66zyt7VXJqMWtv_aHX-fd1o</v>
      </c>
      <c r="I98" s="71"/>
      <c r="J98" s="88"/>
      <c r="K98" s="14" t="s">
        <v>20</v>
      </c>
      <c r="L98" s="20" t="str">
        <f>'[1]4нед'!C162</f>
        <v>л</v>
      </c>
      <c r="M98" s="23" t="str">
        <f>'[1]4нед'!D162</f>
        <v>Операционные системы семейства Unix / Linux</v>
      </c>
      <c r="N98" s="21" t="str">
        <f>'[1]4нед'!G162</f>
        <v>Криницкий Ю.В.</v>
      </c>
      <c r="O98" s="22" t="str">
        <f>'[1]4нед'!H162</f>
        <v>преподаватель</v>
      </c>
      <c r="P98" s="57" t="str">
        <f>HYPERLINK(VLOOKUP(M98,$R$12:$S$180,2,FALSE))</f>
        <v>https://max.ru/join/HWJDG1wxuQDCiC0TUN5E66zyt7VXJqMWtv_aHX-fd1o</v>
      </c>
    </row>
    <row r="99" spans="1:16" ht="37.5" x14ac:dyDescent="0.2">
      <c r="A99" s="82"/>
      <c r="B99" s="85"/>
      <c r="C99" s="14" t="s">
        <v>21</v>
      </c>
      <c r="D99" s="20" t="str">
        <f>'[1]3нед'!C163</f>
        <v>пр</v>
      </c>
      <c r="E99" s="23" t="str">
        <f>'[1]3нед'!D163</f>
        <v>Продвинутые технологии искусственного интеллекта</v>
      </c>
      <c r="F99" s="21" t="str">
        <f>'[1]3нед'!G163</f>
        <v>Алешов В.В.</v>
      </c>
      <c r="G99" s="22" t="str">
        <f>'[1]3нед'!H163</f>
        <v>ст. преподаватель</v>
      </c>
      <c r="H99" s="57" t="str">
        <f>HYPERLINK(VLOOKUP(E99,$R$12:$S$180,2,FALSE))</f>
        <v>https://max.ru/join/HWJDG1wxuQDCiC0TUN5E66zyt7VXJqMWtv_aHX-fd1o</v>
      </c>
      <c r="I99" s="71"/>
      <c r="J99" s="88"/>
      <c r="K99" s="14" t="s">
        <v>21</v>
      </c>
      <c r="L99" s="20">
        <f>'[1]4нед'!C163</f>
        <v>0</v>
      </c>
      <c r="M99" s="23">
        <f>'[1]4нед'!D163</f>
        <v>0</v>
      </c>
      <c r="N99" s="21">
        <f>'[1]4нед'!G163</f>
        <v>0</v>
      </c>
      <c r="O99" s="22" t="str">
        <f>'[1]4нед'!H163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'[1]3нед'!C164</f>
        <v>0</v>
      </c>
      <c r="E100" s="23">
        <f>'[1]3нед'!D164</f>
        <v>0</v>
      </c>
      <c r="F100" s="21">
        <f>'[1]3нед'!G164</f>
        <v>0</v>
      </c>
      <c r="G100" s="22" t="str">
        <f>'[1]3нед'!H164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'[1]4нед'!C164</f>
        <v>0</v>
      </c>
      <c r="M100" s="23">
        <f>'[1]4нед'!D164</f>
        <v>0</v>
      </c>
      <c r="N100" s="21">
        <f>'[1]4нед'!G164</f>
        <v>0</v>
      </c>
      <c r="O100" s="22" t="str">
        <f>'[1]4нед'!H164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'[1]3нед'!C165</f>
        <v>0</v>
      </c>
      <c r="E101" s="23">
        <f>'[1]3нед'!D165</f>
        <v>0</v>
      </c>
      <c r="F101" s="21">
        <f>'[1]3нед'!G165</f>
        <v>0</v>
      </c>
      <c r="G101" s="22" t="str">
        <f>'[1]3нед'!H165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'[1]4нед'!C165</f>
        <v>0</v>
      </c>
      <c r="M101" s="23">
        <f>'[1]4нед'!D165</f>
        <v>0</v>
      </c>
      <c r="N101" s="21">
        <f>'[1]4нед'!G165</f>
        <v>0</v>
      </c>
      <c r="O101" s="22" t="str">
        <f>'[1]4нед'!H165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'[1]3нед'!C166</f>
        <v>0</v>
      </c>
      <c r="E102" s="23">
        <f>'[1]3нед'!D166</f>
        <v>0</v>
      </c>
      <c r="F102" s="21">
        <f>'[1]3нед'!G166</f>
        <v>0</v>
      </c>
      <c r="G102" s="22" t="str">
        <f>'[1]3нед'!H166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'[1]4нед'!C166</f>
        <v>0</v>
      </c>
      <c r="M102" s="23">
        <f>'[1]4нед'!D166</f>
        <v>0</v>
      </c>
      <c r="N102" s="21">
        <f>'[1]4нед'!G166</f>
        <v>0</v>
      </c>
      <c r="O102" s="22" t="str">
        <f>'[1]4нед'!H166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'[1]3нед'!C167</f>
        <v>0</v>
      </c>
      <c r="E103" s="25">
        <f>'[1]3нед'!D167</f>
        <v>0</v>
      </c>
      <c r="F103" s="26">
        <f>'[1]3нед'!G167</f>
        <v>0</v>
      </c>
      <c r="G103" s="27" t="str">
        <f>'[1]3нед'!H167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'[1]4нед'!C167</f>
        <v>0</v>
      </c>
      <c r="M103" s="25">
        <f>'[1]4нед'!D167</f>
        <v>0</v>
      </c>
      <c r="N103" s="26">
        <f>'[1]4нед'!G167</f>
        <v>0</v>
      </c>
      <c r="O103" s="27" t="str">
        <f>'[1]4нед'!H167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 t="str">
        <f>'[1]3нед'!C168</f>
        <v>пр</v>
      </c>
      <c r="E104" s="19" t="str">
        <f>'[1]3нед'!D168</f>
        <v>Проектирование человеко-машинного интерфейса</v>
      </c>
      <c r="F104" s="17" t="str">
        <f>'[1]3нед'!G168</f>
        <v>Алешов В.В.</v>
      </c>
      <c r="G104" s="18" t="str">
        <f>'[1]3нед'!H168</f>
        <v>ст. преподаватель</v>
      </c>
      <c r="H104" s="56" t="str">
        <f>HYPERLINK(VLOOKUP(E104,$R$12:$S$180,2,FALSE))</f>
        <v>https://max.ru/join/HWJDG1wxuQDCiC0TUN5E66zyt7VXJqMWtv_aHX-fd1o</v>
      </c>
      <c r="I104" s="70">
        <v>46290</v>
      </c>
      <c r="J104" s="87" t="s">
        <v>28</v>
      </c>
      <c r="K104" s="29" t="s">
        <v>18</v>
      </c>
      <c r="L104" s="16" t="str">
        <f>'[1]4нед'!C168</f>
        <v>пр</v>
      </c>
      <c r="M104" s="19" t="str">
        <f>'[1]4нед'!D168</f>
        <v>Проектирование человеко-машинного интерфейса</v>
      </c>
      <c r="N104" s="17" t="str">
        <f>'[1]4нед'!G168</f>
        <v>Алешов В.В.</v>
      </c>
      <c r="O104" s="18" t="str">
        <f>'[1]4нед'!H168</f>
        <v>ст. преподаватель</v>
      </c>
      <c r="P104" s="56" t="str">
        <f>HYPERLINK(VLOOKUP(M104,$R$12:$S$180,2,FALSE))</f>
        <v>https://max.ru/join/HWJDG1wxuQDCiC0TUN5E66zyt7VXJqMWtv_aHX-fd1o</v>
      </c>
    </row>
    <row r="105" spans="1:16" ht="37.5" x14ac:dyDescent="0.2">
      <c r="A105" s="82"/>
      <c r="B105" s="85"/>
      <c r="C105" s="14" t="s">
        <v>19</v>
      </c>
      <c r="D105" s="20" t="str">
        <f>'[1]3нед'!C169</f>
        <v>л</v>
      </c>
      <c r="E105" s="23" t="str">
        <f>'[1]3нед'!D169</f>
        <v>Технологии искусственного интеллекта</v>
      </c>
      <c r="F105" s="21" t="str">
        <f>'[1]3нед'!G169</f>
        <v>Гришин И.Ю.</v>
      </c>
      <c r="G105" s="22" t="str">
        <f>'[1]3нед'!H169</f>
        <v>профессор, д-р наук</v>
      </c>
      <c r="H105" s="57" t="str">
        <f>HYPERLINK(VLOOKUP(E105,$R$12:$S$180,2,FALSE))</f>
        <v>https://max.ru/join/HWJDG1wxuQDCiC0TUN5E66zyt7VXJqMWtv_aHX-fd1o</v>
      </c>
      <c r="I105" s="71"/>
      <c r="J105" s="88"/>
      <c r="K105" s="14" t="s">
        <v>19</v>
      </c>
      <c r="L105" s="20" t="str">
        <f>'[1]4нед'!C169</f>
        <v>пр</v>
      </c>
      <c r="M105" s="23" t="str">
        <f>'[1]4нед'!D169</f>
        <v>Технологии искусственного интеллекта</v>
      </c>
      <c r="N105" s="21" t="str">
        <f>'[1]4нед'!G169</f>
        <v>Гришин И.Ю.</v>
      </c>
      <c r="O105" s="22" t="str">
        <f>'[1]4нед'!H169</f>
        <v>профессор, д-р наук</v>
      </c>
      <c r="P105" s="57" t="str">
        <f>HYPERLINK(VLOOKUP(M105,$R$12:$S$180,2,FALSE))</f>
        <v>https://max.ru/join/HWJDG1wxuQDCiC0TUN5E66zyt7VXJqMWtv_aHX-fd1o</v>
      </c>
    </row>
    <row r="106" spans="1:16" ht="56.25" x14ac:dyDescent="0.2">
      <c r="A106" s="82"/>
      <c r="B106" s="85"/>
      <c r="C106" s="14" t="s">
        <v>20</v>
      </c>
      <c r="D106" s="20" t="str">
        <f>'[1]3нед'!C170</f>
        <v>пр</v>
      </c>
      <c r="E106" s="23" t="str">
        <f>'[1]3нед'!D170</f>
        <v>Взаимодействие с лицами с ОВЗ и с инвалидностью в социальной и профессиональной сферах</v>
      </c>
      <c r="F106" s="21" t="str">
        <f>'[1]3нед'!G170</f>
        <v>Образцова Е.Н.</v>
      </c>
      <c r="G106" s="22" t="str">
        <f>'[1]3нед'!H170</f>
        <v>доцент, канд. наук</v>
      </c>
      <c r="H106" s="57" t="str">
        <f>HYPERLINK(VLOOKUP(E106,$R$12:$S$180,2,FALSE))</f>
        <v>https://max.ru/join/HWJDG1wxuQDCiC0TUN5E66zyt7VXJqMWtv_aHX-fd1o</v>
      </c>
      <c r="I106" s="71"/>
      <c r="J106" s="88"/>
      <c r="K106" s="14" t="s">
        <v>20</v>
      </c>
      <c r="L106" s="20" t="str">
        <f>'[1]4нед'!C170</f>
        <v>пр</v>
      </c>
      <c r="M106" s="23" t="str">
        <f>'[1]4нед'!D170</f>
        <v>Взаимодействие с лицами с ОВЗ и с инвалидностью в социальной и профессиональной сферах</v>
      </c>
      <c r="N106" s="21" t="str">
        <f>'[1]4нед'!G170</f>
        <v>Образцова Е.Н.</v>
      </c>
      <c r="O106" s="22" t="str">
        <f>'[1]4нед'!H170</f>
        <v>доцент, канд. наук</v>
      </c>
      <c r="P106" s="57" t="str">
        <f>HYPERLINK(VLOOKUP(M106,$R$12:$S$180,2,FALSE))</f>
        <v>https://max.ru/join/HWJDG1wxuQDCiC0TUN5E66zyt7VXJqMWtv_aHX-fd1o</v>
      </c>
    </row>
    <row r="107" spans="1:16" ht="31.5" x14ac:dyDescent="0.2">
      <c r="A107" s="82"/>
      <c r="B107" s="85"/>
      <c r="C107" s="14" t="s">
        <v>21</v>
      </c>
      <c r="D107" s="20">
        <f>'[1]3нед'!C171</f>
        <v>0</v>
      </c>
      <c r="E107" s="23">
        <f>'[1]3нед'!D171</f>
        <v>0</v>
      </c>
      <c r="F107" s="21">
        <f>'[1]3нед'!G171</f>
        <v>0</v>
      </c>
      <c r="G107" s="22" t="str">
        <f>'[1]3нед'!H171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'[1]4нед'!C171</f>
        <v>0</v>
      </c>
      <c r="M107" s="23">
        <f>'[1]4нед'!D171</f>
        <v>0</v>
      </c>
      <c r="N107" s="21">
        <f>'[1]4нед'!G171</f>
        <v>0</v>
      </c>
      <c r="O107" s="22" t="str">
        <f>'[1]4нед'!H171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'[1]3нед'!C172</f>
        <v>0</v>
      </c>
      <c r="E108" s="23">
        <f>'[1]3нед'!D172</f>
        <v>0</v>
      </c>
      <c r="F108" s="21">
        <f>'[1]3нед'!G172</f>
        <v>0</v>
      </c>
      <c r="G108" s="22" t="str">
        <f>'[1]3нед'!H172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'[1]4нед'!C172</f>
        <v>0</v>
      </c>
      <c r="M108" s="23">
        <f>'[1]4нед'!D172</f>
        <v>0</v>
      </c>
      <c r="N108" s="21">
        <f>'[1]4нед'!G172</f>
        <v>0</v>
      </c>
      <c r="O108" s="22" t="str">
        <f>'[1]4нед'!H172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'[1]3нед'!C173</f>
        <v>0</v>
      </c>
      <c r="E109" s="23">
        <f>'[1]3нед'!D173</f>
        <v>0</v>
      </c>
      <c r="F109" s="21">
        <f>'[1]3нед'!G173</f>
        <v>0</v>
      </c>
      <c r="G109" s="22" t="str">
        <f>'[1]3нед'!H173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'[1]4нед'!C173</f>
        <v>0</v>
      </c>
      <c r="M109" s="23">
        <f>'[1]4нед'!D173</f>
        <v>0</v>
      </c>
      <c r="N109" s="21">
        <f>'[1]4нед'!G173</f>
        <v>0</v>
      </c>
      <c r="O109" s="22" t="str">
        <f>'[1]4нед'!H173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'[1]3нед'!C174</f>
        <v>0</v>
      </c>
      <c r="E110" s="23">
        <f>'[1]3нед'!D174</f>
        <v>0</v>
      </c>
      <c r="F110" s="21">
        <f>'[1]3нед'!G174</f>
        <v>0</v>
      </c>
      <c r="G110" s="22" t="str">
        <f>'[1]3нед'!H174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'[1]4нед'!C174</f>
        <v>0</v>
      </c>
      <c r="M110" s="23">
        <f>'[1]4нед'!D174</f>
        <v>0</v>
      </c>
      <c r="N110" s="21">
        <f>'[1]4нед'!G174</f>
        <v>0</v>
      </c>
      <c r="O110" s="22" t="str">
        <f>'[1]4нед'!H174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'[1]3нед'!C175</f>
        <v>0</v>
      </c>
      <c r="E111" s="25">
        <f>'[1]3нед'!D175</f>
        <v>0</v>
      </c>
      <c r="F111" s="26">
        <f>'[1]3нед'!G175</f>
        <v>0</v>
      </c>
      <c r="G111" s="27" t="str">
        <f>'[1]3нед'!H175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'[1]4нед'!C175</f>
        <v>0</v>
      </c>
      <c r="M111" s="25">
        <f>'[1]4нед'!D175</f>
        <v>0</v>
      </c>
      <c r="N111" s="26">
        <f>'[1]4нед'!G175</f>
        <v>0</v>
      </c>
      <c r="O111" s="27" t="str">
        <f>'[1]4нед'!H175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'[1]3нед'!C176</f>
        <v>0</v>
      </c>
      <c r="E112" s="19">
        <f>'[1]3нед'!D176</f>
        <v>0</v>
      </c>
      <c r="F112" s="17">
        <f>'[1]3нед'!G176</f>
        <v>0</v>
      </c>
      <c r="G112" s="18" t="str">
        <f>'[1]3нед'!H176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'[1]4нед'!C176</f>
        <v>0</v>
      </c>
      <c r="M112" s="19">
        <f>'[1]4нед'!D176</f>
        <v>0</v>
      </c>
      <c r="N112" s="17">
        <f>'[1]4нед'!G176</f>
        <v>0</v>
      </c>
      <c r="O112" s="18" t="str">
        <f>'[1]4нед'!H176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'[1]3нед'!C177</f>
        <v>0</v>
      </c>
      <c r="E113" s="23">
        <f>'[1]3нед'!D177</f>
        <v>0</v>
      </c>
      <c r="F113" s="21">
        <f>'[1]3нед'!G177</f>
        <v>0</v>
      </c>
      <c r="G113" s="22" t="str">
        <f>'[1]3нед'!H177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'[1]4нед'!C177</f>
        <v>0</v>
      </c>
      <c r="M113" s="23">
        <f>'[1]4нед'!D177</f>
        <v>0</v>
      </c>
      <c r="N113" s="21">
        <f>'[1]4нед'!G177</f>
        <v>0</v>
      </c>
      <c r="O113" s="22" t="str">
        <f>'[1]4нед'!H177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'[1]3нед'!C178</f>
        <v>0</v>
      </c>
      <c r="E114" s="23">
        <f>'[1]3нед'!D178</f>
        <v>0</v>
      </c>
      <c r="F114" s="21">
        <f>'[1]3нед'!G178</f>
        <v>0</v>
      </c>
      <c r="G114" s="22" t="str">
        <f>'[1]3нед'!H178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'[1]4нед'!C178</f>
        <v>0</v>
      </c>
      <c r="M114" s="23">
        <f>'[1]4нед'!D178</f>
        <v>0</v>
      </c>
      <c r="N114" s="21">
        <f>'[1]4нед'!G178</f>
        <v>0</v>
      </c>
      <c r="O114" s="22" t="str">
        <f>'[1]4нед'!H178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'[1]3нед'!C179</f>
        <v>0</v>
      </c>
      <c r="E115" s="23">
        <f>'[1]3нед'!D179</f>
        <v>0</v>
      </c>
      <c r="F115" s="21">
        <f>'[1]3нед'!G179</f>
        <v>0</v>
      </c>
      <c r="G115" s="22" t="str">
        <f>'[1]3нед'!H179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'[1]4нед'!C179</f>
        <v>0</v>
      </c>
      <c r="M115" s="23">
        <f>'[1]4нед'!D179</f>
        <v>0</v>
      </c>
      <c r="N115" s="21">
        <f>'[1]4нед'!G179</f>
        <v>0</v>
      </c>
      <c r="O115" s="22" t="str">
        <f>'[1]4нед'!H179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'[1]3нед'!C180</f>
        <v>0</v>
      </c>
      <c r="E116" s="23">
        <f>'[1]3нед'!D180</f>
        <v>0</v>
      </c>
      <c r="F116" s="21">
        <f>'[1]3нед'!G180</f>
        <v>0</v>
      </c>
      <c r="G116" s="22" t="str">
        <f>'[1]3нед'!H180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'[1]4нед'!C180</f>
        <v>0</v>
      </c>
      <c r="M116" s="23">
        <f>'[1]4нед'!D180</f>
        <v>0</v>
      </c>
      <c r="N116" s="21">
        <f>'[1]4нед'!G180</f>
        <v>0</v>
      </c>
      <c r="O116" s="22" t="str">
        <f>'[1]4нед'!H180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'[1]3нед'!C181</f>
        <v>0</v>
      </c>
      <c r="E117" s="23">
        <f>'[1]3нед'!D181</f>
        <v>0</v>
      </c>
      <c r="F117" s="21">
        <f>'[1]3нед'!G181</f>
        <v>0</v>
      </c>
      <c r="G117" s="22" t="str">
        <f>'[1]3нед'!H181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'[1]4нед'!C181</f>
        <v>0</v>
      </c>
      <c r="M117" s="23">
        <f>'[1]4нед'!D181</f>
        <v>0</v>
      </c>
      <c r="N117" s="21">
        <f>'[1]4нед'!G181</f>
        <v>0</v>
      </c>
      <c r="O117" s="22" t="str">
        <f>'[1]4нед'!H181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'[1]3нед'!C182</f>
        <v>0</v>
      </c>
      <c r="E118" s="23">
        <f>'[1]3нед'!D182</f>
        <v>0</v>
      </c>
      <c r="F118" s="21">
        <f>'[1]3нед'!G182</f>
        <v>0</v>
      </c>
      <c r="G118" s="22" t="str">
        <f>'[1]3нед'!H182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'[1]4нед'!C182</f>
        <v>0</v>
      </c>
      <c r="M118" s="23">
        <f>'[1]4нед'!D182</f>
        <v>0</v>
      </c>
      <c r="N118" s="21">
        <f>'[1]4нед'!G182</f>
        <v>0</v>
      </c>
      <c r="O118" s="22" t="str">
        <f>'[1]4нед'!H182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'[1]3нед'!C59</f>
        <v>0</v>
      </c>
      <c r="E119" s="25">
        <f>'[1]3нед'!D59</f>
        <v>0</v>
      </c>
      <c r="F119" s="26">
        <f>'[1]3нед'!G59</f>
        <v>0</v>
      </c>
      <c r="G119" s="27" t="str">
        <f>'[1]3нед'!H59</f>
        <v/>
      </c>
      <c r="H119" s="39"/>
      <c r="I119" s="72"/>
      <c r="J119" s="89"/>
      <c r="K119" s="15"/>
      <c r="L119" s="24">
        <f>'[1]4нед'!C183</f>
        <v>0</v>
      </c>
      <c r="M119" s="25">
        <f>'[1]4нед'!D183</f>
        <v>0</v>
      </c>
      <c r="N119" s="26">
        <f>'[1]4нед'!G183</f>
        <v>0</v>
      </c>
      <c r="O119" s="27" t="str">
        <f>'[1]4нед'!H183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0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4</v>
      </c>
      <c r="F129" s="62" t="str">
        <f>'[1]1нед'!$D$134</f>
        <v>12-23ПИ</v>
      </c>
      <c r="G129" s="62"/>
      <c r="H129" s="35"/>
      <c r="I129" s="45"/>
      <c r="J129" s="81" t="s">
        <v>7</v>
      </c>
      <c r="K129" s="81"/>
      <c r="L129" s="81"/>
      <c r="M129" s="62">
        <f>E9</f>
        <v>4</v>
      </c>
      <c r="N129" s="62" t="str">
        <f>'[1]1нед'!$D$134</f>
        <v>12-23ПИ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 t="str">
        <f>'[3]5нед'!C136</f>
        <v>пр</v>
      </c>
      <c r="E132" s="19" t="str">
        <f>'[3]5нед'!D136</f>
        <v>Операционные системы семейства Unix / Linux</v>
      </c>
      <c r="F132" s="17" t="str">
        <f>'[3]5нед'!G136</f>
        <v>Криницкий Ю.В.</v>
      </c>
      <c r="G132" s="18" t="str">
        <f>'[3]5нед'!H136</f>
        <v>преподаватель</v>
      </c>
      <c r="H132" s="56" t="str">
        <f>HYPERLINK(VLOOKUP(E132,$R$12:$S$180,2,FALSE))</f>
        <v>https://max.ru/join/HWJDG1wxuQDCiC0TUN5E66zyt7VXJqMWtv_aHX-fd1o</v>
      </c>
      <c r="I132" s="70">
        <v>46300</v>
      </c>
      <c r="J132" s="87" t="s">
        <v>17</v>
      </c>
      <c r="K132" s="14" t="s">
        <v>18</v>
      </c>
      <c r="L132" s="16" t="str">
        <f>'[3]6нед'!C136</f>
        <v>пр</v>
      </c>
      <c r="M132" s="19" t="str">
        <f>'[3]6нед'!D136</f>
        <v>Операционные системы семейства Unix / Linux</v>
      </c>
      <c r="N132" s="17" t="str">
        <f>'[3]6нед'!G136</f>
        <v>Криницкий Ю.В.</v>
      </c>
      <c r="O132" s="18" t="str">
        <f>'[3]6нед'!H136</f>
        <v>преподаватель</v>
      </c>
      <c r="P132" s="56" t="str">
        <f>HYPERLINK(VLOOKUP(M132,$R$12:$S$180,2,FALSE))</f>
        <v>https://max.ru/join/HWJDG1wxuQDCiC0TUN5E66zyt7VXJqMWtv_aHX-fd1o</v>
      </c>
    </row>
    <row r="133" spans="1:16" ht="37.5" x14ac:dyDescent="0.2">
      <c r="A133" s="82"/>
      <c r="B133" s="85"/>
      <c r="C133" s="14" t="s">
        <v>19</v>
      </c>
      <c r="D133" s="20" t="str">
        <f>'[3]5нед'!C137</f>
        <v>пр</v>
      </c>
      <c r="E133" s="23" t="str">
        <f>'[3]5нед'!D137</f>
        <v>Операционные системы семейства Unix / Linux</v>
      </c>
      <c r="F133" s="21" t="str">
        <f>'[3]5нед'!G137</f>
        <v>Криницкий Ю.В.</v>
      </c>
      <c r="G133" s="22" t="str">
        <f>'[3]5нед'!H137</f>
        <v>преподаватель</v>
      </c>
      <c r="H133" s="57" t="str">
        <f>HYPERLINK(VLOOKUP(E133,$R$12:$S$180,2,FALSE))</f>
        <v>https://max.ru/join/HWJDG1wxuQDCiC0TUN5E66zyt7VXJqMWtv_aHX-fd1o</v>
      </c>
      <c r="I133" s="71"/>
      <c r="J133" s="88"/>
      <c r="K133" s="14" t="s">
        <v>19</v>
      </c>
      <c r="L133" s="20" t="str">
        <f>'[3]6нед'!C137</f>
        <v>пр</v>
      </c>
      <c r="M133" s="23" t="str">
        <f>'[3]6нед'!D137</f>
        <v>Операционные системы семейства Unix / Linux</v>
      </c>
      <c r="N133" s="21" t="str">
        <f>'[3]6нед'!G137</f>
        <v>Криницкий Ю.В.</v>
      </c>
      <c r="O133" s="22" t="str">
        <f>'[3]6нед'!H137</f>
        <v>преподаватель</v>
      </c>
      <c r="P133" s="57" t="str">
        <f>HYPERLINK(VLOOKUP(M133,$R$12:$S$180,2,FALSE))</f>
        <v>https://max.ru/join/HWJDG1wxuQDCiC0TUN5E66zyt7VXJqMWtv_aHX-fd1o</v>
      </c>
    </row>
    <row r="134" spans="1:16" ht="37.5" x14ac:dyDescent="0.2">
      <c r="A134" s="82"/>
      <c r="B134" s="85"/>
      <c r="C134" s="14" t="s">
        <v>20</v>
      </c>
      <c r="D134" s="20" t="str">
        <f>'[3]5нед'!C138</f>
        <v>пр</v>
      </c>
      <c r="E134" s="23" t="str">
        <f>'[3]5нед'!D138</f>
        <v>Разработка приложений для мобильных устройств</v>
      </c>
      <c r="F134" s="21" t="str">
        <f>'[3]5нед'!G138</f>
        <v>Алешов Е.В.</v>
      </c>
      <c r="G134" s="22" t="str">
        <f>'[3]5нед'!H138</f>
        <v>преподаватель</v>
      </c>
      <c r="H134" s="57" t="str">
        <f>HYPERLINK(VLOOKUP(E134,$R$12:$S$180,2,FALSE))</f>
        <v>https://max.ru/join/HWJDG1wxuQDCiC0TUN5E66zyt7VXJqMWtv_aHX-fd1o</v>
      </c>
      <c r="I134" s="71"/>
      <c r="J134" s="88"/>
      <c r="K134" s="14" t="s">
        <v>20</v>
      </c>
      <c r="L134" s="20" t="str">
        <f>'[3]6нед'!C138</f>
        <v>пр</v>
      </c>
      <c r="M134" s="23" t="str">
        <f>'[3]6нед'!D138</f>
        <v>Разработка приложений для мобильных устройств</v>
      </c>
      <c r="N134" s="21" t="str">
        <f>'[3]6нед'!G138</f>
        <v>Алешов Е.В.</v>
      </c>
      <c r="O134" s="22" t="str">
        <f>'[3]6нед'!H138</f>
        <v>преподаватель</v>
      </c>
      <c r="P134" s="57" t="str">
        <f>HYPERLINK(VLOOKUP(M134,$R$12:$S$180,2,FALSE))</f>
        <v>https://max.ru/join/HWJDG1wxuQDCiC0TUN5E66zyt7VXJqMWtv_aHX-fd1o</v>
      </c>
    </row>
    <row r="135" spans="1:16" ht="37.5" x14ac:dyDescent="0.2">
      <c r="A135" s="82"/>
      <c r="B135" s="85"/>
      <c r="C135" s="14" t="s">
        <v>21</v>
      </c>
      <c r="D135" s="20" t="str">
        <f>'[3]5нед'!C139</f>
        <v>пр</v>
      </c>
      <c r="E135" s="23" t="str">
        <f>'[3]5нед'!D139</f>
        <v>Разработка приложений для мобильных устройств</v>
      </c>
      <c r="F135" s="21" t="str">
        <f>'[3]5нед'!G139</f>
        <v>Алешов Е.В.</v>
      </c>
      <c r="G135" s="22" t="str">
        <f>'[3]5нед'!H139</f>
        <v>преподаватель</v>
      </c>
      <c r="H135" s="57" t="str">
        <f>HYPERLINK(VLOOKUP(E135,$R$12:$S$180,2,FALSE))</f>
        <v>https://max.ru/join/HWJDG1wxuQDCiC0TUN5E66zyt7VXJqMWtv_aHX-fd1o</v>
      </c>
      <c r="I135" s="71"/>
      <c r="J135" s="88"/>
      <c r="K135" s="14" t="s">
        <v>21</v>
      </c>
      <c r="L135" s="20" t="str">
        <f>'[3]6нед'!C139</f>
        <v>пр</v>
      </c>
      <c r="M135" s="23" t="str">
        <f>'[3]6нед'!D139</f>
        <v>Разработка приложений для мобильных устройств</v>
      </c>
      <c r="N135" s="21" t="str">
        <f>'[3]6нед'!G139</f>
        <v>Алешов Е.В.</v>
      </c>
      <c r="O135" s="22" t="str">
        <f>'[3]6нед'!H139</f>
        <v>преподаватель</v>
      </c>
      <c r="P135" s="57" t="str">
        <f>HYPERLINK(VLOOKUP(M135,$R$12:$S$180,2,FALSE))</f>
        <v>https://max.ru/join/HWJDG1wxuQDCiC0TUN5E66zyt7VXJqMWtv_aHX-fd1o</v>
      </c>
    </row>
    <row r="136" spans="1:16" ht="31.5" x14ac:dyDescent="0.2">
      <c r="A136" s="82"/>
      <c r="B136" s="85"/>
      <c r="C136" s="14" t="s">
        <v>22</v>
      </c>
      <c r="D136" s="20">
        <f>'[3]5нед'!C140</f>
        <v>0</v>
      </c>
      <c r="E136" s="23">
        <f>'[3]5нед'!D140</f>
        <v>0</v>
      </c>
      <c r="F136" s="21">
        <f>'[3]5нед'!G140</f>
        <v>0</v>
      </c>
      <c r="G136" s="22" t="str">
        <f>'[3]5нед'!H140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'[3]6нед'!C140</f>
        <v>0</v>
      </c>
      <c r="M136" s="23">
        <f>'[3]6нед'!D140</f>
        <v>0</v>
      </c>
      <c r="N136" s="21">
        <f>'[3]6нед'!G140</f>
        <v>0</v>
      </c>
      <c r="O136" s="22" t="str">
        <f>'[3]6нед'!H140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'[3]5нед'!C141</f>
        <v>0</v>
      </c>
      <c r="E137" s="23">
        <f>'[3]5нед'!D141</f>
        <v>0</v>
      </c>
      <c r="F137" s="21">
        <f>'[3]5нед'!G141</f>
        <v>0</v>
      </c>
      <c r="G137" s="22" t="str">
        <f>'[3]5нед'!H141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'[3]6нед'!C141</f>
        <v>0</v>
      </c>
      <c r="M137" s="23">
        <f>'[3]6нед'!D141</f>
        <v>0</v>
      </c>
      <c r="N137" s="21">
        <f>'[3]6нед'!G141</f>
        <v>0</v>
      </c>
      <c r="O137" s="22" t="str">
        <f>'[3]6нед'!H141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'[3]5нед'!C142</f>
        <v>0</v>
      </c>
      <c r="E138" s="23">
        <f>'[3]5нед'!D142</f>
        <v>0</v>
      </c>
      <c r="F138" s="21">
        <f>'[3]5нед'!G142</f>
        <v>0</v>
      </c>
      <c r="G138" s="22" t="str">
        <f>'[3]5нед'!H142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'[3]6нед'!C142</f>
        <v>0</v>
      </c>
      <c r="M138" s="23">
        <f>'[3]6нед'!D142</f>
        <v>0</v>
      </c>
      <c r="N138" s="21">
        <f>'[3]6нед'!G142</f>
        <v>0</v>
      </c>
      <c r="O138" s="22" t="str">
        <f>'[3]6нед'!H142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'[3]5нед'!C143</f>
        <v>0</v>
      </c>
      <c r="E139" s="25">
        <f>'[3]5нед'!D143</f>
        <v>0</v>
      </c>
      <c r="F139" s="26">
        <f>'[3]5нед'!G143</f>
        <v>0</v>
      </c>
      <c r="G139" s="27" t="str">
        <f>'[3]5нед'!H143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'[3]6нед'!C143</f>
        <v>0</v>
      </c>
      <c r="M139" s="25">
        <f>'[3]6нед'!D143</f>
        <v>0</v>
      </c>
      <c r="N139" s="26">
        <f>'[3]6нед'!G143</f>
        <v>0</v>
      </c>
      <c r="O139" s="27" t="str">
        <f>'[3]6нед'!H143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'[3]5нед'!C144</f>
        <v>0</v>
      </c>
      <c r="E140" s="19">
        <f>'[3]5нед'!D144</f>
        <v>0</v>
      </c>
      <c r="F140" s="17">
        <f>'[3]5нед'!G144</f>
        <v>0</v>
      </c>
      <c r="G140" s="18" t="str">
        <f>'[3]5нед'!H144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'[3]6нед'!C144</f>
        <v>0</v>
      </c>
      <c r="M140" s="19">
        <f>'[3]6нед'!D144</f>
        <v>0</v>
      </c>
      <c r="N140" s="17">
        <f>'[3]6нед'!G144</f>
        <v>0</v>
      </c>
      <c r="O140" s="18" t="str">
        <f>'[3]6нед'!H144</f>
        <v/>
      </c>
      <c r="P140" s="56" t="str">
        <f>HYPERLINK(VLOOKUP(M140,$R$12:$S$180,2,FALSE))</f>
        <v/>
      </c>
    </row>
    <row r="141" spans="1:16" ht="56.25" x14ac:dyDescent="0.2">
      <c r="A141" s="82"/>
      <c r="B141" s="85"/>
      <c r="C141" s="14" t="s">
        <v>19</v>
      </c>
      <c r="D141" s="20" t="str">
        <f>'[3]5нед'!C145</f>
        <v>л</v>
      </c>
      <c r="E141" s="23" t="str">
        <f>'[3]5нед'!D145</f>
        <v>Взаимодействие с лицами с ОВЗ и с инвалидностью в социальной и профессиональной сферах</v>
      </c>
      <c r="F141" s="21" t="str">
        <f>'[3]5нед'!G145</f>
        <v>Образцова Е.Н.</v>
      </c>
      <c r="G141" s="22" t="str">
        <f>'[3]5нед'!H145</f>
        <v>доцент, канд. наук</v>
      </c>
      <c r="H141" s="57" t="str">
        <f>HYPERLINK(VLOOKUP(E141,$R$12:$S$180,2,FALSE))</f>
        <v>https://max.ru/join/HWJDG1wxuQDCiC0TUN5E66zyt7VXJqMWtv_aHX-fd1o</v>
      </c>
      <c r="I141" s="71"/>
      <c r="J141" s="88"/>
      <c r="K141" s="14" t="s">
        <v>19</v>
      </c>
      <c r="L141" s="20" t="str">
        <f>'[3]6нед'!C145</f>
        <v>л</v>
      </c>
      <c r="M141" s="23" t="str">
        <f>'[3]6нед'!D145</f>
        <v>Взаимодействие с лицами с ОВЗ и с инвалидностью в социальной и профессиональной сферах</v>
      </c>
      <c r="N141" s="21" t="str">
        <f>'[3]6нед'!G145</f>
        <v>Образцова Е.Н.</v>
      </c>
      <c r="O141" s="22" t="str">
        <f>'[3]6нед'!H145</f>
        <v>доцент, канд. наук</v>
      </c>
      <c r="P141" s="57" t="str">
        <f>HYPERLINK(VLOOKUP(M141,$R$12:$S$180,2,FALSE))</f>
        <v>https://max.ru/join/HWJDG1wxuQDCiC0TUN5E66zyt7VXJqMWtv_aHX-fd1o</v>
      </c>
    </row>
    <row r="142" spans="1:16" ht="37.5" x14ac:dyDescent="0.2">
      <c r="A142" s="82"/>
      <c r="B142" s="85"/>
      <c r="C142" s="14" t="s">
        <v>20</v>
      </c>
      <c r="D142" s="20" t="str">
        <f>'[3]5нед'!C146</f>
        <v>л</v>
      </c>
      <c r="E142" s="23" t="str">
        <f>'[3]5нед'!D146</f>
        <v>Проектирование человеко-машинного интерфейса</v>
      </c>
      <c r="F142" s="21" t="str">
        <f>'[3]5нед'!G146</f>
        <v>Алешов В.В.</v>
      </c>
      <c r="G142" s="22" t="str">
        <f>'[3]5нед'!H146</f>
        <v>ст. преподаватель</v>
      </c>
      <c r="H142" s="57" t="str">
        <f>HYPERLINK(VLOOKUP(E142,$R$12:$S$180,2,FALSE))</f>
        <v>https://max.ru/join/HWJDG1wxuQDCiC0TUN5E66zyt7VXJqMWtv_aHX-fd1o</v>
      </c>
      <c r="I142" s="71"/>
      <c r="J142" s="88"/>
      <c r="K142" s="14" t="s">
        <v>20</v>
      </c>
      <c r="L142" s="20" t="str">
        <f>'[3]6нед'!C146</f>
        <v>л</v>
      </c>
      <c r="M142" s="23" t="str">
        <f>'[3]6нед'!D146</f>
        <v>Проектирование человеко-машинного интерфейса</v>
      </c>
      <c r="N142" s="21" t="str">
        <f>'[3]6нед'!G146</f>
        <v>Алешов В.В.</v>
      </c>
      <c r="O142" s="22" t="str">
        <f>'[3]6нед'!H146</f>
        <v>ст. преподаватель</v>
      </c>
      <c r="P142" s="57" t="str">
        <f>HYPERLINK(VLOOKUP(M142,$R$12:$S$180,2,FALSE))</f>
        <v>https://max.ru/join/HWJDG1wxuQDCiC0TUN5E66zyt7VXJqMWtv_aHX-fd1o</v>
      </c>
    </row>
    <row r="143" spans="1:16" ht="37.5" x14ac:dyDescent="0.2">
      <c r="A143" s="82"/>
      <c r="B143" s="85"/>
      <c r="C143" s="14" t="s">
        <v>21</v>
      </c>
      <c r="D143" s="20" t="str">
        <f>'[3]5нед'!C147</f>
        <v>пр</v>
      </c>
      <c r="E143" s="23" t="str">
        <f>'[3]5нед'!D147</f>
        <v>Проектирование человеко-машинного интерфейса</v>
      </c>
      <c r="F143" s="21" t="str">
        <f>'[3]5нед'!G147</f>
        <v>Алешов В.В.</v>
      </c>
      <c r="G143" s="22" t="str">
        <f>'[3]5нед'!H147</f>
        <v>ст. преподаватель</v>
      </c>
      <c r="H143" s="57" t="str">
        <f>HYPERLINK(VLOOKUP(E143,$R$12:$S$180,2,FALSE))</f>
        <v>https://max.ru/join/HWJDG1wxuQDCiC0TUN5E66zyt7VXJqMWtv_aHX-fd1o</v>
      </c>
      <c r="I143" s="71"/>
      <c r="J143" s="88"/>
      <c r="K143" s="14" t="s">
        <v>21</v>
      </c>
      <c r="L143" s="20" t="str">
        <f>'[3]6нед'!C147</f>
        <v>пр</v>
      </c>
      <c r="M143" s="23" t="str">
        <f>'[3]6нед'!D147</f>
        <v>Проектирование человеко-машинного интерфейса</v>
      </c>
      <c r="N143" s="21" t="str">
        <f>'[3]6нед'!G147</f>
        <v>Алешов В.В.</v>
      </c>
      <c r="O143" s="22" t="str">
        <f>'[3]6нед'!H147</f>
        <v>ст. преподаватель</v>
      </c>
      <c r="P143" s="57" t="str">
        <f>HYPERLINK(VLOOKUP(M143,$R$12:$S$180,2,FALSE))</f>
        <v>https://max.ru/join/HWJDG1wxuQDCiC0TUN5E66zyt7VXJqMWtv_aHX-fd1o</v>
      </c>
    </row>
    <row r="144" spans="1:16" ht="37.5" x14ac:dyDescent="0.2">
      <c r="A144" s="82"/>
      <c r="B144" s="85"/>
      <c r="C144" s="14" t="s">
        <v>22</v>
      </c>
      <c r="D144" s="20" t="str">
        <f>'[3]5нед'!C148</f>
        <v>л</v>
      </c>
      <c r="E144" s="23" t="str">
        <f>'[3]5нед'!D148</f>
        <v>Разработка приложений для мобильных устройств</v>
      </c>
      <c r="F144" s="21" t="str">
        <f>'[3]5нед'!G148</f>
        <v>Алешов Е.В.</v>
      </c>
      <c r="G144" s="22" t="str">
        <f>'[3]5нед'!H148</f>
        <v>преподаватель</v>
      </c>
      <c r="H144" s="57" t="str">
        <f>HYPERLINK(VLOOKUP(E144,$R$12:$S$180,2,FALSE))</f>
        <v>https://max.ru/join/HWJDG1wxuQDCiC0TUN5E66zyt7VXJqMWtv_aHX-fd1o</v>
      </c>
      <c r="I144" s="71"/>
      <c r="J144" s="88"/>
      <c r="K144" s="14" t="s">
        <v>22</v>
      </c>
      <c r="L144" s="20">
        <f>'[3]6нед'!C148</f>
        <v>0</v>
      </c>
      <c r="M144" s="23">
        <f>'[3]6нед'!D148</f>
        <v>0</v>
      </c>
      <c r="N144" s="21">
        <f>'[3]6нед'!G148</f>
        <v>0</v>
      </c>
      <c r="O144" s="22" t="str">
        <f>'[3]6нед'!H148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'[3]5нед'!C149</f>
        <v>0</v>
      </c>
      <c r="E145" s="23">
        <f>'[3]5нед'!D149</f>
        <v>0</v>
      </c>
      <c r="F145" s="21">
        <f>'[3]5нед'!G149</f>
        <v>0</v>
      </c>
      <c r="G145" s="22" t="str">
        <f>'[3]5нед'!H149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'[3]6нед'!C149</f>
        <v>0</v>
      </c>
      <c r="M145" s="23">
        <f>'[3]6нед'!D149</f>
        <v>0</v>
      </c>
      <c r="N145" s="21">
        <f>'[3]6нед'!G149</f>
        <v>0</v>
      </c>
      <c r="O145" s="22" t="str">
        <f>'[3]6нед'!H149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'[3]5нед'!C150</f>
        <v>0</v>
      </c>
      <c r="E146" s="23">
        <f>'[3]5нед'!D150</f>
        <v>0</v>
      </c>
      <c r="F146" s="21">
        <f>'[3]5нед'!G150</f>
        <v>0</v>
      </c>
      <c r="G146" s="22" t="str">
        <f>'[3]5нед'!H150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'[3]6нед'!C150</f>
        <v>0</v>
      </c>
      <c r="M146" s="23">
        <f>'[3]6нед'!D150</f>
        <v>0</v>
      </c>
      <c r="N146" s="21">
        <f>'[3]6нед'!G150</f>
        <v>0</v>
      </c>
      <c r="O146" s="22" t="str">
        <f>'[3]6нед'!H150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'[3]5нед'!C151</f>
        <v>0</v>
      </c>
      <c r="E147" s="25">
        <f>'[3]5нед'!D151</f>
        <v>0</v>
      </c>
      <c r="F147" s="26">
        <f>'[3]5нед'!G151</f>
        <v>0</v>
      </c>
      <c r="G147" s="27" t="str">
        <f>'[3]5нед'!H151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'[3]6нед'!C151</f>
        <v>0</v>
      </c>
      <c r="M147" s="25">
        <f>'[3]6нед'!D151</f>
        <v>0</v>
      </c>
      <c r="N147" s="26">
        <f>'[3]6нед'!G151</f>
        <v>0</v>
      </c>
      <c r="O147" s="27" t="str">
        <f>'[3]6нед'!H151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'[3]5нед'!C152</f>
        <v>0</v>
      </c>
      <c r="E148" s="19">
        <f>'[3]5нед'!D152</f>
        <v>0</v>
      </c>
      <c r="F148" s="17">
        <f>'[3]5нед'!G152</f>
        <v>0</v>
      </c>
      <c r="G148" s="18" t="str">
        <f>'[3]5нед'!H152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 t="str">
        <f>'[3]6нед'!C152</f>
        <v>л</v>
      </c>
      <c r="M148" s="19" t="str">
        <f>'[3]6нед'!D152</f>
        <v>Разработка приложений для мобильных устройств</v>
      </c>
      <c r="N148" s="17" t="str">
        <f>'[3]6нед'!G152</f>
        <v>Алешов Е.В.</v>
      </c>
      <c r="O148" s="18" t="str">
        <f>'[3]6нед'!H152</f>
        <v>преподаватель</v>
      </c>
      <c r="P148" s="56" t="str">
        <f>HYPERLINK(VLOOKUP(M148,$R$12:$S$180,2,FALSE))</f>
        <v>https://max.ru/join/HWJDG1wxuQDCiC0TUN5E66zyt7VXJqMWtv_aHX-fd1o</v>
      </c>
    </row>
    <row r="149" spans="1:16" ht="37.5" x14ac:dyDescent="0.2">
      <c r="A149" s="82"/>
      <c r="B149" s="68"/>
      <c r="C149" s="14" t="s">
        <v>19</v>
      </c>
      <c r="D149" s="20">
        <f>'[3]5нед'!C153</f>
        <v>0</v>
      </c>
      <c r="E149" s="23">
        <f>'[3]5нед'!D153</f>
        <v>0</v>
      </c>
      <c r="F149" s="21">
        <f>'[3]5нед'!G153</f>
        <v>0</v>
      </c>
      <c r="G149" s="22" t="str">
        <f>'[3]5нед'!H153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 t="str">
        <f>'[3]6нед'!C153</f>
        <v>л</v>
      </c>
      <c r="M149" s="23" t="str">
        <f>'[3]6нед'!D153</f>
        <v>Разработка приложений для мобильных устройств</v>
      </c>
      <c r="N149" s="21" t="str">
        <f>'[3]6нед'!G153</f>
        <v>Алешов Е.В.</v>
      </c>
      <c r="O149" s="22" t="str">
        <f>'[3]6нед'!H153</f>
        <v>преподаватель</v>
      </c>
      <c r="P149" s="57" t="str">
        <f>HYPERLINK(VLOOKUP(M149,$R$12:$S$180,2,FALSE))</f>
        <v>https://max.ru/join/HWJDG1wxuQDCiC0TUN5E66zyt7VXJqMWtv_aHX-fd1o</v>
      </c>
    </row>
    <row r="150" spans="1:16" ht="37.5" x14ac:dyDescent="0.2">
      <c r="A150" s="82"/>
      <c r="B150" s="68"/>
      <c r="C150" s="14" t="s">
        <v>20</v>
      </c>
      <c r="D150" s="20">
        <f>'[3]5нед'!C154</f>
        <v>0</v>
      </c>
      <c r="E150" s="23">
        <f>'[3]5нед'!D154</f>
        <v>0</v>
      </c>
      <c r="F150" s="21">
        <f>'[3]5нед'!G154</f>
        <v>0</v>
      </c>
      <c r="G150" s="22" t="str">
        <f>'[3]5нед'!H154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 t="str">
        <f>'[3]6нед'!C154</f>
        <v>л</v>
      </c>
      <c r="M150" s="23" t="str">
        <f>'[3]6нед'!D154</f>
        <v>Продвинутые технологии искусственного интеллекта</v>
      </c>
      <c r="N150" s="21" t="str">
        <f>'[3]6нед'!G154</f>
        <v>Алешов В.В.</v>
      </c>
      <c r="O150" s="22" t="str">
        <f>'[3]6нед'!H154</f>
        <v>ст. преподаватель</v>
      </c>
      <c r="P150" s="57" t="str">
        <f>HYPERLINK(VLOOKUP(M150,$R$12:$S$180,2,FALSE))</f>
        <v>https://max.ru/join/HWJDG1wxuQDCiC0TUN5E66zyt7VXJqMWtv_aHX-fd1o</v>
      </c>
    </row>
    <row r="151" spans="1:16" ht="37.5" x14ac:dyDescent="0.2">
      <c r="A151" s="82"/>
      <c r="B151" s="68"/>
      <c r="C151" s="14" t="s">
        <v>21</v>
      </c>
      <c r="D151" s="20">
        <f>'[3]5нед'!C155</f>
        <v>0</v>
      </c>
      <c r="E151" s="23">
        <f>'[3]5нед'!D155</f>
        <v>0</v>
      </c>
      <c r="F151" s="21">
        <f>'[3]5нед'!G155</f>
        <v>0</v>
      </c>
      <c r="G151" s="22" t="str">
        <f>'[3]5нед'!H155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'[3]6нед'!C155</f>
        <v>пр</v>
      </c>
      <c r="M151" s="23" t="str">
        <f>'[3]6нед'!D155</f>
        <v>Продвинутые технологии искусственного интеллекта</v>
      </c>
      <c r="N151" s="21" t="str">
        <f>'[3]6нед'!G155</f>
        <v>Алешов В.В.</v>
      </c>
      <c r="O151" s="22" t="str">
        <f>'[3]6нед'!H155</f>
        <v>ст. преподаватель</v>
      </c>
      <c r="P151" s="57" t="str">
        <f>HYPERLINK(VLOOKUP(M151,$R$12:$S$180,2,FALSE))</f>
        <v>https://max.ru/join/HWJDG1wxuQDCiC0TUN5E66zyt7VXJqMWtv_aHX-fd1o</v>
      </c>
    </row>
    <row r="152" spans="1:16" ht="31.5" x14ac:dyDescent="0.2">
      <c r="A152" s="82"/>
      <c r="B152" s="68"/>
      <c r="C152" s="14" t="s">
        <v>22</v>
      </c>
      <c r="D152" s="20">
        <f>'[3]5нед'!C156</f>
        <v>0</v>
      </c>
      <c r="E152" s="23">
        <f>'[3]5нед'!D156</f>
        <v>0</v>
      </c>
      <c r="F152" s="21">
        <f>'[3]5нед'!G156</f>
        <v>0</v>
      </c>
      <c r="G152" s="22" t="str">
        <f>'[3]5нед'!H156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'[3]6нед'!C156</f>
        <v>0</v>
      </c>
      <c r="M152" s="23">
        <f>'[3]6нед'!D156</f>
        <v>0</v>
      </c>
      <c r="N152" s="21">
        <f>'[3]6нед'!G156</f>
        <v>0</v>
      </c>
      <c r="O152" s="22" t="str">
        <f>'[3]6нед'!H156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'[3]5нед'!C157</f>
        <v>0</v>
      </c>
      <c r="E153" s="23">
        <f>'[3]5нед'!D157</f>
        <v>0</v>
      </c>
      <c r="F153" s="21">
        <f>'[3]5нед'!G157</f>
        <v>0</v>
      </c>
      <c r="G153" s="22" t="str">
        <f>'[3]5нед'!H157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'[3]6нед'!C157</f>
        <v>0</v>
      </c>
      <c r="M153" s="23">
        <f>'[3]6нед'!D157</f>
        <v>0</v>
      </c>
      <c r="N153" s="21">
        <f>'[3]6нед'!G157</f>
        <v>0</v>
      </c>
      <c r="O153" s="22" t="str">
        <f>'[3]6нед'!H157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'[3]5нед'!C158</f>
        <v>0</v>
      </c>
      <c r="E154" s="23">
        <f>'[3]5нед'!D158</f>
        <v>0</v>
      </c>
      <c r="F154" s="21">
        <f>'[3]5нед'!G158</f>
        <v>0</v>
      </c>
      <c r="G154" s="22" t="str">
        <f>'[3]5нед'!H158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'[3]6нед'!C158</f>
        <v>0</v>
      </c>
      <c r="M154" s="23">
        <f>'[3]6нед'!D158</f>
        <v>0</v>
      </c>
      <c r="N154" s="21">
        <f>'[3]6нед'!G158</f>
        <v>0</v>
      </c>
      <c r="O154" s="22" t="str">
        <f>'[3]6нед'!H158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'[3]5нед'!C159</f>
        <v>0</v>
      </c>
      <c r="E155" s="25">
        <f>'[3]5нед'!D159</f>
        <v>0</v>
      </c>
      <c r="F155" s="26">
        <f>'[3]5нед'!G159</f>
        <v>0</v>
      </c>
      <c r="G155" s="27" t="str">
        <f>'[3]5нед'!H159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'[3]6нед'!C159</f>
        <v>0</v>
      </c>
      <c r="M155" s="25">
        <f>'[3]6нед'!D159</f>
        <v>0</v>
      </c>
      <c r="N155" s="26">
        <f>'[3]6нед'!G159</f>
        <v>0</v>
      </c>
      <c r="O155" s="27" t="str">
        <f>'[3]6нед'!H159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 t="str">
        <f>'[3]5нед'!C160</f>
        <v>л</v>
      </c>
      <c r="E156" s="19" t="str">
        <f>'[3]5нед'!D160</f>
        <v>Операционные системы семейства Unix / Linux</v>
      </c>
      <c r="F156" s="17" t="str">
        <f>'[3]5нед'!G160</f>
        <v>Криницкий Ю.В.</v>
      </c>
      <c r="G156" s="18" t="str">
        <f>'[3]5нед'!H160</f>
        <v>преподаватель</v>
      </c>
      <c r="H156" s="56" t="str">
        <f>HYPERLINK(VLOOKUP(E156,$R$12:$S$180,2,FALSE))</f>
        <v>https://max.ru/join/HWJDG1wxuQDCiC0TUN5E66zyt7VXJqMWtv_aHX-fd1o</v>
      </c>
      <c r="I156" s="70">
        <v>46303</v>
      </c>
      <c r="J156" s="87" t="s">
        <v>27</v>
      </c>
      <c r="K156" s="29" t="s">
        <v>18</v>
      </c>
      <c r="L156" s="16">
        <f>'[3]6нед'!C160</f>
        <v>0</v>
      </c>
      <c r="M156" s="19">
        <f>'[3]6нед'!D160</f>
        <v>0</v>
      </c>
      <c r="N156" s="17">
        <f>'[3]6нед'!G160</f>
        <v>0</v>
      </c>
      <c r="O156" s="18" t="str">
        <f>'[3]6нед'!H160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'[3]5нед'!C161</f>
        <v>л</v>
      </c>
      <c r="E157" s="23" t="str">
        <f>'[3]5нед'!D161</f>
        <v>Операционные системы семейства Unix / Linux</v>
      </c>
      <c r="F157" s="21" t="str">
        <f>'[3]5нед'!G161</f>
        <v>Криницкий Ю.В.</v>
      </c>
      <c r="G157" s="22" t="str">
        <f>'[3]5нед'!H161</f>
        <v>преподаватель</v>
      </c>
      <c r="H157" s="57" t="str">
        <f>HYPERLINK(VLOOKUP(E157,$R$12:$S$180,2,FALSE))</f>
        <v>https://max.ru/join/HWJDG1wxuQDCiC0TUN5E66zyt7VXJqMWtv_aHX-fd1o</v>
      </c>
      <c r="I157" s="71"/>
      <c r="J157" s="88"/>
      <c r="K157" s="14" t="s">
        <v>19</v>
      </c>
      <c r="L157" s="20" t="str">
        <f>'[3]6нед'!C161</f>
        <v>л</v>
      </c>
      <c r="M157" s="23" t="str">
        <f>'[3]6нед'!D161</f>
        <v>Операционные системы семейства Unix / Linux</v>
      </c>
      <c r="N157" s="21" t="str">
        <f>'[3]6нед'!G161</f>
        <v>Криницкий Ю.В.</v>
      </c>
      <c r="O157" s="22" t="str">
        <f>'[3]6нед'!H161</f>
        <v>преподаватель</v>
      </c>
      <c r="P157" s="57" t="str">
        <f>HYPERLINK(VLOOKUP(M157,$R$12:$S$180,2,FALSE))</f>
        <v>https://max.ru/join/HWJDG1wxuQDCiC0TUN5E66zyt7VXJqMWtv_aHX-fd1o</v>
      </c>
    </row>
    <row r="158" spans="1:16" ht="37.5" x14ac:dyDescent="0.2">
      <c r="A158" s="82"/>
      <c r="B158" s="85"/>
      <c r="C158" s="14" t="s">
        <v>20</v>
      </c>
      <c r="D158" s="20" t="str">
        <f>'[3]5нед'!C162</f>
        <v>пр</v>
      </c>
      <c r="E158" s="23" t="str">
        <f>'[3]5нед'!D162</f>
        <v>Продвинутые технологии искусственного интеллекта</v>
      </c>
      <c r="F158" s="21" t="str">
        <f>'[3]5нед'!G162</f>
        <v>Алешов В.В.</v>
      </c>
      <c r="G158" s="22" t="str">
        <f>'[3]5нед'!H162</f>
        <v>ст. преподаватель</v>
      </c>
      <c r="H158" s="57" t="str">
        <f>HYPERLINK(VLOOKUP(E158,$R$12:$S$180,2,FALSE))</f>
        <v>https://max.ru/join/HWJDG1wxuQDCiC0TUN5E66zyt7VXJqMWtv_aHX-fd1o</v>
      </c>
      <c r="I158" s="71"/>
      <c r="J158" s="88"/>
      <c r="K158" s="14" t="s">
        <v>20</v>
      </c>
      <c r="L158" s="20" t="str">
        <f>'[3]6нед'!C162</f>
        <v>л</v>
      </c>
      <c r="M158" s="23" t="str">
        <f>'[3]6нед'!D162</f>
        <v>Проектирование человеко-машинного интерфейса</v>
      </c>
      <c r="N158" s="21" t="str">
        <f>'[3]6нед'!G162</f>
        <v>Алешов В.В.</v>
      </c>
      <c r="O158" s="22" t="str">
        <f>'[3]6нед'!H162</f>
        <v>ст. преподаватель</v>
      </c>
      <c r="P158" s="57" t="str">
        <f>HYPERLINK(VLOOKUP(M158,$R$12:$S$180,2,FALSE))</f>
        <v>https://max.ru/join/HWJDG1wxuQDCiC0TUN5E66zyt7VXJqMWtv_aHX-fd1o</v>
      </c>
    </row>
    <row r="159" spans="1:16" ht="37.5" x14ac:dyDescent="0.2">
      <c r="A159" s="82"/>
      <c r="B159" s="85"/>
      <c r="C159" s="14" t="s">
        <v>21</v>
      </c>
      <c r="D159" s="20" t="str">
        <f>'[3]5нед'!C163</f>
        <v>пр</v>
      </c>
      <c r="E159" s="23" t="str">
        <f>'[3]5нед'!D163</f>
        <v>Продвинутые технологии искусственного интеллекта</v>
      </c>
      <c r="F159" s="21" t="str">
        <f>'[3]5нед'!G163</f>
        <v>Алешов В.В.</v>
      </c>
      <c r="G159" s="22" t="str">
        <f>'[3]5нед'!H163</f>
        <v>ст. преподаватель</v>
      </c>
      <c r="H159" s="57" t="str">
        <f>HYPERLINK(VLOOKUP(E159,$R$12:$S$180,2,FALSE))</f>
        <v>https://max.ru/join/HWJDG1wxuQDCiC0TUN5E66zyt7VXJqMWtv_aHX-fd1o</v>
      </c>
      <c r="I159" s="71"/>
      <c r="J159" s="88"/>
      <c r="K159" s="14" t="s">
        <v>21</v>
      </c>
      <c r="L159" s="20" t="str">
        <f>'[3]6нед'!C163</f>
        <v>л</v>
      </c>
      <c r="M159" s="23" t="str">
        <f>'[3]6нед'!D163</f>
        <v>Продвинутые технологии искусственного интеллекта</v>
      </c>
      <c r="N159" s="21" t="str">
        <f>'[3]6нед'!G163</f>
        <v>Алешов В.В.</v>
      </c>
      <c r="O159" s="22" t="str">
        <f>'[3]6нед'!H163</f>
        <v>ст. преподаватель</v>
      </c>
      <c r="P159" s="57" t="str">
        <f>HYPERLINK(VLOOKUP(M159,$R$12:$S$180,2,FALSE))</f>
        <v>https://max.ru/join/HWJDG1wxuQDCiC0TUN5E66zyt7VXJqMWtv_aHX-fd1o</v>
      </c>
    </row>
    <row r="160" spans="1:16" ht="31.5" x14ac:dyDescent="0.2">
      <c r="A160" s="82"/>
      <c r="B160" s="85"/>
      <c r="C160" s="14" t="s">
        <v>22</v>
      </c>
      <c r="D160" s="20">
        <f>'[3]5нед'!C164</f>
        <v>0</v>
      </c>
      <c r="E160" s="23">
        <f>'[3]5нед'!D164</f>
        <v>0</v>
      </c>
      <c r="F160" s="21">
        <f>'[3]5нед'!G164</f>
        <v>0</v>
      </c>
      <c r="G160" s="22" t="str">
        <f>'[3]5нед'!H164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'[3]6нед'!C164</f>
        <v>0</v>
      </c>
      <c r="M160" s="23">
        <f>'[3]6нед'!D164</f>
        <v>0</v>
      </c>
      <c r="N160" s="21">
        <f>'[3]6нед'!G164</f>
        <v>0</v>
      </c>
      <c r="O160" s="22" t="str">
        <f>'[3]6нед'!H164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'[3]5нед'!C165</f>
        <v>0</v>
      </c>
      <c r="E161" s="23">
        <f>'[3]5нед'!D165</f>
        <v>0</v>
      </c>
      <c r="F161" s="21">
        <f>'[3]5нед'!G165</f>
        <v>0</v>
      </c>
      <c r="G161" s="22" t="str">
        <f>'[3]5нед'!H165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'[3]6нед'!C165</f>
        <v>0</v>
      </c>
      <c r="M161" s="23">
        <f>'[3]6нед'!D165</f>
        <v>0</v>
      </c>
      <c r="N161" s="21">
        <f>'[3]6нед'!G165</f>
        <v>0</v>
      </c>
      <c r="O161" s="22" t="str">
        <f>'[3]6нед'!H165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'[3]5нед'!C166</f>
        <v>0</v>
      </c>
      <c r="E162" s="23">
        <f>'[3]5нед'!D166</f>
        <v>0</v>
      </c>
      <c r="F162" s="21">
        <f>'[3]5нед'!G166</f>
        <v>0</v>
      </c>
      <c r="G162" s="22" t="str">
        <f>'[3]5нед'!H166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'[3]6нед'!C166</f>
        <v>0</v>
      </c>
      <c r="M162" s="23">
        <f>'[3]6нед'!D166</f>
        <v>0</v>
      </c>
      <c r="N162" s="21">
        <f>'[3]6нед'!G166</f>
        <v>0</v>
      </c>
      <c r="O162" s="22" t="str">
        <f>'[3]6нед'!H166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'[3]5нед'!C167</f>
        <v>0</v>
      </c>
      <c r="E163" s="25">
        <f>'[3]5нед'!D167</f>
        <v>0</v>
      </c>
      <c r="F163" s="26">
        <f>'[3]5нед'!G167</f>
        <v>0</v>
      </c>
      <c r="G163" s="27" t="str">
        <f>'[3]5нед'!H167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'[3]6нед'!C167</f>
        <v>0</v>
      </c>
      <c r="M163" s="25">
        <f>'[3]6нед'!D167</f>
        <v>0</v>
      </c>
      <c r="N163" s="26">
        <f>'[3]6нед'!G167</f>
        <v>0</v>
      </c>
      <c r="O163" s="27" t="str">
        <f>'[3]6нед'!H167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 t="str">
        <f>'[3]5нед'!C168</f>
        <v>пр</v>
      </c>
      <c r="E164" s="19" t="str">
        <f>'[3]5нед'!D168</f>
        <v>Проектирование человеко-машинного интерфейса</v>
      </c>
      <c r="F164" s="17" t="str">
        <f>'[3]5нед'!G168</f>
        <v>Алешов В.В.</v>
      </c>
      <c r="G164" s="18" t="str">
        <f>'[3]5нед'!H168</f>
        <v>ст. преподаватель</v>
      </c>
      <c r="H164" s="56" t="str">
        <f>HYPERLINK(VLOOKUP(E164,$R$12:$S$180,2,FALSE))</f>
        <v>https://max.ru/join/HWJDG1wxuQDCiC0TUN5E66zyt7VXJqMWtv_aHX-fd1o</v>
      </c>
      <c r="I164" s="70">
        <v>46304</v>
      </c>
      <c r="J164" s="87" t="s">
        <v>28</v>
      </c>
      <c r="K164" s="29" t="s">
        <v>18</v>
      </c>
      <c r="L164" s="16" t="str">
        <f>'[3]6нед'!C168</f>
        <v>пр</v>
      </c>
      <c r="M164" s="19" t="str">
        <f>'[3]6нед'!D168</f>
        <v>Проектирование человеко-машинного интерфейса</v>
      </c>
      <c r="N164" s="17" t="str">
        <f>'[3]6нед'!G168</f>
        <v>Алешов В.В.</v>
      </c>
      <c r="O164" s="18" t="str">
        <f>'[3]6нед'!H168</f>
        <v>ст. преподаватель</v>
      </c>
      <c r="P164" s="56" t="str">
        <f>HYPERLINK(VLOOKUP(M164,$R$12:$S$180,2,FALSE))</f>
        <v>https://max.ru/join/HWJDG1wxuQDCiC0TUN5E66zyt7VXJqMWtv_aHX-fd1o</v>
      </c>
    </row>
    <row r="165" spans="1:16" ht="37.5" x14ac:dyDescent="0.2">
      <c r="A165" s="82"/>
      <c r="B165" s="85"/>
      <c r="C165" s="14" t="s">
        <v>19</v>
      </c>
      <c r="D165" s="20" t="str">
        <f>'[3]5нед'!C169</f>
        <v>л</v>
      </c>
      <c r="E165" s="23" t="str">
        <f>'[3]5нед'!D169</f>
        <v>Технологии искусственного интеллекта</v>
      </c>
      <c r="F165" s="21" t="str">
        <f>'[3]5нед'!G169</f>
        <v>Гришин И.Ю.</v>
      </c>
      <c r="G165" s="22" t="str">
        <f>'[3]5нед'!H169</f>
        <v>профессор, д-р наук</v>
      </c>
      <c r="H165" s="57" t="str">
        <f>HYPERLINK(VLOOKUP(E165,$R$12:$S$180,2,FALSE))</f>
        <v>https://max.ru/join/HWJDG1wxuQDCiC0TUN5E66zyt7VXJqMWtv_aHX-fd1o</v>
      </c>
      <c r="I165" s="71"/>
      <c r="J165" s="88"/>
      <c r="K165" s="14" t="s">
        <v>19</v>
      </c>
      <c r="L165" s="20" t="str">
        <f>'[3]6нед'!C169</f>
        <v>пр</v>
      </c>
      <c r="M165" s="23" t="str">
        <f>'[3]6нед'!D169</f>
        <v>Технологии искусственного интеллекта</v>
      </c>
      <c r="N165" s="21" t="str">
        <f>'[3]6нед'!G169</f>
        <v>Гришин И.Ю.</v>
      </c>
      <c r="O165" s="22" t="str">
        <f>'[3]6нед'!H169</f>
        <v>профессор, д-р наук</v>
      </c>
      <c r="P165" s="57" t="str">
        <f>HYPERLINK(VLOOKUP(M165,$R$12:$S$180,2,FALSE))</f>
        <v>https://max.ru/join/HWJDG1wxuQDCiC0TUN5E66zyt7VXJqMWtv_aHX-fd1o</v>
      </c>
    </row>
    <row r="166" spans="1:16" ht="56.25" x14ac:dyDescent="0.2">
      <c r="A166" s="82"/>
      <c r="B166" s="85"/>
      <c r="C166" s="14" t="s">
        <v>20</v>
      </c>
      <c r="D166" s="20" t="str">
        <f>'[3]5нед'!C170</f>
        <v>пр</v>
      </c>
      <c r="E166" s="23" t="str">
        <f>'[3]5нед'!D170</f>
        <v>Взаимодействие с лицами с ОВЗ и с инвалидностью в социальной и профессиональной сферах</v>
      </c>
      <c r="F166" s="21" t="str">
        <f>'[3]5нед'!G170</f>
        <v>Образцова Е.Н.</v>
      </c>
      <c r="G166" s="22" t="str">
        <f>'[3]5нед'!H170</f>
        <v>доцент, канд. наук</v>
      </c>
      <c r="H166" s="57" t="str">
        <f>HYPERLINK(VLOOKUP(E166,$R$12:$S$180,2,FALSE))</f>
        <v>https://max.ru/join/HWJDG1wxuQDCiC0TUN5E66zyt7VXJqMWtv_aHX-fd1o</v>
      </c>
      <c r="I166" s="71"/>
      <c r="J166" s="88"/>
      <c r="K166" s="14" t="s">
        <v>20</v>
      </c>
      <c r="L166" s="20" t="str">
        <f>'[3]6нед'!C170</f>
        <v>пр</v>
      </c>
      <c r="M166" s="23" t="str">
        <f>'[3]6нед'!D170</f>
        <v>Взаимодействие с лицами с ОВЗ и с инвалидностью в социальной и профессиональной сферах</v>
      </c>
      <c r="N166" s="21" t="str">
        <f>'[3]6нед'!G170</f>
        <v>Образцова Е.Н.</v>
      </c>
      <c r="O166" s="22" t="str">
        <f>'[3]6нед'!H170</f>
        <v>доцент, канд. наук</v>
      </c>
      <c r="P166" s="57" t="str">
        <f>HYPERLINK(VLOOKUP(M166,$R$12:$S$180,2,FALSE))</f>
        <v>https://max.ru/join/HWJDG1wxuQDCiC0TUN5E66zyt7VXJqMWtv_aHX-fd1o</v>
      </c>
    </row>
    <row r="167" spans="1:16" ht="31.5" x14ac:dyDescent="0.2">
      <c r="A167" s="82"/>
      <c r="B167" s="85"/>
      <c r="C167" s="14" t="s">
        <v>21</v>
      </c>
      <c r="D167" s="20">
        <f>'[3]5нед'!C171</f>
        <v>0</v>
      </c>
      <c r="E167" s="23">
        <f>'[3]5нед'!D171</f>
        <v>0</v>
      </c>
      <c r="F167" s="21">
        <f>'[3]5нед'!G171</f>
        <v>0</v>
      </c>
      <c r="G167" s="22" t="str">
        <f>'[3]5нед'!H171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'[3]6нед'!C171</f>
        <v>0</v>
      </c>
      <c r="M167" s="23">
        <f>'[3]6нед'!D171</f>
        <v>0</v>
      </c>
      <c r="N167" s="21">
        <f>'[3]6нед'!G171</f>
        <v>0</v>
      </c>
      <c r="O167" s="22" t="str">
        <f>'[3]6нед'!H171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'[3]5нед'!C172</f>
        <v>0</v>
      </c>
      <c r="E168" s="23">
        <f>'[3]5нед'!D172</f>
        <v>0</v>
      </c>
      <c r="F168" s="21">
        <f>'[3]5нед'!G172</f>
        <v>0</v>
      </c>
      <c r="G168" s="22" t="str">
        <f>'[3]5нед'!H172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'[3]6нед'!C172</f>
        <v>0</v>
      </c>
      <c r="M168" s="23">
        <f>'[3]6нед'!D172</f>
        <v>0</v>
      </c>
      <c r="N168" s="21">
        <f>'[3]6нед'!G172</f>
        <v>0</v>
      </c>
      <c r="O168" s="22" t="str">
        <f>'[3]6нед'!H172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'[3]5нед'!C173</f>
        <v>0</v>
      </c>
      <c r="E169" s="23">
        <f>'[3]5нед'!D173</f>
        <v>0</v>
      </c>
      <c r="F169" s="21">
        <f>'[3]5нед'!G173</f>
        <v>0</v>
      </c>
      <c r="G169" s="22" t="str">
        <f>'[3]5нед'!H173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'[3]6нед'!C173</f>
        <v>0</v>
      </c>
      <c r="M169" s="23">
        <f>'[3]6нед'!D173</f>
        <v>0</v>
      </c>
      <c r="N169" s="21">
        <f>'[3]6нед'!G173</f>
        <v>0</v>
      </c>
      <c r="O169" s="22" t="str">
        <f>'[3]6нед'!H173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'[3]5нед'!C174</f>
        <v>0</v>
      </c>
      <c r="E170" s="23">
        <f>'[3]5нед'!D174</f>
        <v>0</v>
      </c>
      <c r="F170" s="21">
        <f>'[3]5нед'!G174</f>
        <v>0</v>
      </c>
      <c r="G170" s="22" t="str">
        <f>'[3]5нед'!H174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'[3]6нед'!C174</f>
        <v>0</v>
      </c>
      <c r="M170" s="23">
        <f>'[3]6нед'!D174</f>
        <v>0</v>
      </c>
      <c r="N170" s="21">
        <f>'[3]6нед'!G174</f>
        <v>0</v>
      </c>
      <c r="O170" s="22" t="str">
        <f>'[3]6нед'!H174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'[3]5нед'!C175</f>
        <v>0</v>
      </c>
      <c r="E171" s="25">
        <f>'[3]5нед'!D175</f>
        <v>0</v>
      </c>
      <c r="F171" s="26">
        <f>'[3]5нед'!G175</f>
        <v>0</v>
      </c>
      <c r="G171" s="27" t="str">
        <f>'[3]5нед'!H175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'[3]6нед'!C175</f>
        <v>0</v>
      </c>
      <c r="M171" s="25">
        <f>'[3]6нед'!D175</f>
        <v>0</v>
      </c>
      <c r="N171" s="26">
        <f>'[3]6нед'!G175</f>
        <v>0</v>
      </c>
      <c r="O171" s="27" t="str">
        <f>'[3]6нед'!H175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'[3]5нед'!C176</f>
        <v>0</v>
      </c>
      <c r="E172" s="19">
        <f>'[3]5нед'!D176</f>
        <v>0</v>
      </c>
      <c r="F172" s="17">
        <f>'[3]5нед'!G176</f>
        <v>0</v>
      </c>
      <c r="G172" s="18" t="str">
        <f>'[3]5нед'!H176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'[3]6нед'!C176</f>
        <v>0</v>
      </c>
      <c r="M172" s="19">
        <f>'[3]6нед'!D176</f>
        <v>0</v>
      </c>
      <c r="N172" s="17">
        <f>'[3]6нед'!G176</f>
        <v>0</v>
      </c>
      <c r="O172" s="18" t="str">
        <f>'[3]6нед'!H176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'[3]5нед'!C177</f>
        <v>0</v>
      </c>
      <c r="E173" s="23">
        <f>'[3]5нед'!D177</f>
        <v>0</v>
      </c>
      <c r="F173" s="21">
        <f>'[3]5нед'!G177</f>
        <v>0</v>
      </c>
      <c r="G173" s="22" t="str">
        <f>'[3]5нед'!H177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'[3]6нед'!C177</f>
        <v>0</v>
      </c>
      <c r="M173" s="23">
        <f>'[3]6нед'!D177</f>
        <v>0</v>
      </c>
      <c r="N173" s="21">
        <f>'[3]6нед'!G177</f>
        <v>0</v>
      </c>
      <c r="O173" s="22" t="str">
        <f>'[3]6нед'!H177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'[3]5нед'!C178</f>
        <v>0</v>
      </c>
      <c r="E174" s="23">
        <f>'[3]5нед'!D178</f>
        <v>0</v>
      </c>
      <c r="F174" s="21">
        <f>'[3]5нед'!G178</f>
        <v>0</v>
      </c>
      <c r="G174" s="22" t="str">
        <f>'[3]5нед'!H178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'[3]6нед'!C178</f>
        <v>0</v>
      </c>
      <c r="M174" s="23">
        <f>'[3]6нед'!D178</f>
        <v>0</v>
      </c>
      <c r="N174" s="21">
        <f>'[3]6нед'!G178</f>
        <v>0</v>
      </c>
      <c r="O174" s="22" t="str">
        <f>'[3]6нед'!H178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'[3]5нед'!C179</f>
        <v>0</v>
      </c>
      <c r="E175" s="23">
        <f>'[3]5нед'!D179</f>
        <v>0</v>
      </c>
      <c r="F175" s="21">
        <f>'[3]5нед'!G179</f>
        <v>0</v>
      </c>
      <c r="G175" s="22" t="str">
        <f>'[3]5нед'!H179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'[3]6нед'!C179</f>
        <v>0</v>
      </c>
      <c r="M175" s="23">
        <f>'[3]6нед'!D179</f>
        <v>0</v>
      </c>
      <c r="N175" s="21">
        <f>'[3]6нед'!G179</f>
        <v>0</v>
      </c>
      <c r="O175" s="22" t="str">
        <f>'[3]6нед'!H179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'[3]5нед'!C180</f>
        <v>0</v>
      </c>
      <c r="E176" s="23">
        <f>'[3]5нед'!D180</f>
        <v>0</v>
      </c>
      <c r="F176" s="21">
        <f>'[3]5нед'!G180</f>
        <v>0</v>
      </c>
      <c r="G176" s="22" t="str">
        <f>'[3]5нед'!H180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'[3]6нед'!C180</f>
        <v>0</v>
      </c>
      <c r="M176" s="23">
        <f>'[3]6нед'!D180</f>
        <v>0</v>
      </c>
      <c r="N176" s="21">
        <f>'[3]6нед'!G180</f>
        <v>0</v>
      </c>
      <c r="O176" s="22" t="str">
        <f>'[3]6нед'!H180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'[3]5нед'!C181</f>
        <v>0</v>
      </c>
      <c r="E177" s="23">
        <f>'[3]5нед'!D181</f>
        <v>0</v>
      </c>
      <c r="F177" s="21">
        <f>'[3]5нед'!G181</f>
        <v>0</v>
      </c>
      <c r="G177" s="22" t="str">
        <f>'[3]5нед'!H181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'[3]6нед'!C181</f>
        <v>0</v>
      </c>
      <c r="M177" s="23">
        <f>'[3]6нед'!D181</f>
        <v>0</v>
      </c>
      <c r="N177" s="21">
        <f>'[3]6нед'!G181</f>
        <v>0</v>
      </c>
      <c r="O177" s="22" t="str">
        <f>'[3]6нед'!H181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'[3]5нед'!C182</f>
        <v>0</v>
      </c>
      <c r="E178" s="23">
        <f>'[3]5нед'!D182</f>
        <v>0</v>
      </c>
      <c r="F178" s="21">
        <f>'[3]5нед'!G182</f>
        <v>0</v>
      </c>
      <c r="G178" s="22" t="str">
        <f>'[3]5нед'!H182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'[3]6нед'!C182</f>
        <v>0</v>
      </c>
      <c r="M178" s="23">
        <f>'[3]6нед'!D182</f>
        <v>0</v>
      </c>
      <c r="N178" s="21">
        <f>'[3]6нед'!G182</f>
        <v>0</v>
      </c>
      <c r="O178" s="22" t="str">
        <f>'[3]6нед'!H182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'[3]5нед'!C183</f>
        <v>0</v>
      </c>
      <c r="E179" s="25">
        <f>'[3]5нед'!D183</f>
        <v>0</v>
      </c>
      <c r="F179" s="26">
        <f>'[3]5нед'!G183</f>
        <v>0</v>
      </c>
      <c r="G179" s="27" t="str">
        <f>'[3]5нед'!H183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CF5F357F-59CB-4B80-86C6-48940D24D0AB}"/>
    <hyperlink ref="S13:S18" r:id="rId2" display="https://max.ru/join/HWJDG1wxuQDCiC0TUN5E66zyt7VXJqMWtv_aHX-fd1o" xr:uid="{BB98B588-FF8B-4C3E-8FB3-84C82C2B3ED4}"/>
    <hyperlink ref="S19" r:id="rId3" xr:uid="{FB3F52F2-EB04-4FB1-9053-F2C549F99FC5}"/>
  </hyperlinks>
  <pageMargins left="0.70866141732283472" right="0.70866141732283472" top="0.74803149606299213" bottom="0.74803149606299213" header="0.31496062992125984" footer="0.31496062992125984"/>
  <pageSetup paperSize="9" scale="34" orientation="portrait" r:id="rId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80"/>
  <sheetViews>
    <sheetView view="pageBreakPreview" topLeftCell="G126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51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'[1]1нед'!$L$130</f>
        <v>09.04.04 Программная инженерия (Разработка программно-информационных систем)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09.04.04 Программная инженерия (Разработка программно-информационных систем)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6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'[1]1нед'!$L$134</f>
        <v>12-25РПм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'[1]1нед'!$L$134</f>
        <v>12-25РПм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'[1]1нед'!K136</f>
        <v>0</v>
      </c>
      <c r="E12" s="19">
        <f>'[1]1нед'!L136</f>
        <v>0</v>
      </c>
      <c r="F12" s="17">
        <f>'[1]1нед'!O136</f>
        <v>0</v>
      </c>
      <c r="G12" s="18" t="str">
        <f>'[1]1нед'!P136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'[1]2нед'!K136</f>
        <v>0</v>
      </c>
      <c r="M12" s="19">
        <f>'[1]2нед'!L136</f>
        <v>0</v>
      </c>
      <c r="N12" s="17">
        <f>'[1]2нед'!O136</f>
        <v>0</v>
      </c>
      <c r="O12" s="18" t="str">
        <f>'[1]2нед'!P136</f>
        <v/>
      </c>
      <c r="P12" s="56" t="str">
        <f>HYPERLINK(VLOOKUP(M12,$R$12:$S$180,2,FALSE))</f>
        <v/>
      </c>
      <c r="R12" t="str">
        <f>[2]Уч.План!B355</f>
        <v>Экономические аспекты программной инженерии</v>
      </c>
      <c r="S12" s="61" t="s">
        <v>51</v>
      </c>
    </row>
    <row r="13" spans="1:19" ht="56.25" x14ac:dyDescent="0.2">
      <c r="A13" s="82"/>
      <c r="B13" s="85"/>
      <c r="C13" s="14" t="s">
        <v>19</v>
      </c>
      <c r="D13" s="20">
        <f>'[1]1нед'!K137</f>
        <v>0</v>
      </c>
      <c r="E13" s="23">
        <f>'[1]1нед'!L137</f>
        <v>0</v>
      </c>
      <c r="F13" s="21">
        <f>'[1]1нед'!O137</f>
        <v>0</v>
      </c>
      <c r="G13" s="22" t="str">
        <f>'[1]1нед'!P137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 t="str">
        <f>'[1]2нед'!K137</f>
        <v>л</v>
      </c>
      <c r="M13" s="23" t="str">
        <f>'[1]2нед'!L137</f>
        <v>Управление конфигурацией и сопровождение программного обеспечения</v>
      </c>
      <c r="N13" s="21" t="str">
        <f>'[1]2нед'!O137</f>
        <v>Круглый Д.Г.</v>
      </c>
      <c r="O13" s="22" t="str">
        <f>'[1]2нед'!P137</f>
        <v>профессор, д-р наук</v>
      </c>
      <c r="P13" s="57" t="str">
        <f>HYPERLINK(VLOOKUP(M13,$R$12:$S$180,2,FALSE))</f>
        <v>https://max.ru/join/M7wDISGvmShFMnRwwNWABqv4bmIdPah2zAI1ryedWA4</v>
      </c>
      <c r="R13" t="str">
        <f>[2]Уч.План!B356</f>
        <v>Системы обработки больших данных</v>
      </c>
      <c r="S13" s="61" t="s">
        <v>51</v>
      </c>
    </row>
    <row r="14" spans="1:19" ht="37.5" x14ac:dyDescent="0.2">
      <c r="A14" s="82"/>
      <c r="B14" s="85"/>
      <c r="C14" s="14" t="s">
        <v>20</v>
      </c>
      <c r="D14" s="20">
        <f>'[1]1нед'!K138</f>
        <v>0</v>
      </c>
      <c r="E14" s="23">
        <f>'[1]1нед'!L138</f>
        <v>0</v>
      </c>
      <c r="F14" s="21">
        <f>'[1]1нед'!O138</f>
        <v>0</v>
      </c>
      <c r="G14" s="22" t="str">
        <f>'[1]1нед'!P138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 t="str">
        <f>'[1]2нед'!K138</f>
        <v>л</v>
      </c>
      <c r="M14" s="23" t="str">
        <f>'[1]2нед'!L138</f>
        <v>Программирование графических процессоров</v>
      </c>
      <c r="N14" s="21" t="str">
        <f>'[1]2нед'!O138</f>
        <v>Круглый Д.Г.</v>
      </c>
      <c r="O14" s="22" t="str">
        <f>'[1]2нед'!P138</f>
        <v>профессор, д-р наук</v>
      </c>
      <c r="P14" s="57" t="str">
        <f>HYPERLINK(VLOOKUP(M14,$R$12:$S$180,2,FALSE))</f>
        <v>https://max.ru/join/M7wDISGvmShFMnRwwNWABqv4bmIdPah2zAI1ryedWA4</v>
      </c>
      <c r="R14" t="str">
        <f>[2]Уч.План!B357</f>
        <v>Управление конфигурацией и сопровождение программного обеспечения</v>
      </c>
      <c r="S14" s="61" t="s">
        <v>51</v>
      </c>
    </row>
    <row r="15" spans="1:19" ht="37.5" x14ac:dyDescent="0.2">
      <c r="A15" s="82"/>
      <c r="B15" s="85"/>
      <c r="C15" s="14" t="s">
        <v>21</v>
      </c>
      <c r="D15" s="20">
        <f>'[1]1нед'!K139</f>
        <v>0</v>
      </c>
      <c r="E15" s="23">
        <f>'[1]1нед'!L139</f>
        <v>0</v>
      </c>
      <c r="F15" s="21">
        <f>'[1]1нед'!O139</f>
        <v>0</v>
      </c>
      <c r="G15" s="22" t="str">
        <f>'[1]1нед'!P139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 t="str">
        <f>'[1]2нед'!K139</f>
        <v>л</v>
      </c>
      <c r="M15" s="23" t="str">
        <f>'[1]2нед'!L139</f>
        <v>Экономические аспекты программной инженерии</v>
      </c>
      <c r="N15" s="21" t="str">
        <f>'[1]2нед'!O139</f>
        <v>Самчинская Я.Б.</v>
      </c>
      <c r="O15" s="22" t="str">
        <f>'[1]2нед'!P139</f>
        <v>доцент, канд. наук</v>
      </c>
      <c r="P15" s="57" t="str">
        <f>HYPERLINK(VLOOKUP(M15,$R$12:$S$180,2,FALSE))</f>
        <v>https://max.ru/join/M7wDISGvmShFMnRwwNWABqv4bmIdPah2zAI1ryedWA4</v>
      </c>
      <c r="R15" t="str">
        <f>[2]Уч.План!B358</f>
        <v>Современные операционные системы и базы данных (курсовая работа)</v>
      </c>
      <c r="S15" s="61" t="s">
        <v>51</v>
      </c>
    </row>
    <row r="16" spans="1:19" ht="31.5" x14ac:dyDescent="0.2">
      <c r="A16" s="82"/>
      <c r="B16" s="85"/>
      <c r="C16" s="14" t="s">
        <v>22</v>
      </c>
      <c r="D16" s="20">
        <f>'[1]1нед'!K140</f>
        <v>0</v>
      </c>
      <c r="E16" s="23">
        <f>'[1]1нед'!L140</f>
        <v>0</v>
      </c>
      <c r="F16" s="21">
        <f>'[1]1нед'!O140</f>
        <v>0</v>
      </c>
      <c r="G16" s="22" t="str">
        <f>'[1]1нед'!P140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'[1]2нед'!K140</f>
        <v>0</v>
      </c>
      <c r="M16" s="23">
        <f>'[1]2нед'!L140</f>
        <v>0</v>
      </c>
      <c r="N16" s="21">
        <f>'[1]2нед'!O140</f>
        <v>0</v>
      </c>
      <c r="O16" s="22" t="str">
        <f>'[1]2нед'!P140</f>
        <v/>
      </c>
      <c r="P16" s="57" t="str">
        <f>HYPERLINK(VLOOKUP(M16,$R$12:$S$180,2,FALSE))</f>
        <v/>
      </c>
      <c r="R16" t="str">
        <f>[2]Уч.План!B359</f>
        <v>Процессы и профессиональная практика программной инженерии</v>
      </c>
      <c r="S16" s="61" t="s">
        <v>51</v>
      </c>
    </row>
    <row r="17" spans="1:19" ht="31.5" x14ac:dyDescent="0.2">
      <c r="A17" s="82"/>
      <c r="B17" s="85"/>
      <c r="C17" s="14" t="s">
        <v>23</v>
      </c>
      <c r="D17" s="20">
        <f>'[1]1нед'!K141</f>
        <v>0</v>
      </c>
      <c r="E17" s="23">
        <f>'[1]1нед'!L141</f>
        <v>0</v>
      </c>
      <c r="F17" s="21">
        <f>'[1]1нед'!O141</f>
        <v>0</v>
      </c>
      <c r="G17" s="22" t="str">
        <f>'[1]1нед'!P141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'[1]2нед'!K141</f>
        <v>0</v>
      </c>
      <c r="M17" s="23">
        <f>'[1]2нед'!L141</f>
        <v>0</v>
      </c>
      <c r="N17" s="21">
        <f>'[1]2нед'!O141</f>
        <v>0</v>
      </c>
      <c r="O17" s="22" t="str">
        <f>'[1]2нед'!P141</f>
        <v/>
      </c>
      <c r="P17" s="55" t="str">
        <f>HYPERLINK(VLOOKUP(M17,$R$12:$S$180,2,FALSE))</f>
        <v/>
      </c>
      <c r="R17" t="str">
        <f>[2]Уч.План!B360</f>
        <v>Современные операционные системы и базы данных</v>
      </c>
      <c r="S17" s="61" t="s">
        <v>51</v>
      </c>
    </row>
    <row r="18" spans="1:19" ht="31.5" x14ac:dyDescent="0.2">
      <c r="A18" s="82"/>
      <c r="B18" s="85"/>
      <c r="C18" s="14" t="s">
        <v>24</v>
      </c>
      <c r="D18" s="20">
        <f>'[1]1нед'!K142</f>
        <v>0</v>
      </c>
      <c r="E18" s="23">
        <f>'[1]1нед'!L142</f>
        <v>0</v>
      </c>
      <c r="F18" s="21">
        <f>'[1]1нед'!O142</f>
        <v>0</v>
      </c>
      <c r="G18" s="22" t="str">
        <f>'[1]1нед'!P142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>
        <f>'[1]2нед'!K142</f>
        <v>0</v>
      </c>
      <c r="M18" s="23">
        <f>'[1]2нед'!L142</f>
        <v>0</v>
      </c>
      <c r="N18" s="21">
        <f>'[1]2нед'!O142</f>
        <v>0</v>
      </c>
      <c r="O18" s="22" t="str">
        <f>'[1]2нед'!P142</f>
        <v/>
      </c>
      <c r="P18" s="55" t="str">
        <f>HYPERLINK(VLOOKUP(M18,$R$12:$S$180,2,FALSE))</f>
        <v/>
      </c>
      <c r="R18" t="str">
        <f>[2]Уч.План!B361</f>
        <v>Программирование графических процессоров</v>
      </c>
      <c r="S18" s="61" t="s">
        <v>51</v>
      </c>
    </row>
    <row r="19" spans="1:19" ht="18.399999999999999" customHeight="1" thickBot="1" x14ac:dyDescent="0.25">
      <c r="A19" s="83"/>
      <c r="B19" s="86"/>
      <c r="C19" s="15"/>
      <c r="D19" s="24">
        <f>'[1]1нед'!K143</f>
        <v>0</v>
      </c>
      <c r="E19" s="25">
        <f>'[1]1нед'!L143</f>
        <v>0</v>
      </c>
      <c r="F19" s="26">
        <f>'[1]1нед'!O143</f>
        <v>0</v>
      </c>
      <c r="G19" s="27" t="str">
        <f>'[1]1нед'!P143</f>
        <v/>
      </c>
      <c r="H19" s="58" t="str">
        <f>HYPERLINK(VLOOKUP(E19,$R$12:$S$180,2,FALSE))</f>
        <v/>
      </c>
      <c r="I19" s="72"/>
      <c r="J19" s="89"/>
      <c r="K19" s="15"/>
      <c r="L19" s="24">
        <f>'[1]2нед'!K143</f>
        <v>0</v>
      </c>
      <c r="M19" s="25">
        <f>'[1]2нед'!L143</f>
        <v>0</v>
      </c>
      <c r="N19" s="26">
        <f>'[1]2нед'!O143</f>
        <v>0</v>
      </c>
      <c r="O19" s="27" t="str">
        <f>'[1]2нед'!P143</f>
        <v/>
      </c>
      <c r="P19" s="58" t="str">
        <f>HYPERLINK(VLOOKUP(M19,$R$12:$S$180,2,FALSE))</f>
        <v/>
      </c>
      <c r="R19" t="str">
        <f>[2]Уч.План!B362</f>
        <v>Производственная практика. Научно- исследовательская работа</v>
      </c>
      <c r="S19" s="61" t="s">
        <v>51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'[1]1нед'!K144</f>
        <v>0</v>
      </c>
      <c r="E20" s="19">
        <f>'[1]1нед'!L144</f>
        <v>0</v>
      </c>
      <c r="F20" s="17">
        <f>'[1]1нед'!O144</f>
        <v>0</v>
      </c>
      <c r="G20" s="18" t="str">
        <f>'[1]1нед'!P144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'[1]2нед'!K144</f>
        <v>0</v>
      </c>
      <c r="M20" s="19">
        <f>'[1]2нед'!L144</f>
        <v>0</v>
      </c>
      <c r="N20" s="17">
        <f>'[1]2нед'!O144</f>
        <v>0</v>
      </c>
      <c r="O20" s="18" t="str">
        <f>'[1]2нед'!P144</f>
        <v/>
      </c>
      <c r="P20" s="56" t="str">
        <f>HYPERLINK(VLOOKUP(M20,$R$12:$S$180,2,FALSE))</f>
        <v/>
      </c>
      <c r="R20" t="str">
        <f>[2]Уч.План!B363</f>
        <v xml:space="preserve"> Программирование графических процессоров</v>
      </c>
      <c r="S20" s="61" t="s">
        <v>51</v>
      </c>
    </row>
    <row r="21" spans="1:19" ht="31.5" x14ac:dyDescent="0.2">
      <c r="A21" s="82"/>
      <c r="B21" s="85"/>
      <c r="C21" s="14" t="s">
        <v>19</v>
      </c>
      <c r="D21" s="20">
        <f>'[1]1нед'!K145</f>
        <v>0</v>
      </c>
      <c r="E21" s="23">
        <f>'[1]1нед'!L145</f>
        <v>0</v>
      </c>
      <c r="F21" s="21">
        <f>'[1]1нед'!O145</f>
        <v>0</v>
      </c>
      <c r="G21" s="22" t="str">
        <f>'[1]1нед'!P145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'[1]2нед'!K145</f>
        <v>0</v>
      </c>
      <c r="M21" s="23">
        <f>'[1]2нед'!L145</f>
        <v>0</v>
      </c>
      <c r="N21" s="21">
        <f>'[1]2нед'!O145</f>
        <v>0</v>
      </c>
      <c r="O21" s="22" t="str">
        <f>'[1]2нед'!P145</f>
        <v/>
      </c>
      <c r="P21" s="57" t="str">
        <f>HYPERLINK(VLOOKUP(M21,$R$12:$S$180,2,FALSE))</f>
        <v/>
      </c>
      <c r="R21" t="str">
        <f>[2]Уч.План!B364</f>
        <v xml:space="preserve"> Управление конфигурацией и сопровождение программного обеспечения</v>
      </c>
      <c r="S21" s="61" t="s">
        <v>51</v>
      </c>
    </row>
    <row r="22" spans="1:19" ht="31.5" x14ac:dyDescent="0.2">
      <c r="A22" s="82"/>
      <c r="B22" s="85"/>
      <c r="C22" s="14" t="s">
        <v>20</v>
      </c>
      <c r="D22" s="20">
        <f>'[1]1нед'!K146</f>
        <v>0</v>
      </c>
      <c r="E22" s="23">
        <f>'[1]1нед'!L146</f>
        <v>0</v>
      </c>
      <c r="F22" s="21">
        <f>'[1]1нед'!O146</f>
        <v>0</v>
      </c>
      <c r="G22" s="22" t="str">
        <f>'[1]1нед'!P146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'[1]2нед'!K146</f>
        <v>0</v>
      </c>
      <c r="M22" s="23">
        <f>'[1]2нед'!L146</f>
        <v>0</v>
      </c>
      <c r="N22" s="21">
        <f>'[1]2нед'!O146</f>
        <v>0</v>
      </c>
      <c r="O22" s="22" t="str">
        <f>'[1]2нед'!P146</f>
        <v/>
      </c>
      <c r="P22" s="57" t="str">
        <f>HYPERLINK(VLOOKUP(M22,$R$12:$S$180,2,FALSE))</f>
        <v/>
      </c>
      <c r="R22" t="str">
        <f>[2]Уч.План!B365</f>
        <v xml:space="preserve"> Системы обработки больших данных</v>
      </c>
      <c r="S22" s="61" t="s">
        <v>51</v>
      </c>
    </row>
    <row r="23" spans="1:19" ht="37.5" x14ac:dyDescent="0.2">
      <c r="A23" s="82"/>
      <c r="B23" s="85"/>
      <c r="C23" s="14" t="s">
        <v>21</v>
      </c>
      <c r="D23" s="20">
        <f>'[1]1нед'!K147</f>
        <v>0</v>
      </c>
      <c r="E23" s="23">
        <f>'[1]1нед'!L147</f>
        <v>0</v>
      </c>
      <c r="F23" s="21">
        <f>'[1]1нед'!O147</f>
        <v>0</v>
      </c>
      <c r="G23" s="22" t="str">
        <f>'[1]1нед'!P147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 t="str">
        <f>'[1]2нед'!K147</f>
        <v>л</v>
      </c>
      <c r="M23" s="23" t="str">
        <f>'[1]2нед'!L147</f>
        <v>Системы обработки больших данных</v>
      </c>
      <c r="N23" s="21" t="str">
        <f>'[1]2нед'!O147</f>
        <v>Круглый Д.Г.</v>
      </c>
      <c r="O23" s="22" t="str">
        <f>'[1]2нед'!P147</f>
        <v>профессор, д-р наук</v>
      </c>
      <c r="P23" s="57" t="str">
        <f>HYPERLINK(VLOOKUP(M23,$R$12:$S$180,2,FALSE))</f>
        <v>https://max.ru/join/M7wDISGvmShFMnRwwNWABqv4bmIdPah2zAI1ryedWA4</v>
      </c>
      <c r="R23">
        <f>[2]Уч.План!B366</f>
        <v>0</v>
      </c>
    </row>
    <row r="24" spans="1:19" ht="37.5" x14ac:dyDescent="0.2">
      <c r="A24" s="82"/>
      <c r="B24" s="85"/>
      <c r="C24" s="14" t="s">
        <v>22</v>
      </c>
      <c r="D24" s="20">
        <f>'[1]1нед'!K148</f>
        <v>0</v>
      </c>
      <c r="E24" s="23">
        <f>'[1]1нед'!L148</f>
        <v>0</v>
      </c>
      <c r="F24" s="21">
        <f>'[1]1нед'!O148</f>
        <v>0</v>
      </c>
      <c r="G24" s="22" t="str">
        <f>'[1]1нед'!P148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 t="str">
        <f>'[1]2нед'!K148</f>
        <v>л</v>
      </c>
      <c r="M24" s="23" t="str">
        <f>'[1]2нед'!L148</f>
        <v>Системы обработки больших данных</v>
      </c>
      <c r="N24" s="21" t="str">
        <f>'[1]2нед'!O148</f>
        <v>Круглый Д.Г.</v>
      </c>
      <c r="O24" s="22" t="str">
        <f>'[1]2нед'!P148</f>
        <v>профессор, д-р наук</v>
      </c>
      <c r="P24" s="57" t="str">
        <f>HYPERLINK(VLOOKUP(M24,$R$12:$S$180,2,FALSE))</f>
        <v>https://max.ru/join/M7wDISGvmShFMnRwwNWABqv4bmIdPah2zAI1ryedWA4</v>
      </c>
      <c r="R24">
        <f>[2]Уч.План!B367</f>
        <v>0</v>
      </c>
    </row>
    <row r="25" spans="1:19" ht="31.5" x14ac:dyDescent="0.2">
      <c r="A25" s="82"/>
      <c r="B25" s="85"/>
      <c r="C25" s="14" t="s">
        <v>23</v>
      </c>
      <c r="D25" s="20">
        <f>'[1]1нед'!K149</f>
        <v>0</v>
      </c>
      <c r="E25" s="23">
        <f>'[1]1нед'!L149</f>
        <v>0</v>
      </c>
      <c r="F25" s="21">
        <f>'[1]1нед'!O149</f>
        <v>0</v>
      </c>
      <c r="G25" s="22" t="str">
        <f>'[1]1нед'!P149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'[1]2нед'!K149</f>
        <v>0</v>
      </c>
      <c r="M25" s="23">
        <f>'[1]2нед'!L149</f>
        <v>0</v>
      </c>
      <c r="N25" s="21">
        <f>'[1]2нед'!O149</f>
        <v>0</v>
      </c>
      <c r="O25" s="22" t="str">
        <f>'[1]2нед'!P149</f>
        <v/>
      </c>
      <c r="P25" s="57" t="str">
        <f>HYPERLINK(VLOOKUP(M25,$R$12:$S$180,2,FALSE))</f>
        <v/>
      </c>
      <c r="R25">
        <f>[2]Уч.План!B368</f>
        <v>0</v>
      </c>
    </row>
    <row r="26" spans="1:19" ht="32.25" thickBot="1" x14ac:dyDescent="0.25">
      <c r="A26" s="82"/>
      <c r="B26" s="85"/>
      <c r="C26" s="14" t="s">
        <v>24</v>
      </c>
      <c r="D26" s="20">
        <f>'[1]1нед'!K150</f>
        <v>0</v>
      </c>
      <c r="E26" s="23">
        <f>'[1]1нед'!L150</f>
        <v>0</v>
      </c>
      <c r="F26" s="21">
        <f>'[1]1нед'!O150</f>
        <v>0</v>
      </c>
      <c r="G26" s="22" t="str">
        <f>'[1]1нед'!P150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'[1]2нед'!K150</f>
        <v>0</v>
      </c>
      <c r="M26" s="23">
        <f>'[1]2нед'!L150</f>
        <v>0</v>
      </c>
      <c r="N26" s="21">
        <f>'[1]2нед'!O150</f>
        <v>0</v>
      </c>
      <c r="O26" s="22" t="str">
        <f>'[1]2нед'!P150</f>
        <v/>
      </c>
      <c r="P26" s="57" t="str">
        <f>HYPERLINK(VLOOKUP(M26,$R$12:$S$180,2,FALSE))</f>
        <v/>
      </c>
      <c r="R26">
        <f>[2]Уч.План!B369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'[1]1нед'!K151</f>
        <v>0</v>
      </c>
      <c r="E27" s="25">
        <f>'[1]1нед'!L151</f>
        <v>0</v>
      </c>
      <c r="F27" s="26">
        <f>'[1]1нед'!O151</f>
        <v>0</v>
      </c>
      <c r="G27" s="27" t="str">
        <f>'[1]1нед'!P151</f>
        <v/>
      </c>
      <c r="H27" s="58" t="str">
        <f>HYPERLINK(VLOOKUP(E27,$R$12:$S$180,2,FALSE))</f>
        <v/>
      </c>
      <c r="I27" s="72"/>
      <c r="J27" s="89"/>
      <c r="K27" s="15"/>
      <c r="L27" s="24">
        <f>'[1]2нед'!K151</f>
        <v>0</v>
      </c>
      <c r="M27" s="25">
        <f>'[1]2нед'!L151</f>
        <v>0</v>
      </c>
      <c r="N27" s="26">
        <f>'[1]2нед'!O151</f>
        <v>0</v>
      </c>
      <c r="O27" s="27" t="str">
        <f>'[1]2нед'!P151</f>
        <v/>
      </c>
      <c r="P27" s="58" t="str">
        <f>HYPERLINK(VLOOKUP(M27,$R$12:$S$180,2,FALSE))</f>
        <v/>
      </c>
      <c r="R27">
        <f>[2]Уч.План!B370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'[1]1нед'!K152</f>
        <v>0</v>
      </c>
      <c r="E28" s="19">
        <f>'[1]1нед'!L152</f>
        <v>0</v>
      </c>
      <c r="F28" s="17">
        <f>'[1]1нед'!O152</f>
        <v>0</v>
      </c>
      <c r="G28" s="18" t="str">
        <f>'[1]1нед'!P152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'[1]2нед'!K152</f>
        <v>0</v>
      </c>
      <c r="M28" s="19">
        <f>'[1]2нед'!L152</f>
        <v>0</v>
      </c>
      <c r="N28" s="17">
        <f>'[1]2нед'!O152</f>
        <v>0</v>
      </c>
      <c r="O28" s="18" t="str">
        <f>'[1]2нед'!P152</f>
        <v/>
      </c>
      <c r="P28" s="56" t="str">
        <f>HYPERLINK(VLOOKUP(M28,$R$12:$S$180,2,FALSE))</f>
        <v/>
      </c>
    </row>
    <row r="29" spans="1:19" ht="31.5" x14ac:dyDescent="0.2">
      <c r="A29" s="82"/>
      <c r="B29" s="68"/>
      <c r="C29" s="14" t="s">
        <v>19</v>
      </c>
      <c r="D29" s="20">
        <f>'[1]1нед'!K153</f>
        <v>0</v>
      </c>
      <c r="E29" s="23">
        <f>'[1]1нед'!L153</f>
        <v>0</v>
      </c>
      <c r="F29" s="21">
        <f>'[1]1нед'!O153</f>
        <v>0</v>
      </c>
      <c r="G29" s="22" t="str">
        <f>'[1]1нед'!P153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'[1]2нед'!K153</f>
        <v>0</v>
      </c>
      <c r="M29" s="23">
        <f>'[1]2нед'!L153</f>
        <v>0</v>
      </c>
      <c r="N29" s="21">
        <f>'[1]2нед'!O153</f>
        <v>0</v>
      </c>
      <c r="O29" s="22" t="str">
        <f>'[1]2нед'!P153</f>
        <v/>
      </c>
      <c r="P29" s="57" t="str">
        <f>HYPERLINK(VLOOKUP(M29,$R$12:$S$180,2,FALSE))</f>
        <v/>
      </c>
    </row>
    <row r="30" spans="1:19" ht="31.5" x14ac:dyDescent="0.2">
      <c r="A30" s="82"/>
      <c r="B30" s="68"/>
      <c r="C30" s="14" t="s">
        <v>20</v>
      </c>
      <c r="D30" s="20">
        <f>'[1]1нед'!K154</f>
        <v>0</v>
      </c>
      <c r="E30" s="23">
        <f>'[1]1нед'!L154</f>
        <v>0</v>
      </c>
      <c r="F30" s="21">
        <f>'[1]1нед'!O154</f>
        <v>0</v>
      </c>
      <c r="G30" s="22" t="str">
        <f>'[1]1нед'!P154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'[1]2нед'!K154</f>
        <v>0</v>
      </c>
      <c r="M30" s="23">
        <f>'[1]2нед'!L154</f>
        <v>0</v>
      </c>
      <c r="N30" s="21">
        <f>'[1]2нед'!O154</f>
        <v>0</v>
      </c>
      <c r="O30" s="22" t="str">
        <f>'[1]2нед'!P154</f>
        <v/>
      </c>
      <c r="P30" s="57" t="str">
        <f>HYPERLINK(VLOOKUP(M30,$R$12:$S$180,2,FALSE))</f>
        <v/>
      </c>
    </row>
    <row r="31" spans="1:19" ht="56.25" x14ac:dyDescent="0.2">
      <c r="A31" s="82"/>
      <c r="B31" s="68"/>
      <c r="C31" s="14" t="s">
        <v>21</v>
      </c>
      <c r="D31" s="20">
        <f>'[1]1нед'!K155</f>
        <v>0</v>
      </c>
      <c r="E31" s="23">
        <f>'[1]1нед'!L155</f>
        <v>0</v>
      </c>
      <c r="F31" s="21">
        <f>'[1]1нед'!O155</f>
        <v>0</v>
      </c>
      <c r="G31" s="22" t="str">
        <f>'[1]1нед'!P155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 t="str">
        <f>'[1]2нед'!K155</f>
        <v>пр</v>
      </c>
      <c r="M31" s="23" t="str">
        <f>'[1]2нед'!L155</f>
        <v xml:space="preserve"> Управление конфигурацией и сопровождение программного обеспечения</v>
      </c>
      <c r="N31" s="21" t="str">
        <f>'[1]2нед'!O155</f>
        <v>Гуцол Д.В.</v>
      </c>
      <c r="O31" s="22" t="str">
        <f>'[1]2нед'!P155</f>
        <v>ст. преподаватель</v>
      </c>
      <c r="P31" s="57" t="str">
        <f>HYPERLINK(VLOOKUP(M31,$R$12:$S$180,2,FALSE))</f>
        <v>https://max.ru/join/M7wDISGvmShFMnRwwNWABqv4bmIdPah2zAI1ryedWA4</v>
      </c>
    </row>
    <row r="32" spans="1:19" ht="56.25" x14ac:dyDescent="0.2">
      <c r="A32" s="82"/>
      <c r="B32" s="68"/>
      <c r="C32" s="14" t="s">
        <v>22</v>
      </c>
      <c r="D32" s="20">
        <f>'[1]1нед'!K156</f>
        <v>0</v>
      </c>
      <c r="E32" s="23">
        <f>'[1]1нед'!L156</f>
        <v>0</v>
      </c>
      <c r="F32" s="21">
        <f>'[1]1нед'!O156</f>
        <v>0</v>
      </c>
      <c r="G32" s="22" t="str">
        <f>'[1]1нед'!P156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 t="str">
        <f>'[1]2нед'!K156</f>
        <v>пр</v>
      </c>
      <c r="M32" s="23" t="str">
        <f>'[1]2нед'!L156</f>
        <v xml:space="preserve"> Управление конфигурацией и сопровождение программного обеспечения</v>
      </c>
      <c r="N32" s="21" t="str">
        <f>'[1]2нед'!O156</f>
        <v>Гуцол Д.В.</v>
      </c>
      <c r="O32" s="22" t="str">
        <f>'[1]2нед'!P156</f>
        <v>ст. преподаватель</v>
      </c>
      <c r="P32" s="57" t="str">
        <f>HYPERLINK(VLOOKUP(M32,$R$12:$S$180,2,FALSE))</f>
        <v>https://max.ru/join/M7wDISGvmShFMnRwwNWABqv4bmIdPah2zAI1ryedWA4</v>
      </c>
    </row>
    <row r="33" spans="1:16" ht="31.5" x14ac:dyDescent="0.2">
      <c r="A33" s="82"/>
      <c r="B33" s="68"/>
      <c r="C33" s="14" t="s">
        <v>23</v>
      </c>
      <c r="D33" s="20">
        <f>'[1]1нед'!K157</f>
        <v>0</v>
      </c>
      <c r="E33" s="23">
        <f>'[1]1нед'!L157</f>
        <v>0</v>
      </c>
      <c r="F33" s="21">
        <f>'[1]1нед'!O157</f>
        <v>0</v>
      </c>
      <c r="G33" s="22" t="str">
        <f>'[1]1нед'!P157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>
        <f>'[1]2нед'!K157</f>
        <v>0</v>
      </c>
      <c r="M33" s="23">
        <f>'[1]2нед'!L157</f>
        <v>0</v>
      </c>
      <c r="N33" s="21">
        <f>'[1]2нед'!O157</f>
        <v>0</v>
      </c>
      <c r="O33" s="22" t="str">
        <f>'[1]2нед'!P157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>
        <f>'[1]1нед'!K158</f>
        <v>0</v>
      </c>
      <c r="E34" s="23">
        <f>'[1]1нед'!L158</f>
        <v>0</v>
      </c>
      <c r="F34" s="21">
        <f>'[1]1нед'!O158</f>
        <v>0</v>
      </c>
      <c r="G34" s="22" t="str">
        <f>'[1]1нед'!P158</f>
        <v/>
      </c>
      <c r="H34" s="55" t="str">
        <f>HYPERLINK(VLOOKUP(E34,$R$12:$S$180,2,FALSE))</f>
        <v/>
      </c>
      <c r="I34" s="71"/>
      <c r="J34" s="74"/>
      <c r="K34" s="14" t="s">
        <v>24</v>
      </c>
      <c r="L34" s="20">
        <f>'[1]2нед'!K158</f>
        <v>0</v>
      </c>
      <c r="M34" s="23">
        <f>'[1]2нед'!L158</f>
        <v>0</v>
      </c>
      <c r="N34" s="21">
        <f>'[1]2нед'!O158</f>
        <v>0</v>
      </c>
      <c r="O34" s="22" t="str">
        <f>'[1]2нед'!P158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'[1]1нед'!K159</f>
        <v>0</v>
      </c>
      <c r="E35" s="25">
        <f>'[1]1нед'!L159</f>
        <v>0</v>
      </c>
      <c r="F35" s="26">
        <f>'[1]1нед'!O159</f>
        <v>0</v>
      </c>
      <c r="G35" s="27" t="str">
        <f>'[1]1нед'!P159</f>
        <v/>
      </c>
      <c r="H35" s="58" t="str">
        <f>HYPERLINK(VLOOKUP(E35,$R$12:$S$180,2,FALSE))</f>
        <v/>
      </c>
      <c r="I35" s="72"/>
      <c r="J35" s="75"/>
      <c r="K35" s="15"/>
      <c r="L35" s="24">
        <f>'[1]2нед'!K159</f>
        <v>0</v>
      </c>
      <c r="M35" s="25">
        <f>'[1]2нед'!L159</f>
        <v>0</v>
      </c>
      <c r="N35" s="26">
        <f>'[1]2нед'!O159</f>
        <v>0</v>
      </c>
      <c r="O35" s="27" t="str">
        <f>'[1]2нед'!P159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'[1]1нед'!K160</f>
        <v>0</v>
      </c>
      <c r="E36" s="19">
        <f>'[1]1нед'!L160</f>
        <v>0</v>
      </c>
      <c r="F36" s="17">
        <f>'[1]1нед'!O160</f>
        <v>0</v>
      </c>
      <c r="G36" s="18" t="str">
        <f>'[1]1нед'!P160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'[1]2нед'!K160</f>
        <v>0</v>
      </c>
      <c r="M36" s="19">
        <f>'[1]2нед'!L160</f>
        <v>0</v>
      </c>
      <c r="N36" s="17">
        <f>'[1]2нед'!O160</f>
        <v>0</v>
      </c>
      <c r="O36" s="18" t="str">
        <f>'[1]2нед'!P160</f>
        <v/>
      </c>
      <c r="P36" s="56" t="str">
        <f>HYPERLINK(VLOOKUP(M36,$R$12:$S$180,2,FALSE))</f>
        <v/>
      </c>
    </row>
    <row r="37" spans="1:16" ht="56.25" x14ac:dyDescent="0.2">
      <c r="A37" s="82"/>
      <c r="B37" s="85"/>
      <c r="C37" s="14" t="s">
        <v>19</v>
      </c>
      <c r="D37" s="20" t="str">
        <f>'[1]1нед'!K161</f>
        <v>л</v>
      </c>
      <c r="E37" s="23" t="str">
        <f>'[1]1нед'!L161</f>
        <v>Управление конфигурацией и сопровождение программного обеспечения</v>
      </c>
      <c r="F37" s="21" t="str">
        <f>'[1]1нед'!O161</f>
        <v>Круглый Д.Г.</v>
      </c>
      <c r="G37" s="22" t="str">
        <f>'[1]1нед'!P161</f>
        <v>профессор, д-р наук</v>
      </c>
      <c r="H37" s="57" t="str">
        <f>HYPERLINK(VLOOKUP(E37,$R$12:$S$180,2,FALSE))</f>
        <v>https://max.ru/join/M7wDISGvmShFMnRwwNWABqv4bmIdPah2zAI1ryedWA4</v>
      </c>
      <c r="I37" s="71"/>
      <c r="J37" s="88"/>
      <c r="K37" s="14" t="s">
        <v>19</v>
      </c>
      <c r="L37" s="20" t="str">
        <f>'[1]2нед'!K161</f>
        <v>л</v>
      </c>
      <c r="M37" s="23" t="str">
        <f>'[1]2нед'!L161</f>
        <v>Современные операционные системы и базы данных</v>
      </c>
      <c r="N37" s="21" t="str">
        <f>'[1]2нед'!O161</f>
        <v>Галлини Н.И.</v>
      </c>
      <c r="O37" s="22" t="str">
        <f>'[1]2нед'!P161</f>
        <v>доцент, канд. наук</v>
      </c>
      <c r="P37" s="57" t="str">
        <f>HYPERLINK(VLOOKUP(M37,$R$12:$S$180,2,FALSE))</f>
        <v>https://max.ru/join/M7wDISGvmShFMnRwwNWABqv4bmIdPah2zAI1ryedWA4</v>
      </c>
    </row>
    <row r="38" spans="1:16" ht="37.5" x14ac:dyDescent="0.2">
      <c r="A38" s="82"/>
      <c r="B38" s="85"/>
      <c r="C38" s="14" t="s">
        <v>20</v>
      </c>
      <c r="D38" s="20">
        <f>'[1]1нед'!K162</f>
        <v>0</v>
      </c>
      <c r="E38" s="23">
        <f>'[1]1нед'!L162</f>
        <v>0</v>
      </c>
      <c r="F38" s="21">
        <f>'[1]1нед'!O162</f>
        <v>0</v>
      </c>
      <c r="G38" s="22" t="str">
        <f>'[1]1нед'!P162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 t="str">
        <f>'[1]2нед'!K162</f>
        <v>пр</v>
      </c>
      <c r="M38" s="23" t="str">
        <f>'[1]2нед'!L162</f>
        <v>Современные операционные системы и базы данных</v>
      </c>
      <c r="N38" s="21" t="str">
        <f>'[1]2нед'!O162</f>
        <v>Галлини Н.И.</v>
      </c>
      <c r="O38" s="22" t="str">
        <f>'[1]2нед'!P162</f>
        <v>доцент, канд. наук</v>
      </c>
      <c r="P38" s="57" t="str">
        <f>HYPERLINK(VLOOKUP(M38,$R$12:$S$180,2,FALSE))</f>
        <v>https://max.ru/join/M7wDISGvmShFMnRwwNWABqv4bmIdPah2zAI1ryedWA4</v>
      </c>
    </row>
    <row r="39" spans="1:16" ht="37.5" x14ac:dyDescent="0.2">
      <c r="A39" s="82"/>
      <c r="B39" s="85"/>
      <c r="C39" s="14" t="s">
        <v>21</v>
      </c>
      <c r="D39" s="20">
        <f>'[1]1нед'!K163</f>
        <v>0</v>
      </c>
      <c r="E39" s="23">
        <f>'[1]1нед'!L163</f>
        <v>0</v>
      </c>
      <c r="F39" s="21">
        <f>'[1]1нед'!O163</f>
        <v>0</v>
      </c>
      <c r="G39" s="22" t="str">
        <f>'[1]1нед'!P163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 t="str">
        <f>'[1]2нед'!K163</f>
        <v>пр</v>
      </c>
      <c r="M39" s="23" t="str">
        <f>'[1]2нед'!L163</f>
        <v>Экономические аспекты программной инженерии</v>
      </c>
      <c r="N39" s="21" t="str">
        <f>'[1]2нед'!O163</f>
        <v>Самчинская Я.Б.</v>
      </c>
      <c r="O39" s="22" t="str">
        <f>'[1]2нед'!P163</f>
        <v>доцент, канд. наук</v>
      </c>
      <c r="P39" s="57" t="str">
        <f>HYPERLINK(VLOOKUP(M39,$R$12:$S$180,2,FALSE))</f>
        <v>https://max.ru/join/M7wDISGvmShFMnRwwNWABqv4bmIdPah2zAI1ryedWA4</v>
      </c>
    </row>
    <row r="40" spans="1:16" ht="31.5" x14ac:dyDescent="0.2">
      <c r="A40" s="82"/>
      <c r="B40" s="85"/>
      <c r="C40" s="14" t="s">
        <v>22</v>
      </c>
      <c r="D40" s="20">
        <f>'[1]1нед'!K164</f>
        <v>0</v>
      </c>
      <c r="E40" s="23">
        <f>'[1]1нед'!L164</f>
        <v>0</v>
      </c>
      <c r="F40" s="21">
        <f>'[1]1нед'!O164</f>
        <v>0</v>
      </c>
      <c r="G40" s="22" t="str">
        <f>'[1]1нед'!P164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'[1]2нед'!K164</f>
        <v>0</v>
      </c>
      <c r="M40" s="23">
        <f>'[1]2нед'!L164</f>
        <v>0</v>
      </c>
      <c r="N40" s="21">
        <f>'[1]2нед'!O164</f>
        <v>0</v>
      </c>
      <c r="O40" s="22" t="str">
        <f>'[1]2нед'!P164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'[1]1нед'!K165</f>
        <v>0</v>
      </c>
      <c r="E41" s="23">
        <f>'[1]1нед'!L165</f>
        <v>0</v>
      </c>
      <c r="F41" s="21">
        <f>'[1]1нед'!O165</f>
        <v>0</v>
      </c>
      <c r="G41" s="22" t="str">
        <f>'[1]1нед'!P165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'[1]2нед'!K165</f>
        <v>0</v>
      </c>
      <c r="M41" s="23">
        <f>'[1]2нед'!L165</f>
        <v>0</v>
      </c>
      <c r="N41" s="21">
        <f>'[1]2нед'!O165</f>
        <v>0</v>
      </c>
      <c r="O41" s="22" t="str">
        <f>'[1]2нед'!P165</f>
        <v/>
      </c>
      <c r="P41" s="55" t="str">
        <f>HYPERLINK(VLOOKUP(M41,$R$12:$S$180,2,FALSE))</f>
        <v/>
      </c>
    </row>
    <row r="42" spans="1:16" ht="32.25" thickBot="1" x14ac:dyDescent="0.25">
      <c r="A42" s="82"/>
      <c r="B42" s="85"/>
      <c r="C42" s="14" t="s">
        <v>24</v>
      </c>
      <c r="D42" s="20">
        <f>'[1]1нед'!K166</f>
        <v>0</v>
      </c>
      <c r="E42" s="23">
        <f>'[1]1нед'!L166</f>
        <v>0</v>
      </c>
      <c r="F42" s="21">
        <f>'[1]1нед'!O166</f>
        <v>0</v>
      </c>
      <c r="G42" s="22" t="str">
        <f>'[1]1нед'!P166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'[1]2нед'!K166</f>
        <v>0</v>
      </c>
      <c r="M42" s="23">
        <f>'[1]2нед'!L166</f>
        <v>0</v>
      </c>
      <c r="N42" s="21">
        <f>'[1]2нед'!O166</f>
        <v>0</v>
      </c>
      <c r="O42" s="22" t="str">
        <f>'[1]2нед'!P166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'[1]1нед'!K167</f>
        <v>0</v>
      </c>
      <c r="E43" s="25">
        <f>'[1]1нед'!L167</f>
        <v>0</v>
      </c>
      <c r="F43" s="26">
        <f>'[1]1нед'!O167</f>
        <v>0</v>
      </c>
      <c r="G43" s="27" t="str">
        <f>'[1]1нед'!P167</f>
        <v/>
      </c>
      <c r="H43" s="58" t="str">
        <f>HYPERLINK(VLOOKUP(E43,$R$12:$S$180,2,FALSE))</f>
        <v/>
      </c>
      <c r="I43" s="72"/>
      <c r="J43" s="89"/>
      <c r="K43" s="15"/>
      <c r="L43" s="24">
        <f>'[1]2нед'!K167</f>
        <v>0</v>
      </c>
      <c r="M43" s="25">
        <f>'[1]2нед'!L167</f>
        <v>0</v>
      </c>
      <c r="N43" s="26">
        <f>'[1]2нед'!O167</f>
        <v>0</v>
      </c>
      <c r="O43" s="27" t="str">
        <f>'[1]2нед'!P167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'[1]1нед'!K168</f>
        <v>0</v>
      </c>
      <c r="E44" s="19">
        <f>'[1]1нед'!L168</f>
        <v>0</v>
      </c>
      <c r="F44" s="17">
        <f>'[1]1нед'!O168</f>
        <v>0</v>
      </c>
      <c r="G44" s="18" t="str">
        <f>'[1]1нед'!P168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'[1]2нед'!K168</f>
        <v>0</v>
      </c>
      <c r="M44" s="19">
        <f>'[1]2нед'!L168</f>
        <v>0</v>
      </c>
      <c r="N44" s="17">
        <f>'[1]2нед'!O168</f>
        <v>0</v>
      </c>
      <c r="O44" s="18" t="str">
        <f>'[1]2нед'!P168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'[1]1нед'!K169</f>
        <v>0</v>
      </c>
      <c r="E45" s="23">
        <f>'[1]1нед'!L169</f>
        <v>0</v>
      </c>
      <c r="F45" s="21">
        <f>'[1]1нед'!O169</f>
        <v>0</v>
      </c>
      <c r="G45" s="22" t="str">
        <f>'[1]1нед'!P169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'[1]2нед'!K169</f>
        <v>0</v>
      </c>
      <c r="M45" s="23">
        <f>'[1]2нед'!L169</f>
        <v>0</v>
      </c>
      <c r="N45" s="21">
        <f>'[1]2нед'!O169</f>
        <v>0</v>
      </c>
      <c r="O45" s="22" t="str">
        <f>'[1]2нед'!P169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'[1]1нед'!K170</f>
        <v>0</v>
      </c>
      <c r="E46" s="23">
        <f>'[1]1нед'!L170</f>
        <v>0</v>
      </c>
      <c r="F46" s="21">
        <f>'[1]1нед'!O170</f>
        <v>0</v>
      </c>
      <c r="G46" s="22" t="str">
        <f>'[1]1нед'!P170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'[1]2нед'!K170</f>
        <v>0</v>
      </c>
      <c r="M46" s="23">
        <f>'[1]2нед'!L170</f>
        <v>0</v>
      </c>
      <c r="N46" s="21">
        <f>'[1]2нед'!O170</f>
        <v>0</v>
      </c>
      <c r="O46" s="22" t="str">
        <f>'[1]2нед'!P170</f>
        <v/>
      </c>
      <c r="P46" s="57" t="str">
        <f>HYPERLINK(VLOOKUP(M46,$R$12:$S$180,2,FALSE))</f>
        <v/>
      </c>
    </row>
    <row r="47" spans="1:16" ht="37.5" x14ac:dyDescent="0.2">
      <c r="A47" s="82"/>
      <c r="B47" s="85"/>
      <c r="C47" s="14" t="s">
        <v>21</v>
      </c>
      <c r="D47" s="20">
        <f>'[1]1нед'!K171</f>
        <v>0</v>
      </c>
      <c r="E47" s="23">
        <f>'[1]1нед'!L171</f>
        <v>0</v>
      </c>
      <c r="F47" s="21">
        <f>'[1]1нед'!O171</f>
        <v>0</v>
      </c>
      <c r="G47" s="22" t="str">
        <f>'[1]1нед'!P171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 t="str">
        <f>'[1]2нед'!K171</f>
        <v>л</v>
      </c>
      <c r="M47" s="23" t="str">
        <f>'[1]2нед'!L171</f>
        <v>Процессы и профессиональная практика программной инженерии</v>
      </c>
      <c r="N47" s="21" t="str">
        <f>'[1]2нед'!O171</f>
        <v>Алешов Е.В.</v>
      </c>
      <c r="O47" s="22" t="str">
        <f>'[1]2нед'!P171</f>
        <v>преподаватель</v>
      </c>
      <c r="P47" s="57" t="str">
        <f>HYPERLINK(VLOOKUP(M47,$R$12:$S$180,2,FALSE))</f>
        <v>https://max.ru/join/M7wDISGvmShFMnRwwNWABqv4bmIdPah2zAI1ryedWA4</v>
      </c>
    </row>
    <row r="48" spans="1:16" ht="37.5" x14ac:dyDescent="0.2">
      <c r="A48" s="82"/>
      <c r="B48" s="85"/>
      <c r="C48" s="14" t="s">
        <v>22</v>
      </c>
      <c r="D48" s="20">
        <f>'[1]1нед'!K172</f>
        <v>0</v>
      </c>
      <c r="E48" s="23">
        <f>'[1]1нед'!L172</f>
        <v>0</v>
      </c>
      <c r="F48" s="21">
        <f>'[1]1нед'!O172</f>
        <v>0</v>
      </c>
      <c r="G48" s="22" t="str">
        <f>'[1]1нед'!P172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 t="str">
        <f>'[1]2нед'!K172</f>
        <v>пр</v>
      </c>
      <c r="M48" s="23" t="str">
        <f>'[1]2нед'!L172</f>
        <v>Процессы и профессиональная практика программной инженерии</v>
      </c>
      <c r="N48" s="21" t="str">
        <f>'[1]2нед'!O172</f>
        <v>Алешов Е.В.</v>
      </c>
      <c r="O48" s="22" t="str">
        <f>'[1]2нед'!P172</f>
        <v>преподаватель</v>
      </c>
      <c r="P48" s="57" t="str">
        <f>HYPERLINK(VLOOKUP(M48,$R$12:$S$180,2,FALSE))</f>
        <v>https://max.ru/join/M7wDISGvmShFMnRwwNWABqv4bmIdPah2zAI1ryedWA4</v>
      </c>
    </row>
    <row r="49" spans="1:16" ht="31.5" x14ac:dyDescent="0.2">
      <c r="A49" s="82"/>
      <c r="B49" s="85"/>
      <c r="C49" s="14" t="s">
        <v>23</v>
      </c>
      <c r="D49" s="20">
        <f>'[1]1нед'!K173</f>
        <v>0</v>
      </c>
      <c r="E49" s="23">
        <f>'[1]1нед'!L173</f>
        <v>0</v>
      </c>
      <c r="F49" s="21">
        <f>'[1]1нед'!O173</f>
        <v>0</v>
      </c>
      <c r="G49" s="22" t="str">
        <f>'[1]1нед'!P173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'[1]2нед'!K173</f>
        <v>0</v>
      </c>
      <c r="M49" s="23">
        <f>'[1]2нед'!L173</f>
        <v>0</v>
      </c>
      <c r="N49" s="21">
        <f>'[1]2нед'!O173</f>
        <v>0</v>
      </c>
      <c r="O49" s="22" t="str">
        <f>'[1]2нед'!P173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'[1]1нед'!K174</f>
        <v>0</v>
      </c>
      <c r="E50" s="23">
        <f>'[1]1нед'!L174</f>
        <v>0</v>
      </c>
      <c r="F50" s="21">
        <f>'[1]1нед'!O174</f>
        <v>0</v>
      </c>
      <c r="G50" s="22" t="str">
        <f>'[1]1нед'!P174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'[1]2нед'!K174</f>
        <v>0</v>
      </c>
      <c r="M50" s="23">
        <f>'[1]2нед'!L174</f>
        <v>0</v>
      </c>
      <c r="N50" s="21">
        <f>'[1]2нед'!O174</f>
        <v>0</v>
      </c>
      <c r="O50" s="22" t="str">
        <f>'[1]2нед'!P174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'[1]1нед'!K175</f>
        <v>0</v>
      </c>
      <c r="E51" s="25">
        <f>'[1]1нед'!L175</f>
        <v>0</v>
      </c>
      <c r="F51" s="26">
        <f>'[1]1нед'!O175</f>
        <v>0</v>
      </c>
      <c r="G51" s="27" t="str">
        <f>'[1]1нед'!P175</f>
        <v/>
      </c>
      <c r="H51" s="58" t="str">
        <f>HYPERLINK(VLOOKUP(E51,$R$12:$S$180,2,FALSE))</f>
        <v/>
      </c>
      <c r="I51" s="72"/>
      <c r="J51" s="89"/>
      <c r="K51" s="15"/>
      <c r="L51" s="24">
        <f>'[1]2нед'!K175</f>
        <v>0</v>
      </c>
      <c r="M51" s="25">
        <f>'[1]2нед'!L175</f>
        <v>0</v>
      </c>
      <c r="N51" s="26">
        <f>'[1]2нед'!O175</f>
        <v>0</v>
      </c>
      <c r="O51" s="27" t="str">
        <f>'[1]2нед'!P175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'[1]1нед'!K176</f>
        <v>0</v>
      </c>
      <c r="E52" s="19">
        <f>'[1]1нед'!L176</f>
        <v>0</v>
      </c>
      <c r="F52" s="17">
        <f>'[1]1нед'!O176</f>
        <v>0</v>
      </c>
      <c r="G52" s="18" t="str">
        <f>'[1]1нед'!P176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'[1]2нед'!K176</f>
        <v>0</v>
      </c>
      <c r="M52" s="19">
        <f>'[1]2нед'!L176</f>
        <v>0</v>
      </c>
      <c r="N52" s="17">
        <f>'[1]2нед'!O176</f>
        <v>0</v>
      </c>
      <c r="O52" s="18" t="str">
        <f>'[1]2нед'!P176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'[1]1нед'!K177</f>
        <v>0</v>
      </c>
      <c r="E53" s="23">
        <f>'[1]1нед'!L177</f>
        <v>0</v>
      </c>
      <c r="F53" s="21">
        <f>'[1]1нед'!O177</f>
        <v>0</v>
      </c>
      <c r="G53" s="22" t="str">
        <f>'[1]1нед'!P177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'[1]2нед'!K177</f>
        <v>0</v>
      </c>
      <c r="M53" s="23">
        <f>'[1]2нед'!L177</f>
        <v>0</v>
      </c>
      <c r="N53" s="21">
        <f>'[1]2нед'!O177</f>
        <v>0</v>
      </c>
      <c r="O53" s="22" t="str">
        <f>'[1]2нед'!P177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'[1]1нед'!K178</f>
        <v>0</v>
      </c>
      <c r="E54" s="23">
        <f>'[1]1нед'!L178</f>
        <v>0</v>
      </c>
      <c r="F54" s="21">
        <f>'[1]1нед'!O178</f>
        <v>0</v>
      </c>
      <c r="G54" s="22" t="str">
        <f>'[1]1нед'!P178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'[1]2нед'!K178</f>
        <v>0</v>
      </c>
      <c r="M54" s="23">
        <f>'[1]2нед'!L178</f>
        <v>0</v>
      </c>
      <c r="N54" s="21">
        <f>'[1]2нед'!O178</f>
        <v>0</v>
      </c>
      <c r="O54" s="22" t="str">
        <f>'[1]2нед'!P178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'[1]1нед'!K179</f>
        <v>0</v>
      </c>
      <c r="E55" s="23">
        <f>'[1]1нед'!L179</f>
        <v>0</v>
      </c>
      <c r="F55" s="21">
        <f>'[1]1нед'!O179</f>
        <v>0</v>
      </c>
      <c r="G55" s="22" t="str">
        <f>'[1]1нед'!P179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'[1]2нед'!K179</f>
        <v>0</v>
      </c>
      <c r="M55" s="23">
        <f>'[1]2нед'!L179</f>
        <v>0</v>
      </c>
      <c r="N55" s="21">
        <f>'[1]2нед'!O179</f>
        <v>0</v>
      </c>
      <c r="O55" s="22" t="str">
        <f>'[1]2нед'!P179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'[1]1нед'!K180</f>
        <v>0</v>
      </c>
      <c r="E56" s="23">
        <f>'[1]1нед'!L180</f>
        <v>0</v>
      </c>
      <c r="F56" s="21">
        <f>'[1]1нед'!O180</f>
        <v>0</v>
      </c>
      <c r="G56" s="22" t="str">
        <f>'[1]1нед'!P180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'[1]2нед'!K180</f>
        <v>0</v>
      </c>
      <c r="M56" s="23">
        <f>'[1]2нед'!L180</f>
        <v>0</v>
      </c>
      <c r="N56" s="21">
        <f>'[1]2нед'!O180</f>
        <v>0</v>
      </c>
      <c r="O56" s="22" t="str">
        <f>'[1]2нед'!P180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'[1]1нед'!K181</f>
        <v>0</v>
      </c>
      <c r="E57" s="23">
        <f>'[1]1нед'!L181</f>
        <v>0</v>
      </c>
      <c r="F57" s="21">
        <f>'[1]1нед'!O181</f>
        <v>0</v>
      </c>
      <c r="G57" s="22" t="str">
        <f>'[1]1нед'!P181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'[1]2нед'!K181</f>
        <v>0</v>
      </c>
      <c r="M57" s="23">
        <f>'[1]2нед'!L181</f>
        <v>0</v>
      </c>
      <c r="N57" s="21">
        <f>'[1]2нед'!O181</f>
        <v>0</v>
      </c>
      <c r="O57" s="22" t="str">
        <f>'[1]2нед'!P181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'[1]1нед'!K182</f>
        <v>0</v>
      </c>
      <c r="E58" s="23">
        <f>'[1]1нед'!L182</f>
        <v>0</v>
      </c>
      <c r="F58" s="21">
        <f>'[1]1нед'!O182</f>
        <v>0</v>
      </c>
      <c r="G58" s="22" t="str">
        <f>'[1]1нед'!P182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'[1]2нед'!K182</f>
        <v>0</v>
      </c>
      <c r="M58" s="23">
        <f>'[1]2нед'!L182</f>
        <v>0</v>
      </c>
      <c r="N58" s="21">
        <f>'[1]2нед'!O182</f>
        <v>0</v>
      </c>
      <c r="O58" s="22" t="str">
        <f>'[1]2нед'!P182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'[1]1нед'!K59</f>
        <v>0</v>
      </c>
      <c r="E59" s="25">
        <f>'[1]1нед'!L59</f>
        <v>0</v>
      </c>
      <c r="F59" s="26">
        <f>'[1]1нед'!O59</f>
        <v>0</v>
      </c>
      <c r="G59" s="27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09.04.04 Программная инженерия (Разработка программно-информационных систем)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09.04.04 Программная инженерия (Разработка программно-информационных систем)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'[1]1нед'!$L$134</f>
        <v>12-25РПм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'[1]1нед'!$L$134</f>
        <v>12-25РПм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'[1]3нед'!K136</f>
        <v>0</v>
      </c>
      <c r="E72" s="19">
        <f>'[1]3нед'!L136</f>
        <v>0</v>
      </c>
      <c r="F72" s="17">
        <f>'[1]3нед'!O136</f>
        <v>0</v>
      </c>
      <c r="G72" s="18" t="str">
        <f>'[1]3нед'!P136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'[1]4нед'!K136</f>
        <v>0</v>
      </c>
      <c r="M72" s="19">
        <f>'[1]4нед'!L136</f>
        <v>0</v>
      </c>
      <c r="N72" s="17">
        <f>'[1]4нед'!O136</f>
        <v>0</v>
      </c>
      <c r="O72" s="18" t="str">
        <f>'[1]4нед'!P136</f>
        <v/>
      </c>
      <c r="P72" s="56" t="str">
        <f>HYPERLINK(VLOOKUP(M72,$R$12:$S$180,2,FALSE))</f>
        <v/>
      </c>
    </row>
    <row r="73" spans="1:16" ht="56.25" x14ac:dyDescent="0.2">
      <c r="A73" s="82"/>
      <c r="B73" s="85"/>
      <c r="C73" s="14" t="s">
        <v>19</v>
      </c>
      <c r="D73" s="20" t="str">
        <f>'[1]3нед'!K137</f>
        <v>л</v>
      </c>
      <c r="E73" s="23" t="str">
        <f>'[1]3нед'!L137</f>
        <v>Управление конфигурацией и сопровождение программного обеспечения</v>
      </c>
      <c r="F73" s="21" t="str">
        <f>'[1]3нед'!O137</f>
        <v>Круглый Д.Г.</v>
      </c>
      <c r="G73" s="22" t="str">
        <f>'[1]3нед'!P137</f>
        <v>профессор, д-р наук</v>
      </c>
      <c r="H73" s="57" t="str">
        <f>HYPERLINK(VLOOKUP(E73,$R$12:$S$180,2,FALSE))</f>
        <v>https://max.ru/join/M7wDISGvmShFMnRwwNWABqv4bmIdPah2zAI1ryedWA4</v>
      </c>
      <c r="I73" s="71"/>
      <c r="J73" s="88"/>
      <c r="K73" s="14" t="s">
        <v>19</v>
      </c>
      <c r="L73" s="20" t="str">
        <f>'[1]4нед'!K137</f>
        <v>л</v>
      </c>
      <c r="M73" s="23" t="str">
        <f>'[1]4нед'!L137</f>
        <v>Управление конфигурацией и сопровождение программного обеспечения</v>
      </c>
      <c r="N73" s="21" t="str">
        <f>'[1]4нед'!O137</f>
        <v>Круглый Д.Г.</v>
      </c>
      <c r="O73" s="22" t="str">
        <f>'[1]4нед'!P137</f>
        <v>профессор, д-р наук</v>
      </c>
      <c r="P73" s="57" t="str">
        <f>HYPERLINK(VLOOKUP(M73,$R$12:$S$180,2,FALSE))</f>
        <v>https://max.ru/join/M7wDISGvmShFMnRwwNWABqv4bmIdPah2zAI1ryedWA4</v>
      </c>
    </row>
    <row r="74" spans="1:16" ht="56.25" x14ac:dyDescent="0.2">
      <c r="A74" s="82"/>
      <c r="B74" s="85"/>
      <c r="C74" s="14" t="s">
        <v>20</v>
      </c>
      <c r="D74" s="20" t="str">
        <f>'[1]3нед'!K138</f>
        <v>л</v>
      </c>
      <c r="E74" s="23" t="str">
        <f>'[1]3нед'!L138</f>
        <v>Программирование графических процессоров</v>
      </c>
      <c r="F74" s="21" t="str">
        <f>'[1]3нед'!O138</f>
        <v>Круглый Д.Г.</v>
      </c>
      <c r="G74" s="22" t="str">
        <f>'[1]3нед'!P138</f>
        <v>профессор, д-р наук</v>
      </c>
      <c r="H74" s="57" t="str">
        <f>HYPERLINK(VLOOKUP(E74,$R$12:$S$180,2,FALSE))</f>
        <v>https://max.ru/join/M7wDISGvmShFMnRwwNWABqv4bmIdPah2zAI1ryedWA4</v>
      </c>
      <c r="I74" s="71"/>
      <c r="J74" s="88"/>
      <c r="K74" s="14" t="s">
        <v>20</v>
      </c>
      <c r="L74" s="20" t="str">
        <f>'[1]4нед'!K138</f>
        <v>л</v>
      </c>
      <c r="M74" s="23" t="str">
        <f>'[1]4нед'!L138</f>
        <v>Управление конфигурацией и сопровождение программного обеспечения</v>
      </c>
      <c r="N74" s="21" t="str">
        <f>'[1]4нед'!O138</f>
        <v>Круглый Д.Г.</v>
      </c>
      <c r="O74" s="22" t="str">
        <f>'[1]4нед'!P138</f>
        <v>профессор, д-р наук</v>
      </c>
      <c r="P74" s="57" t="str">
        <f>HYPERLINK(VLOOKUP(M74,$R$12:$S$180,2,FALSE))</f>
        <v>https://max.ru/join/M7wDISGvmShFMnRwwNWABqv4bmIdPah2zAI1ryedWA4</v>
      </c>
    </row>
    <row r="75" spans="1:16" ht="37.5" x14ac:dyDescent="0.2">
      <c r="A75" s="82"/>
      <c r="B75" s="85"/>
      <c r="C75" s="14" t="s">
        <v>21</v>
      </c>
      <c r="D75" s="20" t="str">
        <f>'[1]3нед'!K139</f>
        <v>л</v>
      </c>
      <c r="E75" s="23" t="str">
        <f>'[1]3нед'!L139</f>
        <v>Экономические аспекты программной инженерии</v>
      </c>
      <c r="F75" s="21" t="str">
        <f>'[1]3нед'!O139</f>
        <v>Самчинская Я.Б.</v>
      </c>
      <c r="G75" s="22" t="str">
        <f>'[1]3нед'!P139</f>
        <v>доцент, канд. наук</v>
      </c>
      <c r="H75" s="57" t="str">
        <f>HYPERLINK(VLOOKUP(E75,$R$12:$S$180,2,FALSE))</f>
        <v>https://max.ru/join/M7wDISGvmShFMnRwwNWABqv4bmIdPah2zAI1ryedWA4</v>
      </c>
      <c r="I75" s="71"/>
      <c r="J75" s="88"/>
      <c r="K75" s="14" t="s">
        <v>21</v>
      </c>
      <c r="L75" s="20" t="str">
        <f>'[1]4нед'!K139</f>
        <v>л</v>
      </c>
      <c r="M75" s="23" t="str">
        <f>'[1]4нед'!L139</f>
        <v>Экономические аспекты программной инженерии</v>
      </c>
      <c r="N75" s="21" t="str">
        <f>'[1]4нед'!O139</f>
        <v>Самчинская Я.Б.</v>
      </c>
      <c r="O75" s="22" t="str">
        <f>'[1]4нед'!P139</f>
        <v>доцент, канд. наук</v>
      </c>
      <c r="P75" s="57" t="str">
        <f>HYPERLINK(VLOOKUP(M75,$R$12:$S$180,2,FALSE))</f>
        <v>https://max.ru/join/M7wDISGvmShFMnRwwNWABqv4bmIdPah2zAI1ryedWA4</v>
      </c>
    </row>
    <row r="76" spans="1:16" ht="31.5" x14ac:dyDescent="0.2">
      <c r="A76" s="82"/>
      <c r="B76" s="85"/>
      <c r="C76" s="14" t="s">
        <v>22</v>
      </c>
      <c r="D76" s="20">
        <f>'[1]3нед'!K140</f>
        <v>0</v>
      </c>
      <c r="E76" s="23">
        <f>'[1]3нед'!L140</f>
        <v>0</v>
      </c>
      <c r="F76" s="21">
        <f>'[1]3нед'!O140</f>
        <v>0</v>
      </c>
      <c r="G76" s="22" t="str">
        <f>'[1]3нед'!P140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'[1]4нед'!K140</f>
        <v>0</v>
      </c>
      <c r="M76" s="23">
        <f>'[1]4нед'!L140</f>
        <v>0</v>
      </c>
      <c r="N76" s="21">
        <f>'[1]4нед'!O140</f>
        <v>0</v>
      </c>
      <c r="O76" s="22" t="str">
        <f>'[1]4нед'!P140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'[1]3нед'!K141</f>
        <v>0</v>
      </c>
      <c r="E77" s="23">
        <f>'[1]3нед'!L141</f>
        <v>0</v>
      </c>
      <c r="F77" s="21">
        <f>'[1]3нед'!O141</f>
        <v>0</v>
      </c>
      <c r="G77" s="22" t="str">
        <f>'[1]3нед'!P141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'[1]4нед'!K141</f>
        <v>0</v>
      </c>
      <c r="M77" s="23">
        <f>'[1]4нед'!L141</f>
        <v>0</v>
      </c>
      <c r="N77" s="21">
        <f>'[1]4нед'!O141</f>
        <v>0</v>
      </c>
      <c r="O77" s="22" t="str">
        <f>'[1]4нед'!P141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'[1]3нед'!K142</f>
        <v>0</v>
      </c>
      <c r="E78" s="23">
        <f>'[1]3нед'!L142</f>
        <v>0</v>
      </c>
      <c r="F78" s="21">
        <f>'[1]3нед'!O142</f>
        <v>0</v>
      </c>
      <c r="G78" s="22" t="str">
        <f>'[1]3нед'!P142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>
        <f>'[1]4нед'!K142</f>
        <v>0</v>
      </c>
      <c r="M78" s="23">
        <f>'[1]4нед'!L142</f>
        <v>0</v>
      </c>
      <c r="N78" s="21">
        <f>'[1]4нед'!O142</f>
        <v>0</v>
      </c>
      <c r="O78" s="22" t="str">
        <f>'[1]4нед'!P142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'[1]3нед'!K143</f>
        <v>0</v>
      </c>
      <c r="E79" s="25">
        <f>'[1]3нед'!L143</f>
        <v>0</v>
      </c>
      <c r="F79" s="26">
        <f>'[1]3нед'!O143</f>
        <v>0</v>
      </c>
      <c r="G79" s="27" t="str">
        <f>'[1]3нед'!P143</f>
        <v/>
      </c>
      <c r="H79" s="58" t="str">
        <f>HYPERLINK(VLOOKUP(E79,$R$12:$S$180,2,FALSE))</f>
        <v/>
      </c>
      <c r="I79" s="72"/>
      <c r="J79" s="89"/>
      <c r="K79" s="15"/>
      <c r="L79" s="24">
        <f>'[1]4нед'!K143</f>
        <v>0</v>
      </c>
      <c r="M79" s="25">
        <f>'[1]4нед'!L143</f>
        <v>0</v>
      </c>
      <c r="N79" s="26">
        <f>'[1]4нед'!O143</f>
        <v>0</v>
      </c>
      <c r="O79" s="27" t="str">
        <f>'[1]4нед'!P143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'[1]3нед'!K144</f>
        <v>0</v>
      </c>
      <c r="E80" s="19">
        <f>'[1]3нед'!L144</f>
        <v>0</v>
      </c>
      <c r="F80" s="17">
        <f>'[1]3нед'!O144</f>
        <v>0</v>
      </c>
      <c r="G80" s="18" t="str">
        <f>'[1]3нед'!P144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'[1]4нед'!K144</f>
        <v>0</v>
      </c>
      <c r="M80" s="19">
        <f>'[1]4нед'!L144</f>
        <v>0</v>
      </c>
      <c r="N80" s="17">
        <f>'[1]4нед'!O144</f>
        <v>0</v>
      </c>
      <c r="O80" s="18" t="str">
        <f>'[1]4нед'!P144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'[1]3нед'!K145</f>
        <v>0</v>
      </c>
      <c r="E81" s="23">
        <f>'[1]3нед'!L145</f>
        <v>0</v>
      </c>
      <c r="F81" s="21">
        <f>'[1]3нед'!O145</f>
        <v>0</v>
      </c>
      <c r="G81" s="22" t="str">
        <f>'[1]3нед'!P145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'[1]4нед'!K145</f>
        <v>0</v>
      </c>
      <c r="M81" s="23">
        <f>'[1]4нед'!L145</f>
        <v>0</v>
      </c>
      <c r="N81" s="21">
        <f>'[1]4нед'!O145</f>
        <v>0</v>
      </c>
      <c r="O81" s="22" t="str">
        <f>'[1]4нед'!P145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'[1]3нед'!K146</f>
        <v>0</v>
      </c>
      <c r="E82" s="23">
        <f>'[1]3нед'!L146</f>
        <v>0</v>
      </c>
      <c r="F82" s="21">
        <f>'[1]3нед'!O146</f>
        <v>0</v>
      </c>
      <c r="G82" s="22" t="str">
        <f>'[1]3нед'!P146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'[1]4нед'!K146</f>
        <v>0</v>
      </c>
      <c r="M82" s="23">
        <f>'[1]4нед'!L146</f>
        <v>0</v>
      </c>
      <c r="N82" s="21">
        <f>'[1]4нед'!O146</f>
        <v>0</v>
      </c>
      <c r="O82" s="22" t="str">
        <f>'[1]4нед'!P146</f>
        <v/>
      </c>
      <c r="P82" s="57" t="str">
        <f>HYPERLINK(VLOOKUP(M82,$R$12:$S$180,2,FALSE))</f>
        <v/>
      </c>
    </row>
    <row r="83" spans="1:16" ht="37.5" x14ac:dyDescent="0.2">
      <c r="A83" s="82"/>
      <c r="B83" s="85"/>
      <c r="C83" s="14" t="s">
        <v>21</v>
      </c>
      <c r="D83" s="20" t="str">
        <f>'[1]3нед'!K147</f>
        <v>пр</v>
      </c>
      <c r="E83" s="23" t="str">
        <f>'[1]3нед'!L147</f>
        <v xml:space="preserve"> Системы обработки больших данных</v>
      </c>
      <c r="F83" s="21" t="str">
        <f>'[1]3нед'!O147</f>
        <v>Гуцол Д.В.</v>
      </c>
      <c r="G83" s="22" t="str">
        <f>'[1]3нед'!P147</f>
        <v>ст. преподаватель</v>
      </c>
      <c r="H83" s="57" t="str">
        <f>HYPERLINK(VLOOKUP(E83,$R$12:$S$180,2,FALSE))</f>
        <v>https://max.ru/join/M7wDISGvmShFMnRwwNWABqv4bmIdPah2zAI1ryedWA4</v>
      </c>
      <c r="I83" s="71"/>
      <c r="J83" s="88"/>
      <c r="K83" s="14" t="s">
        <v>21</v>
      </c>
      <c r="L83" s="20" t="str">
        <f>'[1]4нед'!K147</f>
        <v>пр</v>
      </c>
      <c r="M83" s="23" t="str">
        <f>'[1]4нед'!L147</f>
        <v xml:space="preserve"> Системы обработки больших данных</v>
      </c>
      <c r="N83" s="21" t="str">
        <f>'[1]4нед'!O147</f>
        <v>Гуцол Д.В.</v>
      </c>
      <c r="O83" s="22" t="str">
        <f>'[1]4нед'!P147</f>
        <v>ст. преподаватель</v>
      </c>
      <c r="P83" s="57" t="str">
        <f>HYPERLINK(VLOOKUP(M83,$R$12:$S$180,2,FALSE))</f>
        <v>https://max.ru/join/M7wDISGvmShFMnRwwNWABqv4bmIdPah2zAI1ryedWA4</v>
      </c>
    </row>
    <row r="84" spans="1:16" ht="37.5" x14ac:dyDescent="0.2">
      <c r="A84" s="82"/>
      <c r="B84" s="85"/>
      <c r="C84" s="14" t="s">
        <v>22</v>
      </c>
      <c r="D84" s="20" t="str">
        <f>'[1]3нед'!K148</f>
        <v>пр</v>
      </c>
      <c r="E84" s="23" t="str">
        <f>'[1]3нед'!L148</f>
        <v xml:space="preserve"> Системы обработки больших данных</v>
      </c>
      <c r="F84" s="21" t="str">
        <f>'[1]3нед'!O148</f>
        <v>Гуцол Д.В.</v>
      </c>
      <c r="G84" s="22" t="str">
        <f>'[1]3нед'!P148</f>
        <v>ст. преподаватель</v>
      </c>
      <c r="H84" s="57" t="str">
        <f>HYPERLINK(VLOOKUP(E84,$R$12:$S$180,2,FALSE))</f>
        <v>https://max.ru/join/M7wDISGvmShFMnRwwNWABqv4bmIdPah2zAI1ryedWA4</v>
      </c>
      <c r="I84" s="71"/>
      <c r="J84" s="88"/>
      <c r="K84" s="14" t="s">
        <v>22</v>
      </c>
      <c r="L84" s="20" t="str">
        <f>'[1]4нед'!K148</f>
        <v>пр</v>
      </c>
      <c r="M84" s="23" t="str">
        <f>'[1]4нед'!L148</f>
        <v xml:space="preserve"> Системы обработки больших данных</v>
      </c>
      <c r="N84" s="21" t="str">
        <f>'[1]4нед'!O148</f>
        <v>Гуцол Д.В.</v>
      </c>
      <c r="O84" s="22" t="str">
        <f>'[1]4нед'!P148</f>
        <v>ст. преподаватель</v>
      </c>
      <c r="P84" s="57" t="str">
        <f>HYPERLINK(VLOOKUP(M84,$R$12:$S$180,2,FALSE))</f>
        <v>https://max.ru/join/M7wDISGvmShFMnRwwNWABqv4bmIdPah2zAI1ryedWA4</v>
      </c>
    </row>
    <row r="85" spans="1:16" ht="31.5" x14ac:dyDescent="0.2">
      <c r="A85" s="82"/>
      <c r="B85" s="85"/>
      <c r="C85" s="14" t="s">
        <v>23</v>
      </c>
      <c r="D85" s="20">
        <f>'[1]3нед'!K149</f>
        <v>0</v>
      </c>
      <c r="E85" s="23">
        <f>'[1]3нед'!L149</f>
        <v>0</v>
      </c>
      <c r="F85" s="21">
        <f>'[1]3нед'!O149</f>
        <v>0</v>
      </c>
      <c r="G85" s="22" t="str">
        <f>'[1]3нед'!P149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'[1]4нед'!K149</f>
        <v>0</v>
      </c>
      <c r="M85" s="23">
        <f>'[1]4нед'!L149</f>
        <v>0</v>
      </c>
      <c r="N85" s="21">
        <f>'[1]4нед'!O149</f>
        <v>0</v>
      </c>
      <c r="O85" s="22" t="str">
        <f>'[1]4нед'!P149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'[1]3нед'!K150</f>
        <v>0</v>
      </c>
      <c r="E86" s="23">
        <f>'[1]3нед'!L150</f>
        <v>0</v>
      </c>
      <c r="F86" s="21">
        <f>'[1]3нед'!O150</f>
        <v>0</v>
      </c>
      <c r="G86" s="22" t="str">
        <f>'[1]3нед'!P150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'[1]4нед'!K150</f>
        <v>0</v>
      </c>
      <c r="M86" s="23">
        <f>'[1]4нед'!L150</f>
        <v>0</v>
      </c>
      <c r="N86" s="21">
        <f>'[1]4нед'!O150</f>
        <v>0</v>
      </c>
      <c r="O86" s="22" t="str">
        <f>'[1]4нед'!P150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'[1]3нед'!K151</f>
        <v>0</v>
      </c>
      <c r="E87" s="25">
        <f>'[1]3нед'!L151</f>
        <v>0</v>
      </c>
      <c r="F87" s="26">
        <f>'[1]3нед'!O151</f>
        <v>0</v>
      </c>
      <c r="G87" s="27" t="str">
        <f>'[1]3нед'!P151</f>
        <v/>
      </c>
      <c r="H87" s="58" t="str">
        <f>HYPERLINK(VLOOKUP(E87,$R$12:$S$180,2,FALSE))</f>
        <v/>
      </c>
      <c r="I87" s="72"/>
      <c r="J87" s="89"/>
      <c r="K87" s="15"/>
      <c r="L87" s="24">
        <f>'[1]4нед'!K151</f>
        <v>0</v>
      </c>
      <c r="M87" s="25">
        <f>'[1]4нед'!L151</f>
        <v>0</v>
      </c>
      <c r="N87" s="26">
        <f>'[1]4нед'!O151</f>
        <v>0</v>
      </c>
      <c r="O87" s="27" t="str">
        <f>'[1]4нед'!P151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'[1]3нед'!K152</f>
        <v>0</v>
      </c>
      <c r="E88" s="19">
        <f>'[1]3нед'!L152</f>
        <v>0</v>
      </c>
      <c r="F88" s="17">
        <f>'[1]3нед'!O152</f>
        <v>0</v>
      </c>
      <c r="G88" s="18" t="str">
        <f>'[1]3нед'!P152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'[1]4нед'!K152</f>
        <v>0</v>
      </c>
      <c r="M88" s="19">
        <f>'[1]4нед'!L152</f>
        <v>0</v>
      </c>
      <c r="N88" s="17">
        <f>'[1]4нед'!O152</f>
        <v>0</v>
      </c>
      <c r="O88" s="18" t="str">
        <f>'[1]4нед'!P152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'[1]3нед'!K153</f>
        <v>0</v>
      </c>
      <c r="E89" s="23">
        <f>'[1]3нед'!L153</f>
        <v>0</v>
      </c>
      <c r="F89" s="21">
        <f>'[1]3нед'!O153</f>
        <v>0</v>
      </c>
      <c r="G89" s="22" t="str">
        <f>'[1]3нед'!P153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'[1]4нед'!K153</f>
        <v>0</v>
      </c>
      <c r="M89" s="23">
        <f>'[1]4нед'!L153</f>
        <v>0</v>
      </c>
      <c r="N89" s="21">
        <f>'[1]4нед'!O153</f>
        <v>0</v>
      </c>
      <c r="O89" s="22" t="str">
        <f>'[1]4нед'!P153</f>
        <v/>
      </c>
      <c r="P89" s="57" t="str">
        <f>HYPERLINK(VLOOKUP(M89,$R$12:$S$180,2,FALSE))</f>
        <v/>
      </c>
    </row>
    <row r="90" spans="1:16" ht="37.5" x14ac:dyDescent="0.2">
      <c r="A90" s="82"/>
      <c r="B90" s="68"/>
      <c r="C90" s="14" t="s">
        <v>20</v>
      </c>
      <c r="D90" s="20">
        <f>'[1]3нед'!K154</f>
        <v>0</v>
      </c>
      <c r="E90" s="23">
        <f>'[1]3нед'!L154</f>
        <v>0</v>
      </c>
      <c r="F90" s="21">
        <f>'[1]3нед'!O154</f>
        <v>0</v>
      </c>
      <c r="G90" s="22" t="str">
        <f>'[1]3нед'!P154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 t="str">
        <f>'[1]4нед'!K154</f>
        <v>пр</v>
      </c>
      <c r="M90" s="23" t="str">
        <f>'[1]4нед'!L154</f>
        <v xml:space="preserve"> Программирование графических процессоров</v>
      </c>
      <c r="N90" s="21" t="str">
        <f>'[1]4нед'!O154</f>
        <v>Алешов Е.В.</v>
      </c>
      <c r="O90" s="22" t="str">
        <f>'[1]4нед'!P154</f>
        <v>преподаватель</v>
      </c>
      <c r="P90" s="57" t="str">
        <f>HYPERLINK(VLOOKUP(M90,$R$12:$S$180,2,FALSE))</f>
        <v>https://max.ru/join/M7wDISGvmShFMnRwwNWABqv4bmIdPah2zAI1ryedWA4</v>
      </c>
    </row>
    <row r="91" spans="1:16" ht="56.25" x14ac:dyDescent="0.2">
      <c r="A91" s="82"/>
      <c r="B91" s="68"/>
      <c r="C91" s="14" t="s">
        <v>21</v>
      </c>
      <c r="D91" s="20" t="str">
        <f>'[1]3нед'!K155</f>
        <v>пр</v>
      </c>
      <c r="E91" s="23" t="str">
        <f>'[1]3нед'!L155</f>
        <v xml:space="preserve"> Управление конфигурацией и сопровождение программного обеспечения</v>
      </c>
      <c r="F91" s="21" t="str">
        <f>'[1]3нед'!O155</f>
        <v>Гуцол Д.В.</v>
      </c>
      <c r="G91" s="22" t="str">
        <f>'[1]3нед'!P155</f>
        <v>ст. преподаватель</v>
      </c>
      <c r="H91" s="57" t="str">
        <f>HYPERLINK(VLOOKUP(E91,$R$12:$S$180,2,FALSE))</f>
        <v>https://max.ru/join/M7wDISGvmShFMnRwwNWABqv4bmIdPah2zAI1ryedWA4</v>
      </c>
      <c r="I91" s="71"/>
      <c r="J91" s="74"/>
      <c r="K91" s="14" t="s">
        <v>21</v>
      </c>
      <c r="L91" s="20" t="str">
        <f>'[1]4нед'!K155</f>
        <v>пр</v>
      </c>
      <c r="M91" s="23" t="str">
        <f>'[1]4нед'!L155</f>
        <v xml:space="preserve"> Программирование графических процессоров</v>
      </c>
      <c r="N91" s="21" t="str">
        <f>'[1]4нед'!O155</f>
        <v>Алешов Е.В.</v>
      </c>
      <c r="O91" s="22" t="str">
        <f>'[1]4нед'!P155</f>
        <v>преподаватель</v>
      </c>
      <c r="P91" s="57" t="str">
        <f>HYPERLINK(VLOOKUP(M91,$R$12:$S$180,2,FALSE))</f>
        <v>https://max.ru/join/M7wDISGvmShFMnRwwNWABqv4bmIdPah2zAI1ryedWA4</v>
      </c>
    </row>
    <row r="92" spans="1:16" ht="56.25" x14ac:dyDescent="0.2">
      <c r="A92" s="82"/>
      <c r="B92" s="68"/>
      <c r="C92" s="14" t="s">
        <v>22</v>
      </c>
      <c r="D92" s="20" t="str">
        <f>'[1]3нед'!K156</f>
        <v>пр</v>
      </c>
      <c r="E92" s="23" t="str">
        <f>'[1]3нед'!L156</f>
        <v xml:space="preserve"> Управление конфигурацией и сопровождение программного обеспечения</v>
      </c>
      <c r="F92" s="21" t="str">
        <f>'[1]3нед'!O156</f>
        <v>Гуцол Д.В.</v>
      </c>
      <c r="G92" s="22" t="str">
        <f>'[1]3нед'!P156</f>
        <v>ст. преподаватель</v>
      </c>
      <c r="H92" s="57" t="str">
        <f>HYPERLINK(VLOOKUP(E92,$R$12:$S$180,2,FALSE))</f>
        <v>https://max.ru/join/M7wDISGvmShFMnRwwNWABqv4bmIdPah2zAI1ryedWA4</v>
      </c>
      <c r="I92" s="71"/>
      <c r="J92" s="74"/>
      <c r="K92" s="14" t="s">
        <v>22</v>
      </c>
      <c r="L92" s="20">
        <f>'[1]4нед'!K156</f>
        <v>0</v>
      </c>
      <c r="M92" s="23">
        <f>'[1]4нед'!L156</f>
        <v>0</v>
      </c>
      <c r="N92" s="21">
        <f>'[1]4нед'!O156</f>
        <v>0</v>
      </c>
      <c r="O92" s="22" t="str">
        <f>'[1]4нед'!P156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>
        <f>'[1]3нед'!K157</f>
        <v>0</v>
      </c>
      <c r="E93" s="23">
        <f>'[1]3нед'!L157</f>
        <v>0</v>
      </c>
      <c r="F93" s="21">
        <f>'[1]3нед'!O157</f>
        <v>0</v>
      </c>
      <c r="G93" s="22" t="str">
        <f>'[1]3нед'!P157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>
        <f>'[1]4нед'!K157</f>
        <v>0</v>
      </c>
      <c r="M93" s="23">
        <f>'[1]4нед'!L157</f>
        <v>0</v>
      </c>
      <c r="N93" s="21">
        <f>'[1]4нед'!O157</f>
        <v>0</v>
      </c>
      <c r="O93" s="22" t="str">
        <f>'[1]4нед'!P157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>
        <f>'[1]3нед'!K158</f>
        <v>0</v>
      </c>
      <c r="E94" s="23">
        <f>'[1]3нед'!L158</f>
        <v>0</v>
      </c>
      <c r="F94" s="21">
        <f>'[1]3нед'!O158</f>
        <v>0</v>
      </c>
      <c r="G94" s="22" t="str">
        <f>'[1]3нед'!P158</f>
        <v/>
      </c>
      <c r="H94" s="55" t="str">
        <f>HYPERLINK(VLOOKUP(E94,$R$12:$S$180,2,FALSE))</f>
        <v/>
      </c>
      <c r="I94" s="71"/>
      <c r="J94" s="74"/>
      <c r="K94" s="14" t="s">
        <v>24</v>
      </c>
      <c r="L94" s="20">
        <f>'[1]4нед'!K158</f>
        <v>0</v>
      </c>
      <c r="M94" s="23">
        <f>'[1]4нед'!L158</f>
        <v>0</v>
      </c>
      <c r="N94" s="21">
        <f>'[1]4нед'!O158</f>
        <v>0</v>
      </c>
      <c r="O94" s="22" t="str">
        <f>'[1]4нед'!P158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'[1]3нед'!K159</f>
        <v>0</v>
      </c>
      <c r="E95" s="25">
        <f>'[1]3нед'!L159</f>
        <v>0</v>
      </c>
      <c r="F95" s="26">
        <f>'[1]3нед'!O159</f>
        <v>0</v>
      </c>
      <c r="G95" s="27" t="str">
        <f>'[1]3нед'!P159</f>
        <v/>
      </c>
      <c r="H95" s="58" t="str">
        <f>HYPERLINK(VLOOKUP(E95,$R$12:$S$180,2,FALSE))</f>
        <v/>
      </c>
      <c r="I95" s="72"/>
      <c r="J95" s="75"/>
      <c r="K95" s="15"/>
      <c r="L95" s="24">
        <f>'[1]4нед'!K159</f>
        <v>0</v>
      </c>
      <c r="M95" s="25">
        <f>'[1]4нед'!L159</f>
        <v>0</v>
      </c>
      <c r="N95" s="26">
        <f>'[1]4нед'!O159</f>
        <v>0</v>
      </c>
      <c r="O95" s="27" t="str">
        <f>'[1]4нед'!P159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'[1]3нед'!K160</f>
        <v>0</v>
      </c>
      <c r="E96" s="19">
        <f>'[1]3нед'!L160</f>
        <v>0</v>
      </c>
      <c r="F96" s="17">
        <f>'[1]3нед'!O160</f>
        <v>0</v>
      </c>
      <c r="G96" s="18" t="str">
        <f>'[1]3нед'!P160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'[1]4нед'!K160</f>
        <v>0</v>
      </c>
      <c r="M96" s="19">
        <f>'[1]4нед'!L160</f>
        <v>0</v>
      </c>
      <c r="N96" s="17">
        <f>'[1]4нед'!O160</f>
        <v>0</v>
      </c>
      <c r="O96" s="18" t="str">
        <f>'[1]4нед'!P160</f>
        <v/>
      </c>
      <c r="P96" s="56" t="str">
        <f>HYPERLINK(VLOOKUP(M96,$R$12:$S$180,2,FALSE))</f>
        <v/>
      </c>
    </row>
    <row r="97" spans="1:16" ht="37.5" x14ac:dyDescent="0.2">
      <c r="A97" s="82"/>
      <c r="B97" s="85"/>
      <c r="C97" s="14" t="s">
        <v>19</v>
      </c>
      <c r="D97" s="20" t="str">
        <f>'[1]3нед'!K161</f>
        <v>л</v>
      </c>
      <c r="E97" s="23" t="str">
        <f>'[1]3нед'!L161</f>
        <v>Современные операционные системы и базы данных</v>
      </c>
      <c r="F97" s="21" t="str">
        <f>'[1]3нед'!O161</f>
        <v>Галлини Н.И.</v>
      </c>
      <c r="G97" s="22" t="str">
        <f>'[1]3нед'!P161</f>
        <v>доцент, канд. наук</v>
      </c>
      <c r="H97" s="57" t="str">
        <f>HYPERLINK(VLOOKUP(E97,$R$12:$S$180,2,FALSE))</f>
        <v>https://max.ru/join/M7wDISGvmShFMnRwwNWABqv4bmIdPah2zAI1ryedWA4</v>
      </c>
      <c r="I97" s="71"/>
      <c r="J97" s="88"/>
      <c r="K97" s="14" t="s">
        <v>19</v>
      </c>
      <c r="L97" s="20" t="str">
        <f>'[1]4нед'!K161</f>
        <v>пр</v>
      </c>
      <c r="M97" s="23" t="str">
        <f>'[1]4нед'!L161</f>
        <v>Современные операционные системы и базы данных</v>
      </c>
      <c r="N97" s="21" t="str">
        <f>'[1]4нед'!O161</f>
        <v>Галлини Н.И.</v>
      </c>
      <c r="O97" s="22" t="str">
        <f>'[1]4нед'!P161</f>
        <v>доцент, канд. наук</v>
      </c>
      <c r="P97" s="57" t="str">
        <f>HYPERLINK(VLOOKUP(M97,$R$12:$S$180,2,FALSE))</f>
        <v>https://max.ru/join/M7wDISGvmShFMnRwwNWABqv4bmIdPah2zAI1ryedWA4</v>
      </c>
    </row>
    <row r="98" spans="1:16" ht="37.5" x14ac:dyDescent="0.2">
      <c r="A98" s="82"/>
      <c r="B98" s="85"/>
      <c r="C98" s="14" t="s">
        <v>20</v>
      </c>
      <c r="D98" s="20" t="str">
        <f>'[1]3нед'!K162</f>
        <v>пр</v>
      </c>
      <c r="E98" s="23" t="str">
        <f>'[1]3нед'!L162</f>
        <v>Современные операционные системы и базы данных</v>
      </c>
      <c r="F98" s="21" t="str">
        <f>'[1]3нед'!O162</f>
        <v>Галлини Н.И.</v>
      </c>
      <c r="G98" s="22" t="str">
        <f>'[1]3нед'!P162</f>
        <v>доцент, канд. наук</v>
      </c>
      <c r="H98" s="57" t="str">
        <f>HYPERLINK(VLOOKUP(E98,$R$12:$S$180,2,FALSE))</f>
        <v>https://max.ru/join/M7wDISGvmShFMnRwwNWABqv4bmIdPah2zAI1ryedWA4</v>
      </c>
      <c r="I98" s="71"/>
      <c r="J98" s="88"/>
      <c r="K98" s="14" t="s">
        <v>20</v>
      </c>
      <c r="L98" s="20" t="str">
        <f>'[1]4нед'!K162</f>
        <v>пр</v>
      </c>
      <c r="M98" s="23" t="str">
        <f>'[1]4нед'!L162</f>
        <v>Современные операционные системы и базы данных</v>
      </c>
      <c r="N98" s="21" t="str">
        <f>'[1]4нед'!O162</f>
        <v>Галлини Н.И.</v>
      </c>
      <c r="O98" s="22" t="str">
        <f>'[1]4нед'!P162</f>
        <v>доцент, канд. наук</v>
      </c>
      <c r="P98" s="57" t="str">
        <f>HYPERLINK(VLOOKUP(M98,$R$12:$S$180,2,FALSE))</f>
        <v>https://max.ru/join/M7wDISGvmShFMnRwwNWABqv4bmIdPah2zAI1ryedWA4</v>
      </c>
    </row>
    <row r="99" spans="1:16" ht="37.5" x14ac:dyDescent="0.2">
      <c r="A99" s="82"/>
      <c r="B99" s="85"/>
      <c r="C99" s="14" t="s">
        <v>21</v>
      </c>
      <c r="D99" s="20" t="str">
        <f>'[1]3нед'!K163</f>
        <v>пр</v>
      </c>
      <c r="E99" s="23" t="str">
        <f>'[1]3нед'!L163</f>
        <v>Экономические аспекты программной инженерии</v>
      </c>
      <c r="F99" s="21" t="str">
        <f>'[1]3нед'!O163</f>
        <v>Самчинская Я.Б.</v>
      </c>
      <c r="G99" s="22" t="str">
        <f>'[1]3нед'!P163</f>
        <v>доцент, канд. наук</v>
      </c>
      <c r="H99" s="57" t="str">
        <f>HYPERLINK(VLOOKUP(E99,$R$12:$S$180,2,FALSE))</f>
        <v>https://max.ru/join/M7wDISGvmShFMnRwwNWABqv4bmIdPah2zAI1ryedWA4</v>
      </c>
      <c r="I99" s="71"/>
      <c r="J99" s="88"/>
      <c r="K99" s="14" t="s">
        <v>21</v>
      </c>
      <c r="L99" s="20" t="str">
        <f>'[1]4нед'!K163</f>
        <v>пр</v>
      </c>
      <c r="M99" s="23" t="str">
        <f>'[1]4нед'!L163</f>
        <v>Экономические аспекты программной инженерии</v>
      </c>
      <c r="N99" s="21" t="str">
        <f>'[1]4нед'!O163</f>
        <v>Самчинская Я.Б.</v>
      </c>
      <c r="O99" s="22" t="str">
        <f>'[1]4нед'!P163</f>
        <v>доцент, канд. наук</v>
      </c>
      <c r="P99" s="57" t="str">
        <f>HYPERLINK(VLOOKUP(M99,$R$12:$S$180,2,FALSE))</f>
        <v>https://max.ru/join/M7wDISGvmShFMnRwwNWABqv4bmIdPah2zAI1ryedWA4</v>
      </c>
    </row>
    <row r="100" spans="1:16" ht="31.5" x14ac:dyDescent="0.2">
      <c r="A100" s="82"/>
      <c r="B100" s="85"/>
      <c r="C100" s="14" t="s">
        <v>22</v>
      </c>
      <c r="D100" s="20">
        <f>'[1]3нед'!K164</f>
        <v>0</v>
      </c>
      <c r="E100" s="23">
        <f>'[1]3нед'!L164</f>
        <v>0</v>
      </c>
      <c r="F100" s="21">
        <f>'[1]3нед'!O164</f>
        <v>0</v>
      </c>
      <c r="G100" s="22" t="str">
        <f>'[1]3нед'!P164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'[1]4нед'!K164</f>
        <v>0</v>
      </c>
      <c r="M100" s="23">
        <f>'[1]4нед'!L164</f>
        <v>0</v>
      </c>
      <c r="N100" s="21">
        <f>'[1]4нед'!O164</f>
        <v>0</v>
      </c>
      <c r="O100" s="22" t="str">
        <f>'[1]4нед'!P164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'[1]3нед'!K165</f>
        <v>0</v>
      </c>
      <c r="E101" s="23">
        <f>'[1]3нед'!L165</f>
        <v>0</v>
      </c>
      <c r="F101" s="21">
        <f>'[1]3нед'!O165</f>
        <v>0</v>
      </c>
      <c r="G101" s="22" t="str">
        <f>'[1]3нед'!P165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'[1]4нед'!K165</f>
        <v>0</v>
      </c>
      <c r="M101" s="23">
        <f>'[1]4нед'!L165</f>
        <v>0</v>
      </c>
      <c r="N101" s="21">
        <f>'[1]4нед'!O165</f>
        <v>0</v>
      </c>
      <c r="O101" s="22" t="str">
        <f>'[1]4нед'!P165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>
        <f>'[1]3нед'!K166</f>
        <v>0</v>
      </c>
      <c r="E102" s="23">
        <f>'[1]3нед'!L166</f>
        <v>0</v>
      </c>
      <c r="F102" s="21">
        <f>'[1]3нед'!O166</f>
        <v>0</v>
      </c>
      <c r="G102" s="22" t="str">
        <f>'[1]3нед'!P166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>
        <f>'[1]4нед'!K166</f>
        <v>0</v>
      </c>
      <c r="M102" s="23">
        <f>'[1]4нед'!L166</f>
        <v>0</v>
      </c>
      <c r="N102" s="21">
        <f>'[1]4нед'!O166</f>
        <v>0</v>
      </c>
      <c r="O102" s="22" t="str">
        <f>'[1]4нед'!P166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'[1]3нед'!K167</f>
        <v>0</v>
      </c>
      <c r="E103" s="25">
        <f>'[1]3нед'!L167</f>
        <v>0</v>
      </c>
      <c r="F103" s="26">
        <f>'[1]3нед'!O167</f>
        <v>0</v>
      </c>
      <c r="G103" s="27" t="str">
        <f>'[1]3нед'!P167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'[1]4нед'!K167</f>
        <v>0</v>
      </c>
      <c r="M103" s="25">
        <f>'[1]4нед'!L167</f>
        <v>0</v>
      </c>
      <c r="N103" s="26">
        <f>'[1]4нед'!O167</f>
        <v>0</v>
      </c>
      <c r="O103" s="27" t="str">
        <f>'[1]4нед'!P167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'[1]3нед'!K168</f>
        <v>0</v>
      </c>
      <c r="E104" s="19">
        <f>'[1]3нед'!L168</f>
        <v>0</v>
      </c>
      <c r="F104" s="17">
        <f>'[1]3нед'!O168</f>
        <v>0</v>
      </c>
      <c r="G104" s="18" t="str">
        <f>'[1]3нед'!P168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'[1]4нед'!K168</f>
        <v>0</v>
      </c>
      <c r="M104" s="19">
        <f>'[1]4нед'!L168</f>
        <v>0</v>
      </c>
      <c r="N104" s="17">
        <f>'[1]4нед'!O168</f>
        <v>0</v>
      </c>
      <c r="O104" s="18" t="str">
        <f>'[1]4нед'!P168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'[1]3нед'!K169</f>
        <v>0</v>
      </c>
      <c r="E105" s="23">
        <f>'[1]3нед'!L169</f>
        <v>0</v>
      </c>
      <c r="F105" s="21">
        <f>'[1]3нед'!O169</f>
        <v>0</v>
      </c>
      <c r="G105" s="22" t="str">
        <f>'[1]3нед'!P169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'[1]4нед'!K169</f>
        <v>0</v>
      </c>
      <c r="M105" s="23">
        <f>'[1]4нед'!L169</f>
        <v>0</v>
      </c>
      <c r="N105" s="21">
        <f>'[1]4нед'!O169</f>
        <v>0</v>
      </c>
      <c r="O105" s="22" t="str">
        <f>'[1]4нед'!P169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'[1]3нед'!K170</f>
        <v>0</v>
      </c>
      <c r="E106" s="23">
        <f>'[1]3нед'!L170</f>
        <v>0</v>
      </c>
      <c r="F106" s="21">
        <f>'[1]3нед'!O170</f>
        <v>0</v>
      </c>
      <c r="G106" s="22" t="str">
        <f>'[1]3нед'!P170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'[1]4нед'!K170</f>
        <v>0</v>
      </c>
      <c r="M106" s="23">
        <f>'[1]4нед'!L170</f>
        <v>0</v>
      </c>
      <c r="N106" s="21">
        <f>'[1]4нед'!O170</f>
        <v>0</v>
      </c>
      <c r="O106" s="22" t="str">
        <f>'[1]4нед'!P170</f>
        <v/>
      </c>
      <c r="P106" s="57" t="str">
        <f>HYPERLINK(VLOOKUP(M106,$R$12:$S$180,2,FALSE))</f>
        <v/>
      </c>
    </row>
    <row r="107" spans="1:16" ht="37.5" x14ac:dyDescent="0.2">
      <c r="A107" s="82"/>
      <c r="B107" s="85"/>
      <c r="C107" s="14" t="s">
        <v>21</v>
      </c>
      <c r="D107" s="20" t="str">
        <f>'[1]3нед'!K171</f>
        <v>л</v>
      </c>
      <c r="E107" s="23" t="str">
        <f>'[1]3нед'!L171</f>
        <v>Процессы и профессиональная практика программной инженерии</v>
      </c>
      <c r="F107" s="21" t="str">
        <f>'[1]3нед'!O171</f>
        <v>Алешов Е.В.</v>
      </c>
      <c r="G107" s="22" t="str">
        <f>'[1]3нед'!P171</f>
        <v>преподаватель</v>
      </c>
      <c r="H107" s="57" t="str">
        <f>HYPERLINK(VLOOKUP(E107,$R$12:$S$180,2,FALSE))</f>
        <v>https://max.ru/join/M7wDISGvmShFMnRwwNWABqv4bmIdPah2zAI1ryedWA4</v>
      </c>
      <c r="I107" s="71"/>
      <c r="J107" s="88"/>
      <c r="K107" s="14" t="s">
        <v>21</v>
      </c>
      <c r="L107" s="20" t="str">
        <f>'[1]4нед'!K171</f>
        <v>пр</v>
      </c>
      <c r="M107" s="23" t="str">
        <f>'[1]4нед'!L171</f>
        <v>Процессы и профессиональная практика программной инженерии</v>
      </c>
      <c r="N107" s="21" t="str">
        <f>'[1]4нед'!O171</f>
        <v>Алешов Е.В.</v>
      </c>
      <c r="O107" s="22" t="str">
        <f>'[1]4нед'!P171</f>
        <v>преподаватель</v>
      </c>
      <c r="P107" s="57" t="str">
        <f>HYPERLINK(VLOOKUP(M107,$R$12:$S$180,2,FALSE))</f>
        <v>https://max.ru/join/M7wDISGvmShFMnRwwNWABqv4bmIdPah2zAI1ryedWA4</v>
      </c>
    </row>
    <row r="108" spans="1:16" ht="37.5" x14ac:dyDescent="0.2">
      <c r="A108" s="82"/>
      <c r="B108" s="85"/>
      <c r="C108" s="14" t="s">
        <v>22</v>
      </c>
      <c r="D108" s="20" t="str">
        <f>'[1]3нед'!K172</f>
        <v>пр</v>
      </c>
      <c r="E108" s="23" t="str">
        <f>'[1]3нед'!L172</f>
        <v>Процессы и профессиональная практика программной инженерии</v>
      </c>
      <c r="F108" s="21" t="str">
        <f>'[1]3нед'!O172</f>
        <v>Алешов Е.В.</v>
      </c>
      <c r="G108" s="22" t="str">
        <f>'[1]3нед'!P172</f>
        <v>преподаватель</v>
      </c>
      <c r="H108" s="57" t="str">
        <f>HYPERLINK(VLOOKUP(E108,$R$12:$S$180,2,FALSE))</f>
        <v>https://max.ru/join/M7wDISGvmShFMnRwwNWABqv4bmIdPah2zAI1ryedWA4</v>
      </c>
      <c r="I108" s="71"/>
      <c r="J108" s="88"/>
      <c r="K108" s="14" t="s">
        <v>22</v>
      </c>
      <c r="L108" s="20" t="str">
        <f>'[1]4нед'!K172</f>
        <v>пр</v>
      </c>
      <c r="M108" s="23" t="str">
        <f>'[1]4нед'!L172</f>
        <v>Процессы и профессиональная практика программной инженерии</v>
      </c>
      <c r="N108" s="21" t="str">
        <f>'[1]4нед'!O172</f>
        <v>Алешов Е.В.</v>
      </c>
      <c r="O108" s="22" t="str">
        <f>'[1]4нед'!P172</f>
        <v>преподаватель</v>
      </c>
      <c r="P108" s="57" t="str">
        <f>HYPERLINK(VLOOKUP(M108,$R$12:$S$180,2,FALSE))</f>
        <v>https://max.ru/join/M7wDISGvmShFMnRwwNWABqv4bmIdPah2zAI1ryedWA4</v>
      </c>
    </row>
    <row r="109" spans="1:16" ht="31.5" x14ac:dyDescent="0.2">
      <c r="A109" s="82"/>
      <c r="B109" s="85"/>
      <c r="C109" s="14" t="s">
        <v>23</v>
      </c>
      <c r="D109" s="20">
        <f>'[1]3нед'!K173</f>
        <v>0</v>
      </c>
      <c r="E109" s="23">
        <f>'[1]3нед'!L173</f>
        <v>0</v>
      </c>
      <c r="F109" s="21">
        <f>'[1]3нед'!O173</f>
        <v>0</v>
      </c>
      <c r="G109" s="22" t="str">
        <f>'[1]3нед'!P173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'[1]4нед'!K173</f>
        <v>0</v>
      </c>
      <c r="M109" s="23">
        <f>'[1]4нед'!L173</f>
        <v>0</v>
      </c>
      <c r="N109" s="21">
        <f>'[1]4нед'!O173</f>
        <v>0</v>
      </c>
      <c r="O109" s="22" t="str">
        <f>'[1]4нед'!P173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'[1]3нед'!K174</f>
        <v>0</v>
      </c>
      <c r="E110" s="23">
        <f>'[1]3нед'!L174</f>
        <v>0</v>
      </c>
      <c r="F110" s="21">
        <f>'[1]3нед'!O174</f>
        <v>0</v>
      </c>
      <c r="G110" s="22" t="str">
        <f>'[1]3нед'!P174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'[1]4нед'!K174</f>
        <v>0</v>
      </c>
      <c r="M110" s="23">
        <f>'[1]4нед'!L174</f>
        <v>0</v>
      </c>
      <c r="N110" s="21">
        <f>'[1]4нед'!O174</f>
        <v>0</v>
      </c>
      <c r="O110" s="22" t="str">
        <f>'[1]4нед'!P174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'[1]3нед'!K175</f>
        <v>0</v>
      </c>
      <c r="E111" s="25">
        <f>'[1]3нед'!L175</f>
        <v>0</v>
      </c>
      <c r="F111" s="26">
        <f>'[1]3нед'!O175</f>
        <v>0</v>
      </c>
      <c r="G111" s="27" t="str">
        <f>'[1]3нед'!P175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'[1]4нед'!K175</f>
        <v>0</v>
      </c>
      <c r="M111" s="25">
        <f>'[1]4нед'!L175</f>
        <v>0</v>
      </c>
      <c r="N111" s="26">
        <f>'[1]4нед'!O175</f>
        <v>0</v>
      </c>
      <c r="O111" s="27" t="str">
        <f>'[1]4нед'!P175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'[1]3нед'!K176</f>
        <v>0</v>
      </c>
      <c r="E112" s="19">
        <f>'[1]3нед'!L176</f>
        <v>0</v>
      </c>
      <c r="F112" s="17">
        <f>'[1]3нед'!O176</f>
        <v>0</v>
      </c>
      <c r="G112" s="18" t="str">
        <f>'[1]3нед'!P176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'[1]4нед'!K176</f>
        <v>0</v>
      </c>
      <c r="M112" s="19">
        <f>'[1]4нед'!L176</f>
        <v>0</v>
      </c>
      <c r="N112" s="17">
        <f>'[1]4нед'!O176</f>
        <v>0</v>
      </c>
      <c r="O112" s="18" t="str">
        <f>'[1]4нед'!P176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'[1]3нед'!K177</f>
        <v>0</v>
      </c>
      <c r="E113" s="23">
        <f>'[1]3нед'!L177</f>
        <v>0</v>
      </c>
      <c r="F113" s="21">
        <f>'[1]3нед'!O177</f>
        <v>0</v>
      </c>
      <c r="G113" s="22" t="str">
        <f>'[1]3нед'!P177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'[1]4нед'!K177</f>
        <v>0</v>
      </c>
      <c r="M113" s="23">
        <f>'[1]4нед'!L177</f>
        <v>0</v>
      </c>
      <c r="N113" s="21">
        <f>'[1]4нед'!O177</f>
        <v>0</v>
      </c>
      <c r="O113" s="22" t="str">
        <f>'[1]4нед'!P177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'[1]3нед'!K178</f>
        <v>0</v>
      </c>
      <c r="E114" s="23">
        <f>'[1]3нед'!L178</f>
        <v>0</v>
      </c>
      <c r="F114" s="21">
        <f>'[1]3нед'!O178</f>
        <v>0</v>
      </c>
      <c r="G114" s="22" t="str">
        <f>'[1]3нед'!P178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'[1]4нед'!K178</f>
        <v>0</v>
      </c>
      <c r="M114" s="23">
        <f>'[1]4нед'!L178</f>
        <v>0</v>
      </c>
      <c r="N114" s="21">
        <f>'[1]4нед'!O178</f>
        <v>0</v>
      </c>
      <c r="O114" s="22" t="str">
        <f>'[1]4нед'!P178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'[1]3нед'!K179</f>
        <v>0</v>
      </c>
      <c r="E115" s="23">
        <f>'[1]3нед'!L179</f>
        <v>0</v>
      </c>
      <c r="F115" s="21">
        <f>'[1]3нед'!O179</f>
        <v>0</v>
      </c>
      <c r="G115" s="22" t="str">
        <f>'[1]3нед'!P179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'[1]4нед'!K179</f>
        <v>0</v>
      </c>
      <c r="M115" s="23">
        <f>'[1]4нед'!L179</f>
        <v>0</v>
      </c>
      <c r="N115" s="21">
        <f>'[1]4нед'!O179</f>
        <v>0</v>
      </c>
      <c r="O115" s="22" t="str">
        <f>'[1]4нед'!P179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'[1]3нед'!K180</f>
        <v>0</v>
      </c>
      <c r="E116" s="23">
        <f>'[1]3нед'!L180</f>
        <v>0</v>
      </c>
      <c r="F116" s="21">
        <f>'[1]3нед'!O180</f>
        <v>0</v>
      </c>
      <c r="G116" s="22" t="str">
        <f>'[1]3нед'!P180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'[1]4нед'!K180</f>
        <v>0</v>
      </c>
      <c r="M116" s="23">
        <f>'[1]4нед'!L180</f>
        <v>0</v>
      </c>
      <c r="N116" s="21">
        <f>'[1]4нед'!O180</f>
        <v>0</v>
      </c>
      <c r="O116" s="22" t="str">
        <f>'[1]4нед'!P180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'[1]3нед'!K181</f>
        <v>0</v>
      </c>
      <c r="E117" s="23">
        <f>'[1]3нед'!L181</f>
        <v>0</v>
      </c>
      <c r="F117" s="21">
        <f>'[1]3нед'!O181</f>
        <v>0</v>
      </c>
      <c r="G117" s="22" t="str">
        <f>'[1]3нед'!P181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'[1]4нед'!K181</f>
        <v>0</v>
      </c>
      <c r="M117" s="23">
        <f>'[1]4нед'!L181</f>
        <v>0</v>
      </c>
      <c r="N117" s="21">
        <f>'[1]4нед'!O181</f>
        <v>0</v>
      </c>
      <c r="O117" s="22" t="str">
        <f>'[1]4нед'!P181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'[1]3нед'!K182</f>
        <v>0</v>
      </c>
      <c r="E118" s="23">
        <f>'[1]3нед'!L182</f>
        <v>0</v>
      </c>
      <c r="F118" s="21">
        <f>'[1]3нед'!O182</f>
        <v>0</v>
      </c>
      <c r="G118" s="22" t="str">
        <f>'[1]3нед'!P182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'[1]4нед'!K182</f>
        <v>0</v>
      </c>
      <c r="M118" s="23">
        <f>'[1]4нед'!L182</f>
        <v>0</v>
      </c>
      <c r="N118" s="21">
        <f>'[1]4нед'!O182</f>
        <v>0</v>
      </c>
      <c r="O118" s="22" t="str">
        <f>'[1]4нед'!P182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'[1]3нед'!K59</f>
        <v>0</v>
      </c>
      <c r="E119" s="25">
        <f>'[1]3нед'!L59</f>
        <v>0</v>
      </c>
      <c r="F119" s="26">
        <f>'[1]3нед'!O59</f>
        <v>0</v>
      </c>
      <c r="G119" s="27" t="str">
        <f>'[1]3нед'!P59</f>
        <v/>
      </c>
      <c r="H119" s="39"/>
      <c r="I119" s="72"/>
      <c r="J119" s="89"/>
      <c r="K119" s="15"/>
      <c r="L119" s="24">
        <f>'[1]4нед'!K183</f>
        <v>0</v>
      </c>
      <c r="M119" s="25">
        <f>'[1]4нед'!L183</f>
        <v>0</v>
      </c>
      <c r="N119" s="26">
        <f>'[1]4нед'!O183</f>
        <v>0</v>
      </c>
      <c r="O119" s="27" t="str">
        <f>'[1]4нед'!P183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09.04.04 Программная инженерия (Разработка программно-информационных систем)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09.04.04 Программная инженерия (Разработка программно-информационных систем)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'[1]1нед'!$L$134</f>
        <v>12-25РПм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'[1]1нед'!$L$134</f>
        <v>12-25РПм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'[3]5нед'!K136</f>
        <v>0</v>
      </c>
      <c r="E132" s="19">
        <f>'[3]5нед'!L136</f>
        <v>0</v>
      </c>
      <c r="F132" s="17">
        <f>'[3]5нед'!O136</f>
        <v>0</v>
      </c>
      <c r="G132" s="18" t="str">
        <f>'[3]5нед'!P136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'[3]6нед'!K136</f>
        <v>0</v>
      </c>
      <c r="M132" s="19">
        <f>'[3]6нед'!L136</f>
        <v>0</v>
      </c>
      <c r="N132" s="17">
        <f>'[3]6нед'!O136</f>
        <v>0</v>
      </c>
      <c r="O132" s="18" t="str">
        <f>'[3]6нед'!P136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'[3]5нед'!K137</f>
        <v>0</v>
      </c>
      <c r="E133" s="23">
        <f>'[3]5нед'!L137</f>
        <v>0</v>
      </c>
      <c r="F133" s="21">
        <f>'[3]5нед'!O137</f>
        <v>0</v>
      </c>
      <c r="G133" s="22" t="str">
        <f>'[3]5нед'!P137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'[3]6нед'!K137</f>
        <v>0</v>
      </c>
      <c r="M133" s="23">
        <f>'[3]6нед'!L137</f>
        <v>0</v>
      </c>
      <c r="N133" s="21">
        <f>'[3]6нед'!O137</f>
        <v>0</v>
      </c>
      <c r="O133" s="22" t="str">
        <f>'[3]6нед'!P137</f>
        <v/>
      </c>
      <c r="P133" s="57" t="str">
        <f>HYPERLINK(VLOOKUP(M133,$R$12:$S$180,2,FALSE))</f>
        <v/>
      </c>
    </row>
    <row r="134" spans="1:16" ht="37.5" x14ac:dyDescent="0.2">
      <c r="A134" s="82"/>
      <c r="B134" s="85"/>
      <c r="C134" s="14" t="s">
        <v>20</v>
      </c>
      <c r="D134" s="20" t="str">
        <f>'[3]5нед'!K138</f>
        <v>л</v>
      </c>
      <c r="E134" s="23" t="str">
        <f>'[3]5нед'!L138</f>
        <v>Программирование графических процессоров</v>
      </c>
      <c r="F134" s="21" t="str">
        <f>'[3]5нед'!O138</f>
        <v>Круглый Д.Г.</v>
      </c>
      <c r="G134" s="22" t="str">
        <f>'[3]5нед'!P138</f>
        <v>профессор, д-р наук</v>
      </c>
      <c r="H134" s="57" t="str">
        <f>HYPERLINK(VLOOKUP(E134,$R$12:$S$180,2,FALSE))</f>
        <v>https://max.ru/join/M7wDISGvmShFMnRwwNWABqv4bmIdPah2zAI1ryedWA4</v>
      </c>
      <c r="I134" s="71"/>
      <c r="J134" s="88"/>
      <c r="K134" s="14" t="s">
        <v>20</v>
      </c>
      <c r="L134" s="20" t="str">
        <f>'[3]6нед'!K138</f>
        <v>л</v>
      </c>
      <c r="M134" s="23" t="str">
        <f>'[3]6нед'!L138</f>
        <v>Программирование графических процессоров</v>
      </c>
      <c r="N134" s="21" t="str">
        <f>'[3]6нед'!O138</f>
        <v>Круглый Д.Г.</v>
      </c>
      <c r="O134" s="22" t="str">
        <f>'[3]6нед'!P138</f>
        <v>профессор, д-р наук</v>
      </c>
      <c r="P134" s="57" t="str">
        <f>HYPERLINK(VLOOKUP(M134,$R$12:$S$180,2,FALSE))</f>
        <v>https://max.ru/join/M7wDISGvmShFMnRwwNWABqv4bmIdPah2zAI1ryedWA4</v>
      </c>
    </row>
    <row r="135" spans="1:16" ht="37.5" x14ac:dyDescent="0.2">
      <c r="A135" s="82"/>
      <c r="B135" s="85"/>
      <c r="C135" s="14" t="s">
        <v>21</v>
      </c>
      <c r="D135" s="20" t="str">
        <f>'[3]5нед'!K139</f>
        <v>пр</v>
      </c>
      <c r="E135" s="23" t="str">
        <f>'[3]5нед'!L139</f>
        <v>Экономические аспекты программной инженерии</v>
      </c>
      <c r="F135" s="21" t="str">
        <f>'[3]5нед'!O139</f>
        <v>Самчинская Я.Б.</v>
      </c>
      <c r="G135" s="22" t="str">
        <f>'[3]5нед'!P139</f>
        <v>доцент, канд. наук</v>
      </c>
      <c r="H135" s="57" t="str">
        <f>HYPERLINK(VLOOKUP(E135,$R$12:$S$180,2,FALSE))</f>
        <v>https://max.ru/join/M7wDISGvmShFMnRwwNWABqv4bmIdPah2zAI1ryedWA4</v>
      </c>
      <c r="I135" s="71"/>
      <c r="J135" s="88"/>
      <c r="K135" s="14" t="s">
        <v>21</v>
      </c>
      <c r="L135" s="20" t="str">
        <f>'[3]6нед'!K139</f>
        <v>л</v>
      </c>
      <c r="M135" s="23" t="str">
        <f>'[3]6нед'!L139</f>
        <v>Экономические аспекты программной инженерии</v>
      </c>
      <c r="N135" s="21" t="str">
        <f>'[3]6нед'!O139</f>
        <v>Самчинская Я.Б.</v>
      </c>
      <c r="O135" s="22" t="str">
        <f>'[3]6нед'!P139</f>
        <v>доцент, канд. наук</v>
      </c>
      <c r="P135" s="57" t="str">
        <f>HYPERLINK(VLOOKUP(M135,$R$12:$S$180,2,FALSE))</f>
        <v>https://max.ru/join/M7wDISGvmShFMnRwwNWABqv4bmIdPah2zAI1ryedWA4</v>
      </c>
    </row>
    <row r="136" spans="1:16" ht="37.5" x14ac:dyDescent="0.2">
      <c r="A136" s="82"/>
      <c r="B136" s="85"/>
      <c r="C136" s="14" t="s">
        <v>22</v>
      </c>
      <c r="D136" s="20">
        <f>'[3]5нед'!K140</f>
        <v>0</v>
      </c>
      <c r="E136" s="23">
        <f>'[3]5нед'!L140</f>
        <v>0</v>
      </c>
      <c r="F136" s="21">
        <f>'[3]5нед'!O140</f>
        <v>0</v>
      </c>
      <c r="G136" s="22" t="str">
        <f>'[3]5нед'!P140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 t="str">
        <f>'[3]6нед'!K140</f>
        <v>пр</v>
      </c>
      <c r="M136" s="23" t="str">
        <f>'[3]6нед'!L140</f>
        <v xml:space="preserve"> Программирование графических процессоров</v>
      </c>
      <c r="N136" s="21" t="str">
        <f>'[3]6нед'!O140</f>
        <v>Алешов Е.В.</v>
      </c>
      <c r="O136" s="22" t="str">
        <f>'[3]6нед'!P140</f>
        <v>преподаватель</v>
      </c>
      <c r="P136" s="57" t="str">
        <f>HYPERLINK(VLOOKUP(M136,$R$12:$S$180,2,FALSE))</f>
        <v>https://max.ru/join/M7wDISGvmShFMnRwwNWABqv4bmIdPah2zAI1ryedWA4</v>
      </c>
    </row>
    <row r="137" spans="1:16" ht="31.5" x14ac:dyDescent="0.2">
      <c r="A137" s="82"/>
      <c r="B137" s="85"/>
      <c r="C137" s="14" t="s">
        <v>23</v>
      </c>
      <c r="D137" s="20">
        <f>'[3]5нед'!K141</f>
        <v>0</v>
      </c>
      <c r="E137" s="23">
        <f>'[3]5нед'!L141</f>
        <v>0</v>
      </c>
      <c r="F137" s="21">
        <f>'[3]5нед'!O141</f>
        <v>0</v>
      </c>
      <c r="G137" s="22" t="str">
        <f>'[3]5нед'!P141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'[3]6нед'!K141</f>
        <v>0</v>
      </c>
      <c r="M137" s="23">
        <f>'[3]6нед'!L141</f>
        <v>0</v>
      </c>
      <c r="N137" s="21">
        <f>'[3]6нед'!O141</f>
        <v>0</v>
      </c>
      <c r="O137" s="22" t="str">
        <f>'[3]6нед'!P141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'[3]5нед'!K142</f>
        <v>0</v>
      </c>
      <c r="E138" s="23">
        <f>'[3]5нед'!L142</f>
        <v>0</v>
      </c>
      <c r="F138" s="21">
        <f>'[3]5нед'!O142</f>
        <v>0</v>
      </c>
      <c r="G138" s="22" t="str">
        <f>'[3]5нед'!P142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>
        <f>'[3]6нед'!K142</f>
        <v>0</v>
      </c>
      <c r="M138" s="23">
        <f>'[3]6нед'!L142</f>
        <v>0</v>
      </c>
      <c r="N138" s="21">
        <f>'[3]6нед'!O142</f>
        <v>0</v>
      </c>
      <c r="O138" s="22" t="str">
        <f>'[3]6нед'!P142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'[3]5нед'!K143</f>
        <v>0</v>
      </c>
      <c r="E139" s="25">
        <f>'[3]5нед'!L143</f>
        <v>0</v>
      </c>
      <c r="F139" s="26">
        <f>'[3]5нед'!O143</f>
        <v>0</v>
      </c>
      <c r="G139" s="27" t="str">
        <f>'[3]5нед'!P143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'[3]6нед'!K143</f>
        <v>0</v>
      </c>
      <c r="M139" s="25">
        <f>'[3]6нед'!L143</f>
        <v>0</v>
      </c>
      <c r="N139" s="26">
        <f>'[3]6нед'!O143</f>
        <v>0</v>
      </c>
      <c r="O139" s="27" t="str">
        <f>'[3]6нед'!P143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'[3]5нед'!K144</f>
        <v>0</v>
      </c>
      <c r="E140" s="19">
        <f>'[3]5нед'!L144</f>
        <v>0</v>
      </c>
      <c r="F140" s="17">
        <f>'[3]5нед'!O144</f>
        <v>0</v>
      </c>
      <c r="G140" s="18" t="str">
        <f>'[3]5нед'!P144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'[3]6нед'!K144</f>
        <v>0</v>
      </c>
      <c r="M140" s="19">
        <f>'[3]6нед'!L144</f>
        <v>0</v>
      </c>
      <c r="N140" s="17">
        <f>'[3]6нед'!O144</f>
        <v>0</v>
      </c>
      <c r="O140" s="18" t="str">
        <f>'[3]6нед'!P144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'[3]5нед'!K145</f>
        <v>0</v>
      </c>
      <c r="E141" s="23">
        <f>'[3]5нед'!L145</f>
        <v>0</v>
      </c>
      <c r="F141" s="21">
        <f>'[3]5нед'!O145</f>
        <v>0</v>
      </c>
      <c r="G141" s="22" t="str">
        <f>'[3]5нед'!P145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'[3]6нед'!K145</f>
        <v>0</v>
      </c>
      <c r="M141" s="23">
        <f>'[3]6нед'!L145</f>
        <v>0</v>
      </c>
      <c r="N141" s="21">
        <f>'[3]6нед'!O145</f>
        <v>0</v>
      </c>
      <c r="O141" s="22" t="str">
        <f>'[3]6нед'!P145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'[3]5нед'!K146</f>
        <v>0</v>
      </c>
      <c r="E142" s="23">
        <f>'[3]5нед'!L146</f>
        <v>0</v>
      </c>
      <c r="F142" s="21">
        <f>'[3]5нед'!O146</f>
        <v>0</v>
      </c>
      <c r="G142" s="22" t="str">
        <f>'[3]5нед'!P146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'[3]6нед'!K146</f>
        <v>0</v>
      </c>
      <c r="M142" s="23">
        <f>'[3]6нед'!L146</f>
        <v>0</v>
      </c>
      <c r="N142" s="21">
        <f>'[3]6нед'!O146</f>
        <v>0</v>
      </c>
      <c r="O142" s="22" t="str">
        <f>'[3]6нед'!P146</f>
        <v/>
      </c>
      <c r="P142" s="57" t="str">
        <f>HYPERLINK(VLOOKUP(M142,$R$12:$S$180,2,FALSE))</f>
        <v/>
      </c>
    </row>
    <row r="143" spans="1:16" ht="37.5" x14ac:dyDescent="0.2">
      <c r="A143" s="82"/>
      <c r="B143" s="85"/>
      <c r="C143" s="14" t="s">
        <v>21</v>
      </c>
      <c r="D143" s="20" t="str">
        <f>'[3]5нед'!K147</f>
        <v>л</v>
      </c>
      <c r="E143" s="23" t="str">
        <f>'[3]5нед'!L147</f>
        <v>Системы обработки больших данных</v>
      </c>
      <c r="F143" s="21" t="str">
        <f>'[3]5нед'!O147</f>
        <v>Круглый Д.Г.</v>
      </c>
      <c r="G143" s="22" t="str">
        <f>'[3]5нед'!P147</f>
        <v>профессор, д-р наук</v>
      </c>
      <c r="H143" s="57" t="str">
        <f>HYPERLINK(VLOOKUP(E143,$R$12:$S$180,2,FALSE))</f>
        <v>https://max.ru/join/M7wDISGvmShFMnRwwNWABqv4bmIdPah2zAI1ryedWA4</v>
      </c>
      <c r="I143" s="71"/>
      <c r="J143" s="88"/>
      <c r="K143" s="14" t="s">
        <v>21</v>
      </c>
      <c r="L143" s="20" t="str">
        <f>'[3]6нед'!K147</f>
        <v>пр</v>
      </c>
      <c r="M143" s="23" t="str">
        <f>'[3]6нед'!L147</f>
        <v xml:space="preserve"> Системы обработки больших данных</v>
      </c>
      <c r="N143" s="21" t="str">
        <f>'[3]6нед'!O147</f>
        <v>Гуцол Д.В.</v>
      </c>
      <c r="O143" s="22" t="str">
        <f>'[3]6нед'!P147</f>
        <v>ст. преподаватель</v>
      </c>
      <c r="P143" s="57" t="str">
        <f>HYPERLINK(VLOOKUP(M143,$R$12:$S$180,2,FALSE))</f>
        <v>https://max.ru/join/M7wDISGvmShFMnRwwNWABqv4bmIdPah2zAI1ryedWA4</v>
      </c>
    </row>
    <row r="144" spans="1:16" ht="37.5" x14ac:dyDescent="0.2">
      <c r="A144" s="82"/>
      <c r="B144" s="85"/>
      <c r="C144" s="14" t="s">
        <v>22</v>
      </c>
      <c r="D144" s="20" t="str">
        <f>'[3]5нед'!K148</f>
        <v>л</v>
      </c>
      <c r="E144" s="23" t="str">
        <f>'[3]5нед'!L148</f>
        <v>Системы обработки больших данных</v>
      </c>
      <c r="F144" s="21" t="str">
        <f>'[3]5нед'!O148</f>
        <v>Круглый Д.Г.</v>
      </c>
      <c r="G144" s="22" t="str">
        <f>'[3]5нед'!P148</f>
        <v>профессор, д-р наук</v>
      </c>
      <c r="H144" s="57" t="str">
        <f>HYPERLINK(VLOOKUP(E144,$R$12:$S$180,2,FALSE))</f>
        <v>https://max.ru/join/M7wDISGvmShFMnRwwNWABqv4bmIdPah2zAI1ryedWA4</v>
      </c>
      <c r="I144" s="71"/>
      <c r="J144" s="88"/>
      <c r="K144" s="14" t="s">
        <v>22</v>
      </c>
      <c r="L144" s="20" t="str">
        <f>'[3]6нед'!K148</f>
        <v>пр</v>
      </c>
      <c r="M144" s="23" t="str">
        <f>'[3]6нед'!L148</f>
        <v xml:space="preserve"> Системы обработки больших данных</v>
      </c>
      <c r="N144" s="21" t="str">
        <f>'[3]6нед'!O148</f>
        <v>Гуцол Д.В.</v>
      </c>
      <c r="O144" s="22" t="str">
        <f>'[3]6нед'!P148</f>
        <v>ст. преподаватель</v>
      </c>
      <c r="P144" s="57" t="str">
        <f>HYPERLINK(VLOOKUP(M144,$R$12:$S$180,2,FALSE))</f>
        <v>https://max.ru/join/M7wDISGvmShFMnRwwNWABqv4bmIdPah2zAI1ryedWA4</v>
      </c>
    </row>
    <row r="145" spans="1:16" ht="31.5" x14ac:dyDescent="0.2">
      <c r="A145" s="82"/>
      <c r="B145" s="85"/>
      <c r="C145" s="14" t="s">
        <v>23</v>
      </c>
      <c r="D145" s="20">
        <f>'[3]5нед'!K149</f>
        <v>0</v>
      </c>
      <c r="E145" s="23">
        <f>'[3]5нед'!L149</f>
        <v>0</v>
      </c>
      <c r="F145" s="21">
        <f>'[3]5нед'!O149</f>
        <v>0</v>
      </c>
      <c r="G145" s="22" t="str">
        <f>'[3]5нед'!P149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'[3]6нед'!K149</f>
        <v>0</v>
      </c>
      <c r="M145" s="23">
        <f>'[3]6нед'!L149</f>
        <v>0</v>
      </c>
      <c r="N145" s="21">
        <f>'[3]6нед'!O149</f>
        <v>0</v>
      </c>
      <c r="O145" s="22" t="str">
        <f>'[3]6нед'!P149</f>
        <v/>
      </c>
      <c r="P145" s="57" t="str">
        <f>HYPERLINK(VLOOKUP(M145,$R$12:$S$180,2,FALSE))</f>
        <v/>
      </c>
    </row>
    <row r="146" spans="1:16" ht="32.25" thickBot="1" x14ac:dyDescent="0.25">
      <c r="A146" s="82"/>
      <c r="B146" s="85"/>
      <c r="C146" s="14" t="s">
        <v>24</v>
      </c>
      <c r="D146" s="20">
        <f>'[3]5нед'!K150</f>
        <v>0</v>
      </c>
      <c r="E146" s="23">
        <f>'[3]5нед'!L150</f>
        <v>0</v>
      </c>
      <c r="F146" s="21">
        <f>'[3]5нед'!O150</f>
        <v>0</v>
      </c>
      <c r="G146" s="22" t="str">
        <f>'[3]5нед'!P150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>
        <f>'[3]6нед'!K150</f>
        <v>0</v>
      </c>
      <c r="M146" s="23">
        <f>'[3]6нед'!L150</f>
        <v>0</v>
      </c>
      <c r="N146" s="21">
        <f>'[3]6нед'!O150</f>
        <v>0</v>
      </c>
      <c r="O146" s="22" t="str">
        <f>'[3]6нед'!P150</f>
        <v/>
      </c>
      <c r="P146" s="57" t="str">
        <f>HYPERLINK(VLOOKUP(M146,$R$12:$S$180,2,FALSE))</f>
        <v/>
      </c>
    </row>
    <row r="147" spans="1:16" ht="18.399999999999999" hidden="1" customHeight="1" thickBot="1" x14ac:dyDescent="0.25">
      <c r="A147" s="83"/>
      <c r="B147" s="86"/>
      <c r="C147" s="15"/>
      <c r="D147" s="24">
        <f>'[3]5нед'!K151</f>
        <v>0</v>
      </c>
      <c r="E147" s="25">
        <f>'[3]5нед'!L151</f>
        <v>0</v>
      </c>
      <c r="F147" s="26">
        <f>'[3]5нед'!O151</f>
        <v>0</v>
      </c>
      <c r="G147" s="27" t="str">
        <f>'[3]5нед'!P151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'[3]6нед'!K151</f>
        <v>0</v>
      </c>
      <c r="M147" s="25">
        <f>'[3]6нед'!L151</f>
        <v>0</v>
      </c>
      <c r="N147" s="26">
        <f>'[3]6нед'!O151</f>
        <v>0</v>
      </c>
      <c r="O147" s="27" t="str">
        <f>'[3]6нед'!P151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'[3]5нед'!K152</f>
        <v>0</v>
      </c>
      <c r="E148" s="19">
        <f>'[3]5нед'!L152</f>
        <v>0</v>
      </c>
      <c r="F148" s="17">
        <f>'[3]5нед'!O152</f>
        <v>0</v>
      </c>
      <c r="G148" s="18" t="str">
        <f>'[3]5нед'!P152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'[3]6нед'!K152</f>
        <v>0</v>
      </c>
      <c r="M148" s="19">
        <f>'[3]6нед'!L152</f>
        <v>0</v>
      </c>
      <c r="N148" s="17">
        <f>'[3]6нед'!O152</f>
        <v>0</v>
      </c>
      <c r="O148" s="18" t="str">
        <f>'[3]6нед'!P152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'[3]5нед'!K153</f>
        <v>0</v>
      </c>
      <c r="E149" s="23">
        <f>'[3]5нед'!L153</f>
        <v>0</v>
      </c>
      <c r="F149" s="21">
        <f>'[3]5нед'!O153</f>
        <v>0</v>
      </c>
      <c r="G149" s="22" t="str">
        <f>'[3]5нед'!P153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'[3]6нед'!K153</f>
        <v>0</v>
      </c>
      <c r="M149" s="23">
        <f>'[3]6нед'!L153</f>
        <v>0</v>
      </c>
      <c r="N149" s="21">
        <f>'[3]6нед'!O153</f>
        <v>0</v>
      </c>
      <c r="O149" s="22" t="str">
        <f>'[3]6нед'!P153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'[3]5нед'!K154</f>
        <v>0</v>
      </c>
      <c r="E150" s="23">
        <f>'[3]5нед'!L154</f>
        <v>0</v>
      </c>
      <c r="F150" s="21">
        <f>'[3]5нед'!O154</f>
        <v>0</v>
      </c>
      <c r="G150" s="22" t="str">
        <f>'[3]5нед'!P154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'[3]6нед'!K154</f>
        <v>0</v>
      </c>
      <c r="M150" s="23">
        <f>'[3]6нед'!L154</f>
        <v>0</v>
      </c>
      <c r="N150" s="21">
        <f>'[3]6нед'!O154</f>
        <v>0</v>
      </c>
      <c r="O150" s="22" t="str">
        <f>'[3]6нед'!P154</f>
        <v/>
      </c>
      <c r="P150" s="57" t="str">
        <f>HYPERLINK(VLOOKUP(M150,$R$12:$S$180,2,FALSE))</f>
        <v/>
      </c>
    </row>
    <row r="151" spans="1:16" ht="56.25" x14ac:dyDescent="0.2">
      <c r="A151" s="82"/>
      <c r="B151" s="68"/>
      <c r="C151" s="14" t="s">
        <v>21</v>
      </c>
      <c r="D151" s="20">
        <f>'[3]5нед'!K155</f>
        <v>0</v>
      </c>
      <c r="E151" s="23">
        <f>'[3]5нед'!L155</f>
        <v>0</v>
      </c>
      <c r="F151" s="21">
        <f>'[3]5нед'!O155</f>
        <v>0</v>
      </c>
      <c r="G151" s="22" t="str">
        <f>'[3]5нед'!P155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 t="str">
        <f>'[3]6нед'!K155</f>
        <v>пр</v>
      </c>
      <c r="M151" s="23" t="str">
        <f>'[3]6нед'!L155</f>
        <v xml:space="preserve"> Управление конфигурацией и сопровождение программного обеспечения</v>
      </c>
      <c r="N151" s="21" t="str">
        <f>'[3]6нед'!O155</f>
        <v>Гуцол Д.В.</v>
      </c>
      <c r="O151" s="22" t="str">
        <f>'[3]6нед'!P155</f>
        <v>ст. преподаватель</v>
      </c>
      <c r="P151" s="57" t="str">
        <f>HYPERLINK(VLOOKUP(M151,$R$12:$S$180,2,FALSE))</f>
        <v>https://max.ru/join/M7wDISGvmShFMnRwwNWABqv4bmIdPah2zAI1ryedWA4</v>
      </c>
    </row>
    <row r="152" spans="1:16" ht="56.25" x14ac:dyDescent="0.2">
      <c r="A152" s="82"/>
      <c r="B152" s="68"/>
      <c r="C152" s="14" t="s">
        <v>22</v>
      </c>
      <c r="D152" s="20">
        <f>'[3]5нед'!K156</f>
        <v>0</v>
      </c>
      <c r="E152" s="23">
        <f>'[3]5нед'!L156</f>
        <v>0</v>
      </c>
      <c r="F152" s="21">
        <f>'[3]5нед'!O156</f>
        <v>0</v>
      </c>
      <c r="G152" s="22" t="str">
        <f>'[3]5нед'!P156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 t="str">
        <f>'[3]6нед'!K156</f>
        <v>пр</v>
      </c>
      <c r="M152" s="23" t="str">
        <f>'[3]6нед'!L156</f>
        <v xml:space="preserve"> Управление конфигурацией и сопровождение программного обеспечения</v>
      </c>
      <c r="N152" s="21" t="str">
        <f>'[3]6нед'!O156</f>
        <v>Гуцол Д.В.</v>
      </c>
      <c r="O152" s="22" t="str">
        <f>'[3]6нед'!P156</f>
        <v>ст. преподаватель</v>
      </c>
      <c r="P152" s="57" t="str">
        <f>HYPERLINK(VLOOKUP(M152,$R$12:$S$180,2,FALSE))</f>
        <v>https://max.ru/join/M7wDISGvmShFMnRwwNWABqv4bmIdPah2zAI1ryedWA4</v>
      </c>
    </row>
    <row r="153" spans="1:16" ht="31.5" x14ac:dyDescent="0.2">
      <c r="A153" s="82"/>
      <c r="B153" s="68"/>
      <c r="C153" s="14" t="s">
        <v>23</v>
      </c>
      <c r="D153" s="20">
        <f>'[3]5нед'!K157</f>
        <v>0</v>
      </c>
      <c r="E153" s="23">
        <f>'[3]5нед'!L157</f>
        <v>0</v>
      </c>
      <c r="F153" s="21">
        <f>'[3]5нед'!O157</f>
        <v>0</v>
      </c>
      <c r="G153" s="22" t="str">
        <f>'[3]5нед'!P157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'[3]6нед'!K157</f>
        <v>0</v>
      </c>
      <c r="M153" s="23">
        <f>'[3]6нед'!L157</f>
        <v>0</v>
      </c>
      <c r="N153" s="21">
        <f>'[3]6нед'!O157</f>
        <v>0</v>
      </c>
      <c r="O153" s="22" t="str">
        <f>'[3]6нед'!P157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'[3]5нед'!K158</f>
        <v>0</v>
      </c>
      <c r="E154" s="23">
        <f>'[3]5нед'!L158</f>
        <v>0</v>
      </c>
      <c r="F154" s="21">
        <f>'[3]5нед'!O158</f>
        <v>0</v>
      </c>
      <c r="G154" s="22" t="str">
        <f>'[3]5нед'!P158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'[3]6нед'!K158</f>
        <v>0</v>
      </c>
      <c r="M154" s="23">
        <f>'[3]6нед'!L158</f>
        <v>0</v>
      </c>
      <c r="N154" s="21">
        <f>'[3]6нед'!O158</f>
        <v>0</v>
      </c>
      <c r="O154" s="22" t="str">
        <f>'[3]6нед'!P158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'[3]5нед'!K159</f>
        <v>0</v>
      </c>
      <c r="E155" s="25">
        <f>'[3]5нед'!L159</f>
        <v>0</v>
      </c>
      <c r="F155" s="26">
        <f>'[3]5нед'!O159</f>
        <v>0</v>
      </c>
      <c r="G155" s="27" t="str">
        <f>'[3]5нед'!P159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'[3]6нед'!K159</f>
        <v>0</v>
      </c>
      <c r="M155" s="25">
        <f>'[3]6нед'!L159</f>
        <v>0</v>
      </c>
      <c r="N155" s="26">
        <f>'[3]6нед'!O159</f>
        <v>0</v>
      </c>
      <c r="O155" s="27" t="str">
        <f>'[3]6нед'!P159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'[3]5нед'!K160</f>
        <v>0</v>
      </c>
      <c r="E156" s="19">
        <f>'[3]5нед'!L160</f>
        <v>0</v>
      </c>
      <c r="F156" s="17">
        <f>'[3]5нед'!O160</f>
        <v>0</v>
      </c>
      <c r="G156" s="18" t="str">
        <f>'[3]5нед'!P160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'[3]6нед'!K160</f>
        <v>0</v>
      </c>
      <c r="M156" s="19">
        <f>'[3]6нед'!L160</f>
        <v>0</v>
      </c>
      <c r="N156" s="17">
        <f>'[3]6нед'!O160</f>
        <v>0</v>
      </c>
      <c r="O156" s="18" t="str">
        <f>'[3]6нед'!P160</f>
        <v/>
      </c>
      <c r="P156" s="56" t="str">
        <f>HYPERLINK(VLOOKUP(M156,$R$12:$S$180,2,FALSE))</f>
        <v/>
      </c>
    </row>
    <row r="157" spans="1:16" ht="37.5" x14ac:dyDescent="0.2">
      <c r="A157" s="82"/>
      <c r="B157" s="85"/>
      <c r="C157" s="14" t="s">
        <v>19</v>
      </c>
      <c r="D157" s="20" t="str">
        <f>'[3]5нед'!K161</f>
        <v>л</v>
      </c>
      <c r="E157" s="23" t="str">
        <f>'[3]5нед'!L161</f>
        <v>Современные операционные системы и базы данных</v>
      </c>
      <c r="F157" s="21" t="str">
        <f>'[3]5нед'!O161</f>
        <v>Галлини Н.И.</v>
      </c>
      <c r="G157" s="22" t="str">
        <f>'[3]5нед'!P161</f>
        <v>доцент, канд. наук</v>
      </c>
      <c r="H157" s="57" t="str">
        <f>HYPERLINK(VLOOKUP(E157,$R$12:$S$180,2,FALSE))</f>
        <v>https://max.ru/join/M7wDISGvmShFMnRwwNWABqv4bmIdPah2zAI1ryedWA4</v>
      </c>
      <c r="I157" s="71"/>
      <c r="J157" s="88"/>
      <c r="K157" s="14" t="s">
        <v>19</v>
      </c>
      <c r="L157" s="20" t="str">
        <f>'[3]6нед'!K161</f>
        <v>л</v>
      </c>
      <c r="M157" s="23" t="str">
        <f>'[3]6нед'!L161</f>
        <v>Современные операционные системы и базы данных</v>
      </c>
      <c r="N157" s="21" t="str">
        <f>'[3]6нед'!O161</f>
        <v>Галлини Н.И.</v>
      </c>
      <c r="O157" s="22" t="str">
        <f>'[3]6нед'!P161</f>
        <v>доцент, канд. наук</v>
      </c>
      <c r="P157" s="57" t="str">
        <f>HYPERLINK(VLOOKUP(M157,$R$12:$S$180,2,FALSE))</f>
        <v>https://max.ru/join/M7wDISGvmShFMnRwwNWABqv4bmIdPah2zAI1ryedWA4</v>
      </c>
    </row>
    <row r="158" spans="1:16" ht="37.5" x14ac:dyDescent="0.2">
      <c r="A158" s="82"/>
      <c r="B158" s="85"/>
      <c r="C158" s="14" t="s">
        <v>20</v>
      </c>
      <c r="D158" s="20" t="str">
        <f>'[3]5нед'!K162</f>
        <v>пр</v>
      </c>
      <c r="E158" s="23" t="str">
        <f>'[3]5нед'!L162</f>
        <v>Современные операционные системы и базы данных</v>
      </c>
      <c r="F158" s="21" t="str">
        <f>'[3]5нед'!O162</f>
        <v>Галлини Н.И.</v>
      </c>
      <c r="G158" s="22" t="str">
        <f>'[3]5нед'!P162</f>
        <v>доцент, канд. наук</v>
      </c>
      <c r="H158" s="57" t="str">
        <f>HYPERLINK(VLOOKUP(E158,$R$12:$S$180,2,FALSE))</f>
        <v>https://max.ru/join/M7wDISGvmShFMnRwwNWABqv4bmIdPah2zAI1ryedWA4</v>
      </c>
      <c r="I158" s="71"/>
      <c r="J158" s="88"/>
      <c r="K158" s="14" t="s">
        <v>20</v>
      </c>
      <c r="L158" s="20" t="str">
        <f>'[3]6нед'!K162</f>
        <v>пр</v>
      </c>
      <c r="M158" s="23" t="str">
        <f>'[3]6нед'!L162</f>
        <v>Современные операционные системы и базы данных</v>
      </c>
      <c r="N158" s="21" t="str">
        <f>'[3]6нед'!O162</f>
        <v>Галлини Н.И.</v>
      </c>
      <c r="O158" s="22" t="str">
        <f>'[3]6нед'!P162</f>
        <v>доцент, канд. наук</v>
      </c>
      <c r="P158" s="57" t="str">
        <f>HYPERLINK(VLOOKUP(M158,$R$12:$S$180,2,FALSE))</f>
        <v>https://max.ru/join/M7wDISGvmShFMnRwwNWABqv4bmIdPah2zAI1ryedWA4</v>
      </c>
    </row>
    <row r="159" spans="1:16" ht="37.5" x14ac:dyDescent="0.2">
      <c r="A159" s="82"/>
      <c r="B159" s="85"/>
      <c r="C159" s="14" t="s">
        <v>21</v>
      </c>
      <c r="D159" s="20" t="str">
        <f>'[3]5нед'!K163</f>
        <v>пр</v>
      </c>
      <c r="E159" s="23" t="str">
        <f>'[3]5нед'!L163</f>
        <v>Экономические аспекты программной инженерии</v>
      </c>
      <c r="F159" s="21" t="str">
        <f>'[3]5нед'!O163</f>
        <v>Самчинская Я.Б.</v>
      </c>
      <c r="G159" s="22" t="str">
        <f>'[3]5нед'!P163</f>
        <v>доцент, канд. наук</v>
      </c>
      <c r="H159" s="57" t="str">
        <f>HYPERLINK(VLOOKUP(E159,$R$12:$S$180,2,FALSE))</f>
        <v>https://max.ru/join/M7wDISGvmShFMnRwwNWABqv4bmIdPah2zAI1ryedWA4</v>
      </c>
      <c r="I159" s="71"/>
      <c r="J159" s="88"/>
      <c r="K159" s="14" t="s">
        <v>21</v>
      </c>
      <c r="L159" s="20" t="str">
        <f>'[3]6нед'!K163</f>
        <v>пр</v>
      </c>
      <c r="M159" s="23" t="str">
        <f>'[3]6нед'!L163</f>
        <v>Экономические аспекты программной инженерии</v>
      </c>
      <c r="N159" s="21" t="str">
        <f>'[3]6нед'!O163</f>
        <v>Самчинская Я.Б.</v>
      </c>
      <c r="O159" s="22" t="str">
        <f>'[3]6нед'!P163</f>
        <v>доцент, канд. наук</v>
      </c>
      <c r="P159" s="57" t="str">
        <f>HYPERLINK(VLOOKUP(M159,$R$12:$S$180,2,FALSE))</f>
        <v>https://max.ru/join/M7wDISGvmShFMnRwwNWABqv4bmIdPah2zAI1ryedWA4</v>
      </c>
    </row>
    <row r="160" spans="1:16" ht="37.5" x14ac:dyDescent="0.2">
      <c r="A160" s="82"/>
      <c r="B160" s="85"/>
      <c r="C160" s="14" t="s">
        <v>22</v>
      </c>
      <c r="D160" s="20" t="str">
        <f>'[3]5нед'!K164</f>
        <v>пр</v>
      </c>
      <c r="E160" s="23" t="str">
        <f>'[3]5нед'!L164</f>
        <v xml:space="preserve"> Программирование графических процессоров</v>
      </c>
      <c r="F160" s="21" t="str">
        <f>'[3]5нед'!O164</f>
        <v>Алешов Е.В.</v>
      </c>
      <c r="G160" s="22" t="str">
        <f>'[3]5нед'!P164</f>
        <v>преподаватель</v>
      </c>
      <c r="H160" s="57" t="str">
        <f>HYPERLINK(VLOOKUP(E160,$R$12:$S$180,2,FALSE))</f>
        <v>https://max.ru/join/M7wDISGvmShFMnRwwNWABqv4bmIdPah2zAI1ryedWA4</v>
      </c>
      <c r="I160" s="71"/>
      <c r="J160" s="88"/>
      <c r="K160" s="14" t="s">
        <v>22</v>
      </c>
      <c r="L160" s="20">
        <f>'[3]6нед'!K164</f>
        <v>0</v>
      </c>
      <c r="M160" s="23">
        <f>'[3]6нед'!L164</f>
        <v>0</v>
      </c>
      <c r="N160" s="21">
        <f>'[3]6нед'!O164</f>
        <v>0</v>
      </c>
      <c r="O160" s="22" t="str">
        <f>'[3]6нед'!P164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'[3]5нед'!K165</f>
        <v>0</v>
      </c>
      <c r="E161" s="23">
        <f>'[3]5нед'!L165</f>
        <v>0</v>
      </c>
      <c r="F161" s="21">
        <f>'[3]5нед'!O165</f>
        <v>0</v>
      </c>
      <c r="G161" s="22" t="str">
        <f>'[3]5нед'!P165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'[3]6нед'!K165</f>
        <v>0</v>
      </c>
      <c r="M161" s="23">
        <f>'[3]6нед'!L165</f>
        <v>0</v>
      </c>
      <c r="N161" s="21">
        <f>'[3]6нед'!O165</f>
        <v>0</v>
      </c>
      <c r="O161" s="22" t="str">
        <f>'[3]6нед'!P165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>
        <f>'[3]5нед'!K166</f>
        <v>0</v>
      </c>
      <c r="E162" s="23">
        <f>'[3]5нед'!L166</f>
        <v>0</v>
      </c>
      <c r="F162" s="21">
        <f>'[3]5нед'!O166</f>
        <v>0</v>
      </c>
      <c r="G162" s="22" t="str">
        <f>'[3]5нед'!P166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>
        <f>'[3]6нед'!K166</f>
        <v>0</v>
      </c>
      <c r="M162" s="23">
        <f>'[3]6нед'!L166</f>
        <v>0</v>
      </c>
      <c r="N162" s="21">
        <f>'[3]6нед'!O166</f>
        <v>0</v>
      </c>
      <c r="O162" s="22" t="str">
        <f>'[3]6нед'!P166</f>
        <v/>
      </c>
      <c r="P162" s="55" t="str">
        <f>HYPERLINK(VLOOKUP(M162,$R$12:$S$180,2,FALSE))</f>
        <v/>
      </c>
    </row>
    <row r="163" spans="1:16" ht="18.399999999999999" hidden="1" customHeight="1" thickBot="1" x14ac:dyDescent="0.25">
      <c r="A163" s="83"/>
      <c r="B163" s="86"/>
      <c r="C163" s="15"/>
      <c r="D163" s="24">
        <f>'[3]5нед'!K167</f>
        <v>0</v>
      </c>
      <c r="E163" s="25">
        <f>'[3]5нед'!L167</f>
        <v>0</v>
      </c>
      <c r="F163" s="26">
        <f>'[3]5нед'!O167</f>
        <v>0</v>
      </c>
      <c r="G163" s="27" t="str">
        <f>'[3]5нед'!P167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'[3]6нед'!K167</f>
        <v>0</v>
      </c>
      <c r="M163" s="25">
        <f>'[3]6нед'!L167</f>
        <v>0</v>
      </c>
      <c r="N163" s="26">
        <f>'[3]6нед'!O167</f>
        <v>0</v>
      </c>
      <c r="O163" s="27" t="str">
        <f>'[3]6нед'!P167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'[3]5нед'!K168</f>
        <v>0</v>
      </c>
      <c r="E164" s="19">
        <f>'[3]5нед'!L168</f>
        <v>0</v>
      </c>
      <c r="F164" s="17">
        <f>'[3]5нед'!O168</f>
        <v>0</v>
      </c>
      <c r="G164" s="18" t="str">
        <f>'[3]5нед'!P168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'[3]6нед'!K168</f>
        <v>0</v>
      </c>
      <c r="M164" s="19">
        <f>'[3]6нед'!L168</f>
        <v>0</v>
      </c>
      <c r="N164" s="17">
        <f>'[3]6нед'!O168</f>
        <v>0</v>
      </c>
      <c r="O164" s="18" t="str">
        <f>'[3]6нед'!P168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'[3]5нед'!K169</f>
        <v>0</v>
      </c>
      <c r="E165" s="23">
        <f>'[3]5нед'!L169</f>
        <v>0</v>
      </c>
      <c r="F165" s="21">
        <f>'[3]5нед'!O169</f>
        <v>0</v>
      </c>
      <c r="G165" s="22" t="str">
        <f>'[3]5нед'!P169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'[3]6нед'!K169</f>
        <v>0</v>
      </c>
      <c r="M165" s="23">
        <f>'[3]6нед'!L169</f>
        <v>0</v>
      </c>
      <c r="N165" s="21">
        <f>'[3]6нед'!O169</f>
        <v>0</v>
      </c>
      <c r="O165" s="22" t="str">
        <f>'[3]6нед'!P169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'[3]5нед'!K170</f>
        <v>0</v>
      </c>
      <c r="E166" s="23">
        <f>'[3]5нед'!L170</f>
        <v>0</v>
      </c>
      <c r="F166" s="21">
        <f>'[3]5нед'!O170</f>
        <v>0</v>
      </c>
      <c r="G166" s="22" t="str">
        <f>'[3]5нед'!P170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'[3]6нед'!K170</f>
        <v>0</v>
      </c>
      <c r="M166" s="23">
        <f>'[3]6нед'!L170</f>
        <v>0</v>
      </c>
      <c r="N166" s="21">
        <f>'[3]6нед'!O170</f>
        <v>0</v>
      </c>
      <c r="O166" s="22" t="str">
        <f>'[3]6нед'!P170</f>
        <v/>
      </c>
      <c r="P166" s="57" t="str">
        <f>HYPERLINK(VLOOKUP(M166,$R$12:$S$180,2,FALSE))</f>
        <v/>
      </c>
    </row>
    <row r="167" spans="1:16" ht="37.5" x14ac:dyDescent="0.2">
      <c r="A167" s="82"/>
      <c r="B167" s="85"/>
      <c r="C167" s="14" t="s">
        <v>21</v>
      </c>
      <c r="D167" s="20" t="str">
        <f>'[3]5нед'!K171</f>
        <v>л</v>
      </c>
      <c r="E167" s="23" t="str">
        <f>'[3]5нед'!L171</f>
        <v>Процессы и профессиональная практика программной инженерии</v>
      </c>
      <c r="F167" s="21" t="str">
        <f>'[3]5нед'!O171</f>
        <v>Алешов Е.В.</v>
      </c>
      <c r="G167" s="22" t="str">
        <f>'[3]5нед'!P171</f>
        <v>преподаватель</v>
      </c>
      <c r="H167" s="57" t="str">
        <f>HYPERLINK(VLOOKUP(E167,$R$12:$S$180,2,FALSE))</f>
        <v>https://max.ru/join/M7wDISGvmShFMnRwwNWABqv4bmIdPah2zAI1ryedWA4</v>
      </c>
      <c r="I167" s="71"/>
      <c r="J167" s="88"/>
      <c r="K167" s="14" t="s">
        <v>21</v>
      </c>
      <c r="L167" s="20" t="str">
        <f>'[3]6нед'!K171</f>
        <v>л</v>
      </c>
      <c r="M167" s="23" t="str">
        <f>'[3]6нед'!L171</f>
        <v>Процессы и профессиональная практика программной инженерии</v>
      </c>
      <c r="N167" s="21" t="str">
        <f>'[3]6нед'!O171</f>
        <v>Алешов Е.В.</v>
      </c>
      <c r="O167" s="22" t="str">
        <f>'[3]6нед'!P171</f>
        <v>преподаватель</v>
      </c>
      <c r="P167" s="57" t="str">
        <f>HYPERLINK(VLOOKUP(M167,$R$12:$S$180,2,FALSE))</f>
        <v>https://max.ru/join/M7wDISGvmShFMnRwwNWABqv4bmIdPah2zAI1ryedWA4</v>
      </c>
    </row>
    <row r="168" spans="1:16" ht="37.5" x14ac:dyDescent="0.2">
      <c r="A168" s="82"/>
      <c r="B168" s="85"/>
      <c r="C168" s="14" t="s">
        <v>22</v>
      </c>
      <c r="D168" s="20" t="str">
        <f>'[3]5нед'!K172</f>
        <v>пр</v>
      </c>
      <c r="E168" s="23" t="str">
        <f>'[3]5нед'!L172</f>
        <v>Процессы и профессиональная практика программной инженерии</v>
      </c>
      <c r="F168" s="21" t="str">
        <f>'[3]5нед'!O172</f>
        <v>Алешов Е.В.</v>
      </c>
      <c r="G168" s="22" t="str">
        <f>'[3]5нед'!P172</f>
        <v>преподаватель</v>
      </c>
      <c r="H168" s="57" t="str">
        <f>HYPERLINK(VLOOKUP(E168,$R$12:$S$180,2,FALSE))</f>
        <v>https://max.ru/join/M7wDISGvmShFMnRwwNWABqv4bmIdPah2zAI1ryedWA4</v>
      </c>
      <c r="I168" s="71"/>
      <c r="J168" s="88"/>
      <c r="K168" s="14" t="s">
        <v>22</v>
      </c>
      <c r="L168" s="20" t="str">
        <f>'[3]6нед'!K172</f>
        <v>пр</v>
      </c>
      <c r="M168" s="23" t="str">
        <f>'[3]6нед'!L172</f>
        <v>Процессы и профессиональная практика программной инженерии</v>
      </c>
      <c r="N168" s="21" t="str">
        <f>'[3]6нед'!O172</f>
        <v>Алешов Е.В.</v>
      </c>
      <c r="O168" s="22" t="str">
        <f>'[3]6нед'!P172</f>
        <v>преподаватель</v>
      </c>
      <c r="P168" s="57" t="str">
        <f>HYPERLINK(VLOOKUP(M168,$R$12:$S$180,2,FALSE))</f>
        <v>https://max.ru/join/M7wDISGvmShFMnRwwNWABqv4bmIdPah2zAI1ryedWA4</v>
      </c>
    </row>
    <row r="169" spans="1:16" ht="31.5" x14ac:dyDescent="0.2">
      <c r="A169" s="82"/>
      <c r="B169" s="85"/>
      <c r="C169" s="14" t="s">
        <v>23</v>
      </c>
      <c r="D169" s="20">
        <f>'[3]5нед'!K173</f>
        <v>0</v>
      </c>
      <c r="E169" s="23">
        <f>'[3]5нед'!L173</f>
        <v>0</v>
      </c>
      <c r="F169" s="21">
        <f>'[3]5нед'!O173</f>
        <v>0</v>
      </c>
      <c r="G169" s="22" t="str">
        <f>'[3]5нед'!P173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'[3]6нед'!K173</f>
        <v>0</v>
      </c>
      <c r="M169" s="23">
        <f>'[3]6нед'!L173</f>
        <v>0</v>
      </c>
      <c r="N169" s="21">
        <f>'[3]6нед'!O173</f>
        <v>0</v>
      </c>
      <c r="O169" s="22" t="str">
        <f>'[3]6нед'!P173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'[3]5нед'!K174</f>
        <v>0</v>
      </c>
      <c r="E170" s="23">
        <f>'[3]5нед'!L174</f>
        <v>0</v>
      </c>
      <c r="F170" s="21">
        <f>'[3]5нед'!O174</f>
        <v>0</v>
      </c>
      <c r="G170" s="22" t="str">
        <f>'[3]5нед'!P174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'[3]6нед'!K174</f>
        <v>0</v>
      </c>
      <c r="M170" s="23">
        <f>'[3]6нед'!L174</f>
        <v>0</v>
      </c>
      <c r="N170" s="21">
        <f>'[3]6нед'!O174</f>
        <v>0</v>
      </c>
      <c r="O170" s="22" t="str">
        <f>'[3]6нед'!P174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'[3]5нед'!K175</f>
        <v>0</v>
      </c>
      <c r="E171" s="25">
        <f>'[3]5нед'!L175</f>
        <v>0</v>
      </c>
      <c r="F171" s="26">
        <f>'[3]5нед'!O175</f>
        <v>0</v>
      </c>
      <c r="G171" s="27" t="str">
        <f>'[3]5нед'!P175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'[3]6нед'!K175</f>
        <v>0</v>
      </c>
      <c r="M171" s="25">
        <f>'[3]6нед'!L175</f>
        <v>0</v>
      </c>
      <c r="N171" s="26">
        <f>'[3]6нед'!O175</f>
        <v>0</v>
      </c>
      <c r="O171" s="27" t="str">
        <f>'[3]6нед'!P175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'[3]5нед'!K176</f>
        <v>0</v>
      </c>
      <c r="E172" s="19">
        <f>'[3]5нед'!L176</f>
        <v>0</v>
      </c>
      <c r="F172" s="17">
        <f>'[3]5нед'!O176</f>
        <v>0</v>
      </c>
      <c r="G172" s="18" t="str">
        <f>'[3]5нед'!P176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'[3]6нед'!K176</f>
        <v>0</v>
      </c>
      <c r="M172" s="19">
        <f>'[3]6нед'!L176</f>
        <v>0</v>
      </c>
      <c r="N172" s="17">
        <f>'[3]6нед'!O176</f>
        <v>0</v>
      </c>
      <c r="O172" s="18" t="str">
        <f>'[3]6нед'!P176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'[3]5нед'!K177</f>
        <v>0</v>
      </c>
      <c r="E173" s="23">
        <f>'[3]5нед'!L177</f>
        <v>0</v>
      </c>
      <c r="F173" s="21">
        <f>'[3]5нед'!O177</f>
        <v>0</v>
      </c>
      <c r="G173" s="22" t="str">
        <f>'[3]5нед'!P177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'[3]6нед'!K177</f>
        <v>0</v>
      </c>
      <c r="M173" s="23">
        <f>'[3]6нед'!L177</f>
        <v>0</v>
      </c>
      <c r="N173" s="21">
        <f>'[3]6нед'!O177</f>
        <v>0</v>
      </c>
      <c r="O173" s="22" t="str">
        <f>'[3]6нед'!P177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'[3]5нед'!K178</f>
        <v>0</v>
      </c>
      <c r="E174" s="23">
        <f>'[3]5нед'!L178</f>
        <v>0</v>
      </c>
      <c r="F174" s="21">
        <f>'[3]5нед'!O178</f>
        <v>0</v>
      </c>
      <c r="G174" s="22" t="str">
        <f>'[3]5нед'!P178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'[3]6нед'!K178</f>
        <v>0</v>
      </c>
      <c r="M174" s="23">
        <f>'[3]6нед'!L178</f>
        <v>0</v>
      </c>
      <c r="N174" s="21">
        <f>'[3]6нед'!O178</f>
        <v>0</v>
      </c>
      <c r="O174" s="22" t="str">
        <f>'[3]6нед'!P178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'[3]5нед'!K179</f>
        <v>0</v>
      </c>
      <c r="E175" s="23">
        <f>'[3]5нед'!L179</f>
        <v>0</v>
      </c>
      <c r="F175" s="21">
        <f>'[3]5нед'!O179</f>
        <v>0</v>
      </c>
      <c r="G175" s="22" t="str">
        <f>'[3]5нед'!P179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'[3]6нед'!K179</f>
        <v>0</v>
      </c>
      <c r="M175" s="23">
        <f>'[3]6нед'!L179</f>
        <v>0</v>
      </c>
      <c r="N175" s="21">
        <f>'[3]6нед'!O179</f>
        <v>0</v>
      </c>
      <c r="O175" s="22" t="str">
        <f>'[3]6нед'!P179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'[3]5нед'!K180</f>
        <v>0</v>
      </c>
      <c r="E176" s="23">
        <f>'[3]5нед'!L180</f>
        <v>0</v>
      </c>
      <c r="F176" s="21">
        <f>'[3]5нед'!O180</f>
        <v>0</v>
      </c>
      <c r="G176" s="22" t="str">
        <f>'[3]5нед'!P180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'[3]6нед'!K180</f>
        <v>0</v>
      </c>
      <c r="M176" s="23">
        <f>'[3]6нед'!L180</f>
        <v>0</v>
      </c>
      <c r="N176" s="21">
        <f>'[3]6нед'!O180</f>
        <v>0</v>
      </c>
      <c r="O176" s="22" t="str">
        <f>'[3]6нед'!P180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'[3]5нед'!K181</f>
        <v>0</v>
      </c>
      <c r="E177" s="23">
        <f>'[3]5нед'!L181</f>
        <v>0</v>
      </c>
      <c r="F177" s="21">
        <f>'[3]5нед'!O181</f>
        <v>0</v>
      </c>
      <c r="G177" s="22" t="str">
        <f>'[3]5нед'!P181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'[3]6нед'!K181</f>
        <v>0</v>
      </c>
      <c r="M177" s="23">
        <f>'[3]6нед'!L181</f>
        <v>0</v>
      </c>
      <c r="N177" s="21">
        <f>'[3]6нед'!O181</f>
        <v>0</v>
      </c>
      <c r="O177" s="22" t="str">
        <f>'[3]6нед'!P181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'[3]5нед'!K182</f>
        <v>0</v>
      </c>
      <c r="E178" s="23">
        <f>'[3]5нед'!L182</f>
        <v>0</v>
      </c>
      <c r="F178" s="21">
        <f>'[3]5нед'!O182</f>
        <v>0</v>
      </c>
      <c r="G178" s="22" t="str">
        <f>'[3]5нед'!P182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'[3]6нед'!K182</f>
        <v>0</v>
      </c>
      <c r="M178" s="23">
        <f>'[3]6нед'!L182</f>
        <v>0</v>
      </c>
      <c r="N178" s="21">
        <f>'[3]6нед'!O182</f>
        <v>0</v>
      </c>
      <c r="O178" s="22" t="str">
        <f>'[3]6нед'!P182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'[3]5нед'!K183</f>
        <v>0</v>
      </c>
      <c r="E179" s="25">
        <f>'[3]5нед'!L183</f>
        <v>0</v>
      </c>
      <c r="F179" s="26">
        <f>'[3]5нед'!O183</f>
        <v>0</v>
      </c>
      <c r="G179" s="27" t="str">
        <f>'[3]5нед'!P183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hyperlinks>
    <hyperlink ref="S12" r:id="rId1" xr:uid="{AA2F14E0-B4F8-4F10-A2B6-0B91FADB2EBB}"/>
    <hyperlink ref="S13:S22" r:id="rId2" display="https://max.ru/join/M7wDISGvmShFMnRwwNWABqv4bmIdPah2zAI1ryedWA4" xr:uid="{57332E89-33F1-41C0-804E-388C292B32B4}"/>
  </hyperlinks>
  <pageMargins left="0.70866141732283472" right="0.70866141732283472" top="0.74803149606299213" bottom="0.74803149606299213" header="0.31496062992125984" footer="0.31496062992125984"/>
  <pageSetup paperSize="9" scale="34" orientation="portrait" r:id="rId3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S180"/>
  <sheetViews>
    <sheetView view="pageBreakPreview" topLeftCell="H123" zoomScale="50" zoomScaleNormal="55" zoomScaleSheetLayoutView="50" workbookViewId="0">
      <selection activeCell="H181" sqref="A181:XFD395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3.28515625" customWidth="1"/>
    <col min="19" max="19" width="42" customWidth="1"/>
  </cols>
  <sheetData>
    <row r="1" spans="1:19" ht="16.5" thickBot="1" x14ac:dyDescent="0.3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'[1]1нед'!$T$130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'[1]1нед'!$T$134</f>
        <v>12-25ПИоз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'[1]1нед'!$T$134</f>
        <v>12-25ПИоз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'[1]1нед'!S136</f>
        <v>0</v>
      </c>
      <c r="E12" s="19">
        <f>'[1]1нед'!T136</f>
        <v>0</v>
      </c>
      <c r="F12" s="17">
        <f>'[1]1нед'!W136</f>
        <v>0</v>
      </c>
      <c r="G12" s="18" t="str">
        <f>'[1]1нед'!X136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'[1]2нед'!S136</f>
        <v>0</v>
      </c>
      <c r="M12" s="19">
        <f>'[1]2нед'!T136</f>
        <v>0</v>
      </c>
      <c r="N12" s="17">
        <f>'[1]2нед'!W136</f>
        <v>0</v>
      </c>
      <c r="O12" s="18" t="str">
        <f>'[1]2нед'!X136</f>
        <v/>
      </c>
      <c r="P12" s="56" t="str">
        <f>HYPERLINK(VLOOKUP(M12,$R$12:$S$180,2,FALSE))</f>
        <v/>
      </c>
      <c r="R12" t="str">
        <f>[2]Уч.План!B404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'[1]1нед'!S137</f>
        <v>0</v>
      </c>
      <c r="E13" s="23">
        <f>'[1]1нед'!T137</f>
        <v>0</v>
      </c>
      <c r="F13" s="21">
        <f>'[1]1нед'!W137</f>
        <v>0</v>
      </c>
      <c r="G13" s="22" t="str">
        <f>'[1]1нед'!X137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'[1]2нед'!S137</f>
        <v>0</v>
      </c>
      <c r="M13" s="23">
        <f>'[1]2нед'!T137</f>
        <v>0</v>
      </c>
      <c r="N13" s="21">
        <f>'[1]2нед'!W137</f>
        <v>0</v>
      </c>
      <c r="O13" s="22" t="str">
        <f>'[1]2нед'!X137</f>
        <v/>
      </c>
      <c r="P13" s="57" t="str">
        <f>HYPERLINK(VLOOKUP(M13,$R$12:$S$180,2,FALSE))</f>
        <v/>
      </c>
      <c r="R13" t="str">
        <f>[2]Уч.План!B405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'[1]1нед'!S138</f>
        <v>0</v>
      </c>
      <c r="E14" s="23">
        <f>'[1]1нед'!T138</f>
        <v>0</v>
      </c>
      <c r="F14" s="21">
        <f>'[1]1нед'!W138</f>
        <v>0</v>
      </c>
      <c r="G14" s="22" t="str">
        <f>'[1]1нед'!X138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'[1]2нед'!S138</f>
        <v>0</v>
      </c>
      <c r="M14" s="23">
        <f>'[1]2нед'!T138</f>
        <v>0</v>
      </c>
      <c r="N14" s="21">
        <f>'[1]2нед'!W138</f>
        <v>0</v>
      </c>
      <c r="O14" s="22" t="str">
        <f>'[1]2нед'!X138</f>
        <v/>
      </c>
      <c r="P14" s="57" t="str">
        <f>HYPERLINK(VLOOKUP(M14,$R$12:$S$180,2,FALSE))</f>
        <v/>
      </c>
      <c r="R14" t="str">
        <f>[2]Уч.План!B406</f>
        <v>ИКТ и медиаинформационная грамотность</v>
      </c>
      <c r="S14" s="61" t="s">
        <v>55</v>
      </c>
    </row>
    <row r="15" spans="1:19" ht="31.5" x14ac:dyDescent="0.2">
      <c r="A15" s="82"/>
      <c r="B15" s="85"/>
      <c r="C15" s="14" t="s">
        <v>21</v>
      </c>
      <c r="D15" s="20">
        <f>'[1]1нед'!S139</f>
        <v>0</v>
      </c>
      <c r="E15" s="23">
        <f>'[1]1нед'!T139</f>
        <v>0</v>
      </c>
      <c r="F15" s="21">
        <f>'[1]1нед'!W139</f>
        <v>0</v>
      </c>
      <c r="G15" s="22" t="str">
        <f>'[1]1нед'!X139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'[1]2нед'!S139</f>
        <v>0</v>
      </c>
      <c r="M15" s="23">
        <f>'[1]2нед'!T139</f>
        <v>0</v>
      </c>
      <c r="N15" s="21">
        <f>'[1]2нед'!W139</f>
        <v>0</v>
      </c>
      <c r="O15" s="22" t="str">
        <f>'[1]2нед'!X139</f>
        <v/>
      </c>
      <c r="P15" s="57" t="str">
        <f>HYPERLINK(VLOOKUP(M15,$R$12:$S$180,2,FALSE))</f>
        <v/>
      </c>
      <c r="R15" t="str">
        <f>[2]Уч.План!B407</f>
        <v>Введение в Javascript и основы веб-разработки</v>
      </c>
      <c r="S15" s="61" t="s">
        <v>55</v>
      </c>
    </row>
    <row r="16" spans="1:19" ht="31.5" x14ac:dyDescent="0.2">
      <c r="A16" s="82"/>
      <c r="B16" s="85"/>
      <c r="C16" s="14" t="s">
        <v>22</v>
      </c>
      <c r="D16" s="20">
        <f>'[1]1нед'!S140</f>
        <v>0</v>
      </c>
      <c r="E16" s="23">
        <f>'[1]1нед'!T140</f>
        <v>0</v>
      </c>
      <c r="F16" s="21">
        <f>'[1]1нед'!W140</f>
        <v>0</v>
      </c>
      <c r="G16" s="22" t="str">
        <f>'[1]1нед'!X140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'[1]2нед'!S140</f>
        <v>0</v>
      </c>
      <c r="M16" s="23">
        <f>'[1]2нед'!T140</f>
        <v>0</v>
      </c>
      <c r="N16" s="21">
        <f>'[1]2нед'!W140</f>
        <v>0</v>
      </c>
      <c r="O16" s="22" t="str">
        <f>'[1]2нед'!X140</f>
        <v/>
      </c>
      <c r="P16" s="57" t="str">
        <f>HYPERLINK(VLOOKUP(M16,$R$12:$S$180,2,FALSE))</f>
        <v/>
      </c>
      <c r="R16" t="str">
        <f>[2]Уч.План!B408</f>
        <v>Архитектура компьютера и Интернет</v>
      </c>
      <c r="S16" s="61" t="s">
        <v>55</v>
      </c>
    </row>
    <row r="17" spans="1:19" ht="31.5" x14ac:dyDescent="0.2">
      <c r="A17" s="82"/>
      <c r="B17" s="85"/>
      <c r="C17" s="14" t="s">
        <v>23</v>
      </c>
      <c r="D17" s="20">
        <f>'[1]1нед'!S141</f>
        <v>0</v>
      </c>
      <c r="E17" s="23">
        <f>'[1]1нед'!T141</f>
        <v>0</v>
      </c>
      <c r="F17" s="21">
        <f>'[1]1нед'!W141</f>
        <v>0</v>
      </c>
      <c r="G17" s="22" t="str">
        <f>'[1]1нед'!X141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'[1]2нед'!S141</f>
        <v>л</v>
      </c>
      <c r="M17" s="23" t="str">
        <f>'[1]2нед'!T141</f>
        <v>Математика для программирования</v>
      </c>
      <c r="N17" s="21" t="str">
        <f>'[1]2нед'!W141</f>
        <v>Линник Е.П.</v>
      </c>
      <c r="O17" s="22" t="str">
        <f>'[1]2нед'!X141</f>
        <v>доцент, канд. наук</v>
      </c>
      <c r="P17" s="55" t="str">
        <f>HYPERLINK(VLOOKUP(M17,$R$12:$S$180,2,FALSE))</f>
        <v>https://max.ru/join/WiSqTQR9vhIixu_9tEOVcte-zLq3xD0Pr4wEaSuQ8L8</v>
      </c>
      <c r="R17" t="str">
        <f>[2]Уч.План!B409</f>
        <v>Основы компьютерных наук</v>
      </c>
      <c r="S17" s="61" t="s">
        <v>55</v>
      </c>
    </row>
    <row r="18" spans="1:19" ht="37.5" x14ac:dyDescent="0.2">
      <c r="A18" s="82"/>
      <c r="B18" s="85"/>
      <c r="C18" s="14" t="s">
        <v>24</v>
      </c>
      <c r="D18" s="20">
        <f>'[1]1нед'!S142</f>
        <v>0</v>
      </c>
      <c r="E18" s="23">
        <f>'[1]1нед'!T142</f>
        <v>0</v>
      </c>
      <c r="F18" s="21">
        <f>'[1]1нед'!W142</f>
        <v>0</v>
      </c>
      <c r="G18" s="22" t="str">
        <f>'[1]1нед'!X142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'[1]2нед'!S142</f>
        <v>л</v>
      </c>
      <c r="M18" s="23" t="str">
        <f>'[1]2нед'!T142</f>
        <v>Введение в Javascript и основы веб-разработки</v>
      </c>
      <c r="N18" s="21" t="str">
        <f>'[1]2нед'!W142</f>
        <v>Алешов В.В.</v>
      </c>
      <c r="O18" s="22" t="str">
        <f>'[1]2нед'!X142</f>
        <v>ст. преподаватель</v>
      </c>
      <c r="P18" s="55" t="str">
        <f>HYPERLINK(VLOOKUP(M18,$R$12:$S$180,2,FALSE))</f>
        <v>https://max.ru/join/WiSqTQR9vhIixu_9tEOVcte-zLq3xD0Pr4wEaSuQ8L8</v>
      </c>
      <c r="R18" t="str">
        <f>[2]Уч.План!B410</f>
        <v>Математика для программирования</v>
      </c>
      <c r="S18" s="61" t="s">
        <v>55</v>
      </c>
    </row>
    <row r="19" spans="1:19" ht="18.399999999999999" customHeight="1" thickBot="1" x14ac:dyDescent="0.25">
      <c r="A19" s="83"/>
      <c r="B19" s="86"/>
      <c r="C19" s="15"/>
      <c r="D19" s="24">
        <f>'[1]1нед'!S143</f>
        <v>0</v>
      </c>
      <c r="E19" s="25">
        <f>'[1]1нед'!T143</f>
        <v>0</v>
      </c>
      <c r="F19" s="26">
        <f>'[1]1нед'!W143</f>
        <v>0</v>
      </c>
      <c r="G19" s="27" t="str">
        <f>'[1]1нед'!X143</f>
        <v/>
      </c>
      <c r="H19" s="58" t="str">
        <f>HYPERLINK(VLOOKUP(E19,$R$12:$S$180,2,FALSE))</f>
        <v/>
      </c>
      <c r="I19" s="72"/>
      <c r="J19" s="89"/>
      <c r="K19" s="15"/>
      <c r="L19" s="24">
        <f>'[1]2нед'!S143</f>
        <v>0</v>
      </c>
      <c r="M19" s="25">
        <f>'[1]2нед'!T143</f>
        <v>0</v>
      </c>
      <c r="N19" s="26">
        <f>'[1]2нед'!W143</f>
        <v>0</v>
      </c>
      <c r="O19" s="27" t="str">
        <f>'[1]2нед'!X143</f>
        <v/>
      </c>
      <c r="P19" s="58" t="str">
        <f>HYPERLINK(VLOOKUP(M19,$R$12:$S$180,2,FALSE))</f>
        <v/>
      </c>
      <c r="R19" t="str">
        <f>[2]Уч.План!B411</f>
        <v>Дискретная математика</v>
      </c>
      <c r="S19" s="61" t="s">
        <v>55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'[1]1нед'!S144</f>
        <v>0</v>
      </c>
      <c r="E20" s="19">
        <f>'[1]1нед'!T144</f>
        <v>0</v>
      </c>
      <c r="F20" s="17">
        <f>'[1]1нед'!W144</f>
        <v>0</v>
      </c>
      <c r="G20" s="18" t="str">
        <f>'[1]1нед'!X144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'[1]2нед'!S144</f>
        <v>0</v>
      </c>
      <c r="M20" s="19">
        <f>'[1]2нед'!T144</f>
        <v>0</v>
      </c>
      <c r="N20" s="17">
        <f>'[1]2нед'!W144</f>
        <v>0</v>
      </c>
      <c r="O20" s="18" t="str">
        <f>'[1]2нед'!X144</f>
        <v/>
      </c>
      <c r="P20" s="56" t="str">
        <f>HYPERLINK(VLOOKUP(M20,$R$12:$S$180,2,FALSE))</f>
        <v/>
      </c>
      <c r="R20" t="str">
        <f>[2]Уч.План!B412</f>
        <v xml:space="preserve"> ИКТ и медиаинформационная грамотность</v>
      </c>
      <c r="S20" s="61" t="s">
        <v>55</v>
      </c>
    </row>
    <row r="21" spans="1:19" ht="31.5" x14ac:dyDescent="0.2">
      <c r="A21" s="82"/>
      <c r="B21" s="85"/>
      <c r="C21" s="14" t="s">
        <v>19</v>
      </c>
      <c r="D21" s="20">
        <f>'[1]1нед'!S145</f>
        <v>0</v>
      </c>
      <c r="E21" s="23">
        <f>'[1]1нед'!T145</f>
        <v>0</v>
      </c>
      <c r="F21" s="21">
        <f>'[1]1нед'!W145</f>
        <v>0</v>
      </c>
      <c r="G21" s="22" t="str">
        <f>'[1]1нед'!X145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'[1]2нед'!S145</f>
        <v>0</v>
      </c>
      <c r="M21" s="23">
        <f>'[1]2нед'!T145</f>
        <v>0</v>
      </c>
      <c r="N21" s="21">
        <f>'[1]2нед'!W145</f>
        <v>0</v>
      </c>
      <c r="O21" s="22" t="str">
        <f>'[1]2нед'!X145</f>
        <v/>
      </c>
      <c r="P21" s="57" t="str">
        <f>HYPERLINK(VLOOKUP(M21,$R$12:$S$180,2,FALSE))</f>
        <v/>
      </c>
      <c r="R21" t="str">
        <f>[2]Уч.План!B413</f>
        <v xml:space="preserve"> Финансово-экономический практикум</v>
      </c>
      <c r="S21" s="61" t="s">
        <v>56</v>
      </c>
    </row>
    <row r="22" spans="1:19" ht="31.5" x14ac:dyDescent="0.2">
      <c r="A22" s="82"/>
      <c r="B22" s="85"/>
      <c r="C22" s="14" t="s">
        <v>20</v>
      </c>
      <c r="D22" s="20">
        <f>'[1]1нед'!S146</f>
        <v>0</v>
      </c>
      <c r="E22" s="23">
        <f>'[1]1нед'!T146</f>
        <v>0</v>
      </c>
      <c r="F22" s="21">
        <f>'[1]1нед'!W146</f>
        <v>0</v>
      </c>
      <c r="G22" s="22" t="str">
        <f>'[1]1нед'!X146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'[1]2нед'!S146</f>
        <v>0</v>
      </c>
      <c r="M22" s="23">
        <f>'[1]2нед'!T146</f>
        <v>0</v>
      </c>
      <c r="N22" s="21">
        <f>'[1]2нед'!W146</f>
        <v>0</v>
      </c>
      <c r="O22" s="22" t="str">
        <f>'[1]2нед'!X146</f>
        <v/>
      </c>
      <c r="P22" s="57" t="str">
        <f>HYPERLINK(VLOOKUP(M22,$R$12:$S$180,2,FALSE))</f>
        <v/>
      </c>
      <c r="R22" t="str">
        <f>[2]Уч.План!B414</f>
        <v xml:space="preserve"> Нормативно-правовые основы профессиональной деятельности</v>
      </c>
      <c r="S22" s="61" t="s">
        <v>56</v>
      </c>
    </row>
    <row r="23" spans="1:19" ht="31.5" x14ac:dyDescent="0.2">
      <c r="A23" s="82"/>
      <c r="B23" s="85"/>
      <c r="C23" s="14" t="s">
        <v>21</v>
      </c>
      <c r="D23" s="20">
        <f>'[1]1нед'!S147</f>
        <v>0</v>
      </c>
      <c r="E23" s="23">
        <f>'[1]1нед'!T147</f>
        <v>0</v>
      </c>
      <c r="F23" s="21">
        <f>'[1]1нед'!W147</f>
        <v>0</v>
      </c>
      <c r="G23" s="22" t="str">
        <f>'[1]1нед'!X147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'[1]2нед'!S147</f>
        <v>0</v>
      </c>
      <c r="M23" s="23">
        <f>'[1]2нед'!T147</f>
        <v>0</v>
      </c>
      <c r="N23" s="21">
        <f>'[1]2нед'!W147</f>
        <v>0</v>
      </c>
      <c r="O23" s="22" t="str">
        <f>'[1]2нед'!X147</f>
        <v/>
      </c>
      <c r="P23" s="57" t="str">
        <f>HYPERLINK(VLOOKUP(M23,$R$12:$S$180,2,FALSE))</f>
        <v/>
      </c>
      <c r="R23">
        <f>[2]Уч.План!B415</f>
        <v>0</v>
      </c>
    </row>
    <row r="24" spans="1:19" ht="31.5" x14ac:dyDescent="0.2">
      <c r="A24" s="82"/>
      <c r="B24" s="85"/>
      <c r="C24" s="14" t="s">
        <v>22</v>
      </c>
      <c r="D24" s="20">
        <f>'[1]1нед'!S148</f>
        <v>0</v>
      </c>
      <c r="E24" s="23">
        <f>'[1]1нед'!T148</f>
        <v>0</v>
      </c>
      <c r="F24" s="21">
        <f>'[1]1нед'!W148</f>
        <v>0</v>
      </c>
      <c r="G24" s="22" t="str">
        <f>'[1]1нед'!X148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'[1]2нед'!S148</f>
        <v>0</v>
      </c>
      <c r="M24" s="23">
        <f>'[1]2нед'!T148</f>
        <v>0</v>
      </c>
      <c r="N24" s="21">
        <f>'[1]2нед'!W148</f>
        <v>0</v>
      </c>
      <c r="O24" s="22" t="str">
        <f>'[1]2нед'!X148</f>
        <v/>
      </c>
      <c r="P24" s="57" t="str">
        <f>HYPERLINK(VLOOKUP(M24,$R$12:$S$180,2,FALSE))</f>
        <v/>
      </c>
      <c r="R24">
        <f>[2]Уч.План!B416</f>
        <v>0</v>
      </c>
    </row>
    <row r="25" spans="1:19" ht="37.5" x14ac:dyDescent="0.2">
      <c r="A25" s="82"/>
      <c r="B25" s="85"/>
      <c r="C25" s="14" t="s">
        <v>23</v>
      </c>
      <c r="D25" s="20">
        <f>'[1]1нед'!S149</f>
        <v>0</v>
      </c>
      <c r="E25" s="23">
        <f>'[1]1нед'!T149</f>
        <v>0</v>
      </c>
      <c r="F25" s="21">
        <f>'[1]1нед'!W149</f>
        <v>0</v>
      </c>
      <c r="G25" s="22" t="str">
        <f>'[1]1нед'!X149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'[1]2нед'!S149</f>
        <v>л</v>
      </c>
      <c r="M25" s="23" t="str">
        <f>'[1]2нед'!T149</f>
        <v>Основы компьютерных наук</v>
      </c>
      <c r="N25" s="21" t="str">
        <f>'[1]2нед'!W149</f>
        <v>Криницкий Ю.В.</v>
      </c>
      <c r="O25" s="22" t="str">
        <f>'[1]2нед'!X149</f>
        <v>преподаватель</v>
      </c>
      <c r="P25" s="57" t="str">
        <f>HYPERLINK(VLOOKUP(M25,$R$12:$S$180,2,FALSE))</f>
        <v>https://max.ru/join/WiSqTQR9vhIixu_9tEOVcte-zLq3xD0Pr4wEaSuQ8L8</v>
      </c>
      <c r="R25">
        <f>[2]Уч.План!B417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'[1]1нед'!S150</f>
        <v>0</v>
      </c>
      <c r="E26" s="23">
        <f>'[1]1нед'!T150</f>
        <v>0</v>
      </c>
      <c r="F26" s="21">
        <f>'[1]1нед'!W150</f>
        <v>0</v>
      </c>
      <c r="G26" s="22" t="str">
        <f>'[1]1нед'!X150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'[1]2нед'!S150</f>
        <v>л</v>
      </c>
      <c r="M26" s="23" t="str">
        <f>'[1]2нед'!T150</f>
        <v>Архитектура компьютера и Интернет</v>
      </c>
      <c r="N26" s="21" t="str">
        <f>'[1]2нед'!W150</f>
        <v>Криницкий Ю.В.</v>
      </c>
      <c r="O26" s="22" t="str">
        <f>'[1]2нед'!X150</f>
        <v>преподаватель</v>
      </c>
      <c r="P26" s="57" t="str">
        <f>HYPERLINK(VLOOKUP(M26,$R$12:$S$180,2,FALSE))</f>
        <v>https://max.ru/join/WiSqTQR9vhIixu_9tEOVcte-zLq3xD0Pr4wEaSuQ8L8</v>
      </c>
      <c r="R26">
        <f>[2]Уч.План!B418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'[1]1нед'!S151</f>
        <v>0</v>
      </c>
      <c r="E27" s="25">
        <f>'[1]1нед'!T151</f>
        <v>0</v>
      </c>
      <c r="F27" s="26">
        <f>'[1]1нед'!W151</f>
        <v>0</v>
      </c>
      <c r="G27" s="27" t="str">
        <f>'[1]1нед'!X151</f>
        <v/>
      </c>
      <c r="H27" s="58" t="str">
        <f>HYPERLINK(VLOOKUP(E27,$R$12:$S$180,2,FALSE))</f>
        <v/>
      </c>
      <c r="I27" s="72"/>
      <c r="J27" s="89"/>
      <c r="K27" s="15"/>
      <c r="L27" s="24">
        <f>'[1]2нед'!S151</f>
        <v>0</v>
      </c>
      <c r="M27" s="25">
        <f>'[1]2нед'!T151</f>
        <v>0</v>
      </c>
      <c r="N27" s="26">
        <f>'[1]2нед'!W151</f>
        <v>0</v>
      </c>
      <c r="O27" s="27" t="str">
        <f>'[1]2нед'!X151</f>
        <v/>
      </c>
      <c r="P27" s="58" t="str">
        <f>HYPERLINK(VLOOKUP(M27,$R$12:$S$180,2,FALSE))</f>
        <v/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'[1]1нед'!S152</f>
        <v>0</v>
      </c>
      <c r="E28" s="19">
        <f>'[1]1нед'!T152</f>
        <v>0</v>
      </c>
      <c r="F28" s="17">
        <f>'[1]1нед'!W152</f>
        <v>0</v>
      </c>
      <c r="G28" s="18" t="str">
        <f>'[1]1нед'!X152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'[1]2нед'!S152</f>
        <v>0</v>
      </c>
      <c r="M28" s="19">
        <f>'[1]2нед'!T152</f>
        <v>0</v>
      </c>
      <c r="N28" s="17">
        <f>'[1]2нед'!W152</f>
        <v>0</v>
      </c>
      <c r="O28" s="18" t="str">
        <f>'[1]2нед'!X152</f>
        <v/>
      </c>
      <c r="P28" s="56" t="str">
        <f>HYPERLINK(VLOOKUP(M28,$R$12:$S$180,2,FALSE))</f>
        <v/>
      </c>
    </row>
    <row r="29" spans="1:19" ht="31.5" x14ac:dyDescent="0.2">
      <c r="A29" s="82"/>
      <c r="B29" s="68"/>
      <c r="C29" s="14" t="s">
        <v>19</v>
      </c>
      <c r="D29" s="20">
        <f>'[1]1нед'!S153</f>
        <v>0</v>
      </c>
      <c r="E29" s="23">
        <f>'[1]1нед'!T153</f>
        <v>0</v>
      </c>
      <c r="F29" s="21">
        <f>'[1]1нед'!W153</f>
        <v>0</v>
      </c>
      <c r="G29" s="22" t="str">
        <f>'[1]1нед'!X153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'[1]2нед'!S153</f>
        <v>0</v>
      </c>
      <c r="M29" s="23">
        <f>'[1]2нед'!T153</f>
        <v>0</v>
      </c>
      <c r="N29" s="21">
        <f>'[1]2нед'!W153</f>
        <v>0</v>
      </c>
      <c r="O29" s="22" t="str">
        <f>'[1]2нед'!X153</f>
        <v/>
      </c>
      <c r="P29" s="57" t="str">
        <f>HYPERLINK(VLOOKUP(M29,$R$12:$S$180,2,FALSE))</f>
        <v/>
      </c>
    </row>
    <row r="30" spans="1:19" ht="31.5" x14ac:dyDescent="0.2">
      <c r="A30" s="82"/>
      <c r="B30" s="68"/>
      <c r="C30" s="14" t="s">
        <v>20</v>
      </c>
      <c r="D30" s="20">
        <f>'[1]1нед'!S154</f>
        <v>0</v>
      </c>
      <c r="E30" s="23">
        <f>'[1]1нед'!T154</f>
        <v>0</v>
      </c>
      <c r="F30" s="21">
        <f>'[1]1нед'!W154</f>
        <v>0</v>
      </c>
      <c r="G30" s="22" t="str">
        <f>'[1]1нед'!X154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'[1]2нед'!S154</f>
        <v>0</v>
      </c>
      <c r="M30" s="23">
        <f>'[1]2нед'!T154</f>
        <v>0</v>
      </c>
      <c r="N30" s="21">
        <f>'[1]2нед'!W154</f>
        <v>0</v>
      </c>
      <c r="O30" s="22" t="str">
        <f>'[1]2нед'!X154</f>
        <v/>
      </c>
      <c r="P30" s="57" t="str">
        <f>HYPERLINK(VLOOKUP(M30,$R$12:$S$180,2,FALSE))</f>
        <v/>
      </c>
    </row>
    <row r="31" spans="1:19" ht="31.5" x14ac:dyDescent="0.2">
      <c r="A31" s="82"/>
      <c r="B31" s="68"/>
      <c r="C31" s="14" t="s">
        <v>21</v>
      </c>
      <c r="D31" s="20">
        <f>'[1]1нед'!S155</f>
        <v>0</v>
      </c>
      <c r="E31" s="23">
        <f>'[1]1нед'!T155</f>
        <v>0</v>
      </c>
      <c r="F31" s="21">
        <f>'[1]1нед'!W155</f>
        <v>0</v>
      </c>
      <c r="G31" s="22" t="str">
        <f>'[1]1нед'!X155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'[1]2нед'!S155</f>
        <v>0</v>
      </c>
      <c r="M31" s="23">
        <f>'[1]2нед'!T155</f>
        <v>0</v>
      </c>
      <c r="N31" s="21">
        <f>'[1]2нед'!W155</f>
        <v>0</v>
      </c>
      <c r="O31" s="22" t="str">
        <f>'[1]2нед'!X155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'[1]1нед'!S156</f>
        <v>0</v>
      </c>
      <c r="E32" s="23">
        <f>'[1]1нед'!T156</f>
        <v>0</v>
      </c>
      <c r="F32" s="21">
        <f>'[1]1нед'!W156</f>
        <v>0</v>
      </c>
      <c r="G32" s="22" t="str">
        <f>'[1]1нед'!X156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'[1]2нед'!S156</f>
        <v>0</v>
      </c>
      <c r="M32" s="23">
        <f>'[1]2нед'!T156</f>
        <v>0</v>
      </c>
      <c r="N32" s="21">
        <f>'[1]2нед'!W156</f>
        <v>0</v>
      </c>
      <c r="O32" s="22" t="str">
        <f>'[1]2нед'!X156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'[1]1нед'!S157</f>
        <v>л</v>
      </c>
      <c r="E33" s="23" t="str">
        <f>'[1]1нед'!T157</f>
        <v>Финансово-экономический практикум</v>
      </c>
      <c r="F33" s="21" t="str">
        <f>'[1]1нед'!W157</f>
        <v>Марусик Е.А.</v>
      </c>
      <c r="G33" s="22" t="str">
        <f>'[1]1нед'!X157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>
        <f>'[1]2нед'!S157</f>
        <v>0</v>
      </c>
      <c r="M33" s="23">
        <f>'[1]2нед'!T157</f>
        <v>0</v>
      </c>
      <c r="N33" s="21">
        <f>'[1]2нед'!W157</f>
        <v>0</v>
      </c>
      <c r="O33" s="22" t="str">
        <f>'[1]2нед'!X157</f>
        <v/>
      </c>
      <c r="P33" s="55" t="str">
        <f>HYPERLINK(VLOOKUP(M33,$R$12:$S$180,2,FALSE))</f>
        <v/>
      </c>
    </row>
    <row r="34" spans="1:16" ht="38.25" thickBot="1" x14ac:dyDescent="0.25">
      <c r="A34" s="82"/>
      <c r="B34" s="68"/>
      <c r="C34" s="14" t="s">
        <v>24</v>
      </c>
      <c r="D34" s="20" t="str">
        <f>'[1]1нед'!S158</f>
        <v>л</v>
      </c>
      <c r="E34" s="23" t="str">
        <f>'[1]1нед'!T158</f>
        <v>Нормативно-правовые основы профессиональной деятельности</v>
      </c>
      <c r="F34" s="21" t="str">
        <f>'[1]1нед'!W158</f>
        <v>Лаврищева О.А.</v>
      </c>
      <c r="G34" s="22" t="str">
        <f>'[1]1нед'!X158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>
        <f>'[1]2нед'!S158</f>
        <v>0</v>
      </c>
      <c r="M34" s="23">
        <f>'[1]2нед'!T158</f>
        <v>0</v>
      </c>
      <c r="N34" s="21">
        <f>'[1]2нед'!W158</f>
        <v>0</v>
      </c>
      <c r="O34" s="22" t="str">
        <f>'[1]2нед'!X158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'[1]1нед'!S159</f>
        <v>0</v>
      </c>
      <c r="E35" s="25">
        <f>'[1]1нед'!T159</f>
        <v>0</v>
      </c>
      <c r="F35" s="26">
        <f>'[1]1нед'!W159</f>
        <v>0</v>
      </c>
      <c r="G35" s="27" t="str">
        <f>'[1]1нед'!X159</f>
        <v/>
      </c>
      <c r="H35" s="58" t="str">
        <f>HYPERLINK(VLOOKUP(E35,$R$12:$S$180,2,FALSE))</f>
        <v/>
      </c>
      <c r="I35" s="72"/>
      <c r="J35" s="75"/>
      <c r="K35" s="15"/>
      <c r="L35" s="24">
        <f>'[1]2нед'!S159</f>
        <v>0</v>
      </c>
      <c r="M35" s="25">
        <f>'[1]2нед'!T159</f>
        <v>0</v>
      </c>
      <c r="N35" s="26">
        <f>'[1]2нед'!W159</f>
        <v>0</v>
      </c>
      <c r="O35" s="27" t="str">
        <f>'[1]2нед'!X159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'[1]1нед'!S160</f>
        <v>0</v>
      </c>
      <c r="E36" s="19">
        <f>'[1]1нед'!T160</f>
        <v>0</v>
      </c>
      <c r="F36" s="17">
        <f>'[1]1нед'!W160</f>
        <v>0</v>
      </c>
      <c r="G36" s="18" t="str">
        <f>'[1]1нед'!X160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'[1]2нед'!S160</f>
        <v>0</v>
      </c>
      <c r="M36" s="19">
        <f>'[1]2нед'!T160</f>
        <v>0</v>
      </c>
      <c r="N36" s="17">
        <f>'[1]2нед'!W160</f>
        <v>0</v>
      </c>
      <c r="O36" s="18" t="str">
        <f>'[1]2нед'!X160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'[1]1нед'!S161</f>
        <v>0</v>
      </c>
      <c r="E37" s="23">
        <f>'[1]1нед'!T161</f>
        <v>0</v>
      </c>
      <c r="F37" s="21">
        <f>'[1]1нед'!W161</f>
        <v>0</v>
      </c>
      <c r="G37" s="22" t="str">
        <f>'[1]1нед'!X161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'[1]2нед'!S161</f>
        <v>0</v>
      </c>
      <c r="M37" s="23">
        <f>'[1]2нед'!T161</f>
        <v>0</v>
      </c>
      <c r="N37" s="21">
        <f>'[1]2нед'!W161</f>
        <v>0</v>
      </c>
      <c r="O37" s="22" t="str">
        <f>'[1]2нед'!X161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'[1]1нед'!S162</f>
        <v>0</v>
      </c>
      <c r="E38" s="23">
        <f>'[1]1нед'!T162</f>
        <v>0</v>
      </c>
      <c r="F38" s="21">
        <f>'[1]1нед'!W162</f>
        <v>0</v>
      </c>
      <c r="G38" s="22" t="str">
        <f>'[1]1нед'!X162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'[1]2нед'!S162</f>
        <v>0</v>
      </c>
      <c r="M38" s="23">
        <f>'[1]2нед'!T162</f>
        <v>0</v>
      </c>
      <c r="N38" s="21">
        <f>'[1]2нед'!W162</f>
        <v>0</v>
      </c>
      <c r="O38" s="22" t="str">
        <f>'[1]2нед'!X162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'[1]1нед'!S163</f>
        <v>0</v>
      </c>
      <c r="E39" s="23">
        <f>'[1]1нед'!T163</f>
        <v>0</v>
      </c>
      <c r="F39" s="21">
        <f>'[1]1нед'!W163</f>
        <v>0</v>
      </c>
      <c r="G39" s="22" t="str">
        <f>'[1]1нед'!X163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'[1]2нед'!S163</f>
        <v>0</v>
      </c>
      <c r="M39" s="23">
        <f>'[1]2нед'!T163</f>
        <v>0</v>
      </c>
      <c r="N39" s="21">
        <f>'[1]2нед'!W163</f>
        <v>0</v>
      </c>
      <c r="O39" s="22" t="str">
        <f>'[1]2нед'!X163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'[1]1нед'!S164</f>
        <v>0</v>
      </c>
      <c r="E40" s="23">
        <f>'[1]1нед'!T164</f>
        <v>0</v>
      </c>
      <c r="F40" s="21">
        <f>'[1]1нед'!W164</f>
        <v>0</v>
      </c>
      <c r="G40" s="22" t="str">
        <f>'[1]1нед'!X164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'[1]2нед'!S164</f>
        <v>0</v>
      </c>
      <c r="M40" s="23">
        <f>'[1]2нед'!T164</f>
        <v>0</v>
      </c>
      <c r="N40" s="21">
        <f>'[1]2нед'!W164</f>
        <v>0</v>
      </c>
      <c r="O40" s="22" t="str">
        <f>'[1]2нед'!X164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'[1]1нед'!S165</f>
        <v>0</v>
      </c>
      <c r="E41" s="23">
        <f>'[1]1нед'!T165</f>
        <v>0</v>
      </c>
      <c r="F41" s="21">
        <f>'[1]1нед'!W165</f>
        <v>0</v>
      </c>
      <c r="G41" s="22" t="str">
        <f>'[1]1нед'!X165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'[1]2нед'!S165</f>
        <v>пр</v>
      </c>
      <c r="M41" s="23" t="str">
        <f>'[1]2нед'!T165</f>
        <v>Математика для программирования</v>
      </c>
      <c r="N41" s="21" t="str">
        <f>'[1]2нед'!W165</f>
        <v>Линник Е.П.</v>
      </c>
      <c r="O41" s="22" t="str">
        <f>'[1]2нед'!X165</f>
        <v>доцент, канд. наук</v>
      </c>
      <c r="P41" s="55" t="str">
        <f>HYPERLINK(VLOOKUP(M41,$R$12:$S$180,2,FALSE))</f>
        <v>https://max.ru/join/WiSqTQR9vhIixu_9tEOVcte-zLq3xD0Pr4wEaSuQ8L8</v>
      </c>
    </row>
    <row r="42" spans="1:16" ht="32.25" thickBot="1" x14ac:dyDescent="0.25">
      <c r="A42" s="82"/>
      <c r="B42" s="85"/>
      <c r="C42" s="14" t="s">
        <v>24</v>
      </c>
      <c r="D42" s="20">
        <f>'[1]1нед'!S166</f>
        <v>0</v>
      </c>
      <c r="E42" s="23">
        <f>'[1]1нед'!T166</f>
        <v>0</v>
      </c>
      <c r="F42" s="21">
        <f>'[1]1нед'!W166</f>
        <v>0</v>
      </c>
      <c r="G42" s="22" t="str">
        <f>'[1]1нед'!X166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'[1]2нед'!S166</f>
        <v>пр</v>
      </c>
      <c r="M42" s="23" t="str">
        <f>'[1]2нед'!T166</f>
        <v>Дискретная математика</v>
      </c>
      <c r="N42" s="21" t="str">
        <f>'[1]2нед'!W166</f>
        <v>Казанцев Ю.А.</v>
      </c>
      <c r="O42" s="22" t="str">
        <f>'[1]2нед'!X166</f>
        <v>ст. преподаватель</v>
      </c>
      <c r="P42" s="55" t="str">
        <f>HYPERLINK(VLOOKUP(M42,$R$12:$S$180,2,FALSE))</f>
        <v>https://max.ru/join/WiSqTQR9vhIixu_9tEOVcte-zLq3xD0Pr4wEaSuQ8L8</v>
      </c>
    </row>
    <row r="43" spans="1:16" ht="18.399999999999999" hidden="1" customHeight="1" thickBot="1" x14ac:dyDescent="0.25">
      <c r="A43" s="83"/>
      <c r="B43" s="86"/>
      <c r="C43" s="15"/>
      <c r="D43" s="24">
        <f>'[1]1нед'!S167</f>
        <v>0</v>
      </c>
      <c r="E43" s="25">
        <f>'[1]1нед'!T167</f>
        <v>0</v>
      </c>
      <c r="F43" s="26">
        <f>'[1]1нед'!W167</f>
        <v>0</v>
      </c>
      <c r="G43" s="27" t="str">
        <f>'[1]1нед'!X167</f>
        <v/>
      </c>
      <c r="H43" s="58" t="str">
        <f>HYPERLINK(VLOOKUP(E43,$R$12:$S$180,2,FALSE))</f>
        <v/>
      </c>
      <c r="I43" s="72"/>
      <c r="J43" s="89"/>
      <c r="K43" s="15"/>
      <c r="L43" s="24">
        <f>'[1]2нед'!S167</f>
        <v>0</v>
      </c>
      <c r="M43" s="25">
        <f>'[1]2нед'!T167</f>
        <v>0</v>
      </c>
      <c r="N43" s="26">
        <f>'[1]2нед'!W167</f>
        <v>0</v>
      </c>
      <c r="O43" s="27" t="str">
        <f>'[1]2нед'!X167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'[1]1нед'!S168</f>
        <v>0</v>
      </c>
      <c r="E44" s="19">
        <f>'[1]1нед'!T168</f>
        <v>0</v>
      </c>
      <c r="F44" s="17">
        <f>'[1]1нед'!W168</f>
        <v>0</v>
      </c>
      <c r="G44" s="18" t="str">
        <f>'[1]1нед'!X168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'[1]2нед'!S168</f>
        <v>0</v>
      </c>
      <c r="M44" s="19">
        <f>'[1]2нед'!T168</f>
        <v>0</v>
      </c>
      <c r="N44" s="17">
        <f>'[1]2нед'!W168</f>
        <v>0</v>
      </c>
      <c r="O44" s="18" t="str">
        <f>'[1]2нед'!X168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'[1]1нед'!S169</f>
        <v>0</v>
      </c>
      <c r="E45" s="23">
        <f>'[1]1нед'!T169</f>
        <v>0</v>
      </c>
      <c r="F45" s="21">
        <f>'[1]1нед'!W169</f>
        <v>0</v>
      </c>
      <c r="G45" s="22" t="str">
        <f>'[1]1нед'!X169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'[1]2нед'!S169</f>
        <v>0</v>
      </c>
      <c r="M45" s="23">
        <f>'[1]2нед'!T169</f>
        <v>0</v>
      </c>
      <c r="N45" s="21">
        <f>'[1]2нед'!W169</f>
        <v>0</v>
      </c>
      <c r="O45" s="22" t="str">
        <f>'[1]2нед'!X169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'[1]1нед'!S170</f>
        <v>0</v>
      </c>
      <c r="E46" s="23">
        <f>'[1]1нед'!T170</f>
        <v>0</v>
      </c>
      <c r="F46" s="21">
        <f>'[1]1нед'!W170</f>
        <v>0</v>
      </c>
      <c r="G46" s="22" t="str">
        <f>'[1]1нед'!X170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'[1]2нед'!S170</f>
        <v>0</v>
      </c>
      <c r="M46" s="23">
        <f>'[1]2нед'!T170</f>
        <v>0</v>
      </c>
      <c r="N46" s="21">
        <f>'[1]2нед'!W170</f>
        <v>0</v>
      </c>
      <c r="O46" s="22" t="str">
        <f>'[1]2нед'!X170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'[1]1нед'!S171</f>
        <v>0</v>
      </c>
      <c r="E47" s="23">
        <f>'[1]1нед'!T171</f>
        <v>0</v>
      </c>
      <c r="F47" s="21">
        <f>'[1]1нед'!W171</f>
        <v>0</v>
      </c>
      <c r="G47" s="22" t="str">
        <f>'[1]1нед'!X171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'[1]2нед'!S171</f>
        <v>0</v>
      </c>
      <c r="M47" s="23">
        <f>'[1]2нед'!T171</f>
        <v>0</v>
      </c>
      <c r="N47" s="21">
        <f>'[1]2нед'!W171</f>
        <v>0</v>
      </c>
      <c r="O47" s="22" t="str">
        <f>'[1]2нед'!X171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'[1]1нед'!S172</f>
        <v>0</v>
      </c>
      <c r="E48" s="23">
        <f>'[1]1нед'!T172</f>
        <v>0</v>
      </c>
      <c r="F48" s="21">
        <f>'[1]1нед'!W172</f>
        <v>0</v>
      </c>
      <c r="G48" s="22" t="str">
        <f>'[1]1нед'!X172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'[1]2нед'!S172</f>
        <v>0</v>
      </c>
      <c r="M48" s="23">
        <f>'[1]2нед'!T172</f>
        <v>0</v>
      </c>
      <c r="N48" s="21">
        <f>'[1]2нед'!W172</f>
        <v>0</v>
      </c>
      <c r="O48" s="22" t="str">
        <f>'[1]2нед'!X172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'[1]1нед'!S173</f>
        <v>0</v>
      </c>
      <c r="E49" s="23">
        <f>'[1]1нед'!T173</f>
        <v>0</v>
      </c>
      <c r="F49" s="21">
        <f>'[1]1нед'!W173</f>
        <v>0</v>
      </c>
      <c r="G49" s="22" t="str">
        <f>'[1]1нед'!X173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'[1]2нед'!S173</f>
        <v>0</v>
      </c>
      <c r="M49" s="23">
        <f>'[1]2нед'!T173</f>
        <v>0</v>
      </c>
      <c r="N49" s="21">
        <f>'[1]2нед'!W173</f>
        <v>0</v>
      </c>
      <c r="O49" s="22" t="str">
        <f>'[1]2нед'!X173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'[1]1нед'!S174</f>
        <v>0</v>
      </c>
      <c r="E50" s="23">
        <f>'[1]1нед'!T174</f>
        <v>0</v>
      </c>
      <c r="F50" s="21">
        <f>'[1]1нед'!W174</f>
        <v>0</v>
      </c>
      <c r="G50" s="22" t="str">
        <f>'[1]1нед'!X174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'[1]2нед'!S174</f>
        <v>0</v>
      </c>
      <c r="M50" s="23">
        <f>'[1]2нед'!T174</f>
        <v>0</v>
      </c>
      <c r="N50" s="21">
        <f>'[1]2нед'!W174</f>
        <v>0</v>
      </c>
      <c r="O50" s="22" t="str">
        <f>'[1]2нед'!X174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'[1]1нед'!S175</f>
        <v>0</v>
      </c>
      <c r="E51" s="25">
        <f>'[1]1нед'!T175</f>
        <v>0</v>
      </c>
      <c r="F51" s="26">
        <f>'[1]1нед'!W175</f>
        <v>0</v>
      </c>
      <c r="G51" s="27" t="str">
        <f>'[1]1нед'!X175</f>
        <v/>
      </c>
      <c r="H51" s="58" t="str">
        <f>HYPERLINK(VLOOKUP(E51,$R$12:$S$180,2,FALSE))</f>
        <v/>
      </c>
      <c r="I51" s="72"/>
      <c r="J51" s="89"/>
      <c r="K51" s="15"/>
      <c r="L51" s="24">
        <f>'[1]2нед'!S175</f>
        <v>0</v>
      </c>
      <c r="M51" s="25">
        <f>'[1]2нед'!T175</f>
        <v>0</v>
      </c>
      <c r="N51" s="26">
        <f>'[1]2нед'!W175</f>
        <v>0</v>
      </c>
      <c r="O51" s="27" t="str">
        <f>'[1]2нед'!X175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'[1]1нед'!S176</f>
        <v>0</v>
      </c>
      <c r="E52" s="19">
        <f>'[1]1нед'!T176</f>
        <v>0</v>
      </c>
      <c r="F52" s="17">
        <f>'[1]1нед'!W176</f>
        <v>0</v>
      </c>
      <c r="G52" s="18" t="str">
        <f>'[1]1нед'!X176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'[1]2нед'!S176</f>
        <v>0</v>
      </c>
      <c r="M52" s="19">
        <f>'[1]2нед'!T176</f>
        <v>0</v>
      </c>
      <c r="N52" s="17">
        <f>'[1]2нед'!W176</f>
        <v>0</v>
      </c>
      <c r="O52" s="18" t="str">
        <f>'[1]2нед'!X176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'[1]1нед'!S177</f>
        <v>0</v>
      </c>
      <c r="E53" s="23">
        <f>'[1]1нед'!T177</f>
        <v>0</v>
      </c>
      <c r="F53" s="21">
        <f>'[1]1нед'!W177</f>
        <v>0</v>
      </c>
      <c r="G53" s="22" t="str">
        <f>'[1]1нед'!X177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'[1]2нед'!S177</f>
        <v>0</v>
      </c>
      <c r="M53" s="23">
        <f>'[1]2нед'!T177</f>
        <v>0</v>
      </c>
      <c r="N53" s="21">
        <f>'[1]2нед'!W177</f>
        <v>0</v>
      </c>
      <c r="O53" s="22" t="str">
        <f>'[1]2нед'!X177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'[1]1нед'!S178</f>
        <v>0</v>
      </c>
      <c r="E54" s="23">
        <f>'[1]1нед'!T178</f>
        <v>0</v>
      </c>
      <c r="F54" s="21">
        <f>'[1]1нед'!W178</f>
        <v>0</v>
      </c>
      <c r="G54" s="22" t="str">
        <f>'[1]1нед'!X178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'[1]2нед'!S178</f>
        <v>0</v>
      </c>
      <c r="M54" s="23">
        <f>'[1]2нед'!T178</f>
        <v>0</v>
      </c>
      <c r="N54" s="21">
        <f>'[1]2нед'!W178</f>
        <v>0</v>
      </c>
      <c r="O54" s="22" t="str">
        <f>'[1]2нед'!X178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'[1]1нед'!S179</f>
        <v>0</v>
      </c>
      <c r="E55" s="23">
        <f>'[1]1нед'!T179</f>
        <v>0</v>
      </c>
      <c r="F55" s="21">
        <f>'[1]1нед'!W179</f>
        <v>0</v>
      </c>
      <c r="G55" s="22" t="str">
        <f>'[1]1нед'!X179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'[1]2нед'!S179</f>
        <v>0</v>
      </c>
      <c r="M55" s="23">
        <f>'[1]2нед'!T179</f>
        <v>0</v>
      </c>
      <c r="N55" s="21">
        <f>'[1]2нед'!W179</f>
        <v>0</v>
      </c>
      <c r="O55" s="22" t="str">
        <f>'[1]2нед'!X179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'[1]1нед'!S180</f>
        <v>0</v>
      </c>
      <c r="E56" s="23">
        <f>'[1]1нед'!T180</f>
        <v>0</v>
      </c>
      <c r="F56" s="21">
        <f>'[1]1нед'!W180</f>
        <v>0</v>
      </c>
      <c r="G56" s="22" t="str">
        <f>'[1]1нед'!X180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'[1]2нед'!S180</f>
        <v>0</v>
      </c>
      <c r="M56" s="23">
        <f>'[1]2нед'!T180</f>
        <v>0</v>
      </c>
      <c r="N56" s="21">
        <f>'[1]2нед'!W180</f>
        <v>0</v>
      </c>
      <c r="O56" s="22" t="str">
        <f>'[1]2нед'!X180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'[1]1нед'!S181</f>
        <v>0</v>
      </c>
      <c r="E57" s="23">
        <f>'[1]1нед'!T181</f>
        <v>0</v>
      </c>
      <c r="F57" s="21">
        <f>'[1]1нед'!W181</f>
        <v>0</v>
      </c>
      <c r="G57" s="22" t="str">
        <f>'[1]1нед'!X181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'[1]2нед'!S181</f>
        <v>0</v>
      </c>
      <c r="M57" s="23">
        <f>'[1]2нед'!T181</f>
        <v>0</v>
      </c>
      <c r="N57" s="21">
        <f>'[1]2нед'!W181</f>
        <v>0</v>
      </c>
      <c r="O57" s="22" t="str">
        <f>'[1]2нед'!X181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'[1]1нед'!S182</f>
        <v>0</v>
      </c>
      <c r="E58" s="23">
        <f>'[1]1нед'!T182</f>
        <v>0</v>
      </c>
      <c r="F58" s="21">
        <f>'[1]1нед'!W182</f>
        <v>0</v>
      </c>
      <c r="G58" s="22" t="str">
        <f>'[1]1нед'!X182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'[1]2нед'!S182</f>
        <v>0</v>
      </c>
      <c r="M58" s="23">
        <f>'[1]2нед'!T182</f>
        <v>0</v>
      </c>
      <c r="N58" s="21">
        <f>'[1]2нед'!W182</f>
        <v>0</v>
      </c>
      <c r="O58" s="22" t="str">
        <f>'[1]2нед'!X182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'[1]1нед'!$T$134</f>
        <v>12-25ПИоз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'[1]1нед'!$T$134</f>
        <v>12-25ПИоз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'[1]3нед'!S136</f>
        <v>0</v>
      </c>
      <c r="E72" s="19">
        <f>'[1]3нед'!T136</f>
        <v>0</v>
      </c>
      <c r="F72" s="17">
        <f>'[1]3нед'!W136</f>
        <v>0</v>
      </c>
      <c r="G72" s="18" t="str">
        <f>'[1]3нед'!X136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'[1]4нед'!S136</f>
        <v>0</v>
      </c>
      <c r="M72" s="19">
        <f>'[1]4нед'!T136</f>
        <v>0</v>
      </c>
      <c r="N72" s="17">
        <f>'[1]4нед'!W136</f>
        <v>0</v>
      </c>
      <c r="O72" s="18" t="str">
        <f>'[1]4нед'!X136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19</v>
      </c>
      <c r="D73" s="20">
        <f>'[1]3нед'!S137</f>
        <v>0</v>
      </c>
      <c r="E73" s="23">
        <f>'[1]3нед'!T137</f>
        <v>0</v>
      </c>
      <c r="F73" s="21">
        <f>'[1]3нед'!W137</f>
        <v>0</v>
      </c>
      <c r="G73" s="22" t="str">
        <f>'[1]3нед'!X137</f>
        <v/>
      </c>
      <c r="H73" s="57" t="str">
        <f>HYPERLINK(VLOOKUP(E73,$R$12:$S$180,2,FALSE))</f>
        <v/>
      </c>
      <c r="I73" s="71"/>
      <c r="J73" s="88"/>
      <c r="K73" s="14" t="s">
        <v>19</v>
      </c>
      <c r="L73" s="20">
        <f>'[1]4нед'!S137</f>
        <v>0</v>
      </c>
      <c r="M73" s="23">
        <f>'[1]4нед'!T137</f>
        <v>0</v>
      </c>
      <c r="N73" s="21">
        <f>'[1]4нед'!W137</f>
        <v>0</v>
      </c>
      <c r="O73" s="22" t="str">
        <f>'[1]4нед'!X137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20</v>
      </c>
      <c r="D74" s="20">
        <f>'[1]3нед'!S138</f>
        <v>0</v>
      </c>
      <c r="E74" s="23">
        <f>'[1]3нед'!T138</f>
        <v>0</v>
      </c>
      <c r="F74" s="21">
        <f>'[1]3нед'!W138</f>
        <v>0</v>
      </c>
      <c r="G74" s="22" t="str">
        <f>'[1]3нед'!X138</f>
        <v/>
      </c>
      <c r="H74" s="57" t="str">
        <f>HYPERLINK(VLOOKUP(E74,$R$12:$S$180,2,FALSE))</f>
        <v/>
      </c>
      <c r="I74" s="71"/>
      <c r="J74" s="88"/>
      <c r="K74" s="14" t="s">
        <v>20</v>
      </c>
      <c r="L74" s="20">
        <f>'[1]4нед'!S138</f>
        <v>0</v>
      </c>
      <c r="M74" s="23">
        <f>'[1]4нед'!T138</f>
        <v>0</v>
      </c>
      <c r="N74" s="21">
        <f>'[1]4нед'!W138</f>
        <v>0</v>
      </c>
      <c r="O74" s="22" t="str">
        <f>'[1]4нед'!X138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'[1]3нед'!S139</f>
        <v>0</v>
      </c>
      <c r="E75" s="23">
        <f>'[1]3нед'!T139</f>
        <v>0</v>
      </c>
      <c r="F75" s="21">
        <f>'[1]3нед'!W139</f>
        <v>0</v>
      </c>
      <c r="G75" s="22" t="str">
        <f>'[1]3нед'!X139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'[1]4нед'!S139</f>
        <v>0</v>
      </c>
      <c r="M75" s="23">
        <f>'[1]4нед'!T139</f>
        <v>0</v>
      </c>
      <c r="N75" s="21">
        <f>'[1]4нед'!W139</f>
        <v>0</v>
      </c>
      <c r="O75" s="22" t="str">
        <f>'[1]4нед'!X139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'[1]3нед'!S140</f>
        <v>0</v>
      </c>
      <c r="E76" s="23">
        <f>'[1]3нед'!T140</f>
        <v>0</v>
      </c>
      <c r="F76" s="21">
        <f>'[1]3нед'!W140</f>
        <v>0</v>
      </c>
      <c r="G76" s="22" t="str">
        <f>'[1]3нед'!X140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'[1]4нед'!S140</f>
        <v>0</v>
      </c>
      <c r="M76" s="23">
        <f>'[1]4нед'!T140</f>
        <v>0</v>
      </c>
      <c r="N76" s="21">
        <f>'[1]4нед'!W140</f>
        <v>0</v>
      </c>
      <c r="O76" s="22" t="str">
        <f>'[1]4нед'!X140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'[1]3нед'!S141</f>
        <v>0</v>
      </c>
      <c r="E77" s="23">
        <f>'[1]3нед'!T141</f>
        <v>0</v>
      </c>
      <c r="F77" s="21">
        <f>'[1]3нед'!W141</f>
        <v>0</v>
      </c>
      <c r="G77" s="22" t="str">
        <f>'[1]3нед'!X141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 t="str">
        <f>'[1]4нед'!S141</f>
        <v>л</v>
      </c>
      <c r="M77" s="23" t="str">
        <f>'[1]4нед'!T141</f>
        <v>Математика для программирования</v>
      </c>
      <c r="N77" s="21" t="str">
        <f>'[1]4нед'!W141</f>
        <v>Линник Е.П.</v>
      </c>
      <c r="O77" s="22" t="str">
        <f>'[1]4нед'!X141</f>
        <v>доцент, канд. наук</v>
      </c>
      <c r="P77" s="55" t="str">
        <f>HYPERLINK(VLOOKUP(M77,$R$12:$S$180,2,FALSE))</f>
        <v>https://max.ru/join/WiSqTQR9vhIixu_9tEOVcte-zLq3xD0Pr4wEaSuQ8L8</v>
      </c>
    </row>
    <row r="78" spans="1:16" ht="38.25" thickBot="1" x14ac:dyDescent="0.25">
      <c r="A78" s="82"/>
      <c r="B78" s="85"/>
      <c r="C78" s="14" t="s">
        <v>24</v>
      </c>
      <c r="D78" s="20">
        <f>'[1]3нед'!S142</f>
        <v>0</v>
      </c>
      <c r="E78" s="23">
        <f>'[1]3нед'!T142</f>
        <v>0</v>
      </c>
      <c r="F78" s="21">
        <f>'[1]3нед'!W142</f>
        <v>0</v>
      </c>
      <c r="G78" s="22" t="str">
        <f>'[1]3нед'!X142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'[1]4нед'!S142</f>
        <v>пр</v>
      </c>
      <c r="M78" s="23" t="str">
        <f>'[1]4нед'!T142</f>
        <v>Введение в Javascript и основы веб-разработки</v>
      </c>
      <c r="N78" s="21" t="str">
        <f>'[1]4нед'!W142</f>
        <v>Алешов В.В.</v>
      </c>
      <c r="O78" s="22" t="str">
        <f>'[1]4нед'!X142</f>
        <v>ст. преподаватель</v>
      </c>
      <c r="P78" s="55" t="str">
        <f>HYPERLINK(VLOOKUP(M78,$R$12:$S$180,2,FALSE))</f>
        <v>https://max.ru/join/WiSqTQR9vhIixu_9tEOVcte-zLq3xD0Pr4wEaSuQ8L8</v>
      </c>
    </row>
    <row r="79" spans="1:16" ht="18.399999999999999" hidden="1" customHeight="1" thickBot="1" x14ac:dyDescent="0.25">
      <c r="A79" s="83"/>
      <c r="B79" s="86"/>
      <c r="C79" s="15"/>
      <c r="D79" s="24">
        <f>'[1]3нед'!S143</f>
        <v>0</v>
      </c>
      <c r="E79" s="25">
        <f>'[1]3нед'!T143</f>
        <v>0</v>
      </c>
      <c r="F79" s="26">
        <f>'[1]3нед'!W143</f>
        <v>0</v>
      </c>
      <c r="G79" s="27" t="str">
        <f>'[1]3нед'!X143</f>
        <v/>
      </c>
      <c r="H79" s="58" t="str">
        <f>HYPERLINK(VLOOKUP(E79,$R$12:$S$180,2,FALSE))</f>
        <v/>
      </c>
      <c r="I79" s="72"/>
      <c r="J79" s="89"/>
      <c r="K79" s="15"/>
      <c r="L79" s="24">
        <f>'[1]4нед'!S143</f>
        <v>0</v>
      </c>
      <c r="M79" s="25">
        <f>'[1]4нед'!T143</f>
        <v>0</v>
      </c>
      <c r="N79" s="26">
        <f>'[1]4нед'!W143</f>
        <v>0</v>
      </c>
      <c r="O79" s="27" t="str">
        <f>'[1]4нед'!X143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'[1]3нед'!S144</f>
        <v>0</v>
      </c>
      <c r="E80" s="19">
        <f>'[1]3нед'!T144</f>
        <v>0</v>
      </c>
      <c r="F80" s="17">
        <f>'[1]3нед'!W144</f>
        <v>0</v>
      </c>
      <c r="G80" s="18" t="str">
        <f>'[1]3нед'!X144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'[1]4нед'!S144</f>
        <v>0</v>
      </c>
      <c r="M80" s="19">
        <f>'[1]4нед'!T144</f>
        <v>0</v>
      </c>
      <c r="N80" s="17">
        <f>'[1]4нед'!W144</f>
        <v>0</v>
      </c>
      <c r="O80" s="18" t="str">
        <f>'[1]4нед'!X144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'[1]3нед'!S145</f>
        <v>0</v>
      </c>
      <c r="E81" s="23">
        <f>'[1]3нед'!T145</f>
        <v>0</v>
      </c>
      <c r="F81" s="21">
        <f>'[1]3нед'!W145</f>
        <v>0</v>
      </c>
      <c r="G81" s="22" t="str">
        <f>'[1]3нед'!X145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'[1]4нед'!S145</f>
        <v>0</v>
      </c>
      <c r="M81" s="23">
        <f>'[1]4нед'!T145</f>
        <v>0</v>
      </c>
      <c r="N81" s="21">
        <f>'[1]4нед'!W145</f>
        <v>0</v>
      </c>
      <c r="O81" s="22" t="str">
        <f>'[1]4нед'!X145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'[1]3нед'!S146</f>
        <v>0</v>
      </c>
      <c r="E82" s="23">
        <f>'[1]3нед'!T146</f>
        <v>0</v>
      </c>
      <c r="F82" s="21">
        <f>'[1]3нед'!W146</f>
        <v>0</v>
      </c>
      <c r="G82" s="22" t="str">
        <f>'[1]3нед'!X146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'[1]4нед'!S146</f>
        <v>0</v>
      </c>
      <c r="M82" s="23">
        <f>'[1]4нед'!T146</f>
        <v>0</v>
      </c>
      <c r="N82" s="21">
        <f>'[1]4нед'!W146</f>
        <v>0</v>
      </c>
      <c r="O82" s="22" t="str">
        <f>'[1]4нед'!X146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'[1]3нед'!S147</f>
        <v>0</v>
      </c>
      <c r="E83" s="23">
        <f>'[1]3нед'!T147</f>
        <v>0</v>
      </c>
      <c r="F83" s="21">
        <f>'[1]3нед'!W147</f>
        <v>0</v>
      </c>
      <c r="G83" s="22" t="str">
        <f>'[1]3нед'!X147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'[1]4нед'!S147</f>
        <v>0</v>
      </c>
      <c r="M83" s="23">
        <f>'[1]4нед'!T147</f>
        <v>0</v>
      </c>
      <c r="N83" s="21">
        <f>'[1]4нед'!W147</f>
        <v>0</v>
      </c>
      <c r="O83" s="22" t="str">
        <f>'[1]4нед'!X147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'[1]3нед'!S148</f>
        <v>0</v>
      </c>
      <c r="E84" s="23">
        <f>'[1]3нед'!T148</f>
        <v>0</v>
      </c>
      <c r="F84" s="21">
        <f>'[1]3нед'!W148</f>
        <v>0</v>
      </c>
      <c r="G84" s="22" t="str">
        <f>'[1]3нед'!X148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'[1]4нед'!S148</f>
        <v>0</v>
      </c>
      <c r="M84" s="23">
        <f>'[1]4нед'!T148</f>
        <v>0</v>
      </c>
      <c r="N84" s="21">
        <f>'[1]4нед'!W148</f>
        <v>0</v>
      </c>
      <c r="O84" s="22" t="str">
        <f>'[1]4нед'!X148</f>
        <v/>
      </c>
      <c r="P84" s="57" t="str">
        <f>HYPERLINK(VLOOKUP(M84,$R$12:$S$180,2,FALSE))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'[1]3нед'!S149</f>
        <v>пр</v>
      </c>
      <c r="E85" s="23" t="str">
        <f>'[1]3нед'!T149</f>
        <v>Основы компьютерных наук</v>
      </c>
      <c r="F85" s="21" t="str">
        <f>'[1]3нед'!W149</f>
        <v>Криницкий Ю.В.</v>
      </c>
      <c r="G85" s="22" t="str">
        <f>'[1]3нед'!X149</f>
        <v>преподаватель</v>
      </c>
      <c r="H85" s="57" t="str">
        <f>HYPERLINK(VLOOKUP(E85,$R$12:$S$180,2,FALSE))</f>
        <v>https://max.ru/join/WiSqTQR9vhIixu_9tEOVcte-zLq3xD0Pr4wEaSuQ8L8</v>
      </c>
      <c r="I85" s="71"/>
      <c r="J85" s="88"/>
      <c r="K85" s="14" t="s">
        <v>23</v>
      </c>
      <c r="L85" s="20" t="str">
        <f>'[1]4нед'!S149</f>
        <v>пр</v>
      </c>
      <c r="M85" s="23" t="str">
        <f>'[1]4нед'!T149</f>
        <v xml:space="preserve"> ИКТ и медиаинформационная грамотность</v>
      </c>
      <c r="N85" s="21" t="str">
        <f>'[1]4нед'!W149</f>
        <v>Олейников Н.Н.</v>
      </c>
      <c r="O85" s="22" t="str">
        <f>'[1]4нед'!X149</f>
        <v>ст. преподаватель</v>
      </c>
      <c r="P85" s="57" t="str">
        <f>HYPERLINK(VLOOKUP(M85,$R$12:$S$180,2,FALSE))</f>
        <v>https://max.ru/join/WiSqTQR9vhIixu_9tEOVcte-zLq3xD0Pr4wEaSuQ8L8</v>
      </c>
    </row>
    <row r="86" spans="1:16" ht="38.25" thickBot="1" x14ac:dyDescent="0.25">
      <c r="A86" s="82"/>
      <c r="B86" s="85"/>
      <c r="C86" s="14" t="s">
        <v>24</v>
      </c>
      <c r="D86" s="20" t="str">
        <f>'[1]3нед'!S150</f>
        <v>пр</v>
      </c>
      <c r="E86" s="23" t="str">
        <f>'[1]3нед'!T150</f>
        <v>Архитектура компьютера и Интернет</v>
      </c>
      <c r="F86" s="21" t="str">
        <f>'[1]3нед'!W150</f>
        <v>Криницкий Ю.В.</v>
      </c>
      <c r="G86" s="22" t="str">
        <f>'[1]3нед'!X150</f>
        <v>преподаватель</v>
      </c>
      <c r="H86" s="57" t="str">
        <f>HYPERLINK(VLOOKUP(E86,$R$12:$S$180,2,FALSE))</f>
        <v>https://max.ru/join/WiSqTQR9vhIixu_9tEOVcte-zLq3xD0Pr4wEaSuQ8L8</v>
      </c>
      <c r="I86" s="71"/>
      <c r="J86" s="88"/>
      <c r="K86" s="14" t="s">
        <v>24</v>
      </c>
      <c r="L86" s="20" t="str">
        <f>'[1]4нед'!S150</f>
        <v>пр</v>
      </c>
      <c r="M86" s="23" t="str">
        <f>'[1]4нед'!T150</f>
        <v>Архитектура компьютера и Интернет</v>
      </c>
      <c r="N86" s="21" t="str">
        <f>'[1]4нед'!W150</f>
        <v>Криницкий Ю.В.</v>
      </c>
      <c r="O86" s="22" t="str">
        <f>'[1]4нед'!X150</f>
        <v>преподаватель</v>
      </c>
      <c r="P86" s="57" t="str">
        <f>HYPERLINK(VLOOKUP(M86,$R$12:$S$180,2,FALSE))</f>
        <v>https://max.ru/join/WiSqTQR9vhIixu_9tEOVcte-zLq3xD0Pr4wEaSuQ8L8</v>
      </c>
    </row>
    <row r="87" spans="1:16" ht="18.399999999999999" hidden="1" customHeight="1" thickBot="1" x14ac:dyDescent="0.25">
      <c r="A87" s="83"/>
      <c r="B87" s="86"/>
      <c r="C87" s="15"/>
      <c r="D87" s="24">
        <f>'[1]3нед'!S151</f>
        <v>0</v>
      </c>
      <c r="E87" s="25">
        <f>'[1]3нед'!T151</f>
        <v>0</v>
      </c>
      <c r="F87" s="26">
        <f>'[1]3нед'!W151</f>
        <v>0</v>
      </c>
      <c r="G87" s="27" t="str">
        <f>'[1]3нед'!X151</f>
        <v/>
      </c>
      <c r="H87" s="58" t="str">
        <f>HYPERLINK(VLOOKUP(E87,$R$12:$S$180,2,FALSE))</f>
        <v/>
      </c>
      <c r="I87" s="72"/>
      <c r="J87" s="89"/>
      <c r="K87" s="15"/>
      <c r="L87" s="24">
        <f>'[1]4нед'!S151</f>
        <v>0</v>
      </c>
      <c r="M87" s="25">
        <f>'[1]4нед'!T151</f>
        <v>0</v>
      </c>
      <c r="N87" s="26">
        <f>'[1]4нед'!W151</f>
        <v>0</v>
      </c>
      <c r="O87" s="27" t="str">
        <f>'[1]4нед'!X151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'[1]3нед'!S152</f>
        <v>0</v>
      </c>
      <c r="E88" s="19">
        <f>'[1]3нед'!T152</f>
        <v>0</v>
      </c>
      <c r="F88" s="17">
        <f>'[1]3нед'!W152</f>
        <v>0</v>
      </c>
      <c r="G88" s="18" t="str">
        <f>'[1]3нед'!X152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'[1]4нед'!S152</f>
        <v>0</v>
      </c>
      <c r="M88" s="19">
        <f>'[1]4нед'!T152</f>
        <v>0</v>
      </c>
      <c r="N88" s="17">
        <f>'[1]4нед'!W152</f>
        <v>0</v>
      </c>
      <c r="O88" s="18" t="str">
        <f>'[1]4нед'!X152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'[1]3нед'!S153</f>
        <v>0</v>
      </c>
      <c r="E89" s="23">
        <f>'[1]3нед'!T153</f>
        <v>0</v>
      </c>
      <c r="F89" s="21">
        <f>'[1]3нед'!W153</f>
        <v>0</v>
      </c>
      <c r="G89" s="22" t="str">
        <f>'[1]3нед'!X153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'[1]4нед'!S153</f>
        <v>0</v>
      </c>
      <c r="M89" s="23">
        <f>'[1]4нед'!T153</f>
        <v>0</v>
      </c>
      <c r="N89" s="21">
        <f>'[1]4нед'!W153</f>
        <v>0</v>
      </c>
      <c r="O89" s="22" t="str">
        <f>'[1]4нед'!X153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20</v>
      </c>
      <c r="D90" s="20">
        <f>'[1]3нед'!S154</f>
        <v>0</v>
      </c>
      <c r="E90" s="23">
        <f>'[1]3нед'!T154</f>
        <v>0</v>
      </c>
      <c r="F90" s="21">
        <f>'[1]3нед'!W154</f>
        <v>0</v>
      </c>
      <c r="G90" s="22" t="str">
        <f>'[1]3нед'!X154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>
        <f>'[1]4нед'!S154</f>
        <v>0</v>
      </c>
      <c r="M90" s="23">
        <f>'[1]4нед'!T154</f>
        <v>0</v>
      </c>
      <c r="N90" s="21">
        <f>'[1]4нед'!W154</f>
        <v>0</v>
      </c>
      <c r="O90" s="22" t="str">
        <f>'[1]4нед'!X154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'[1]3нед'!S155</f>
        <v>0</v>
      </c>
      <c r="E91" s="23">
        <f>'[1]3нед'!T155</f>
        <v>0</v>
      </c>
      <c r="F91" s="21">
        <f>'[1]3нед'!W155</f>
        <v>0</v>
      </c>
      <c r="G91" s="22" t="str">
        <f>'[1]3нед'!X155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'[1]4нед'!S155</f>
        <v>0</v>
      </c>
      <c r="M91" s="23">
        <f>'[1]4нед'!T155</f>
        <v>0</v>
      </c>
      <c r="N91" s="21">
        <f>'[1]4нед'!W155</f>
        <v>0</v>
      </c>
      <c r="O91" s="22" t="str">
        <f>'[1]4нед'!X155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'[1]3нед'!S156</f>
        <v>0</v>
      </c>
      <c r="E92" s="23">
        <f>'[1]3нед'!T156</f>
        <v>0</v>
      </c>
      <c r="F92" s="21">
        <f>'[1]3нед'!W156</f>
        <v>0</v>
      </c>
      <c r="G92" s="22" t="str">
        <f>'[1]3нед'!X156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'[1]4нед'!S156</f>
        <v>0</v>
      </c>
      <c r="M92" s="23">
        <f>'[1]4нед'!T156</f>
        <v>0</v>
      </c>
      <c r="N92" s="21">
        <f>'[1]4нед'!W156</f>
        <v>0</v>
      </c>
      <c r="O92" s="22" t="str">
        <f>'[1]4нед'!X156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'[1]3нед'!S157</f>
        <v>л</v>
      </c>
      <c r="E93" s="23" t="str">
        <f>'[1]3нед'!T157</f>
        <v>Финансово-экономический практикум</v>
      </c>
      <c r="F93" s="21" t="str">
        <f>'[1]3нед'!W157</f>
        <v>Марусик Е.А.</v>
      </c>
      <c r="G93" s="22" t="str">
        <f>'[1]3нед'!X157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'[1]4нед'!S157</f>
        <v>пр</v>
      </c>
      <c r="M93" s="23" t="str">
        <f>'[1]4нед'!T157</f>
        <v>Основы компьютерных наук</v>
      </c>
      <c r="N93" s="21" t="str">
        <f>'[1]4нед'!W157</f>
        <v>Криницкий Ю.В.</v>
      </c>
      <c r="O93" s="22" t="str">
        <f>'[1]4нед'!X157</f>
        <v>преподаватель</v>
      </c>
      <c r="P93" s="55" t="str">
        <f>HYPERLINK(VLOOKUP(M93,$R$12:$S$180,2,FALSE))</f>
        <v>https://max.ru/join/WiSqTQR9vhIixu_9tEOVcte-zLq3xD0Pr4wEaSuQ8L8</v>
      </c>
    </row>
    <row r="94" spans="1:16" ht="38.25" thickBot="1" x14ac:dyDescent="0.25">
      <c r="A94" s="82"/>
      <c r="B94" s="68"/>
      <c r="C94" s="14" t="s">
        <v>24</v>
      </c>
      <c r="D94" s="20" t="str">
        <f>'[1]3нед'!S158</f>
        <v>л</v>
      </c>
      <c r="E94" s="23" t="str">
        <f>'[1]3нед'!T158</f>
        <v>Нормативно-правовые основы профессиональной деятельности</v>
      </c>
      <c r="F94" s="21" t="str">
        <f>'[1]3нед'!W158</f>
        <v>Лаврищева О.А.</v>
      </c>
      <c r="G94" s="22" t="str">
        <f>'[1]3нед'!X158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>
        <f>'[1]4нед'!S158</f>
        <v>0</v>
      </c>
      <c r="M94" s="23">
        <f>'[1]4нед'!T158</f>
        <v>0</v>
      </c>
      <c r="N94" s="21">
        <f>'[1]4нед'!W158</f>
        <v>0</v>
      </c>
      <c r="O94" s="22" t="str">
        <f>'[1]4нед'!X158</f>
        <v/>
      </c>
      <c r="P94" s="55" t="str">
        <f>HYPERLINK(VLOOKUP(M94,$R$12:$S$180,2,FALSE))</f>
        <v/>
      </c>
    </row>
    <row r="95" spans="1:16" ht="18.399999999999999" hidden="1" customHeight="1" thickBot="1" x14ac:dyDescent="0.25">
      <c r="A95" s="83"/>
      <c r="B95" s="69"/>
      <c r="C95" s="15"/>
      <c r="D95" s="24">
        <f>'[1]3нед'!S159</f>
        <v>0</v>
      </c>
      <c r="E95" s="25">
        <f>'[1]3нед'!T159</f>
        <v>0</v>
      </c>
      <c r="F95" s="26">
        <f>'[1]3нед'!W159</f>
        <v>0</v>
      </c>
      <c r="G95" s="27" t="str">
        <f>'[1]3нед'!X159</f>
        <v/>
      </c>
      <c r="H95" s="58" t="str">
        <f>HYPERLINK(VLOOKUP(E95,$R$12:$S$180,2,FALSE))</f>
        <v/>
      </c>
      <c r="I95" s="72"/>
      <c r="J95" s="75"/>
      <c r="K95" s="15"/>
      <c r="L95" s="24">
        <f>'[1]4нед'!S159</f>
        <v>0</v>
      </c>
      <c r="M95" s="25">
        <f>'[1]4нед'!T159</f>
        <v>0</v>
      </c>
      <c r="N95" s="26">
        <f>'[1]4нед'!W159</f>
        <v>0</v>
      </c>
      <c r="O95" s="27" t="str">
        <f>'[1]4нед'!X159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'[1]3нед'!S160</f>
        <v>0</v>
      </c>
      <c r="E96" s="19">
        <f>'[1]3нед'!T160</f>
        <v>0</v>
      </c>
      <c r="F96" s="17">
        <f>'[1]3нед'!W160</f>
        <v>0</v>
      </c>
      <c r="G96" s="18" t="str">
        <f>'[1]3нед'!X160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'[1]4нед'!S160</f>
        <v>0</v>
      </c>
      <c r="M96" s="19">
        <f>'[1]4нед'!T160</f>
        <v>0</v>
      </c>
      <c r="N96" s="17">
        <f>'[1]4нед'!W160</f>
        <v>0</v>
      </c>
      <c r="O96" s="18" t="str">
        <f>'[1]4нед'!X160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19</v>
      </c>
      <c r="D97" s="20">
        <f>'[1]3нед'!S161</f>
        <v>0</v>
      </c>
      <c r="E97" s="23">
        <f>'[1]3нед'!T161</f>
        <v>0</v>
      </c>
      <c r="F97" s="21">
        <f>'[1]3нед'!W161</f>
        <v>0</v>
      </c>
      <c r="G97" s="22" t="str">
        <f>'[1]3нед'!X161</f>
        <v/>
      </c>
      <c r="H97" s="57" t="str">
        <f>HYPERLINK(VLOOKUP(E97,$R$12:$S$180,2,FALSE))</f>
        <v/>
      </c>
      <c r="I97" s="71"/>
      <c r="J97" s="88"/>
      <c r="K97" s="14" t="s">
        <v>19</v>
      </c>
      <c r="L97" s="20">
        <f>'[1]4нед'!S161</f>
        <v>0</v>
      </c>
      <c r="M97" s="23">
        <f>'[1]4нед'!T161</f>
        <v>0</v>
      </c>
      <c r="N97" s="21">
        <f>'[1]4нед'!W161</f>
        <v>0</v>
      </c>
      <c r="O97" s="22" t="str">
        <f>'[1]4нед'!X161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20</v>
      </c>
      <c r="D98" s="20">
        <f>'[1]3нед'!S162</f>
        <v>0</v>
      </c>
      <c r="E98" s="23">
        <f>'[1]3нед'!T162</f>
        <v>0</v>
      </c>
      <c r="F98" s="21">
        <f>'[1]3нед'!W162</f>
        <v>0</v>
      </c>
      <c r="G98" s="22" t="str">
        <f>'[1]3нед'!X162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>
        <f>'[1]4нед'!S162</f>
        <v>0</v>
      </c>
      <c r="M98" s="23">
        <f>'[1]4нед'!T162</f>
        <v>0</v>
      </c>
      <c r="N98" s="21">
        <f>'[1]4нед'!W162</f>
        <v>0</v>
      </c>
      <c r="O98" s="22" t="str">
        <f>'[1]4нед'!X162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'[1]3нед'!S163</f>
        <v>0</v>
      </c>
      <c r="E99" s="23">
        <f>'[1]3нед'!T163</f>
        <v>0</v>
      </c>
      <c r="F99" s="21">
        <f>'[1]3нед'!W163</f>
        <v>0</v>
      </c>
      <c r="G99" s="22" t="str">
        <f>'[1]3нед'!X163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'[1]4нед'!S163</f>
        <v>0</v>
      </c>
      <c r="M99" s="23">
        <f>'[1]4нед'!T163</f>
        <v>0</v>
      </c>
      <c r="N99" s="21">
        <f>'[1]4нед'!W163</f>
        <v>0</v>
      </c>
      <c r="O99" s="22" t="str">
        <f>'[1]4нед'!X163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'[1]3нед'!S164</f>
        <v>0</v>
      </c>
      <c r="E100" s="23">
        <f>'[1]3нед'!T164</f>
        <v>0</v>
      </c>
      <c r="F100" s="21">
        <f>'[1]3нед'!W164</f>
        <v>0</v>
      </c>
      <c r="G100" s="22" t="str">
        <f>'[1]3нед'!X164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'[1]4нед'!S164</f>
        <v>0</v>
      </c>
      <c r="M100" s="23">
        <f>'[1]4нед'!T164</f>
        <v>0</v>
      </c>
      <c r="N100" s="21">
        <f>'[1]4нед'!W164</f>
        <v>0</v>
      </c>
      <c r="O100" s="22" t="str">
        <f>'[1]4нед'!X164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'[1]3нед'!S165</f>
        <v>пр</v>
      </c>
      <c r="E101" s="23" t="str">
        <f>'[1]3нед'!T165</f>
        <v>Математика для программирования</v>
      </c>
      <c r="F101" s="21" t="str">
        <f>'[1]3нед'!W165</f>
        <v>Линник Е.П.</v>
      </c>
      <c r="G101" s="22" t="str">
        <f>'[1]3нед'!X165</f>
        <v>доцент, канд. наук</v>
      </c>
      <c r="H101" s="55" t="str">
        <f>HYPERLINK(VLOOKUP(E101,$R$12:$S$180,2,FALSE))</f>
        <v>https://max.ru/join/WiSqTQR9vhIixu_9tEOVcte-zLq3xD0Pr4wEaSuQ8L8</v>
      </c>
      <c r="I101" s="71"/>
      <c r="J101" s="88"/>
      <c r="K101" s="14" t="s">
        <v>23</v>
      </c>
      <c r="L101" s="20" t="str">
        <f>'[1]4нед'!S165</f>
        <v>пр</v>
      </c>
      <c r="M101" s="23" t="str">
        <f>'[1]4нед'!T165</f>
        <v>Математика для программирования</v>
      </c>
      <c r="N101" s="21" t="str">
        <f>'[1]4нед'!W165</f>
        <v>Линник Е.П.</v>
      </c>
      <c r="O101" s="22" t="str">
        <f>'[1]4нед'!X165</f>
        <v>доцент, канд. наук</v>
      </c>
      <c r="P101" s="55" t="str">
        <f>HYPERLINK(VLOOKUP(M101,$R$12:$S$180,2,FALSE))</f>
        <v>https://max.ru/join/WiSqTQR9vhIixu_9tEOVcte-zLq3xD0Pr4wEaSuQ8L8</v>
      </c>
    </row>
    <row r="102" spans="1:16" ht="38.25" thickBot="1" x14ac:dyDescent="0.25">
      <c r="A102" s="82"/>
      <c r="B102" s="85"/>
      <c r="C102" s="14" t="s">
        <v>24</v>
      </c>
      <c r="D102" s="20" t="str">
        <f>'[1]3нед'!S166</f>
        <v>л</v>
      </c>
      <c r="E102" s="23" t="str">
        <f>'[1]3нед'!T166</f>
        <v>ИКТ и медиаинформационная грамотность</v>
      </c>
      <c r="F102" s="21" t="str">
        <f>'[1]3нед'!W166</f>
        <v>Линник И.И.</v>
      </c>
      <c r="G102" s="22" t="str">
        <f>'[1]3нед'!X166</f>
        <v>доцент, канд. наук</v>
      </c>
      <c r="H102" s="55" t="str">
        <f>HYPERLINK(VLOOKUP(E102,$R$12:$S$180,2,FALSE))</f>
        <v>https://max.ru/join/WiSqTQR9vhIixu_9tEOVcte-zLq3xD0Pr4wEaSuQ8L8</v>
      </c>
      <c r="I102" s="71"/>
      <c r="J102" s="88"/>
      <c r="K102" s="14" t="s">
        <v>24</v>
      </c>
      <c r="L102" s="20" t="str">
        <f>'[1]4нед'!S166</f>
        <v>пр</v>
      </c>
      <c r="M102" s="23" t="str">
        <f>'[1]4нед'!T166</f>
        <v>Дискретная математика</v>
      </c>
      <c r="N102" s="21" t="str">
        <f>'[1]4нед'!W166</f>
        <v>Казанцев Ю.А.</v>
      </c>
      <c r="O102" s="22" t="str">
        <f>'[1]4нед'!X166</f>
        <v>ст. преподаватель</v>
      </c>
      <c r="P102" s="55" t="str">
        <f>HYPERLINK(VLOOKUP(M102,$R$12:$S$180,2,FALSE))</f>
        <v>https://max.ru/join/WiSqTQR9vhIixu_9tEOVcte-zLq3xD0Pr4wEaSuQ8L8</v>
      </c>
    </row>
    <row r="103" spans="1:16" ht="18.399999999999999" hidden="1" customHeight="1" thickBot="1" x14ac:dyDescent="0.25">
      <c r="A103" s="83"/>
      <c r="B103" s="86"/>
      <c r="C103" s="15"/>
      <c r="D103" s="24">
        <f>'[1]3нед'!S167</f>
        <v>0</v>
      </c>
      <c r="E103" s="25">
        <f>'[1]3нед'!T167</f>
        <v>0</v>
      </c>
      <c r="F103" s="26">
        <f>'[1]3нед'!W167</f>
        <v>0</v>
      </c>
      <c r="G103" s="27" t="str">
        <f>'[1]3нед'!X167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'[1]4нед'!S167</f>
        <v>0</v>
      </c>
      <c r="M103" s="25">
        <f>'[1]4нед'!T167</f>
        <v>0</v>
      </c>
      <c r="N103" s="26">
        <f>'[1]4нед'!W167</f>
        <v>0</v>
      </c>
      <c r="O103" s="27" t="str">
        <f>'[1]4нед'!X167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'[1]3нед'!S168</f>
        <v>0</v>
      </c>
      <c r="E104" s="19">
        <f>'[1]3нед'!T168</f>
        <v>0</v>
      </c>
      <c r="F104" s="17">
        <f>'[1]3нед'!W168</f>
        <v>0</v>
      </c>
      <c r="G104" s="18" t="str">
        <f>'[1]3нед'!X168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'[1]4нед'!S168</f>
        <v>0</v>
      </c>
      <c r="M104" s="19">
        <f>'[1]4нед'!T168</f>
        <v>0</v>
      </c>
      <c r="N104" s="17">
        <f>'[1]4нед'!W168</f>
        <v>0</v>
      </c>
      <c r="O104" s="18" t="str">
        <f>'[1]4нед'!X168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'[1]3нед'!S169</f>
        <v>0</v>
      </c>
      <c r="E105" s="23">
        <f>'[1]3нед'!T169</f>
        <v>0</v>
      </c>
      <c r="F105" s="21">
        <f>'[1]3нед'!W169</f>
        <v>0</v>
      </c>
      <c r="G105" s="22" t="str">
        <f>'[1]3нед'!X169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'[1]4нед'!S169</f>
        <v>0</v>
      </c>
      <c r="M105" s="23">
        <f>'[1]4нед'!T169</f>
        <v>0</v>
      </c>
      <c r="N105" s="21">
        <f>'[1]4нед'!W169</f>
        <v>0</v>
      </c>
      <c r="O105" s="22" t="str">
        <f>'[1]4нед'!X169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'[1]3нед'!S170</f>
        <v>0</v>
      </c>
      <c r="E106" s="23">
        <f>'[1]3нед'!T170</f>
        <v>0</v>
      </c>
      <c r="F106" s="21">
        <f>'[1]3нед'!W170</f>
        <v>0</v>
      </c>
      <c r="G106" s="22" t="str">
        <f>'[1]3нед'!X170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'[1]4нед'!S170</f>
        <v>0</v>
      </c>
      <c r="M106" s="23">
        <f>'[1]4нед'!T170</f>
        <v>0</v>
      </c>
      <c r="N106" s="21">
        <f>'[1]4нед'!W170</f>
        <v>0</v>
      </c>
      <c r="O106" s="22" t="str">
        <f>'[1]4нед'!X170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'[1]3нед'!S171</f>
        <v>0</v>
      </c>
      <c r="E107" s="23">
        <f>'[1]3нед'!T171</f>
        <v>0</v>
      </c>
      <c r="F107" s="21">
        <f>'[1]3нед'!W171</f>
        <v>0</v>
      </c>
      <c r="G107" s="22" t="str">
        <f>'[1]3нед'!X171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'[1]4нед'!S171</f>
        <v>0</v>
      </c>
      <c r="M107" s="23">
        <f>'[1]4нед'!T171</f>
        <v>0</v>
      </c>
      <c r="N107" s="21">
        <f>'[1]4нед'!W171</f>
        <v>0</v>
      </c>
      <c r="O107" s="22" t="str">
        <f>'[1]4нед'!X171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'[1]3нед'!S172</f>
        <v>0</v>
      </c>
      <c r="E108" s="23">
        <f>'[1]3нед'!T172</f>
        <v>0</v>
      </c>
      <c r="F108" s="21">
        <f>'[1]3нед'!W172</f>
        <v>0</v>
      </c>
      <c r="G108" s="22" t="str">
        <f>'[1]3нед'!X172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'[1]4нед'!S172</f>
        <v>0</v>
      </c>
      <c r="M108" s="23">
        <f>'[1]4нед'!T172</f>
        <v>0</v>
      </c>
      <c r="N108" s="21">
        <f>'[1]4нед'!W172</f>
        <v>0</v>
      </c>
      <c r="O108" s="22" t="str">
        <f>'[1]4нед'!X172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'[1]3нед'!S173</f>
        <v>0</v>
      </c>
      <c r="E109" s="23">
        <f>'[1]3нед'!T173</f>
        <v>0</v>
      </c>
      <c r="F109" s="21">
        <f>'[1]3нед'!W173</f>
        <v>0</v>
      </c>
      <c r="G109" s="22" t="str">
        <f>'[1]3нед'!X173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'[1]4нед'!S173</f>
        <v>0</v>
      </c>
      <c r="M109" s="23">
        <f>'[1]4нед'!T173</f>
        <v>0</v>
      </c>
      <c r="N109" s="21">
        <f>'[1]4нед'!W173</f>
        <v>0</v>
      </c>
      <c r="O109" s="22" t="str">
        <f>'[1]4нед'!X173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'[1]3нед'!S174</f>
        <v>0</v>
      </c>
      <c r="E110" s="23">
        <f>'[1]3нед'!T174</f>
        <v>0</v>
      </c>
      <c r="F110" s="21">
        <f>'[1]3нед'!W174</f>
        <v>0</v>
      </c>
      <c r="G110" s="22" t="str">
        <f>'[1]3нед'!X174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'[1]4нед'!S174</f>
        <v>0</v>
      </c>
      <c r="M110" s="23">
        <f>'[1]4нед'!T174</f>
        <v>0</v>
      </c>
      <c r="N110" s="21">
        <f>'[1]4нед'!W174</f>
        <v>0</v>
      </c>
      <c r="O110" s="22" t="str">
        <f>'[1]4нед'!X174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'[1]3нед'!S175</f>
        <v>0</v>
      </c>
      <c r="E111" s="25">
        <f>'[1]3нед'!T175</f>
        <v>0</v>
      </c>
      <c r="F111" s="26">
        <f>'[1]3нед'!W175</f>
        <v>0</v>
      </c>
      <c r="G111" s="27" t="str">
        <f>'[1]3нед'!X175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'[1]4нед'!S175</f>
        <v>0</v>
      </c>
      <c r="M111" s="25">
        <f>'[1]4нед'!T175</f>
        <v>0</v>
      </c>
      <c r="N111" s="26">
        <f>'[1]4нед'!W175</f>
        <v>0</v>
      </c>
      <c r="O111" s="27" t="str">
        <f>'[1]4нед'!X175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'[1]3нед'!S176</f>
        <v>0</v>
      </c>
      <c r="E112" s="19">
        <f>'[1]3нед'!T176</f>
        <v>0</v>
      </c>
      <c r="F112" s="17">
        <f>'[1]3нед'!W176</f>
        <v>0</v>
      </c>
      <c r="G112" s="18" t="str">
        <f>'[1]3нед'!X176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'[1]4нед'!S176</f>
        <v>0</v>
      </c>
      <c r="M112" s="19">
        <f>'[1]4нед'!T176</f>
        <v>0</v>
      </c>
      <c r="N112" s="17">
        <f>'[1]4нед'!W176</f>
        <v>0</v>
      </c>
      <c r="O112" s="18" t="str">
        <f>'[1]4нед'!X176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'[1]3нед'!S177</f>
        <v>0</v>
      </c>
      <c r="E113" s="23">
        <f>'[1]3нед'!T177</f>
        <v>0</v>
      </c>
      <c r="F113" s="21">
        <f>'[1]3нед'!W177</f>
        <v>0</v>
      </c>
      <c r="G113" s="22" t="str">
        <f>'[1]3нед'!X177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'[1]4нед'!S177</f>
        <v>0</v>
      </c>
      <c r="M113" s="23">
        <f>'[1]4нед'!T177</f>
        <v>0</v>
      </c>
      <c r="N113" s="21">
        <f>'[1]4нед'!W177</f>
        <v>0</v>
      </c>
      <c r="O113" s="22" t="str">
        <f>'[1]4нед'!X177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'[1]3нед'!S178</f>
        <v>0</v>
      </c>
      <c r="E114" s="23">
        <f>'[1]3нед'!T178</f>
        <v>0</v>
      </c>
      <c r="F114" s="21">
        <f>'[1]3нед'!W178</f>
        <v>0</v>
      </c>
      <c r="G114" s="22" t="str">
        <f>'[1]3нед'!X178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'[1]4нед'!S178</f>
        <v>0</v>
      </c>
      <c r="M114" s="23">
        <f>'[1]4нед'!T178</f>
        <v>0</v>
      </c>
      <c r="N114" s="21">
        <f>'[1]4нед'!W178</f>
        <v>0</v>
      </c>
      <c r="O114" s="22" t="str">
        <f>'[1]4нед'!X178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'[1]3нед'!S179</f>
        <v>0</v>
      </c>
      <c r="E115" s="23">
        <f>'[1]3нед'!T179</f>
        <v>0</v>
      </c>
      <c r="F115" s="21">
        <f>'[1]3нед'!W179</f>
        <v>0</v>
      </c>
      <c r="G115" s="22" t="str">
        <f>'[1]3нед'!X179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'[1]4нед'!S179</f>
        <v>0</v>
      </c>
      <c r="M115" s="23">
        <f>'[1]4нед'!T179</f>
        <v>0</v>
      </c>
      <c r="N115" s="21">
        <f>'[1]4нед'!W179</f>
        <v>0</v>
      </c>
      <c r="O115" s="22" t="str">
        <f>'[1]4нед'!X179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'[1]3нед'!S180</f>
        <v>0</v>
      </c>
      <c r="E116" s="23">
        <f>'[1]3нед'!T180</f>
        <v>0</v>
      </c>
      <c r="F116" s="21">
        <f>'[1]3нед'!W180</f>
        <v>0</v>
      </c>
      <c r="G116" s="22" t="str">
        <f>'[1]3нед'!X180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'[1]4нед'!S180</f>
        <v>0</v>
      </c>
      <c r="M116" s="23">
        <f>'[1]4нед'!T180</f>
        <v>0</v>
      </c>
      <c r="N116" s="21">
        <f>'[1]4нед'!W180</f>
        <v>0</v>
      </c>
      <c r="O116" s="22" t="str">
        <f>'[1]4нед'!X180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'[1]3нед'!S181</f>
        <v>0</v>
      </c>
      <c r="E117" s="23">
        <f>'[1]3нед'!T181</f>
        <v>0</v>
      </c>
      <c r="F117" s="21">
        <f>'[1]3нед'!W181</f>
        <v>0</v>
      </c>
      <c r="G117" s="22" t="str">
        <f>'[1]3нед'!X181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'[1]4нед'!S181</f>
        <v>0</v>
      </c>
      <c r="M117" s="23">
        <f>'[1]4нед'!T181</f>
        <v>0</v>
      </c>
      <c r="N117" s="21">
        <f>'[1]4нед'!W181</f>
        <v>0</v>
      </c>
      <c r="O117" s="22" t="str">
        <f>'[1]4нед'!X181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'[1]3нед'!S182</f>
        <v>0</v>
      </c>
      <c r="E118" s="23">
        <f>'[1]3нед'!T182</f>
        <v>0</v>
      </c>
      <c r="F118" s="21">
        <f>'[1]3нед'!W182</f>
        <v>0</v>
      </c>
      <c r="G118" s="22" t="str">
        <f>'[1]3нед'!X182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'[1]4нед'!S182</f>
        <v>0</v>
      </c>
      <c r="M118" s="23">
        <f>'[1]4нед'!T182</f>
        <v>0</v>
      </c>
      <c r="N118" s="21">
        <f>'[1]4нед'!W182</f>
        <v>0</v>
      </c>
      <c r="O118" s="22" t="str">
        <f>'[1]4нед'!X182</f>
        <v/>
      </c>
      <c r="P118" s="57" t="str">
        <f>HYPERLINK(VLOOKUP(M118,$R$12:$S$180,2,FALSE))</f>
        <v/>
      </c>
    </row>
    <row r="119" spans="1:16" ht="18.399999999999999" hidden="1" customHeight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24">
        <f>'[1]4нед'!S183</f>
        <v>0</v>
      </c>
      <c r="M119" s="25">
        <f>'[1]4нед'!T183</f>
        <v>0</v>
      </c>
      <c r="N119" s="26">
        <f>'[1]4нед'!W183</f>
        <v>0</v>
      </c>
      <c r="O119" s="27" t="str">
        <f>'[1]4нед'!X183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'[1]1нед'!$T$134</f>
        <v>12-25ПИоз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'[1]1нед'!$T$134</f>
        <v>12-25ПИоз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'[3]5нед'!S136</f>
        <v>0</v>
      </c>
      <c r="E132" s="19">
        <f>'[3]5нед'!T136</f>
        <v>0</v>
      </c>
      <c r="F132" s="17">
        <f>'[3]5нед'!W136</f>
        <v>0</v>
      </c>
      <c r="G132" s="18" t="str">
        <f>'[3]5нед'!X136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'[3]6нед'!S136</f>
        <v>0</v>
      </c>
      <c r="M132" s="19">
        <f>'[3]6нед'!T136</f>
        <v>0</v>
      </c>
      <c r="N132" s="17">
        <f>'[3]6нед'!W136</f>
        <v>0</v>
      </c>
      <c r="O132" s="18" t="str">
        <f>'[3]6нед'!X136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'[3]5нед'!S137</f>
        <v>0</v>
      </c>
      <c r="E133" s="23">
        <f>'[3]5нед'!T137</f>
        <v>0</v>
      </c>
      <c r="F133" s="21">
        <f>'[3]5нед'!W137</f>
        <v>0</v>
      </c>
      <c r="G133" s="22" t="str">
        <f>'[3]5нед'!X137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'[3]6нед'!S137</f>
        <v>0</v>
      </c>
      <c r="M133" s="23">
        <f>'[3]6нед'!T137</f>
        <v>0</v>
      </c>
      <c r="N133" s="21">
        <f>'[3]6нед'!W137</f>
        <v>0</v>
      </c>
      <c r="O133" s="22" t="str">
        <f>'[3]6нед'!X137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'[3]5нед'!S138</f>
        <v>0</v>
      </c>
      <c r="E134" s="23">
        <f>'[3]5нед'!T138</f>
        <v>0</v>
      </c>
      <c r="F134" s="21">
        <f>'[3]5нед'!W138</f>
        <v>0</v>
      </c>
      <c r="G134" s="22" t="str">
        <f>'[3]5нед'!X138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>
        <f>'[3]6нед'!S138</f>
        <v>0</v>
      </c>
      <c r="M134" s="23">
        <f>'[3]6нед'!T138</f>
        <v>0</v>
      </c>
      <c r="N134" s="21">
        <f>'[3]6нед'!W138</f>
        <v>0</v>
      </c>
      <c r="O134" s="22" t="str">
        <f>'[3]6нед'!X138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'[3]5нед'!S139</f>
        <v>0</v>
      </c>
      <c r="E135" s="23">
        <f>'[3]5нед'!T139</f>
        <v>0</v>
      </c>
      <c r="F135" s="21">
        <f>'[3]5нед'!W139</f>
        <v>0</v>
      </c>
      <c r="G135" s="22" t="str">
        <f>'[3]5нед'!X139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'[3]6нед'!S139</f>
        <v>0</v>
      </c>
      <c r="M135" s="23">
        <f>'[3]6нед'!T139</f>
        <v>0</v>
      </c>
      <c r="N135" s="21">
        <f>'[3]6нед'!W139</f>
        <v>0</v>
      </c>
      <c r="O135" s="22" t="str">
        <f>'[3]6нед'!X139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'[3]5нед'!S140</f>
        <v>0</v>
      </c>
      <c r="E136" s="23">
        <f>'[3]5нед'!T140</f>
        <v>0</v>
      </c>
      <c r="F136" s="21">
        <f>'[3]5нед'!W140</f>
        <v>0</v>
      </c>
      <c r="G136" s="22" t="str">
        <f>'[3]5нед'!X140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'[3]6нед'!S140</f>
        <v>0</v>
      </c>
      <c r="M136" s="23">
        <f>'[3]6нед'!T140</f>
        <v>0</v>
      </c>
      <c r="N136" s="21">
        <f>'[3]6нед'!W140</f>
        <v>0</v>
      </c>
      <c r="O136" s="22" t="str">
        <f>'[3]6нед'!X140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'[3]5нед'!S141</f>
        <v>пр</v>
      </c>
      <c r="E137" s="23" t="str">
        <f>'[3]5нед'!T141</f>
        <v xml:space="preserve"> Финансово-экономический практикум</v>
      </c>
      <c r="F137" s="21" t="str">
        <f>'[3]5нед'!W141</f>
        <v>Бойчук О.В.</v>
      </c>
      <c r="G137" s="22" t="str">
        <f>'[3]5нед'!X141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'[3]6нед'!S141</f>
        <v>л</v>
      </c>
      <c r="M137" s="23" t="str">
        <f>'[3]6нед'!T141</f>
        <v>Математика для программирования</v>
      </c>
      <c r="N137" s="21" t="str">
        <f>'[3]6нед'!W141</f>
        <v>Линник Е.П.</v>
      </c>
      <c r="O137" s="22" t="str">
        <f>'[3]6нед'!X141</f>
        <v>доцент, канд. наук</v>
      </c>
      <c r="P137" s="55" t="str">
        <f>HYPERLINK(VLOOKUP(M137,$R$12:$S$180,2,FALSE))</f>
        <v>https://max.ru/join/WiSqTQR9vhIixu_9tEOVcte-zLq3xD0Pr4wEaSuQ8L8</v>
      </c>
    </row>
    <row r="138" spans="1:16" ht="38.25" thickBot="1" x14ac:dyDescent="0.25">
      <c r="A138" s="82"/>
      <c r="B138" s="85"/>
      <c r="C138" s="14" t="s">
        <v>24</v>
      </c>
      <c r="D138" s="20" t="str">
        <f>'[3]5нед'!S142</f>
        <v>пр</v>
      </c>
      <c r="E138" s="23" t="str">
        <f>'[3]5нед'!T142</f>
        <v xml:space="preserve"> Нормативно-правовые основы профессиональной деятельности</v>
      </c>
      <c r="F138" s="21" t="str">
        <f>'[3]5нед'!W142</f>
        <v>Жанова Д.А.</v>
      </c>
      <c r="G138" s="22" t="str">
        <f>'[3]5нед'!X142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 t="str">
        <f>'[3]6нед'!S142</f>
        <v>л</v>
      </c>
      <c r="M138" s="23" t="str">
        <f>'[3]6нед'!T142</f>
        <v>Введение в Javascript и основы веб-разработки</v>
      </c>
      <c r="N138" s="21" t="str">
        <f>'[3]6нед'!W142</f>
        <v>Алешов В.В.</v>
      </c>
      <c r="O138" s="22" t="str">
        <f>'[3]6нед'!X142</f>
        <v>ст. преподаватель</v>
      </c>
      <c r="P138" s="55" t="str">
        <f>HYPERLINK(VLOOKUP(M138,$R$12:$S$180,2,FALSE))</f>
        <v>https://max.ru/join/WiSqTQR9vhIixu_9tEOVcte-zLq3xD0Pr4wEaSuQ8L8</v>
      </c>
    </row>
    <row r="139" spans="1:16" ht="18.399999999999999" hidden="1" customHeight="1" thickBot="1" x14ac:dyDescent="0.25">
      <c r="A139" s="83"/>
      <c r="B139" s="86"/>
      <c r="C139" s="15"/>
      <c r="D139" s="24">
        <f>'[3]5нед'!S143</f>
        <v>0</v>
      </c>
      <c r="E139" s="25">
        <f>'[3]5нед'!T143</f>
        <v>0</v>
      </c>
      <c r="F139" s="26">
        <f>'[3]5нед'!W143</f>
        <v>0</v>
      </c>
      <c r="G139" s="27" t="str">
        <f>'[3]5нед'!X143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'[3]6нед'!S143</f>
        <v>0</v>
      </c>
      <c r="M139" s="25">
        <f>'[3]6нед'!T143</f>
        <v>0</v>
      </c>
      <c r="N139" s="26">
        <f>'[3]6нед'!W143</f>
        <v>0</v>
      </c>
      <c r="O139" s="27" t="str">
        <f>'[3]6нед'!X143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'[3]5нед'!S144</f>
        <v>0</v>
      </c>
      <c r="E140" s="19">
        <f>'[3]5нед'!T144</f>
        <v>0</v>
      </c>
      <c r="F140" s="17">
        <f>'[3]5нед'!W144</f>
        <v>0</v>
      </c>
      <c r="G140" s="18" t="str">
        <f>'[3]5нед'!X144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'[3]6нед'!S144</f>
        <v>0</v>
      </c>
      <c r="M140" s="19">
        <f>'[3]6нед'!T144</f>
        <v>0</v>
      </c>
      <c r="N140" s="17">
        <f>'[3]6нед'!W144</f>
        <v>0</v>
      </c>
      <c r="O140" s="18" t="str">
        <f>'[3]6нед'!X144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'[3]5нед'!S145</f>
        <v>0</v>
      </c>
      <c r="E141" s="23">
        <f>'[3]5нед'!T145</f>
        <v>0</v>
      </c>
      <c r="F141" s="21">
        <f>'[3]5нед'!W145</f>
        <v>0</v>
      </c>
      <c r="G141" s="22" t="str">
        <f>'[3]5нед'!X145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'[3]6нед'!S145</f>
        <v>0</v>
      </c>
      <c r="M141" s="23">
        <f>'[3]6нед'!T145</f>
        <v>0</v>
      </c>
      <c r="N141" s="21">
        <f>'[3]6нед'!W145</f>
        <v>0</v>
      </c>
      <c r="O141" s="22" t="str">
        <f>'[3]6нед'!X145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'[3]5нед'!S146</f>
        <v>0</v>
      </c>
      <c r="E142" s="23">
        <f>'[3]5нед'!T146</f>
        <v>0</v>
      </c>
      <c r="F142" s="21">
        <f>'[3]5нед'!W146</f>
        <v>0</v>
      </c>
      <c r="G142" s="22" t="str">
        <f>'[3]5нед'!X146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'[3]6нед'!S146</f>
        <v>0</v>
      </c>
      <c r="M142" s="23">
        <f>'[3]6нед'!T146</f>
        <v>0</v>
      </c>
      <c r="N142" s="21">
        <f>'[3]6нед'!W146</f>
        <v>0</v>
      </c>
      <c r="O142" s="22" t="str">
        <f>'[3]6нед'!X146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'[3]5нед'!S147</f>
        <v>0</v>
      </c>
      <c r="E143" s="23">
        <f>'[3]5нед'!T147</f>
        <v>0</v>
      </c>
      <c r="F143" s="21">
        <f>'[3]5нед'!W147</f>
        <v>0</v>
      </c>
      <c r="G143" s="22" t="str">
        <f>'[3]5нед'!X147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'[3]6нед'!S147</f>
        <v>0</v>
      </c>
      <c r="M143" s="23">
        <f>'[3]6нед'!T147</f>
        <v>0</v>
      </c>
      <c r="N143" s="21">
        <f>'[3]6нед'!W147</f>
        <v>0</v>
      </c>
      <c r="O143" s="22" t="str">
        <f>'[3]6нед'!X147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'[3]5нед'!S148</f>
        <v>0</v>
      </c>
      <c r="E144" s="23">
        <f>'[3]5нед'!T148</f>
        <v>0</v>
      </c>
      <c r="F144" s="21">
        <f>'[3]5нед'!W148</f>
        <v>0</v>
      </c>
      <c r="G144" s="22" t="str">
        <f>'[3]5нед'!X148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'[3]6нед'!S148</f>
        <v>0</v>
      </c>
      <c r="M144" s="23">
        <f>'[3]6нед'!T148</f>
        <v>0</v>
      </c>
      <c r="N144" s="21">
        <f>'[3]6нед'!W148</f>
        <v>0</v>
      </c>
      <c r="O144" s="22" t="str">
        <f>'[3]6нед'!X148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>
        <f>'[3]5нед'!S149</f>
        <v>0</v>
      </c>
      <c r="E145" s="23">
        <f>'[3]5нед'!T149</f>
        <v>0</v>
      </c>
      <c r="F145" s="21">
        <f>'[3]5нед'!W149</f>
        <v>0</v>
      </c>
      <c r="G145" s="22" t="str">
        <f>'[3]5нед'!X149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 t="str">
        <f>'[3]6нед'!S149</f>
        <v>л</v>
      </c>
      <c r="M145" s="23" t="str">
        <f>'[3]6нед'!T149</f>
        <v>Основы компьютерных наук</v>
      </c>
      <c r="N145" s="21" t="str">
        <f>'[3]6нед'!W149</f>
        <v>Криницкий Ю.В.</v>
      </c>
      <c r="O145" s="22" t="str">
        <f>'[3]6нед'!X149</f>
        <v>преподаватель</v>
      </c>
      <c r="P145" s="57" t="str">
        <f>HYPERLINK(VLOOKUP(M145,$R$12:$S$180,2,FALSE))</f>
        <v>https://max.ru/join/WiSqTQR9vhIixu_9tEOVcte-zLq3xD0Pr4wEaSuQ8L8</v>
      </c>
    </row>
    <row r="146" spans="1:16" ht="38.25" thickBot="1" x14ac:dyDescent="0.25">
      <c r="A146" s="82"/>
      <c r="B146" s="85"/>
      <c r="C146" s="14" t="s">
        <v>24</v>
      </c>
      <c r="D146" s="20">
        <f>'[3]5нед'!S150</f>
        <v>0</v>
      </c>
      <c r="E146" s="23">
        <f>'[3]5нед'!T150</f>
        <v>0</v>
      </c>
      <c r="F146" s="21">
        <f>'[3]5нед'!W150</f>
        <v>0</v>
      </c>
      <c r="G146" s="22" t="str">
        <f>'[3]5нед'!X150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 t="str">
        <f>'[3]6нед'!S150</f>
        <v>л</v>
      </c>
      <c r="M146" s="23" t="str">
        <f>'[3]6нед'!T150</f>
        <v>Архитектура компьютера и Интернет</v>
      </c>
      <c r="N146" s="21" t="str">
        <f>'[3]6нед'!W150</f>
        <v>Криницкий Ю.В.</v>
      </c>
      <c r="O146" s="22" t="str">
        <f>'[3]6нед'!X150</f>
        <v>преподаватель</v>
      </c>
      <c r="P146" s="57" t="str">
        <f>HYPERLINK(VLOOKUP(M146,$R$12:$S$180,2,FALSE))</f>
        <v>https://max.ru/join/WiSqTQR9vhIixu_9tEOVcte-zLq3xD0Pr4wEaSuQ8L8</v>
      </c>
    </row>
    <row r="147" spans="1:16" ht="18.399999999999999" hidden="1" customHeight="1" thickBot="1" x14ac:dyDescent="0.25">
      <c r="A147" s="83"/>
      <c r="B147" s="86"/>
      <c r="C147" s="15"/>
      <c r="D147" s="24">
        <f>'[3]5нед'!S151</f>
        <v>0</v>
      </c>
      <c r="E147" s="25">
        <f>'[3]5нед'!T151</f>
        <v>0</v>
      </c>
      <c r="F147" s="26">
        <f>'[3]5нед'!W151</f>
        <v>0</v>
      </c>
      <c r="G147" s="27" t="str">
        <f>'[3]5нед'!X151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'[3]6нед'!S151</f>
        <v>0</v>
      </c>
      <c r="M147" s="25">
        <f>'[3]6нед'!T151</f>
        <v>0</v>
      </c>
      <c r="N147" s="26">
        <f>'[3]6нед'!W151</f>
        <v>0</v>
      </c>
      <c r="O147" s="27" t="str">
        <f>'[3]6нед'!X151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'[3]5нед'!S152</f>
        <v>0</v>
      </c>
      <c r="E148" s="19">
        <f>'[3]5нед'!T152</f>
        <v>0</v>
      </c>
      <c r="F148" s="17">
        <f>'[3]5нед'!W152</f>
        <v>0</v>
      </c>
      <c r="G148" s="18" t="str">
        <f>'[3]5нед'!X152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'[3]6нед'!S152</f>
        <v>0</v>
      </c>
      <c r="M148" s="19">
        <f>'[3]6нед'!T152</f>
        <v>0</v>
      </c>
      <c r="N148" s="17">
        <f>'[3]6нед'!W152</f>
        <v>0</v>
      </c>
      <c r="O148" s="18" t="str">
        <f>'[3]6нед'!X152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'[3]5нед'!S153</f>
        <v>0</v>
      </c>
      <c r="E149" s="23">
        <f>'[3]5нед'!T153</f>
        <v>0</v>
      </c>
      <c r="F149" s="21">
        <f>'[3]5нед'!W153</f>
        <v>0</v>
      </c>
      <c r="G149" s="22" t="str">
        <f>'[3]5нед'!X153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'[3]6нед'!S153</f>
        <v>0</v>
      </c>
      <c r="M149" s="23">
        <f>'[3]6нед'!T153</f>
        <v>0</v>
      </c>
      <c r="N149" s="21">
        <f>'[3]6нед'!W153</f>
        <v>0</v>
      </c>
      <c r="O149" s="22" t="str">
        <f>'[3]6нед'!X153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'[3]5нед'!S154</f>
        <v>0</v>
      </c>
      <c r="E150" s="23">
        <f>'[3]5нед'!T154</f>
        <v>0</v>
      </c>
      <c r="F150" s="21">
        <f>'[3]5нед'!W154</f>
        <v>0</v>
      </c>
      <c r="G150" s="22" t="str">
        <f>'[3]5нед'!X154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'[3]6нед'!S154</f>
        <v>0</v>
      </c>
      <c r="M150" s="23">
        <f>'[3]6нед'!T154</f>
        <v>0</v>
      </c>
      <c r="N150" s="21">
        <f>'[3]6нед'!W154</f>
        <v>0</v>
      </c>
      <c r="O150" s="22" t="str">
        <f>'[3]6нед'!X154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'[3]5нед'!S155</f>
        <v>0</v>
      </c>
      <c r="E151" s="23">
        <f>'[3]5нед'!T155</f>
        <v>0</v>
      </c>
      <c r="F151" s="21">
        <f>'[3]5нед'!W155</f>
        <v>0</v>
      </c>
      <c r="G151" s="22" t="str">
        <f>'[3]5нед'!X155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'[3]6нед'!S155</f>
        <v>0</v>
      </c>
      <c r="M151" s="23">
        <f>'[3]6нед'!T155</f>
        <v>0</v>
      </c>
      <c r="N151" s="21">
        <f>'[3]6нед'!W155</f>
        <v>0</v>
      </c>
      <c r="O151" s="22" t="str">
        <f>'[3]6нед'!X155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'[3]5нед'!S156</f>
        <v>0</v>
      </c>
      <c r="E152" s="23">
        <f>'[3]5нед'!T156</f>
        <v>0</v>
      </c>
      <c r="F152" s="21">
        <f>'[3]5нед'!W156</f>
        <v>0</v>
      </c>
      <c r="G152" s="22" t="str">
        <f>'[3]5нед'!X156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'[3]6нед'!S156</f>
        <v>0</v>
      </c>
      <c r="M152" s="23">
        <f>'[3]6нед'!T156</f>
        <v>0</v>
      </c>
      <c r="N152" s="21">
        <f>'[3]6нед'!W156</f>
        <v>0</v>
      </c>
      <c r="O152" s="22" t="str">
        <f>'[3]6нед'!X156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'[3]5нед'!S157</f>
        <v>0</v>
      </c>
      <c r="E153" s="23">
        <f>'[3]5нед'!T157</f>
        <v>0</v>
      </c>
      <c r="F153" s="21">
        <f>'[3]5нед'!W157</f>
        <v>0</v>
      </c>
      <c r="G153" s="22" t="str">
        <f>'[3]5нед'!X157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'[3]6нед'!S157</f>
        <v>0</v>
      </c>
      <c r="M153" s="23">
        <f>'[3]6нед'!T157</f>
        <v>0</v>
      </c>
      <c r="N153" s="21">
        <f>'[3]6нед'!W157</f>
        <v>0</v>
      </c>
      <c r="O153" s="22" t="str">
        <f>'[3]6нед'!X157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'[3]5нед'!S158</f>
        <v>0</v>
      </c>
      <c r="E154" s="23">
        <f>'[3]5нед'!T158</f>
        <v>0</v>
      </c>
      <c r="F154" s="21">
        <f>'[3]5нед'!W158</f>
        <v>0</v>
      </c>
      <c r="G154" s="22" t="str">
        <f>'[3]5нед'!X158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'[3]6нед'!S158</f>
        <v>0</v>
      </c>
      <c r="M154" s="23">
        <f>'[3]6нед'!T158</f>
        <v>0</v>
      </c>
      <c r="N154" s="21">
        <f>'[3]6нед'!W158</f>
        <v>0</v>
      </c>
      <c r="O154" s="22" t="str">
        <f>'[3]6нед'!X158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'[3]5нед'!S159</f>
        <v>0</v>
      </c>
      <c r="E155" s="25">
        <f>'[3]5нед'!T159</f>
        <v>0</v>
      </c>
      <c r="F155" s="26">
        <f>'[3]5нед'!W159</f>
        <v>0</v>
      </c>
      <c r="G155" s="27" t="str">
        <f>'[3]5нед'!X159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'[3]6нед'!S159</f>
        <v>0</v>
      </c>
      <c r="M155" s="25">
        <f>'[3]6нед'!T159</f>
        <v>0</v>
      </c>
      <c r="N155" s="26">
        <f>'[3]6нед'!W159</f>
        <v>0</v>
      </c>
      <c r="O155" s="27" t="str">
        <f>'[3]6нед'!X159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'[3]5нед'!S160</f>
        <v>0</v>
      </c>
      <c r="E156" s="19">
        <f>'[3]5нед'!T160</f>
        <v>0</v>
      </c>
      <c r="F156" s="17">
        <f>'[3]5нед'!W160</f>
        <v>0</v>
      </c>
      <c r="G156" s="18" t="str">
        <f>'[3]5нед'!X160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'[3]6нед'!S160</f>
        <v>0</v>
      </c>
      <c r="M156" s="19">
        <f>'[3]6нед'!T160</f>
        <v>0</v>
      </c>
      <c r="N156" s="17">
        <f>'[3]6нед'!W160</f>
        <v>0</v>
      </c>
      <c r="O156" s="18" t="str">
        <f>'[3]6нед'!X160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'[3]5нед'!S161</f>
        <v>0</v>
      </c>
      <c r="E157" s="23">
        <f>'[3]5нед'!T161</f>
        <v>0</v>
      </c>
      <c r="F157" s="21">
        <f>'[3]5нед'!W161</f>
        <v>0</v>
      </c>
      <c r="G157" s="22" t="str">
        <f>'[3]5нед'!X161</f>
        <v/>
      </c>
      <c r="H157" s="57" t="str">
        <f>HYPERLINK(VLOOKUP(E157,$R$12:$S$180,2,FALSE))</f>
        <v/>
      </c>
      <c r="I157" s="71"/>
      <c r="J157" s="88"/>
      <c r="K157" s="14" t="s">
        <v>19</v>
      </c>
      <c r="L157" s="20">
        <f>'[3]6нед'!S161</f>
        <v>0</v>
      </c>
      <c r="M157" s="23">
        <f>'[3]6нед'!T161</f>
        <v>0</v>
      </c>
      <c r="N157" s="21">
        <f>'[3]6нед'!W161</f>
        <v>0</v>
      </c>
      <c r="O157" s="22" t="str">
        <f>'[3]6нед'!X161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'[3]5нед'!S162</f>
        <v>0</v>
      </c>
      <c r="E158" s="23">
        <f>'[3]5нед'!T162</f>
        <v>0</v>
      </c>
      <c r="F158" s="21">
        <f>'[3]5нед'!W162</f>
        <v>0</v>
      </c>
      <c r="G158" s="22" t="str">
        <f>'[3]5нед'!X162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>
        <f>'[3]6нед'!S162</f>
        <v>0</v>
      </c>
      <c r="M158" s="23">
        <f>'[3]6нед'!T162</f>
        <v>0</v>
      </c>
      <c r="N158" s="21">
        <f>'[3]6нед'!W162</f>
        <v>0</v>
      </c>
      <c r="O158" s="22" t="str">
        <f>'[3]6нед'!X162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'[3]5нед'!S163</f>
        <v>0</v>
      </c>
      <c r="E159" s="23">
        <f>'[3]5нед'!T163</f>
        <v>0</v>
      </c>
      <c r="F159" s="21">
        <f>'[3]5нед'!W163</f>
        <v>0</v>
      </c>
      <c r="G159" s="22" t="str">
        <f>'[3]5нед'!X163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'[3]6нед'!S163</f>
        <v>0</v>
      </c>
      <c r="M159" s="23">
        <f>'[3]6нед'!T163</f>
        <v>0</v>
      </c>
      <c r="N159" s="21">
        <f>'[3]6нед'!W163</f>
        <v>0</v>
      </c>
      <c r="O159" s="22" t="str">
        <f>'[3]6нед'!X163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'[3]5нед'!S164</f>
        <v>0</v>
      </c>
      <c r="E160" s="23">
        <f>'[3]5нед'!T164</f>
        <v>0</v>
      </c>
      <c r="F160" s="21">
        <f>'[3]5нед'!W164</f>
        <v>0</v>
      </c>
      <c r="G160" s="22" t="str">
        <f>'[3]5нед'!X164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'[3]6нед'!S164</f>
        <v>0</v>
      </c>
      <c r="M160" s="23">
        <f>'[3]6нед'!T164</f>
        <v>0</v>
      </c>
      <c r="N160" s="21">
        <f>'[3]6нед'!W164</f>
        <v>0</v>
      </c>
      <c r="O160" s="22" t="str">
        <f>'[3]6нед'!X164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'[3]5нед'!S165</f>
        <v>пр</v>
      </c>
      <c r="E161" s="23" t="str">
        <f>'[3]5нед'!T165</f>
        <v>Математика для программирования</v>
      </c>
      <c r="F161" s="21" t="str">
        <f>'[3]5нед'!W165</f>
        <v>Линник Е.П.</v>
      </c>
      <c r="G161" s="22" t="str">
        <f>'[3]5нед'!X165</f>
        <v>доцент, канд. наук</v>
      </c>
      <c r="H161" s="55" t="str">
        <f>HYPERLINK(VLOOKUP(E161,$R$12:$S$180,2,FALSE))</f>
        <v>https://max.ru/join/WiSqTQR9vhIixu_9tEOVcte-zLq3xD0Pr4wEaSuQ8L8</v>
      </c>
      <c r="I161" s="71"/>
      <c r="J161" s="88"/>
      <c r="K161" s="14" t="s">
        <v>23</v>
      </c>
      <c r="L161" s="20" t="str">
        <f>'[3]6нед'!S165</f>
        <v>пр</v>
      </c>
      <c r="M161" s="23" t="str">
        <f>'[3]6нед'!T165</f>
        <v>Математика для программирования</v>
      </c>
      <c r="N161" s="21" t="str">
        <f>'[3]6нед'!W165</f>
        <v>Линник Е.П.</v>
      </c>
      <c r="O161" s="22" t="str">
        <f>'[3]6нед'!X165</f>
        <v>доцент, канд. наук</v>
      </c>
      <c r="P161" s="55" t="str">
        <f>HYPERLINK(VLOOKUP(M161,$R$12:$S$180,2,FALSE))</f>
        <v>https://max.ru/join/WiSqTQR9vhIixu_9tEOVcte-zLq3xD0Pr4wEaSuQ8L8</v>
      </c>
    </row>
    <row r="162" spans="1:16" ht="32.25" thickBot="1" x14ac:dyDescent="0.25">
      <c r="A162" s="82"/>
      <c r="B162" s="85"/>
      <c r="C162" s="14" t="s">
        <v>24</v>
      </c>
      <c r="D162" s="20">
        <f>'[3]5нед'!S166</f>
        <v>0</v>
      </c>
      <c r="E162" s="23">
        <f>'[3]5нед'!T166</f>
        <v>0</v>
      </c>
      <c r="F162" s="21">
        <f>'[3]5нед'!W166</f>
        <v>0</v>
      </c>
      <c r="G162" s="22" t="str">
        <f>'[3]5нед'!X166</f>
        <v/>
      </c>
      <c r="H162" s="55" t="str">
        <f>HYPERLINK(VLOOKUP(E162,$R$12:$S$180,2,FALSE))</f>
        <v/>
      </c>
      <c r="I162" s="71"/>
      <c r="J162" s="88"/>
      <c r="K162" s="14" t="s">
        <v>24</v>
      </c>
      <c r="L162" s="20" t="str">
        <f>'[3]6нед'!S166</f>
        <v>пр</v>
      </c>
      <c r="M162" s="23" t="str">
        <f>'[3]6нед'!T166</f>
        <v>Дискретная математика</v>
      </c>
      <c r="N162" s="21" t="str">
        <f>'[3]6нед'!W166</f>
        <v>Казанцев Ю.А.</v>
      </c>
      <c r="O162" s="22" t="str">
        <f>'[3]6нед'!X166</f>
        <v>ст. преподаватель</v>
      </c>
      <c r="P162" s="55" t="str">
        <f>HYPERLINK(VLOOKUP(M162,$R$12:$S$180,2,FALSE))</f>
        <v>https://max.ru/join/WiSqTQR9vhIixu_9tEOVcte-zLq3xD0Pr4wEaSuQ8L8</v>
      </c>
    </row>
    <row r="163" spans="1:16" ht="18.399999999999999" hidden="1" customHeight="1" thickBot="1" x14ac:dyDescent="0.25">
      <c r="A163" s="83"/>
      <c r="B163" s="86"/>
      <c r="C163" s="15"/>
      <c r="D163" s="24">
        <f>'[3]5нед'!S167</f>
        <v>0</v>
      </c>
      <c r="E163" s="25">
        <f>'[3]5нед'!T167</f>
        <v>0</v>
      </c>
      <c r="F163" s="26">
        <f>'[3]5нед'!W167</f>
        <v>0</v>
      </c>
      <c r="G163" s="27" t="str">
        <f>'[3]5нед'!X167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'[3]6нед'!S167</f>
        <v>0</v>
      </c>
      <c r="M163" s="25">
        <f>'[3]6нед'!T167</f>
        <v>0</v>
      </c>
      <c r="N163" s="26">
        <f>'[3]6нед'!W167</f>
        <v>0</v>
      </c>
      <c r="O163" s="27" t="str">
        <f>'[3]6нед'!X167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'[3]5нед'!S168</f>
        <v>0</v>
      </c>
      <c r="E164" s="19">
        <f>'[3]5нед'!T168</f>
        <v>0</v>
      </c>
      <c r="F164" s="17">
        <f>'[3]5нед'!W168</f>
        <v>0</v>
      </c>
      <c r="G164" s="18" t="str">
        <f>'[3]5нед'!X168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'[3]6нед'!S168</f>
        <v>0</v>
      </c>
      <c r="M164" s="19">
        <f>'[3]6нед'!T168</f>
        <v>0</v>
      </c>
      <c r="N164" s="17">
        <f>'[3]6нед'!W168</f>
        <v>0</v>
      </c>
      <c r="O164" s="18" t="str">
        <f>'[3]6нед'!X168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'[3]5нед'!S169</f>
        <v>0</v>
      </c>
      <c r="E165" s="23">
        <f>'[3]5нед'!T169</f>
        <v>0</v>
      </c>
      <c r="F165" s="21">
        <f>'[3]5нед'!W169</f>
        <v>0</v>
      </c>
      <c r="G165" s="22" t="str">
        <f>'[3]5нед'!X169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'[3]6нед'!S169</f>
        <v>0</v>
      </c>
      <c r="M165" s="23">
        <f>'[3]6нед'!T169</f>
        <v>0</v>
      </c>
      <c r="N165" s="21">
        <f>'[3]6нед'!W169</f>
        <v>0</v>
      </c>
      <c r="O165" s="22" t="str">
        <f>'[3]6нед'!X169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'[3]5нед'!S170</f>
        <v>0</v>
      </c>
      <c r="E166" s="23">
        <f>'[3]5нед'!T170</f>
        <v>0</v>
      </c>
      <c r="F166" s="21">
        <f>'[3]5нед'!W170</f>
        <v>0</v>
      </c>
      <c r="G166" s="22" t="str">
        <f>'[3]5нед'!X170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'[3]6нед'!S170</f>
        <v>0</v>
      </c>
      <c r="M166" s="23">
        <f>'[3]6нед'!T170</f>
        <v>0</v>
      </c>
      <c r="N166" s="21">
        <f>'[3]6нед'!W170</f>
        <v>0</v>
      </c>
      <c r="O166" s="22" t="str">
        <f>'[3]6нед'!X170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'[3]5нед'!S171</f>
        <v>0</v>
      </c>
      <c r="E167" s="23">
        <f>'[3]5нед'!T171</f>
        <v>0</v>
      </c>
      <c r="F167" s="21">
        <f>'[3]5нед'!W171</f>
        <v>0</v>
      </c>
      <c r="G167" s="22" t="str">
        <f>'[3]5нед'!X171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'[3]6нед'!S171</f>
        <v>0</v>
      </c>
      <c r="M167" s="23">
        <f>'[3]6нед'!T171</f>
        <v>0</v>
      </c>
      <c r="N167" s="21">
        <f>'[3]6нед'!W171</f>
        <v>0</v>
      </c>
      <c r="O167" s="22" t="str">
        <f>'[3]6нед'!X171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'[3]5нед'!S172</f>
        <v>0</v>
      </c>
      <c r="E168" s="23">
        <f>'[3]5нед'!T172</f>
        <v>0</v>
      </c>
      <c r="F168" s="21">
        <f>'[3]5нед'!W172</f>
        <v>0</v>
      </c>
      <c r="G168" s="22" t="str">
        <f>'[3]5нед'!X172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'[3]6нед'!S172</f>
        <v>0</v>
      </c>
      <c r="M168" s="23">
        <f>'[3]6нед'!T172</f>
        <v>0</v>
      </c>
      <c r="N168" s="21">
        <f>'[3]6нед'!W172</f>
        <v>0</v>
      </c>
      <c r="O168" s="22" t="str">
        <f>'[3]6нед'!X172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'[3]5нед'!S173</f>
        <v>0</v>
      </c>
      <c r="E169" s="23">
        <f>'[3]5нед'!T173</f>
        <v>0</v>
      </c>
      <c r="F169" s="21">
        <f>'[3]5нед'!W173</f>
        <v>0</v>
      </c>
      <c r="G169" s="22" t="str">
        <f>'[3]5нед'!X173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'[3]6нед'!S173</f>
        <v>0</v>
      </c>
      <c r="M169" s="23">
        <f>'[3]6нед'!T173</f>
        <v>0</v>
      </c>
      <c r="N169" s="21">
        <f>'[3]6нед'!W173</f>
        <v>0</v>
      </c>
      <c r="O169" s="22" t="str">
        <f>'[3]6нед'!X173</f>
        <v/>
      </c>
      <c r="P169" s="57" t="str">
        <f>HYPERLINK(VLOOKUP(M169,$R$12:$S$180,2,FALSE))</f>
        <v/>
      </c>
    </row>
    <row r="170" spans="1:16" ht="32.25" thickBot="1" x14ac:dyDescent="0.25">
      <c r="A170" s="82"/>
      <c r="B170" s="85"/>
      <c r="C170" s="14" t="s">
        <v>24</v>
      </c>
      <c r="D170" s="20">
        <f>'[3]5нед'!S174</f>
        <v>0</v>
      </c>
      <c r="E170" s="23">
        <f>'[3]5нед'!T174</f>
        <v>0</v>
      </c>
      <c r="F170" s="21">
        <f>'[3]5нед'!W174</f>
        <v>0</v>
      </c>
      <c r="G170" s="22" t="str">
        <f>'[3]5нед'!X174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'[3]6нед'!S174</f>
        <v>0</v>
      </c>
      <c r="M170" s="23">
        <f>'[3]6нед'!T174</f>
        <v>0</v>
      </c>
      <c r="N170" s="21">
        <f>'[3]6нед'!W174</f>
        <v>0</v>
      </c>
      <c r="O170" s="22" t="str">
        <f>'[3]6нед'!X174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'[3]5нед'!S175</f>
        <v>0</v>
      </c>
      <c r="E171" s="25">
        <f>'[3]5нед'!T175</f>
        <v>0</v>
      </c>
      <c r="F171" s="26">
        <f>'[3]5нед'!W175</f>
        <v>0</v>
      </c>
      <c r="G171" s="27" t="str">
        <f>'[3]5нед'!X175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'[3]6нед'!S175</f>
        <v>0</v>
      </c>
      <c r="M171" s="25">
        <f>'[3]6нед'!T175</f>
        <v>0</v>
      </c>
      <c r="N171" s="26">
        <f>'[3]6нед'!W175</f>
        <v>0</v>
      </c>
      <c r="O171" s="27" t="str">
        <f>'[3]6нед'!X175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'[3]5нед'!S176</f>
        <v>0</v>
      </c>
      <c r="E172" s="19">
        <f>'[3]5нед'!T176</f>
        <v>0</v>
      </c>
      <c r="F172" s="17">
        <f>'[3]5нед'!W176</f>
        <v>0</v>
      </c>
      <c r="G172" s="18" t="str">
        <f>'[3]5нед'!X176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'[3]6нед'!S176</f>
        <v>0</v>
      </c>
      <c r="M172" s="19">
        <f>'[3]6нед'!T176</f>
        <v>0</v>
      </c>
      <c r="N172" s="17">
        <f>'[3]6нед'!W176</f>
        <v>0</v>
      </c>
      <c r="O172" s="18" t="str">
        <f>'[3]6нед'!X176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'[3]5нед'!S177</f>
        <v>0</v>
      </c>
      <c r="E173" s="23">
        <f>'[3]5нед'!T177</f>
        <v>0</v>
      </c>
      <c r="F173" s="21">
        <f>'[3]5нед'!W177</f>
        <v>0</v>
      </c>
      <c r="G173" s="22" t="str">
        <f>'[3]5нед'!X177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'[3]6нед'!S177</f>
        <v>0</v>
      </c>
      <c r="M173" s="23">
        <f>'[3]6нед'!T177</f>
        <v>0</v>
      </c>
      <c r="N173" s="21">
        <f>'[3]6нед'!W177</f>
        <v>0</v>
      </c>
      <c r="O173" s="22" t="str">
        <f>'[3]6нед'!X177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'[3]5нед'!S178</f>
        <v>0</v>
      </c>
      <c r="E174" s="23">
        <f>'[3]5нед'!T178</f>
        <v>0</v>
      </c>
      <c r="F174" s="21">
        <f>'[3]5нед'!W178</f>
        <v>0</v>
      </c>
      <c r="G174" s="22" t="str">
        <f>'[3]5нед'!X178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'[3]6нед'!S178</f>
        <v>0</v>
      </c>
      <c r="M174" s="23">
        <f>'[3]6нед'!T178</f>
        <v>0</v>
      </c>
      <c r="N174" s="21">
        <f>'[3]6нед'!W178</f>
        <v>0</v>
      </c>
      <c r="O174" s="22" t="str">
        <f>'[3]6нед'!X178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'[3]5нед'!S179</f>
        <v>0</v>
      </c>
      <c r="E175" s="23">
        <f>'[3]5нед'!T179</f>
        <v>0</v>
      </c>
      <c r="F175" s="21">
        <f>'[3]5нед'!W179</f>
        <v>0</v>
      </c>
      <c r="G175" s="22" t="str">
        <f>'[3]5нед'!X179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'[3]6нед'!S179</f>
        <v>0</v>
      </c>
      <c r="M175" s="23">
        <f>'[3]6нед'!T179</f>
        <v>0</v>
      </c>
      <c r="N175" s="21">
        <f>'[3]6нед'!W179</f>
        <v>0</v>
      </c>
      <c r="O175" s="22" t="str">
        <f>'[3]6нед'!X179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'[3]5нед'!S180</f>
        <v>0</v>
      </c>
      <c r="E176" s="23">
        <f>'[3]5нед'!T180</f>
        <v>0</v>
      </c>
      <c r="F176" s="21">
        <f>'[3]5нед'!W180</f>
        <v>0</v>
      </c>
      <c r="G176" s="22" t="str">
        <f>'[3]5нед'!X180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'[3]6нед'!S180</f>
        <v>0</v>
      </c>
      <c r="M176" s="23">
        <f>'[3]6нед'!T180</f>
        <v>0</v>
      </c>
      <c r="N176" s="21">
        <f>'[3]6нед'!W180</f>
        <v>0</v>
      </c>
      <c r="O176" s="22" t="str">
        <f>'[3]6нед'!X180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'[3]5нед'!S181</f>
        <v>0</v>
      </c>
      <c r="E177" s="23">
        <f>'[3]5нед'!T181</f>
        <v>0</v>
      </c>
      <c r="F177" s="21">
        <f>'[3]5нед'!W181</f>
        <v>0</v>
      </c>
      <c r="G177" s="22" t="str">
        <f>'[3]5нед'!X181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'[3]6нед'!S181</f>
        <v>0</v>
      </c>
      <c r="M177" s="23">
        <f>'[3]6нед'!T181</f>
        <v>0</v>
      </c>
      <c r="N177" s="21">
        <f>'[3]6нед'!W181</f>
        <v>0</v>
      </c>
      <c r="O177" s="22" t="str">
        <f>'[3]6нед'!X181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'[3]5нед'!S182</f>
        <v>0</v>
      </c>
      <c r="E178" s="23">
        <f>'[3]5нед'!T182</f>
        <v>0</v>
      </c>
      <c r="F178" s="21">
        <f>'[3]5нед'!W182</f>
        <v>0</v>
      </c>
      <c r="G178" s="22" t="str">
        <f>'[3]5нед'!X182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'[3]6нед'!S182</f>
        <v>0</v>
      </c>
      <c r="M178" s="23">
        <f>'[3]6нед'!T182</f>
        <v>0</v>
      </c>
      <c r="N178" s="21">
        <f>'[3]6нед'!W182</f>
        <v>0</v>
      </c>
      <c r="O178" s="22" t="str">
        <f>'[3]6нед'!X182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2" r:id="rId1" xr:uid="{BC67524C-99F0-49CB-8969-E2790E019A4E}"/>
    <hyperlink ref="S13" r:id="rId2" xr:uid="{520AA7F3-42A6-4A6D-A9AF-B921E8A363AB}"/>
    <hyperlink ref="S21" r:id="rId3" xr:uid="{A30F264F-8A63-41A0-8BFC-96E5E71C3875}"/>
    <hyperlink ref="S22" r:id="rId4" xr:uid="{6D1B748C-2DD0-4709-84F5-CC08ED7BCEED}"/>
    <hyperlink ref="S14" r:id="rId5" xr:uid="{6C0D3BD2-D83C-46ED-B4CD-1B373D82A43D}"/>
    <hyperlink ref="S15:S20" r:id="rId6" display="https://max.ru/join/WiSqTQR9vhIixu_9tEOVcte-zLq3xD0Pr4wEaSuQ8L8" xr:uid="{783FE59B-63C9-4CB5-9274-B8E40C4F5FEF}"/>
  </hyperlinks>
  <pageMargins left="0.70866141732283472" right="0.70866141732283472" top="0.74803149606299213" bottom="0.74803149606299213" header="0.31496062992125984" footer="0.31496062992125984"/>
  <pageSetup paperSize="9" scale="34" orientation="portrait" r:id="rId7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180"/>
  <sheetViews>
    <sheetView view="pageBreakPreview" topLeftCell="H120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36.5703125" customWidth="1"/>
    <col min="19" max="19" width="25.855468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'[1]1нед'!$D$192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'[1]1нед'!$D$196</f>
        <v>12-25МИоз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'[1]1нед'!$D$196</f>
        <v>12-25МИоз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'[1]1нед'!C198</f>
        <v>0</v>
      </c>
      <c r="E12" s="19">
        <f>'[1]1нед'!D198</f>
        <v>0</v>
      </c>
      <c r="F12" s="17">
        <f>'[1]1нед'!G198</f>
        <v>0</v>
      </c>
      <c r="G12" s="18" t="str">
        <f>'[1]1нед'!H198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'[1]2нед'!C198</f>
        <v>0</v>
      </c>
      <c r="M12" s="19">
        <f>'[1]2нед'!D198</f>
        <v>0</v>
      </c>
      <c r="N12" s="17">
        <f>'[1]2нед'!G198</f>
        <v>0</v>
      </c>
      <c r="O12" s="18" t="str">
        <f>'[1]2нед'!H198</f>
        <v/>
      </c>
      <c r="P12" s="56" t="str">
        <f>HYPERLINK(VLOOKUP(M12,$R$12:$S$180,2,FALSE))</f>
        <v/>
      </c>
      <c r="R12" t="str">
        <f>[2]Уч.План!B453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'[1]1нед'!C199</f>
        <v>0</v>
      </c>
      <c r="E13" s="23">
        <f>'[1]1нед'!D199</f>
        <v>0</v>
      </c>
      <c r="F13" s="21">
        <f>'[1]1нед'!G199</f>
        <v>0</v>
      </c>
      <c r="G13" s="22" t="str">
        <f>'[1]1нед'!H199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'[1]2нед'!C199</f>
        <v>0</v>
      </c>
      <c r="M13" s="23">
        <f>'[1]2нед'!D199</f>
        <v>0</v>
      </c>
      <c r="N13" s="21">
        <f>'[1]2нед'!G199</f>
        <v>0</v>
      </c>
      <c r="O13" s="22" t="str">
        <f>'[1]2нед'!H199</f>
        <v/>
      </c>
      <c r="P13" s="57" t="str">
        <f>HYPERLINK(VLOOKUP(M13,$R$12:$S$180,2,FALSE))</f>
        <v/>
      </c>
      <c r="R13" t="str">
        <f>[2]Уч.План!B454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'[1]1нед'!C200</f>
        <v>0</v>
      </c>
      <c r="E14" s="23">
        <f>'[1]1нед'!D200</f>
        <v>0</v>
      </c>
      <c r="F14" s="21">
        <f>'[1]1нед'!G200</f>
        <v>0</v>
      </c>
      <c r="G14" s="22" t="str">
        <f>'[1]1нед'!H200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'[1]2нед'!C200</f>
        <v>0</v>
      </c>
      <c r="M14" s="23">
        <f>'[1]2нед'!D200</f>
        <v>0</v>
      </c>
      <c r="N14" s="21">
        <f>'[1]2нед'!G200</f>
        <v>0</v>
      </c>
      <c r="O14" s="22" t="str">
        <f>'[1]2нед'!H200</f>
        <v/>
      </c>
      <c r="P14" s="57" t="str">
        <f>HYPERLINK(VLOOKUP(M14,$R$12:$S$180,2,FALSE))</f>
        <v/>
      </c>
      <c r="R14" t="str">
        <f>[2]Уч.План!B455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'[1]1нед'!C201</f>
        <v>0</v>
      </c>
      <c r="E15" s="23">
        <f>'[1]1нед'!D201</f>
        <v>0</v>
      </c>
      <c r="F15" s="21">
        <f>'[1]1нед'!G201</f>
        <v>0</v>
      </c>
      <c r="G15" s="22" t="str">
        <f>'[1]1нед'!H201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'[1]2нед'!C201</f>
        <v>0</v>
      </c>
      <c r="M15" s="23">
        <f>'[1]2нед'!D201</f>
        <v>0</v>
      </c>
      <c r="N15" s="21">
        <f>'[1]2нед'!G201</f>
        <v>0</v>
      </c>
      <c r="O15" s="22" t="str">
        <f>'[1]2нед'!H201</f>
        <v/>
      </c>
      <c r="P15" s="57" t="str">
        <f>HYPERLINK(VLOOKUP(M15,$R$12:$S$180,2,FALSE))</f>
        <v/>
      </c>
      <c r="R15" t="str">
        <f>[2]Уч.План!B456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'[1]1нед'!C202</f>
        <v>0</v>
      </c>
      <c r="E16" s="23">
        <f>'[1]1нед'!D202</f>
        <v>0</v>
      </c>
      <c r="F16" s="21">
        <f>'[1]1нед'!G202</f>
        <v>0</v>
      </c>
      <c r="G16" s="22" t="str">
        <f>'[1]1нед'!H202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'[1]2нед'!C202</f>
        <v>0</v>
      </c>
      <c r="M16" s="23">
        <f>'[1]2нед'!D202</f>
        <v>0</v>
      </c>
      <c r="N16" s="21">
        <f>'[1]2нед'!G202</f>
        <v>0</v>
      </c>
      <c r="O16" s="22" t="str">
        <f>'[1]2нед'!H202</f>
        <v/>
      </c>
      <c r="P16" s="57" t="str">
        <f>HYPERLINK(VLOOKUP(M16,$R$12:$S$180,2,FALSE))</f>
        <v/>
      </c>
      <c r="R16" t="str">
        <f>[2]Уч.План!B457</f>
        <v>Информационные системы</v>
      </c>
      <c r="S16" s="61" t="s">
        <v>59</v>
      </c>
    </row>
    <row r="17" spans="1:19" ht="31.5" x14ac:dyDescent="0.2">
      <c r="A17" s="82"/>
      <c r="B17" s="85"/>
      <c r="C17" s="14" t="s">
        <v>23</v>
      </c>
      <c r="D17" s="20">
        <f>'[1]1нед'!C203</f>
        <v>0</v>
      </c>
      <c r="E17" s="23">
        <f>'[1]1нед'!D203</f>
        <v>0</v>
      </c>
      <c r="F17" s="21">
        <f>'[1]1нед'!G203</f>
        <v>0</v>
      </c>
      <c r="G17" s="22" t="str">
        <f>'[1]1нед'!H203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'[1]2нед'!C203</f>
        <v>л</v>
      </c>
      <c r="M17" s="23" t="str">
        <f>'[1]2нед'!D203</f>
        <v>Алгебра</v>
      </c>
      <c r="N17" s="21" t="str">
        <f>'[1]2нед'!G203</f>
        <v>Овчинникова М.В.</v>
      </c>
      <c r="O17" s="22" t="str">
        <f>'[1]2нед'!H203</f>
        <v>доцент, канд. наук</v>
      </c>
      <c r="P17" s="55" t="str">
        <f>HYPERLINK(VLOOKUP(M17,$R$12:$S$180,2,FALSE))</f>
        <v>https://max.ru/join/8alUL1AavbikkBK8Wox0H5Gqk0GpaAW3WoZ_oaAjx88</v>
      </c>
      <c r="R17" t="str">
        <f>[2]Уч.План!B458</f>
        <v>Программирование</v>
      </c>
      <c r="S17" s="61" t="s">
        <v>59</v>
      </c>
    </row>
    <row r="18" spans="1:19" ht="32.25" thickBot="1" x14ac:dyDescent="0.25">
      <c r="A18" s="82"/>
      <c r="B18" s="85"/>
      <c r="C18" s="14" t="s">
        <v>24</v>
      </c>
      <c r="D18" s="20">
        <f>'[1]1нед'!C204</f>
        <v>0</v>
      </c>
      <c r="E18" s="23">
        <f>'[1]1нед'!D204</f>
        <v>0</v>
      </c>
      <c r="F18" s="21">
        <f>'[1]1нед'!G204</f>
        <v>0</v>
      </c>
      <c r="G18" s="22" t="str">
        <f>'[1]1нед'!H204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'[1]2нед'!C204</f>
        <v>л</v>
      </c>
      <c r="M18" s="23" t="str">
        <f>'[1]2нед'!D204</f>
        <v>Математический анализ</v>
      </c>
      <c r="N18" s="21" t="str">
        <f>'[1]2нед'!G204</f>
        <v>Линник Е.П.</v>
      </c>
      <c r="O18" s="22" t="str">
        <f>'[1]2нед'!H204</f>
        <v>доцент, канд. наук</v>
      </c>
      <c r="P18" s="55" t="str">
        <f>HYPERLINK(VLOOKUP(M18,$R$12:$S$180,2,FALSE))</f>
        <v>https://max.ru/join/8alUL1AavbikkBK8Wox0H5Gqk0GpaAW3WoZ_oaAjx88</v>
      </c>
      <c r="R18" t="str">
        <f>[2]Уч.План!B459</f>
        <v>Математический анализ</v>
      </c>
      <c r="S18" s="61" t="s">
        <v>59</v>
      </c>
    </row>
    <row r="19" spans="1:19" ht="18.399999999999999" hidden="1" customHeight="1" thickBot="1" x14ac:dyDescent="0.25">
      <c r="A19" s="83"/>
      <c r="B19" s="86"/>
      <c r="C19" s="15"/>
      <c r="D19" s="24">
        <f>'[1]1нед'!C205</f>
        <v>0</v>
      </c>
      <c r="E19" s="25">
        <f>'[1]1нед'!D205</f>
        <v>0</v>
      </c>
      <c r="F19" s="26">
        <f>'[1]1нед'!G205</f>
        <v>0</v>
      </c>
      <c r="G19" s="27" t="str">
        <f>'[1]1нед'!H205</f>
        <v/>
      </c>
      <c r="H19" s="58" t="str">
        <f>HYPERLINK(VLOOKUP(E19,$R$12:$S$180,2,FALSE))</f>
        <v/>
      </c>
      <c r="I19" s="72"/>
      <c r="J19" s="89"/>
      <c r="K19" s="15"/>
      <c r="L19" s="24">
        <f>'[1]2нед'!C205</f>
        <v>0</v>
      </c>
      <c r="M19" s="25">
        <f>'[1]2нед'!D205</f>
        <v>0</v>
      </c>
      <c r="N19" s="26">
        <f>'[1]2нед'!G205</f>
        <v>0</v>
      </c>
      <c r="O19" s="27" t="str">
        <f>'[1]2нед'!H205</f>
        <v/>
      </c>
      <c r="P19" s="58" t="str">
        <f>HYPERLINK(VLOOKUP(M19,$R$12:$S$180,2,FALSE))</f>
        <v/>
      </c>
      <c r="R19" t="str">
        <f>[2]Уч.План!B460</f>
        <v>Геометрия</v>
      </c>
      <c r="S19" s="61" t="s">
        <v>59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'[1]1нед'!C206</f>
        <v>0</v>
      </c>
      <c r="E20" s="19">
        <f>'[1]1нед'!D206</f>
        <v>0</v>
      </c>
      <c r="F20" s="17">
        <f>'[1]1нед'!G206</f>
        <v>0</v>
      </c>
      <c r="G20" s="18" t="str">
        <f>'[1]1нед'!H206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'[1]2нед'!C206</f>
        <v>0</v>
      </c>
      <c r="M20" s="19">
        <f>'[1]2нед'!D206</f>
        <v>0</v>
      </c>
      <c r="N20" s="17">
        <f>'[1]2нед'!G206</f>
        <v>0</v>
      </c>
      <c r="O20" s="18" t="str">
        <f>'[1]2нед'!H206</f>
        <v/>
      </c>
      <c r="P20" s="56" t="str">
        <f>HYPERLINK(VLOOKUP(M20,$R$12:$S$180,2,FALSE))</f>
        <v/>
      </c>
      <c r="R20" t="str">
        <f>[2]Уч.План!B461</f>
        <v>Алгебра</v>
      </c>
      <c r="S20" s="61" t="s">
        <v>59</v>
      </c>
    </row>
    <row r="21" spans="1:19" ht="31.5" x14ac:dyDescent="0.2">
      <c r="A21" s="82"/>
      <c r="B21" s="85"/>
      <c r="C21" s="14" t="s">
        <v>19</v>
      </c>
      <c r="D21" s="20">
        <f>'[1]1нед'!C207</f>
        <v>0</v>
      </c>
      <c r="E21" s="23">
        <f>'[1]1нед'!D207</f>
        <v>0</v>
      </c>
      <c r="F21" s="21">
        <f>'[1]1нед'!G207</f>
        <v>0</v>
      </c>
      <c r="G21" s="22" t="str">
        <f>'[1]1нед'!H207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'[1]2нед'!C207</f>
        <v>0</v>
      </c>
      <c r="M21" s="23">
        <f>'[1]2нед'!D207</f>
        <v>0</v>
      </c>
      <c r="N21" s="21">
        <f>'[1]2нед'!G207</f>
        <v>0</v>
      </c>
      <c r="O21" s="22" t="str">
        <f>'[1]2нед'!H207</f>
        <v/>
      </c>
      <c r="P21" s="57" t="str">
        <f>HYPERLINK(VLOOKUP(M21,$R$12:$S$180,2,FALSE))</f>
        <v/>
      </c>
      <c r="R21" t="str">
        <f>[2]Уч.План!B462</f>
        <v>Информационные системы (курсовая работа)</v>
      </c>
      <c r="S21" s="61" t="s">
        <v>59</v>
      </c>
    </row>
    <row r="22" spans="1:19" ht="31.5" x14ac:dyDescent="0.2">
      <c r="A22" s="82"/>
      <c r="B22" s="85"/>
      <c r="C22" s="14" t="s">
        <v>20</v>
      </c>
      <c r="D22" s="20">
        <f>'[1]1нед'!C208</f>
        <v>0</v>
      </c>
      <c r="E22" s="23">
        <f>'[1]1нед'!D208</f>
        <v>0</v>
      </c>
      <c r="F22" s="21">
        <f>'[1]1нед'!G208</f>
        <v>0</v>
      </c>
      <c r="G22" s="22" t="str">
        <f>'[1]1нед'!H208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'[1]2нед'!C208</f>
        <v>0</v>
      </c>
      <c r="M22" s="23">
        <f>'[1]2нед'!D208</f>
        <v>0</v>
      </c>
      <c r="N22" s="21">
        <f>'[1]2нед'!G208</f>
        <v>0</v>
      </c>
      <c r="O22" s="22" t="str">
        <f>'[1]2нед'!H208</f>
        <v/>
      </c>
      <c r="P22" s="57" t="str">
        <f>HYPERLINK(VLOOKUP(M22,$R$12:$S$180,2,FALSE))</f>
        <v/>
      </c>
      <c r="R22" t="str">
        <f>[2]Уч.План!B463</f>
        <v xml:space="preserve"> Математический анализ</v>
      </c>
      <c r="S22" s="61" t="s">
        <v>59</v>
      </c>
    </row>
    <row r="23" spans="1:19" ht="31.5" x14ac:dyDescent="0.2">
      <c r="A23" s="82"/>
      <c r="B23" s="85"/>
      <c r="C23" s="14" t="s">
        <v>21</v>
      </c>
      <c r="D23" s="20">
        <f>'[1]1нед'!C209</f>
        <v>0</v>
      </c>
      <c r="E23" s="23">
        <f>'[1]1нед'!D209</f>
        <v>0</v>
      </c>
      <c r="F23" s="21">
        <f>'[1]1нед'!G209</f>
        <v>0</v>
      </c>
      <c r="G23" s="22" t="str">
        <f>'[1]1нед'!H209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'[1]2нед'!C209</f>
        <v>0</v>
      </c>
      <c r="M23" s="23">
        <f>'[1]2нед'!D209</f>
        <v>0</v>
      </c>
      <c r="N23" s="21">
        <f>'[1]2нед'!G209</f>
        <v>0</v>
      </c>
      <c r="O23" s="22" t="str">
        <f>'[1]2нед'!H209</f>
        <v/>
      </c>
      <c r="P23" s="57" t="str">
        <f>HYPERLINK(VLOOKUP(M23,$R$12:$S$180,2,FALSE))</f>
        <v/>
      </c>
      <c r="R23" t="str">
        <f>[2]Уч.План!B464</f>
        <v xml:space="preserve"> Психология</v>
      </c>
      <c r="S23" s="61" t="s">
        <v>60</v>
      </c>
    </row>
    <row r="24" spans="1:19" ht="31.5" x14ac:dyDescent="0.2">
      <c r="A24" s="82"/>
      <c r="B24" s="85"/>
      <c r="C24" s="14" t="s">
        <v>22</v>
      </c>
      <c r="D24" s="20">
        <f>'[1]1нед'!C210</f>
        <v>0</v>
      </c>
      <c r="E24" s="23">
        <f>'[1]1нед'!D210</f>
        <v>0</v>
      </c>
      <c r="F24" s="21">
        <f>'[1]1нед'!G210</f>
        <v>0</v>
      </c>
      <c r="G24" s="22" t="str">
        <f>'[1]1нед'!H210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'[1]2нед'!C210</f>
        <v>0</v>
      </c>
      <c r="M24" s="23">
        <f>'[1]2нед'!D210</f>
        <v>0</v>
      </c>
      <c r="N24" s="21">
        <f>'[1]2нед'!G210</f>
        <v>0</v>
      </c>
      <c r="O24" s="22" t="str">
        <f>'[1]2нед'!H210</f>
        <v/>
      </c>
      <c r="P24" s="57" t="str">
        <f>HYPERLINK(VLOOKUP(M24,$R$12:$S$180,2,FALSE))</f>
        <v/>
      </c>
      <c r="R24" t="str">
        <f>[2]Уч.План!B465</f>
        <v xml:space="preserve"> Финансово-экономический практикум</v>
      </c>
      <c r="S24" s="61" t="s">
        <v>56</v>
      </c>
    </row>
    <row r="25" spans="1:19" ht="31.5" x14ac:dyDescent="0.2">
      <c r="A25" s="82"/>
      <c r="B25" s="85"/>
      <c r="C25" s="14" t="s">
        <v>23</v>
      </c>
      <c r="D25" s="20">
        <f>'[1]1нед'!C211</f>
        <v>0</v>
      </c>
      <c r="E25" s="23">
        <f>'[1]1нед'!D211</f>
        <v>0</v>
      </c>
      <c r="F25" s="21">
        <f>'[1]1нед'!G211</f>
        <v>0</v>
      </c>
      <c r="G25" s="22" t="str">
        <f>'[1]1нед'!H211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'[1]2нед'!C211</f>
        <v>0</v>
      </c>
      <c r="M25" s="23">
        <f>'[1]2нед'!D211</f>
        <v>0</v>
      </c>
      <c r="N25" s="21">
        <f>'[1]2нед'!G211</f>
        <v>0</v>
      </c>
      <c r="O25" s="22" t="str">
        <f>'[1]2нед'!H211</f>
        <v/>
      </c>
      <c r="P25" s="57" t="str">
        <f>HYPERLINK(VLOOKUP(M25,$R$12:$S$180,2,FALSE))</f>
        <v/>
      </c>
      <c r="R25" t="str">
        <f>[2]Уч.План!B466</f>
        <v xml:space="preserve"> Нормативно-правовые основы профессиональной деятельности</v>
      </c>
      <c r="S25" s="61" t="s">
        <v>56</v>
      </c>
    </row>
    <row r="26" spans="1:19" ht="31.5" x14ac:dyDescent="0.2">
      <c r="A26" s="82"/>
      <c r="B26" s="85"/>
      <c r="C26" s="14" t="s">
        <v>24</v>
      </c>
      <c r="D26" s="20">
        <f>'[1]1нед'!C212</f>
        <v>0</v>
      </c>
      <c r="E26" s="23">
        <f>'[1]1нед'!D212</f>
        <v>0</v>
      </c>
      <c r="F26" s="21">
        <f>'[1]1нед'!G212</f>
        <v>0</v>
      </c>
      <c r="G26" s="22" t="str">
        <f>'[1]1нед'!H212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'[1]2нед'!C212</f>
        <v>0</v>
      </c>
      <c r="M26" s="23">
        <f>'[1]2нед'!D212</f>
        <v>0</v>
      </c>
      <c r="N26" s="21">
        <f>'[1]2нед'!G212</f>
        <v>0</v>
      </c>
      <c r="O26" s="22" t="str">
        <f>'[1]2нед'!H212</f>
        <v/>
      </c>
      <c r="P26" s="57" t="str">
        <f>HYPERLINK(VLOOKUP(M26,$R$12:$S$180,2,FALSE))</f>
        <v/>
      </c>
      <c r="R26" t="str">
        <f>[2]Уч.План!B467</f>
        <v xml:space="preserve"> Педагогика</v>
      </c>
      <c r="S26" s="61" t="s">
        <v>60</v>
      </c>
    </row>
    <row r="27" spans="1:19" ht="18.399999999999999" customHeight="1" thickBot="1" x14ac:dyDescent="0.25">
      <c r="A27" s="83"/>
      <c r="B27" s="86"/>
      <c r="C27" s="15"/>
      <c r="D27" s="24">
        <f>'[1]1нед'!C213</f>
        <v>0</v>
      </c>
      <c r="E27" s="25">
        <f>'[1]1нед'!D213</f>
        <v>0</v>
      </c>
      <c r="F27" s="26">
        <f>'[1]1нед'!G213</f>
        <v>0</v>
      </c>
      <c r="G27" s="27" t="str">
        <f>'[1]1нед'!H213</f>
        <v/>
      </c>
      <c r="H27" s="58" t="str">
        <f>HYPERLINK(VLOOKUP(E27,$R$12:$S$180,2,FALSE))</f>
        <v/>
      </c>
      <c r="I27" s="72"/>
      <c r="J27" s="89"/>
      <c r="K27" s="15"/>
      <c r="L27" s="24">
        <f>'[1]2нед'!C213</f>
        <v>0</v>
      </c>
      <c r="M27" s="25">
        <f>'[1]2нед'!D213</f>
        <v>0</v>
      </c>
      <c r="N27" s="26">
        <f>'[1]2нед'!G213</f>
        <v>0</v>
      </c>
      <c r="O27" s="27" t="str">
        <f>'[1]2нед'!H213</f>
        <v/>
      </c>
      <c r="P27" s="58" t="str">
        <f>HYPERLINK(VLOOKUP(M27,$R$12:$S$180,2,FALSE))</f>
        <v/>
      </c>
      <c r="R27">
        <f>[2]Уч.План!B468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'[1]1нед'!C214</f>
        <v>0</v>
      </c>
      <c r="E28" s="19">
        <f>'[1]1нед'!D214</f>
        <v>0</v>
      </c>
      <c r="F28" s="17">
        <f>'[1]1нед'!G214</f>
        <v>0</v>
      </c>
      <c r="G28" s="18" t="str">
        <f>'[1]1нед'!H214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'[1]2нед'!C214</f>
        <v>0</v>
      </c>
      <c r="M28" s="19">
        <f>'[1]2нед'!D214</f>
        <v>0</v>
      </c>
      <c r="N28" s="17">
        <f>'[1]2нед'!G214</f>
        <v>0</v>
      </c>
      <c r="O28" s="18" t="str">
        <f>'[1]2нед'!H214</f>
        <v/>
      </c>
      <c r="P28" s="56" t="str">
        <f>HYPERLINK(VLOOKUP(M28,$R$12:$S$180,2,FALSE))</f>
        <v/>
      </c>
      <c r="R28">
        <f>[2]Уч.План!B469</f>
        <v>0</v>
      </c>
    </row>
    <row r="29" spans="1:19" ht="31.5" x14ac:dyDescent="0.2">
      <c r="A29" s="82"/>
      <c r="B29" s="68"/>
      <c r="C29" s="14" t="s">
        <v>19</v>
      </c>
      <c r="D29" s="20">
        <f>'[1]1нед'!C215</f>
        <v>0</v>
      </c>
      <c r="E29" s="23">
        <f>'[1]1нед'!D215</f>
        <v>0</v>
      </c>
      <c r="F29" s="21">
        <f>'[1]1нед'!G215</f>
        <v>0</v>
      </c>
      <c r="G29" s="22" t="str">
        <f>'[1]1нед'!H215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'[1]2нед'!C215</f>
        <v>0</v>
      </c>
      <c r="M29" s="23">
        <f>'[1]2нед'!D215</f>
        <v>0</v>
      </c>
      <c r="N29" s="21">
        <f>'[1]2нед'!G215</f>
        <v>0</v>
      </c>
      <c r="O29" s="22" t="str">
        <f>'[1]2нед'!H215</f>
        <v/>
      </c>
      <c r="P29" s="57" t="str">
        <f>HYPERLINK(VLOOKUP(M29,$R$12:$S$180,2,FALSE))</f>
        <v/>
      </c>
      <c r="R29">
        <f>[2]Уч.План!B470</f>
        <v>0</v>
      </c>
    </row>
    <row r="30" spans="1:19" ht="31.5" x14ac:dyDescent="0.2">
      <c r="A30" s="82"/>
      <c r="B30" s="68"/>
      <c r="C30" s="14" t="s">
        <v>20</v>
      </c>
      <c r="D30" s="20">
        <f>'[1]1нед'!C216</f>
        <v>0</v>
      </c>
      <c r="E30" s="23">
        <f>'[1]1нед'!D216</f>
        <v>0</v>
      </c>
      <c r="F30" s="21">
        <f>'[1]1нед'!G216</f>
        <v>0</v>
      </c>
      <c r="G30" s="22" t="str">
        <f>'[1]1нед'!H216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'[1]2нед'!C216</f>
        <v>0</v>
      </c>
      <c r="M30" s="23">
        <f>'[1]2нед'!D216</f>
        <v>0</v>
      </c>
      <c r="N30" s="21">
        <f>'[1]2нед'!G216</f>
        <v>0</v>
      </c>
      <c r="O30" s="22" t="str">
        <f>'[1]2нед'!H216</f>
        <v/>
      </c>
      <c r="P30" s="57" t="str">
        <f>HYPERLINK(VLOOKUP(M30,$R$12:$S$180,2,FALSE))</f>
        <v/>
      </c>
      <c r="R30">
        <f>[2]Уч.План!B471</f>
        <v>0</v>
      </c>
    </row>
    <row r="31" spans="1:19" ht="31.5" x14ac:dyDescent="0.2">
      <c r="A31" s="82"/>
      <c r="B31" s="68"/>
      <c r="C31" s="14" t="s">
        <v>21</v>
      </c>
      <c r="D31" s="20">
        <f>'[1]1нед'!C217</f>
        <v>0</v>
      </c>
      <c r="E31" s="23">
        <f>'[1]1нед'!D217</f>
        <v>0</v>
      </c>
      <c r="F31" s="21">
        <f>'[1]1нед'!G217</f>
        <v>0</v>
      </c>
      <c r="G31" s="22" t="str">
        <f>'[1]1нед'!H217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'[1]2нед'!C217</f>
        <v>0</v>
      </c>
      <c r="M31" s="23">
        <f>'[1]2нед'!D217</f>
        <v>0</v>
      </c>
      <c r="N31" s="21">
        <f>'[1]2нед'!G217</f>
        <v>0</v>
      </c>
      <c r="O31" s="22" t="str">
        <f>'[1]2нед'!H217</f>
        <v/>
      </c>
      <c r="P31" s="57" t="str">
        <f>HYPERLINK(VLOOKUP(M31,$R$12:$S$180,2,FALSE))</f>
        <v/>
      </c>
      <c r="R31">
        <f>[2]Уч.План!B472</f>
        <v>0</v>
      </c>
    </row>
    <row r="32" spans="1:19" ht="31.5" x14ac:dyDescent="0.2">
      <c r="A32" s="82"/>
      <c r="B32" s="68"/>
      <c r="C32" s="14" t="s">
        <v>22</v>
      </c>
      <c r="D32" s="20">
        <f>'[1]1нед'!C218</f>
        <v>0</v>
      </c>
      <c r="E32" s="23">
        <f>'[1]1нед'!D218</f>
        <v>0</v>
      </c>
      <c r="F32" s="21">
        <f>'[1]1нед'!G218</f>
        <v>0</v>
      </c>
      <c r="G32" s="22" t="str">
        <f>'[1]1нед'!H218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'[1]2нед'!C218</f>
        <v>0</v>
      </c>
      <c r="M32" s="23">
        <f>'[1]2нед'!D218</f>
        <v>0</v>
      </c>
      <c r="N32" s="21">
        <f>'[1]2нед'!G218</f>
        <v>0</v>
      </c>
      <c r="O32" s="22" t="str">
        <f>'[1]2нед'!H218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'[1]1нед'!C219</f>
        <v>л</v>
      </c>
      <c r="E33" s="23" t="str">
        <f>'[1]1нед'!D219</f>
        <v>Финансово-экономический практикум</v>
      </c>
      <c r="F33" s="21" t="str">
        <f>'[1]1нед'!G219</f>
        <v>Марусик Е.А.</v>
      </c>
      <c r="G33" s="22" t="str">
        <f>'[1]1нед'!H219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 t="str">
        <f>'[1]2нед'!C219</f>
        <v>л</v>
      </c>
      <c r="M33" s="23" t="str">
        <f>'[1]2нед'!D219</f>
        <v>Геометрия</v>
      </c>
      <c r="N33" s="21" t="str">
        <f>'[1]2нед'!G219</f>
        <v>Казанцев Ю.А.</v>
      </c>
      <c r="O33" s="22" t="str">
        <f>'[1]2нед'!H219</f>
        <v>ст. преподаватель</v>
      </c>
      <c r="P33" s="55" t="str">
        <f>HYPERLINK(VLOOKUP(M33,$R$12:$S$180,2,FALSE))</f>
        <v>https://max.ru/join/8alUL1AavbikkBK8Wox0H5Gqk0GpaAW3WoZ_oaAjx88</v>
      </c>
    </row>
    <row r="34" spans="1:16" ht="38.25" thickBot="1" x14ac:dyDescent="0.25">
      <c r="A34" s="82"/>
      <c r="B34" s="68"/>
      <c r="C34" s="14" t="s">
        <v>24</v>
      </c>
      <c r="D34" s="20" t="str">
        <f>'[1]1нед'!C220</f>
        <v>л</v>
      </c>
      <c r="E34" s="23" t="str">
        <f>'[1]1нед'!D220</f>
        <v>Нормативно-правовые основы профессиональной деятельности</v>
      </c>
      <c r="F34" s="21" t="str">
        <f>'[1]1нед'!G220</f>
        <v>Лаврищева О.А.</v>
      </c>
      <c r="G34" s="22" t="str">
        <f>'[1]1нед'!H220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>
        <f>'[1]2нед'!C220</f>
        <v>0</v>
      </c>
      <c r="M34" s="23">
        <f>'[1]2нед'!D220</f>
        <v>0</v>
      </c>
      <c r="N34" s="21">
        <f>'[1]2нед'!G220</f>
        <v>0</v>
      </c>
      <c r="O34" s="22" t="str">
        <f>'[1]2нед'!H220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'[1]1нед'!C221</f>
        <v>0</v>
      </c>
      <c r="E35" s="25">
        <f>'[1]1нед'!D221</f>
        <v>0</v>
      </c>
      <c r="F35" s="26">
        <f>'[1]1нед'!G221</f>
        <v>0</v>
      </c>
      <c r="G35" s="27" t="str">
        <f>'[1]1нед'!H221</f>
        <v/>
      </c>
      <c r="H35" s="58" t="str">
        <f>HYPERLINK(VLOOKUP(E35,$R$12:$S$180,2,FALSE))</f>
        <v/>
      </c>
      <c r="I35" s="72"/>
      <c r="J35" s="75"/>
      <c r="K35" s="15"/>
      <c r="L35" s="24">
        <f>'[1]2нед'!C221</f>
        <v>0</v>
      </c>
      <c r="M35" s="25">
        <f>'[1]2нед'!D221</f>
        <v>0</v>
      </c>
      <c r="N35" s="26">
        <f>'[1]2нед'!G221</f>
        <v>0</v>
      </c>
      <c r="O35" s="27" t="str">
        <f>'[1]2нед'!H221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'[1]1нед'!C222</f>
        <v>0</v>
      </c>
      <c r="E36" s="19">
        <f>'[1]1нед'!D222</f>
        <v>0</v>
      </c>
      <c r="F36" s="17">
        <f>'[1]1нед'!G222</f>
        <v>0</v>
      </c>
      <c r="G36" s="18" t="str">
        <f>'[1]1нед'!H222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'[1]2нед'!C222</f>
        <v>0</v>
      </c>
      <c r="M36" s="19">
        <f>'[1]2нед'!D222</f>
        <v>0</v>
      </c>
      <c r="N36" s="17">
        <f>'[1]2нед'!G222</f>
        <v>0</v>
      </c>
      <c r="O36" s="18" t="str">
        <f>'[1]2нед'!H222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'[1]1нед'!C223</f>
        <v>0</v>
      </c>
      <c r="E37" s="23">
        <f>'[1]1нед'!D223</f>
        <v>0</v>
      </c>
      <c r="F37" s="21">
        <f>'[1]1нед'!G223</f>
        <v>0</v>
      </c>
      <c r="G37" s="22" t="str">
        <f>'[1]1нед'!H223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'[1]2нед'!C223</f>
        <v>0</v>
      </c>
      <c r="M37" s="23">
        <f>'[1]2нед'!D223</f>
        <v>0</v>
      </c>
      <c r="N37" s="21">
        <f>'[1]2нед'!G223</f>
        <v>0</v>
      </c>
      <c r="O37" s="22" t="str">
        <f>'[1]2нед'!H223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'[1]1нед'!C224</f>
        <v>0</v>
      </c>
      <c r="E38" s="23">
        <f>'[1]1нед'!D224</f>
        <v>0</v>
      </c>
      <c r="F38" s="21">
        <f>'[1]1нед'!G224</f>
        <v>0</v>
      </c>
      <c r="G38" s="22" t="str">
        <f>'[1]1нед'!H224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'[1]2нед'!C224</f>
        <v>0</v>
      </c>
      <c r="M38" s="23">
        <f>'[1]2нед'!D224</f>
        <v>0</v>
      </c>
      <c r="N38" s="21">
        <f>'[1]2нед'!G224</f>
        <v>0</v>
      </c>
      <c r="O38" s="22" t="str">
        <f>'[1]2нед'!H224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'[1]1нед'!C225</f>
        <v>0</v>
      </c>
      <c r="E39" s="23">
        <f>'[1]1нед'!D225</f>
        <v>0</v>
      </c>
      <c r="F39" s="21">
        <f>'[1]1нед'!G225</f>
        <v>0</v>
      </c>
      <c r="G39" s="22" t="str">
        <f>'[1]1нед'!H225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'[1]2нед'!C225</f>
        <v>0</v>
      </c>
      <c r="M39" s="23">
        <f>'[1]2нед'!D225</f>
        <v>0</v>
      </c>
      <c r="N39" s="21">
        <f>'[1]2нед'!G225</f>
        <v>0</v>
      </c>
      <c r="O39" s="22" t="str">
        <f>'[1]2нед'!H225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'[1]1нед'!C226</f>
        <v>0</v>
      </c>
      <c r="E40" s="23">
        <f>'[1]1нед'!D226</f>
        <v>0</v>
      </c>
      <c r="F40" s="21">
        <f>'[1]1нед'!G226</f>
        <v>0</v>
      </c>
      <c r="G40" s="22" t="str">
        <f>'[1]1нед'!H226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'[1]2нед'!C226</f>
        <v>0</v>
      </c>
      <c r="M40" s="23">
        <f>'[1]2нед'!D226</f>
        <v>0</v>
      </c>
      <c r="N40" s="21">
        <f>'[1]2нед'!G226</f>
        <v>0</v>
      </c>
      <c r="O40" s="22" t="str">
        <f>'[1]2нед'!H226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'[1]1нед'!C227</f>
        <v>л</v>
      </c>
      <c r="E41" s="23" t="str">
        <f>'[1]1нед'!D227</f>
        <v>Психология</v>
      </c>
      <c r="F41" s="21" t="str">
        <f>'[1]1нед'!G227</f>
        <v>Дьяков С.И.</v>
      </c>
      <c r="G41" s="22" t="str">
        <f>'[1]1нед'!H227</f>
        <v>профессор, д-р наук</v>
      </c>
      <c r="H41" s="55" t="str">
        <f>HYPERLINK(VLOOKUP(E41,$R$12:$S$180,2,FALSE))</f>
        <v>https://max.ru/join/g6zvD6fUKPmI5Ues4pjwwIXB0fZghlWb7Uaeuix-jUQ</v>
      </c>
      <c r="I41" s="71"/>
      <c r="J41" s="88"/>
      <c r="K41" s="14" t="s">
        <v>23</v>
      </c>
      <c r="L41" s="20" t="str">
        <f>'[1]2нед'!C227</f>
        <v>л</v>
      </c>
      <c r="M41" s="23" t="str">
        <f>'[1]2нед'!D227</f>
        <v>Программирование</v>
      </c>
      <c r="N41" s="21" t="str">
        <f>'[1]2нед'!G227</f>
        <v>Криницкий Ю.В.</v>
      </c>
      <c r="O41" s="22" t="str">
        <f>'[1]2нед'!H227</f>
        <v>преподаватель</v>
      </c>
      <c r="P41" s="55" t="str">
        <f>HYPERLINK(VLOOKUP(M41,$R$12:$S$180,2,FALSE))</f>
        <v>https://max.ru/join/8alUL1AavbikkBK8Wox0H5Gqk0GpaAW3WoZ_oaAjx88</v>
      </c>
    </row>
    <row r="42" spans="1:16" ht="32.25" thickBot="1" x14ac:dyDescent="0.25">
      <c r="A42" s="82"/>
      <c r="B42" s="85"/>
      <c r="C42" s="14" t="s">
        <v>24</v>
      </c>
      <c r="D42" s="20">
        <f>'[1]1нед'!C228</f>
        <v>0</v>
      </c>
      <c r="E42" s="23">
        <f>'[1]1нед'!D228</f>
        <v>0</v>
      </c>
      <c r="F42" s="21">
        <f>'[1]1нед'!G228</f>
        <v>0</v>
      </c>
      <c r="G42" s="22" t="str">
        <f>'[1]1нед'!H228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'[1]2нед'!C228</f>
        <v>л</v>
      </c>
      <c r="M42" s="23" t="str">
        <f>'[1]2нед'!D228</f>
        <v>Информационные системы</v>
      </c>
      <c r="N42" s="21" t="str">
        <f>'[1]2нед'!G228</f>
        <v>Казак А.Н.</v>
      </c>
      <c r="O42" s="22" t="str">
        <f>'[1]2нед'!H228</f>
        <v>доцент, канд. наук</v>
      </c>
      <c r="P42" s="55" t="str">
        <f>HYPERLINK(VLOOKUP(M42,$R$12:$S$180,2,FALSE))</f>
        <v>https://max.ru/join/8alUL1AavbikkBK8Wox0H5Gqk0GpaAW3WoZ_oaAjx88</v>
      </c>
    </row>
    <row r="43" spans="1:16" ht="18.399999999999999" hidden="1" customHeight="1" thickBot="1" x14ac:dyDescent="0.25">
      <c r="A43" s="83"/>
      <c r="B43" s="86"/>
      <c r="C43" s="15"/>
      <c r="D43" s="24">
        <f>'[1]1нед'!C229</f>
        <v>0</v>
      </c>
      <c r="E43" s="25">
        <f>'[1]1нед'!D229</f>
        <v>0</v>
      </c>
      <c r="F43" s="26">
        <f>'[1]1нед'!G229</f>
        <v>0</v>
      </c>
      <c r="G43" s="27" t="str">
        <f>'[1]1нед'!H229</f>
        <v/>
      </c>
      <c r="H43" s="58" t="str">
        <f>HYPERLINK(VLOOKUP(E43,$R$12:$S$180,2,FALSE))</f>
        <v/>
      </c>
      <c r="I43" s="72"/>
      <c r="J43" s="89"/>
      <c r="K43" s="15"/>
      <c r="L43" s="24">
        <f>'[1]2нед'!C229</f>
        <v>0</v>
      </c>
      <c r="M43" s="25">
        <f>'[1]2нед'!D229</f>
        <v>0</v>
      </c>
      <c r="N43" s="26">
        <f>'[1]2нед'!G229</f>
        <v>0</v>
      </c>
      <c r="O43" s="27" t="str">
        <f>'[1]2нед'!H229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'[1]1нед'!C230</f>
        <v>0</v>
      </c>
      <c r="E44" s="19">
        <f>'[1]1нед'!D230</f>
        <v>0</v>
      </c>
      <c r="F44" s="17">
        <f>'[1]1нед'!G230</f>
        <v>0</v>
      </c>
      <c r="G44" s="18" t="str">
        <f>'[1]1нед'!H230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'[1]2нед'!C230</f>
        <v>0</v>
      </c>
      <c r="M44" s="19">
        <f>'[1]2нед'!D230</f>
        <v>0</v>
      </c>
      <c r="N44" s="17">
        <f>'[1]2нед'!G230</f>
        <v>0</v>
      </c>
      <c r="O44" s="18" t="str">
        <f>'[1]2нед'!H230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'[1]1нед'!C231</f>
        <v>0</v>
      </c>
      <c r="E45" s="23">
        <f>'[1]1нед'!D231</f>
        <v>0</v>
      </c>
      <c r="F45" s="21">
        <f>'[1]1нед'!G231</f>
        <v>0</v>
      </c>
      <c r="G45" s="22" t="str">
        <f>'[1]1нед'!H231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'[1]2нед'!C231</f>
        <v>0</v>
      </c>
      <c r="M45" s="23">
        <f>'[1]2нед'!D231</f>
        <v>0</v>
      </c>
      <c r="N45" s="21">
        <f>'[1]2нед'!G231</f>
        <v>0</v>
      </c>
      <c r="O45" s="22" t="str">
        <f>'[1]2нед'!H231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'[1]1нед'!C232</f>
        <v>0</v>
      </c>
      <c r="E46" s="23">
        <f>'[1]1нед'!D232</f>
        <v>0</v>
      </c>
      <c r="F46" s="21">
        <f>'[1]1нед'!G232</f>
        <v>0</v>
      </c>
      <c r="G46" s="22" t="str">
        <f>'[1]1нед'!H232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'[1]2нед'!C232</f>
        <v>0</v>
      </c>
      <c r="M46" s="23">
        <f>'[1]2нед'!D232</f>
        <v>0</v>
      </c>
      <c r="N46" s="21">
        <f>'[1]2нед'!G232</f>
        <v>0</v>
      </c>
      <c r="O46" s="22" t="str">
        <f>'[1]2нед'!H232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'[1]1нед'!C233</f>
        <v>0</v>
      </c>
      <c r="E47" s="23">
        <f>'[1]1нед'!D233</f>
        <v>0</v>
      </c>
      <c r="F47" s="21">
        <f>'[1]1нед'!G233</f>
        <v>0</v>
      </c>
      <c r="G47" s="22" t="str">
        <f>'[1]1нед'!H233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'[1]2нед'!C233</f>
        <v>0</v>
      </c>
      <c r="M47" s="23">
        <f>'[1]2нед'!D233</f>
        <v>0</v>
      </c>
      <c r="N47" s="21">
        <f>'[1]2нед'!G233</f>
        <v>0</v>
      </c>
      <c r="O47" s="22" t="str">
        <f>'[1]2нед'!H233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'[1]1нед'!C234</f>
        <v>0</v>
      </c>
      <c r="E48" s="23">
        <f>'[1]1нед'!D234</f>
        <v>0</v>
      </c>
      <c r="F48" s="21">
        <f>'[1]1нед'!G234</f>
        <v>0</v>
      </c>
      <c r="G48" s="22" t="str">
        <f>'[1]1нед'!H234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'[1]2нед'!C234</f>
        <v>0</v>
      </c>
      <c r="M48" s="23">
        <f>'[1]2нед'!D234</f>
        <v>0</v>
      </c>
      <c r="N48" s="21">
        <f>'[1]2нед'!G234</f>
        <v>0</v>
      </c>
      <c r="O48" s="22" t="str">
        <f>'[1]2нед'!H234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'[1]1нед'!C235</f>
        <v>0</v>
      </c>
      <c r="E49" s="23">
        <f>'[1]1нед'!D235</f>
        <v>0</v>
      </c>
      <c r="F49" s="21">
        <f>'[1]1нед'!G235</f>
        <v>0</v>
      </c>
      <c r="G49" s="22" t="str">
        <f>'[1]1нед'!H235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'[1]2нед'!C235</f>
        <v>0</v>
      </c>
      <c r="M49" s="23">
        <f>'[1]2нед'!D235</f>
        <v>0</v>
      </c>
      <c r="N49" s="21">
        <f>'[1]2нед'!G235</f>
        <v>0</v>
      </c>
      <c r="O49" s="22" t="str">
        <f>'[1]2нед'!H235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'[1]1нед'!C236</f>
        <v>0</v>
      </c>
      <c r="E50" s="23">
        <f>'[1]1нед'!D236</f>
        <v>0</v>
      </c>
      <c r="F50" s="21">
        <f>'[1]1нед'!G236</f>
        <v>0</v>
      </c>
      <c r="G50" s="22" t="str">
        <f>'[1]1нед'!H236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'[1]2нед'!C236</f>
        <v>0</v>
      </c>
      <c r="M50" s="23">
        <f>'[1]2нед'!D236</f>
        <v>0</v>
      </c>
      <c r="N50" s="21">
        <f>'[1]2нед'!G236</f>
        <v>0</v>
      </c>
      <c r="O50" s="22" t="str">
        <f>'[1]2нед'!H236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'[1]1нед'!C237</f>
        <v>0</v>
      </c>
      <c r="E51" s="25">
        <f>'[1]1нед'!D237</f>
        <v>0</v>
      </c>
      <c r="F51" s="26">
        <f>'[1]1нед'!G237</f>
        <v>0</v>
      </c>
      <c r="G51" s="27" t="str">
        <f>'[1]1нед'!H237</f>
        <v/>
      </c>
      <c r="H51" s="58" t="str">
        <f>HYPERLINK(VLOOKUP(E51,$R$12:$S$180,2,FALSE))</f>
        <v/>
      </c>
      <c r="I51" s="72"/>
      <c r="J51" s="89"/>
      <c r="K51" s="15"/>
      <c r="L51" s="24">
        <f>'[1]2нед'!C237</f>
        <v>0</v>
      </c>
      <c r="M51" s="25">
        <f>'[1]2нед'!D237</f>
        <v>0</v>
      </c>
      <c r="N51" s="26">
        <f>'[1]2нед'!G237</f>
        <v>0</v>
      </c>
      <c r="O51" s="27" t="str">
        <f>'[1]2нед'!H237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'[1]1нед'!C238</f>
        <v>0</v>
      </c>
      <c r="E52" s="19">
        <f>'[1]1нед'!D238</f>
        <v>0</v>
      </c>
      <c r="F52" s="17">
        <f>'[1]1нед'!G238</f>
        <v>0</v>
      </c>
      <c r="G52" s="18" t="str">
        <f>'[1]1нед'!H238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'[1]2нед'!C238</f>
        <v>0</v>
      </c>
      <c r="M52" s="19">
        <f>'[1]2нед'!D238</f>
        <v>0</v>
      </c>
      <c r="N52" s="17">
        <f>'[1]2нед'!G238</f>
        <v>0</v>
      </c>
      <c r="O52" s="18" t="str">
        <f>'[1]2нед'!H238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'[1]1нед'!C239</f>
        <v>0</v>
      </c>
      <c r="E53" s="23">
        <f>'[1]1нед'!D239</f>
        <v>0</v>
      </c>
      <c r="F53" s="21">
        <f>'[1]1нед'!G239</f>
        <v>0</v>
      </c>
      <c r="G53" s="22" t="str">
        <f>'[1]1нед'!H239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'[1]2нед'!C239</f>
        <v>0</v>
      </c>
      <c r="M53" s="23">
        <f>'[1]2нед'!D239</f>
        <v>0</v>
      </c>
      <c r="N53" s="21">
        <f>'[1]2нед'!G239</f>
        <v>0</v>
      </c>
      <c r="O53" s="22" t="str">
        <f>'[1]2нед'!H239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'[1]1нед'!C240</f>
        <v>0</v>
      </c>
      <c r="E54" s="23">
        <f>'[1]1нед'!D240</f>
        <v>0</v>
      </c>
      <c r="F54" s="21">
        <f>'[1]1нед'!G240</f>
        <v>0</v>
      </c>
      <c r="G54" s="22" t="str">
        <f>'[1]1нед'!H240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'[1]2нед'!C240</f>
        <v>0</v>
      </c>
      <c r="M54" s="23">
        <f>'[1]2нед'!D240</f>
        <v>0</v>
      </c>
      <c r="N54" s="21">
        <f>'[1]2нед'!G240</f>
        <v>0</v>
      </c>
      <c r="O54" s="22" t="str">
        <f>'[1]2нед'!H240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'[1]1нед'!C241</f>
        <v>0</v>
      </c>
      <c r="E55" s="23">
        <f>'[1]1нед'!D241</f>
        <v>0</v>
      </c>
      <c r="F55" s="21">
        <f>'[1]1нед'!G241</f>
        <v>0</v>
      </c>
      <c r="G55" s="22" t="str">
        <f>'[1]1нед'!H241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'[1]2нед'!C241</f>
        <v>0</v>
      </c>
      <c r="M55" s="23">
        <f>'[1]2нед'!D241</f>
        <v>0</v>
      </c>
      <c r="N55" s="21">
        <f>'[1]2нед'!G241</f>
        <v>0</v>
      </c>
      <c r="O55" s="22" t="str">
        <f>'[1]2нед'!H241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'[1]1нед'!C242</f>
        <v>0</v>
      </c>
      <c r="E56" s="23">
        <f>'[1]1нед'!D242</f>
        <v>0</v>
      </c>
      <c r="F56" s="21">
        <f>'[1]1нед'!G242</f>
        <v>0</v>
      </c>
      <c r="G56" s="22" t="str">
        <f>'[1]1нед'!H242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'[1]2нед'!C242</f>
        <v>0</v>
      </c>
      <c r="M56" s="23">
        <f>'[1]2нед'!D242</f>
        <v>0</v>
      </c>
      <c r="N56" s="21">
        <f>'[1]2нед'!G242</f>
        <v>0</v>
      </c>
      <c r="O56" s="22" t="str">
        <f>'[1]2нед'!H242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'[1]1нед'!C243</f>
        <v>0</v>
      </c>
      <c r="E57" s="23">
        <f>'[1]1нед'!D243</f>
        <v>0</v>
      </c>
      <c r="F57" s="21">
        <f>'[1]1нед'!G243</f>
        <v>0</v>
      </c>
      <c r="G57" s="22" t="str">
        <f>'[1]1нед'!H243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'[1]2нед'!C243</f>
        <v>0</v>
      </c>
      <c r="M57" s="23">
        <f>'[1]2нед'!D243</f>
        <v>0</v>
      </c>
      <c r="N57" s="21">
        <f>'[1]2нед'!G243</f>
        <v>0</v>
      </c>
      <c r="O57" s="22" t="str">
        <f>'[1]2нед'!H243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'[1]1нед'!C244</f>
        <v>0</v>
      </c>
      <c r="E58" s="23">
        <f>'[1]1нед'!D244</f>
        <v>0</v>
      </c>
      <c r="F58" s="21">
        <f>'[1]1нед'!G244</f>
        <v>0</v>
      </c>
      <c r="G58" s="22" t="str">
        <f>'[1]1нед'!H244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'[1]2нед'!C244</f>
        <v>0</v>
      </c>
      <c r="M58" s="23">
        <f>'[1]2нед'!D244</f>
        <v>0</v>
      </c>
      <c r="N58" s="21">
        <f>'[1]2нед'!G244</f>
        <v>0</v>
      </c>
      <c r="O58" s="22" t="str">
        <f>'[1]2нед'!H244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'[1]1нед'!$D$196</f>
        <v>12-25МИоз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'[1]1нед'!$D$196</f>
        <v>12-25МИоз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'[1]3нед'!C198</f>
        <v>0</v>
      </c>
      <c r="E72" s="19">
        <f>'[1]3нед'!D198</f>
        <v>0</v>
      </c>
      <c r="F72" s="17">
        <f>'[1]3нед'!G198</f>
        <v>0</v>
      </c>
      <c r="G72" s="18" t="str">
        <f>'[1]3нед'!H198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'[1]4нед'!C198</f>
        <v>0</v>
      </c>
      <c r="M72" s="19">
        <f>'[1]4нед'!D198</f>
        <v>0</v>
      </c>
      <c r="N72" s="17">
        <f>'[1]4нед'!G198</f>
        <v>0</v>
      </c>
      <c r="O72" s="18" t="str">
        <f>'[1]4нед'!H198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61</v>
      </c>
      <c r="D73" s="20">
        <f>'[1]3нед'!C199</f>
        <v>0</v>
      </c>
      <c r="E73" s="23">
        <f>'[1]3нед'!D199</f>
        <v>0</v>
      </c>
      <c r="F73" s="21">
        <f>'[1]3нед'!G199</f>
        <v>0</v>
      </c>
      <c r="G73" s="22" t="str">
        <f>'[1]3нед'!H199</f>
        <v/>
      </c>
      <c r="H73" s="57" t="str">
        <f>HYPERLINK(VLOOKUP(E73,$R$12:$S$180,2,FALSE))</f>
        <v/>
      </c>
      <c r="I73" s="71"/>
      <c r="J73" s="88"/>
      <c r="K73" s="14" t="s">
        <v>61</v>
      </c>
      <c r="L73" s="20">
        <f>'[1]4нед'!C199</f>
        <v>0</v>
      </c>
      <c r="M73" s="23">
        <f>'[1]4нед'!D199</f>
        <v>0</v>
      </c>
      <c r="N73" s="21">
        <f>'[1]4нед'!G199</f>
        <v>0</v>
      </c>
      <c r="O73" s="22" t="str">
        <f>'[1]4нед'!H199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62</v>
      </c>
      <c r="D74" s="20">
        <f>'[1]3нед'!C200</f>
        <v>0</v>
      </c>
      <c r="E74" s="23">
        <f>'[1]3нед'!D200</f>
        <v>0</v>
      </c>
      <c r="F74" s="21">
        <f>'[1]3нед'!G200</f>
        <v>0</v>
      </c>
      <c r="G74" s="22" t="str">
        <f>'[1]3нед'!H200</f>
        <v/>
      </c>
      <c r="H74" s="57" t="str">
        <f>HYPERLINK(VLOOKUP(E74,$R$12:$S$180,2,FALSE))</f>
        <v/>
      </c>
      <c r="I74" s="71"/>
      <c r="J74" s="88"/>
      <c r="K74" s="14" t="s">
        <v>62</v>
      </c>
      <c r="L74" s="20">
        <f>'[1]4нед'!C200</f>
        <v>0</v>
      </c>
      <c r="M74" s="23">
        <f>'[1]4нед'!D200</f>
        <v>0</v>
      </c>
      <c r="N74" s="21">
        <f>'[1]4нед'!G200</f>
        <v>0</v>
      </c>
      <c r="O74" s="22" t="str">
        <f>'[1]4нед'!H200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'[1]3нед'!C201</f>
        <v>0</v>
      </c>
      <c r="E75" s="23">
        <f>'[1]3нед'!D201</f>
        <v>0</v>
      </c>
      <c r="F75" s="21">
        <f>'[1]3нед'!G201</f>
        <v>0</v>
      </c>
      <c r="G75" s="22" t="str">
        <f>'[1]3нед'!H201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'[1]4нед'!C201</f>
        <v>0</v>
      </c>
      <c r="M75" s="23">
        <f>'[1]4нед'!D201</f>
        <v>0</v>
      </c>
      <c r="N75" s="21">
        <f>'[1]4нед'!G201</f>
        <v>0</v>
      </c>
      <c r="O75" s="22" t="str">
        <f>'[1]4нед'!H201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'[1]3нед'!C202</f>
        <v>0</v>
      </c>
      <c r="E76" s="23">
        <f>'[1]3нед'!D202</f>
        <v>0</v>
      </c>
      <c r="F76" s="21">
        <f>'[1]3нед'!G202</f>
        <v>0</v>
      </c>
      <c r="G76" s="22" t="str">
        <f>'[1]3нед'!H202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'[1]4нед'!C202</f>
        <v>0</v>
      </c>
      <c r="M76" s="23">
        <f>'[1]4нед'!D202</f>
        <v>0</v>
      </c>
      <c r="N76" s="21">
        <f>'[1]4нед'!G202</f>
        <v>0</v>
      </c>
      <c r="O76" s="22" t="str">
        <f>'[1]4нед'!H202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'[1]3нед'!C203</f>
        <v>л</v>
      </c>
      <c r="E77" s="23" t="str">
        <f>'[1]3нед'!D203</f>
        <v>Педагогика</v>
      </c>
      <c r="F77" s="21" t="str">
        <f>'[1]3нед'!G203</f>
        <v>Вишневский В.А.</v>
      </c>
      <c r="G77" s="22" t="str">
        <f>'[1]3нед'!H203</f>
        <v>доцент, канд. наук</v>
      </c>
      <c r="H77" s="55" t="str">
        <f>HYPERLINK(VLOOKUP(E77,$R$12:$S$180,2,FALSE))</f>
        <v>https://max.ru/join/ZQI6UYw-Ll6800VmJaLdI-Md1s6hKqFaVeuR5NmzeXM</v>
      </c>
      <c r="I77" s="71"/>
      <c r="J77" s="88"/>
      <c r="K77" s="14" t="s">
        <v>23</v>
      </c>
      <c r="L77" s="20">
        <f>'[1]4нед'!C203</f>
        <v>0</v>
      </c>
      <c r="M77" s="23">
        <f>'[1]4нед'!D203</f>
        <v>0</v>
      </c>
      <c r="N77" s="21">
        <f>'[1]4нед'!G203</f>
        <v>0</v>
      </c>
      <c r="O77" s="22" t="str">
        <f>'[1]4нед'!H203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 t="str">
        <f>'[1]3нед'!C204</f>
        <v>пр</v>
      </c>
      <c r="E78" s="23" t="str">
        <f>'[1]3нед'!D204</f>
        <v>Программирование</v>
      </c>
      <c r="F78" s="21" t="str">
        <f>'[1]3нед'!G204</f>
        <v>Криницкий Ю.В.</v>
      </c>
      <c r="G78" s="22" t="str">
        <f>'[1]3нед'!H204</f>
        <v>преподаватель</v>
      </c>
      <c r="H78" s="55" t="str">
        <f>HYPERLINK(VLOOKUP(E78,$R$12:$S$180,2,FALSE))</f>
        <v>https://max.ru/join/8alUL1AavbikkBK8Wox0H5Gqk0GpaAW3WoZ_oaAjx88</v>
      </c>
      <c r="I78" s="71"/>
      <c r="J78" s="88"/>
      <c r="K78" s="14" t="s">
        <v>24</v>
      </c>
      <c r="L78" s="20">
        <f>'[1]4нед'!C204</f>
        <v>0</v>
      </c>
      <c r="M78" s="23">
        <f>'[1]4нед'!D204</f>
        <v>0</v>
      </c>
      <c r="N78" s="21">
        <f>'[1]4нед'!G204</f>
        <v>0</v>
      </c>
      <c r="O78" s="22" t="str">
        <f>'[1]4нед'!H204</f>
        <v/>
      </c>
      <c r="P78" s="55" t="str">
        <f>HYPERLINK(VLOOKUP(M78,$R$12:$S$180,2,FALSE))</f>
        <v/>
      </c>
    </row>
    <row r="79" spans="1:16" ht="18.399999999999999" hidden="1" customHeight="1" thickBot="1" x14ac:dyDescent="0.25">
      <c r="A79" s="83"/>
      <c r="B79" s="86"/>
      <c r="C79" s="15"/>
      <c r="D79" s="24">
        <f>'[1]3нед'!C205</f>
        <v>0</v>
      </c>
      <c r="E79" s="25">
        <f>'[1]3нед'!D205</f>
        <v>0</v>
      </c>
      <c r="F79" s="26">
        <f>'[1]3нед'!G205</f>
        <v>0</v>
      </c>
      <c r="G79" s="27" t="str">
        <f>'[1]3нед'!H205</f>
        <v/>
      </c>
      <c r="H79" s="58" t="str">
        <f>HYPERLINK(VLOOKUP(E79,$R$12:$S$180,2,FALSE))</f>
        <v/>
      </c>
      <c r="I79" s="72"/>
      <c r="J79" s="89"/>
      <c r="K79" s="15"/>
      <c r="L79" s="24">
        <f>'[1]4нед'!C205</f>
        <v>0</v>
      </c>
      <c r="M79" s="25">
        <f>'[1]4нед'!D205</f>
        <v>0</v>
      </c>
      <c r="N79" s="26">
        <f>'[1]4нед'!G205</f>
        <v>0</v>
      </c>
      <c r="O79" s="27" t="str">
        <f>'[1]4нед'!H205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'[1]3нед'!C206</f>
        <v>0</v>
      </c>
      <c r="E80" s="19">
        <f>'[1]3нед'!D206</f>
        <v>0</v>
      </c>
      <c r="F80" s="17">
        <f>'[1]3нед'!G206</f>
        <v>0</v>
      </c>
      <c r="G80" s="18" t="str">
        <f>'[1]3нед'!H206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'[1]4нед'!C206</f>
        <v>0</v>
      </c>
      <c r="M80" s="19">
        <f>'[1]4нед'!D206</f>
        <v>0</v>
      </c>
      <c r="N80" s="17">
        <f>'[1]4нед'!G206</f>
        <v>0</v>
      </c>
      <c r="O80" s="18" t="str">
        <f>'[1]4нед'!H206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61</v>
      </c>
      <c r="D81" s="20">
        <f>'[1]3нед'!C207</f>
        <v>0</v>
      </c>
      <c r="E81" s="23">
        <f>'[1]3нед'!D207</f>
        <v>0</v>
      </c>
      <c r="F81" s="21">
        <f>'[1]3нед'!G207</f>
        <v>0</v>
      </c>
      <c r="G81" s="22" t="str">
        <f>'[1]3нед'!H207</f>
        <v/>
      </c>
      <c r="H81" s="57" t="str">
        <f>HYPERLINK(VLOOKUP(E81,$R$12:$S$180,2,FALSE))</f>
        <v/>
      </c>
      <c r="I81" s="71"/>
      <c r="J81" s="88"/>
      <c r="K81" s="14" t="s">
        <v>61</v>
      </c>
      <c r="L81" s="20">
        <f>'[1]4нед'!C207</f>
        <v>0</v>
      </c>
      <c r="M81" s="23">
        <f>'[1]4нед'!D207</f>
        <v>0</v>
      </c>
      <c r="N81" s="21">
        <f>'[1]4нед'!G207</f>
        <v>0</v>
      </c>
      <c r="O81" s="22" t="str">
        <f>'[1]4нед'!H207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62</v>
      </c>
      <c r="D82" s="20">
        <f>'[1]3нед'!C208</f>
        <v>0</v>
      </c>
      <c r="E82" s="23">
        <f>'[1]3нед'!D208</f>
        <v>0</v>
      </c>
      <c r="F82" s="21">
        <f>'[1]3нед'!G208</f>
        <v>0</v>
      </c>
      <c r="G82" s="22" t="str">
        <f>'[1]3нед'!H208</f>
        <v/>
      </c>
      <c r="H82" s="57" t="str">
        <f>HYPERLINK(VLOOKUP(E82,$R$12:$S$180,2,FALSE))</f>
        <v/>
      </c>
      <c r="I82" s="71"/>
      <c r="J82" s="88"/>
      <c r="K82" s="14" t="s">
        <v>62</v>
      </c>
      <c r="L82" s="20">
        <f>'[1]4нед'!C208</f>
        <v>0</v>
      </c>
      <c r="M82" s="23">
        <f>'[1]4нед'!D208</f>
        <v>0</v>
      </c>
      <c r="N82" s="21">
        <f>'[1]4нед'!G208</f>
        <v>0</v>
      </c>
      <c r="O82" s="22" t="str">
        <f>'[1]4нед'!H208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'[1]3нед'!C209</f>
        <v>0</v>
      </c>
      <c r="E83" s="23">
        <f>'[1]3нед'!D209</f>
        <v>0</v>
      </c>
      <c r="F83" s="21">
        <f>'[1]3нед'!G209</f>
        <v>0</v>
      </c>
      <c r="G83" s="22" t="str">
        <f>'[1]3нед'!H209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'[1]4нед'!C209</f>
        <v>0</v>
      </c>
      <c r="M83" s="23">
        <f>'[1]4нед'!D209</f>
        <v>0</v>
      </c>
      <c r="N83" s="21">
        <f>'[1]4нед'!G209</f>
        <v>0</v>
      </c>
      <c r="O83" s="22" t="str">
        <f>'[1]4нед'!H209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'[1]3нед'!C210</f>
        <v>0</v>
      </c>
      <c r="E84" s="23">
        <f>'[1]3нед'!D210</f>
        <v>0</v>
      </c>
      <c r="F84" s="21">
        <f>'[1]3нед'!G210</f>
        <v>0</v>
      </c>
      <c r="G84" s="22" t="str">
        <f>'[1]3нед'!H210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'[1]4нед'!C210</f>
        <v>0</v>
      </c>
      <c r="M84" s="23">
        <f>'[1]4нед'!D210</f>
        <v>0</v>
      </c>
      <c r="N84" s="21">
        <f>'[1]4нед'!G210</f>
        <v>0</v>
      </c>
      <c r="O84" s="22" t="str">
        <f>'[1]4нед'!H210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'[1]3нед'!C211</f>
        <v>0</v>
      </c>
      <c r="E85" s="23">
        <f>'[1]3нед'!D211</f>
        <v>0</v>
      </c>
      <c r="F85" s="21">
        <f>'[1]3нед'!G211</f>
        <v>0</v>
      </c>
      <c r="G85" s="22" t="str">
        <f>'[1]3нед'!H211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'[1]4нед'!C211</f>
        <v>0</v>
      </c>
      <c r="M85" s="23">
        <f>'[1]4нед'!D211</f>
        <v>0</v>
      </c>
      <c r="N85" s="21">
        <f>'[1]4нед'!G211</f>
        <v>0</v>
      </c>
      <c r="O85" s="22" t="str">
        <f>'[1]4нед'!H211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'[1]3нед'!C212</f>
        <v>0</v>
      </c>
      <c r="E86" s="23">
        <f>'[1]3нед'!D212</f>
        <v>0</v>
      </c>
      <c r="F86" s="21">
        <f>'[1]3нед'!G212</f>
        <v>0</v>
      </c>
      <c r="G86" s="22" t="str">
        <f>'[1]3нед'!H212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'[1]4нед'!C212</f>
        <v>0</v>
      </c>
      <c r="M86" s="23">
        <f>'[1]4нед'!D212</f>
        <v>0</v>
      </c>
      <c r="N86" s="21">
        <f>'[1]4нед'!G212</f>
        <v>0</v>
      </c>
      <c r="O86" s="22" t="str">
        <f>'[1]4нед'!H212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'[1]3нед'!C213</f>
        <v>0</v>
      </c>
      <c r="E87" s="25">
        <f>'[1]3нед'!D213</f>
        <v>0</v>
      </c>
      <c r="F87" s="26">
        <f>'[1]3нед'!G213</f>
        <v>0</v>
      </c>
      <c r="G87" s="27" t="str">
        <f>'[1]3нед'!H213</f>
        <v/>
      </c>
      <c r="H87" s="58" t="str">
        <f>HYPERLINK(VLOOKUP(E87,$R$12:$S$180,2,FALSE))</f>
        <v/>
      </c>
      <c r="I87" s="72"/>
      <c r="J87" s="89"/>
      <c r="K87" s="15"/>
      <c r="L87" s="24">
        <f>'[1]4нед'!C213</f>
        <v>0</v>
      </c>
      <c r="M87" s="25">
        <f>'[1]4нед'!D213</f>
        <v>0</v>
      </c>
      <c r="N87" s="26">
        <f>'[1]4нед'!G213</f>
        <v>0</v>
      </c>
      <c r="O87" s="27" t="str">
        <f>'[1]4нед'!H213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'[1]3нед'!C214</f>
        <v>0</v>
      </c>
      <c r="E88" s="19">
        <f>'[1]3нед'!D214</f>
        <v>0</v>
      </c>
      <c r="F88" s="17">
        <f>'[1]3нед'!G214</f>
        <v>0</v>
      </c>
      <c r="G88" s="18" t="str">
        <f>'[1]3нед'!H214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'[1]4нед'!C214</f>
        <v>0</v>
      </c>
      <c r="M88" s="19">
        <f>'[1]4нед'!D214</f>
        <v>0</v>
      </c>
      <c r="N88" s="17">
        <f>'[1]4нед'!G214</f>
        <v>0</v>
      </c>
      <c r="O88" s="18" t="str">
        <f>'[1]4нед'!H214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61</v>
      </c>
      <c r="D89" s="20">
        <f>'[1]3нед'!C215</f>
        <v>0</v>
      </c>
      <c r="E89" s="23">
        <f>'[1]3нед'!D215</f>
        <v>0</v>
      </c>
      <c r="F89" s="21">
        <f>'[1]3нед'!G215</f>
        <v>0</v>
      </c>
      <c r="G89" s="22" t="str">
        <f>'[1]3нед'!H215</f>
        <v/>
      </c>
      <c r="H89" s="57" t="str">
        <f>HYPERLINK(VLOOKUP(E89,$R$12:$S$180,2,FALSE))</f>
        <v/>
      </c>
      <c r="I89" s="71"/>
      <c r="J89" s="74"/>
      <c r="K89" s="14" t="s">
        <v>61</v>
      </c>
      <c r="L89" s="20">
        <f>'[1]4нед'!C215</f>
        <v>0</v>
      </c>
      <c r="M89" s="23">
        <f>'[1]4нед'!D215</f>
        <v>0</v>
      </c>
      <c r="N89" s="21">
        <f>'[1]4нед'!G215</f>
        <v>0</v>
      </c>
      <c r="O89" s="22" t="str">
        <f>'[1]4нед'!H215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62</v>
      </c>
      <c r="D90" s="20">
        <f>'[1]3нед'!C216</f>
        <v>0</v>
      </c>
      <c r="E90" s="23">
        <f>'[1]3нед'!D216</f>
        <v>0</v>
      </c>
      <c r="F90" s="21">
        <f>'[1]3нед'!G216</f>
        <v>0</v>
      </c>
      <c r="G90" s="22" t="str">
        <f>'[1]3нед'!H216</f>
        <v/>
      </c>
      <c r="H90" s="57" t="str">
        <f>HYPERLINK(VLOOKUP(E90,$R$12:$S$180,2,FALSE))</f>
        <v/>
      </c>
      <c r="I90" s="71"/>
      <c r="J90" s="74"/>
      <c r="K90" s="14" t="s">
        <v>62</v>
      </c>
      <c r="L90" s="20">
        <f>'[1]4нед'!C216</f>
        <v>0</v>
      </c>
      <c r="M90" s="23">
        <f>'[1]4нед'!D216</f>
        <v>0</v>
      </c>
      <c r="N90" s="21">
        <f>'[1]4нед'!G216</f>
        <v>0</v>
      </c>
      <c r="O90" s="22" t="str">
        <f>'[1]4нед'!H216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'[1]3нед'!C217</f>
        <v>0</v>
      </c>
      <c r="E91" s="23">
        <f>'[1]3нед'!D217</f>
        <v>0</v>
      </c>
      <c r="F91" s="21">
        <f>'[1]3нед'!G217</f>
        <v>0</v>
      </c>
      <c r="G91" s="22" t="str">
        <f>'[1]3нед'!H217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'[1]4нед'!C217</f>
        <v>0</v>
      </c>
      <c r="M91" s="23">
        <f>'[1]4нед'!D217</f>
        <v>0</v>
      </c>
      <c r="N91" s="21">
        <f>'[1]4нед'!G217</f>
        <v>0</v>
      </c>
      <c r="O91" s="22" t="str">
        <f>'[1]4нед'!H217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'[1]3нед'!C218</f>
        <v>0</v>
      </c>
      <c r="E92" s="23">
        <f>'[1]3нед'!D218</f>
        <v>0</v>
      </c>
      <c r="F92" s="21">
        <f>'[1]3нед'!G218</f>
        <v>0</v>
      </c>
      <c r="G92" s="22" t="str">
        <f>'[1]3нед'!H218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'[1]4нед'!C218</f>
        <v>0</v>
      </c>
      <c r="M92" s="23">
        <f>'[1]4нед'!D218</f>
        <v>0</v>
      </c>
      <c r="N92" s="21">
        <f>'[1]4нед'!G218</f>
        <v>0</v>
      </c>
      <c r="O92" s="22" t="str">
        <f>'[1]4нед'!H218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'[1]3нед'!C219</f>
        <v>л</v>
      </c>
      <c r="E93" s="23" t="str">
        <f>'[1]3нед'!D219</f>
        <v>Финансово-экономический практикум</v>
      </c>
      <c r="F93" s="21" t="str">
        <f>'[1]3нед'!G219</f>
        <v>Марусик Е.А.</v>
      </c>
      <c r="G93" s="22" t="str">
        <f>'[1]3нед'!H219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'[1]4нед'!C219</f>
        <v>пр</v>
      </c>
      <c r="M93" s="23" t="str">
        <f>'[1]4нед'!D219</f>
        <v>Геометрия</v>
      </c>
      <c r="N93" s="21" t="str">
        <f>'[1]4нед'!G219</f>
        <v>Казанцев Ю.А.</v>
      </c>
      <c r="O93" s="22" t="str">
        <f>'[1]4нед'!H219</f>
        <v>ст. преподаватель</v>
      </c>
      <c r="P93" s="55" t="str">
        <f>HYPERLINK(VLOOKUP(M93,$R$12:$S$180,2,FALSE))</f>
        <v>https://max.ru/join/8alUL1AavbikkBK8Wox0H5Gqk0GpaAW3WoZ_oaAjx88</v>
      </c>
    </row>
    <row r="94" spans="1:16" ht="38.25" thickBot="1" x14ac:dyDescent="0.25">
      <c r="A94" s="82"/>
      <c r="B94" s="68"/>
      <c r="C94" s="14" t="s">
        <v>24</v>
      </c>
      <c r="D94" s="20" t="str">
        <f>'[1]3нед'!C220</f>
        <v>л</v>
      </c>
      <c r="E94" s="23" t="str">
        <f>'[1]3нед'!D220</f>
        <v>Нормативно-правовые основы профессиональной деятельности</v>
      </c>
      <c r="F94" s="21" t="str">
        <f>'[1]3нед'!G220</f>
        <v>Лаврищева О.А.</v>
      </c>
      <c r="G94" s="22" t="str">
        <f>'[1]3нед'!H220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 t="str">
        <f>'[1]4нед'!C220</f>
        <v>пр</v>
      </c>
      <c r="M94" s="23" t="str">
        <f>'[1]4нед'!D220</f>
        <v>Программирование</v>
      </c>
      <c r="N94" s="21" t="str">
        <f>'[1]4нед'!G220</f>
        <v>Криницкий Ю.В.</v>
      </c>
      <c r="O94" s="22" t="str">
        <f>'[1]4нед'!H220</f>
        <v>преподаватель</v>
      </c>
      <c r="P94" s="55" t="str">
        <f>HYPERLINK(VLOOKUP(M94,$R$12:$S$180,2,FALSE))</f>
        <v>https://max.ru/join/8alUL1AavbikkBK8Wox0H5Gqk0GpaAW3WoZ_oaAjx88</v>
      </c>
    </row>
    <row r="95" spans="1:16" ht="18.399999999999999" hidden="1" customHeight="1" thickBot="1" x14ac:dyDescent="0.25">
      <c r="A95" s="83"/>
      <c r="B95" s="69"/>
      <c r="C95" s="15"/>
      <c r="D95" s="24">
        <f>'[1]3нед'!C221</f>
        <v>0</v>
      </c>
      <c r="E95" s="25">
        <f>'[1]3нед'!D221</f>
        <v>0</v>
      </c>
      <c r="F95" s="26">
        <f>'[1]3нед'!G221</f>
        <v>0</v>
      </c>
      <c r="G95" s="27" t="str">
        <f>'[1]3нед'!H221</f>
        <v/>
      </c>
      <c r="H95" s="58" t="str">
        <f>HYPERLINK(VLOOKUP(E95,$R$12:$S$180,2,FALSE))</f>
        <v/>
      </c>
      <c r="I95" s="72"/>
      <c r="J95" s="75"/>
      <c r="K95" s="15"/>
      <c r="L95" s="24">
        <f>'[1]4нед'!C221</f>
        <v>0</v>
      </c>
      <c r="M95" s="25">
        <f>'[1]4нед'!D221</f>
        <v>0</v>
      </c>
      <c r="N95" s="26">
        <f>'[1]4нед'!G221</f>
        <v>0</v>
      </c>
      <c r="O95" s="27" t="str">
        <f>'[1]4нед'!H221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'[1]3нед'!C222</f>
        <v>0</v>
      </c>
      <c r="E96" s="19">
        <f>'[1]3нед'!D222</f>
        <v>0</v>
      </c>
      <c r="F96" s="17">
        <f>'[1]3нед'!G222</f>
        <v>0</v>
      </c>
      <c r="G96" s="18" t="str">
        <f>'[1]3нед'!H222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'[1]4нед'!C222</f>
        <v>0</v>
      </c>
      <c r="M96" s="19">
        <f>'[1]4нед'!D222</f>
        <v>0</v>
      </c>
      <c r="N96" s="17">
        <f>'[1]4нед'!G222</f>
        <v>0</v>
      </c>
      <c r="O96" s="18" t="str">
        <f>'[1]4нед'!H222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61</v>
      </c>
      <c r="D97" s="20">
        <f>'[1]3нед'!C223</f>
        <v>0</v>
      </c>
      <c r="E97" s="23">
        <f>'[1]3нед'!D223</f>
        <v>0</v>
      </c>
      <c r="F97" s="21">
        <f>'[1]3нед'!G223</f>
        <v>0</v>
      </c>
      <c r="G97" s="22" t="str">
        <f>'[1]3нед'!H223</f>
        <v/>
      </c>
      <c r="H97" s="57" t="str">
        <f>HYPERLINK(VLOOKUP(E97,$R$12:$S$180,2,FALSE))</f>
        <v/>
      </c>
      <c r="I97" s="71"/>
      <c r="J97" s="88"/>
      <c r="K97" s="14" t="s">
        <v>61</v>
      </c>
      <c r="L97" s="20">
        <f>'[1]4нед'!C223</f>
        <v>0</v>
      </c>
      <c r="M97" s="23">
        <f>'[1]4нед'!D223</f>
        <v>0</v>
      </c>
      <c r="N97" s="21">
        <f>'[1]4нед'!G223</f>
        <v>0</v>
      </c>
      <c r="O97" s="22" t="str">
        <f>'[1]4нед'!H223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62</v>
      </c>
      <c r="D98" s="20">
        <f>'[1]3нед'!C224</f>
        <v>0</v>
      </c>
      <c r="E98" s="23">
        <f>'[1]3нед'!D224</f>
        <v>0</v>
      </c>
      <c r="F98" s="21">
        <f>'[1]3нед'!G224</f>
        <v>0</v>
      </c>
      <c r="G98" s="22" t="str">
        <f>'[1]3нед'!H224</f>
        <v/>
      </c>
      <c r="H98" s="57" t="str">
        <f>HYPERLINK(VLOOKUP(E98,$R$12:$S$180,2,FALSE))</f>
        <v/>
      </c>
      <c r="I98" s="71"/>
      <c r="J98" s="88"/>
      <c r="K98" s="14" t="s">
        <v>62</v>
      </c>
      <c r="L98" s="20">
        <f>'[1]4нед'!C224</f>
        <v>0</v>
      </c>
      <c r="M98" s="23">
        <f>'[1]4нед'!D224</f>
        <v>0</v>
      </c>
      <c r="N98" s="21">
        <f>'[1]4нед'!G224</f>
        <v>0</v>
      </c>
      <c r="O98" s="22" t="str">
        <f>'[1]4нед'!H224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'[1]3нед'!C225</f>
        <v>0</v>
      </c>
      <c r="E99" s="23">
        <f>'[1]3нед'!D225</f>
        <v>0</v>
      </c>
      <c r="F99" s="21">
        <f>'[1]3нед'!G225</f>
        <v>0</v>
      </c>
      <c r="G99" s="22" t="str">
        <f>'[1]3нед'!H225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'[1]4нед'!C225</f>
        <v>0</v>
      </c>
      <c r="M99" s="23">
        <f>'[1]4нед'!D225</f>
        <v>0</v>
      </c>
      <c r="N99" s="21">
        <f>'[1]4нед'!G225</f>
        <v>0</v>
      </c>
      <c r="O99" s="22" t="str">
        <f>'[1]4нед'!H225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'[1]3нед'!C226</f>
        <v>0</v>
      </c>
      <c r="E100" s="23">
        <f>'[1]3нед'!D226</f>
        <v>0</v>
      </c>
      <c r="F100" s="21">
        <f>'[1]3нед'!G226</f>
        <v>0</v>
      </c>
      <c r="G100" s="22" t="str">
        <f>'[1]3нед'!H226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'[1]4нед'!C226</f>
        <v>0</v>
      </c>
      <c r="M100" s="23">
        <f>'[1]4нед'!D226</f>
        <v>0</v>
      </c>
      <c r="N100" s="21">
        <f>'[1]4нед'!G226</f>
        <v>0</v>
      </c>
      <c r="O100" s="22" t="str">
        <f>'[1]4нед'!H226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'[1]3нед'!C227</f>
        <v>л</v>
      </c>
      <c r="E101" s="23" t="str">
        <f>'[1]3нед'!D227</f>
        <v>Психология</v>
      </c>
      <c r="F101" s="21" t="str">
        <f>'[1]3нед'!G227</f>
        <v>Дьяков С.И.</v>
      </c>
      <c r="G101" s="22" t="str">
        <f>'[1]3нед'!H227</f>
        <v>профессор, д-р наук</v>
      </c>
      <c r="H101" s="55" t="str">
        <f>HYPERLINK(VLOOKUP(E101,$R$12:$S$180,2,FALSE))</f>
        <v>https://max.ru/join/g6zvD6fUKPmI5Ues4pjwwIXB0fZghlWb7Uaeuix-jUQ</v>
      </c>
      <c r="I101" s="71"/>
      <c r="J101" s="88"/>
      <c r="K101" s="14" t="s">
        <v>23</v>
      </c>
      <c r="L101" s="20">
        <f>'[1]4нед'!C227</f>
        <v>0</v>
      </c>
      <c r="M101" s="23">
        <f>'[1]4нед'!D227</f>
        <v>0</v>
      </c>
      <c r="N101" s="21">
        <f>'[1]4нед'!G227</f>
        <v>0</v>
      </c>
      <c r="O101" s="22" t="str">
        <f>'[1]4нед'!H227</f>
        <v/>
      </c>
      <c r="P101" s="55" t="str">
        <f>HYPERLINK(VLOOKUP(M101,$R$12:$S$180,2,FALSE))</f>
        <v/>
      </c>
    </row>
    <row r="102" spans="1:16" ht="32.25" thickBot="1" x14ac:dyDescent="0.25">
      <c r="A102" s="82"/>
      <c r="B102" s="85"/>
      <c r="C102" s="14" t="s">
        <v>24</v>
      </c>
      <c r="D102" s="20" t="str">
        <f>'[1]3нед'!C228</f>
        <v>пр</v>
      </c>
      <c r="E102" s="23" t="str">
        <f>'[1]3нед'!D228</f>
        <v>Информационные системы</v>
      </c>
      <c r="F102" s="21" t="str">
        <f>'[1]3нед'!G228</f>
        <v>Казак А.Н.</v>
      </c>
      <c r="G102" s="22" t="str">
        <f>'[1]3нед'!H228</f>
        <v>доцент, канд. наук</v>
      </c>
      <c r="H102" s="55" t="str">
        <f>HYPERLINK(VLOOKUP(E102,$R$12:$S$180,2,FALSE))</f>
        <v>https://max.ru/join/8alUL1AavbikkBK8Wox0H5Gqk0GpaAW3WoZ_oaAjx88</v>
      </c>
      <c r="I102" s="71"/>
      <c r="J102" s="88"/>
      <c r="K102" s="14" t="s">
        <v>24</v>
      </c>
      <c r="L102" s="20" t="str">
        <f>'[1]4нед'!C228</f>
        <v>пр</v>
      </c>
      <c r="M102" s="23" t="str">
        <f>'[1]4нед'!D228</f>
        <v>Информационные системы</v>
      </c>
      <c r="N102" s="21" t="str">
        <f>'[1]4нед'!G228</f>
        <v>Казак А.Н.</v>
      </c>
      <c r="O102" s="22" t="str">
        <f>'[1]4нед'!H228</f>
        <v>доцент, канд. наук</v>
      </c>
      <c r="P102" s="55" t="str">
        <f>HYPERLINK(VLOOKUP(M102,$R$12:$S$180,2,FALSE))</f>
        <v>https://max.ru/join/8alUL1AavbikkBK8Wox0H5Gqk0GpaAW3WoZ_oaAjx88</v>
      </c>
    </row>
    <row r="103" spans="1:16" ht="18.399999999999999" hidden="1" customHeight="1" thickBot="1" x14ac:dyDescent="0.25">
      <c r="A103" s="83"/>
      <c r="B103" s="86"/>
      <c r="C103" s="15"/>
      <c r="D103" s="24">
        <f>'[1]3нед'!C229</f>
        <v>0</v>
      </c>
      <c r="E103" s="25">
        <f>'[1]3нед'!D229</f>
        <v>0</v>
      </c>
      <c r="F103" s="26">
        <f>'[1]3нед'!G229</f>
        <v>0</v>
      </c>
      <c r="G103" s="27" t="str">
        <f>'[1]3нед'!H229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'[1]4нед'!C229</f>
        <v>0</v>
      </c>
      <c r="M103" s="25">
        <f>'[1]4нед'!D229</f>
        <v>0</v>
      </c>
      <c r="N103" s="26">
        <f>'[1]4нед'!G229</f>
        <v>0</v>
      </c>
      <c r="O103" s="27" t="str">
        <f>'[1]4нед'!H229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'[1]3нед'!C230</f>
        <v>0</v>
      </c>
      <c r="E104" s="19">
        <f>'[1]3нед'!D230</f>
        <v>0</v>
      </c>
      <c r="F104" s="17">
        <f>'[1]3нед'!G230</f>
        <v>0</v>
      </c>
      <c r="G104" s="18" t="str">
        <f>'[1]3нед'!H230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'[1]4нед'!C230</f>
        <v>0</v>
      </c>
      <c r="M104" s="19">
        <f>'[1]4нед'!D230</f>
        <v>0</v>
      </c>
      <c r="N104" s="17">
        <f>'[1]4нед'!G230</f>
        <v>0</v>
      </c>
      <c r="O104" s="18" t="str">
        <f>'[1]4нед'!H230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61</v>
      </c>
      <c r="D105" s="20">
        <f>'[1]3нед'!C231</f>
        <v>0</v>
      </c>
      <c r="E105" s="23">
        <f>'[1]3нед'!D231</f>
        <v>0</v>
      </c>
      <c r="F105" s="21">
        <f>'[1]3нед'!G231</f>
        <v>0</v>
      </c>
      <c r="G105" s="22" t="str">
        <f>'[1]3нед'!H231</f>
        <v/>
      </c>
      <c r="H105" s="57" t="str">
        <f>HYPERLINK(VLOOKUP(E105,$R$12:$S$180,2,FALSE))</f>
        <v/>
      </c>
      <c r="I105" s="71"/>
      <c r="J105" s="88"/>
      <c r="K105" s="14" t="s">
        <v>61</v>
      </c>
      <c r="L105" s="20">
        <f>'[1]4нед'!C231</f>
        <v>0</v>
      </c>
      <c r="M105" s="23">
        <f>'[1]4нед'!D231</f>
        <v>0</v>
      </c>
      <c r="N105" s="21">
        <f>'[1]4нед'!G231</f>
        <v>0</v>
      </c>
      <c r="O105" s="22" t="str">
        <f>'[1]4нед'!H231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62</v>
      </c>
      <c r="D106" s="20">
        <f>'[1]3нед'!C232</f>
        <v>0</v>
      </c>
      <c r="E106" s="23">
        <f>'[1]3нед'!D232</f>
        <v>0</v>
      </c>
      <c r="F106" s="21">
        <f>'[1]3нед'!G232</f>
        <v>0</v>
      </c>
      <c r="G106" s="22" t="str">
        <f>'[1]3нед'!H232</f>
        <v/>
      </c>
      <c r="H106" s="57" t="str">
        <f>HYPERLINK(VLOOKUP(E106,$R$12:$S$180,2,FALSE))</f>
        <v/>
      </c>
      <c r="I106" s="71"/>
      <c r="J106" s="88"/>
      <c r="K106" s="14" t="s">
        <v>62</v>
      </c>
      <c r="L106" s="20">
        <f>'[1]4нед'!C232</f>
        <v>0</v>
      </c>
      <c r="M106" s="23">
        <f>'[1]4нед'!D232</f>
        <v>0</v>
      </c>
      <c r="N106" s="21">
        <f>'[1]4нед'!G232</f>
        <v>0</v>
      </c>
      <c r="O106" s="22" t="str">
        <f>'[1]4нед'!H232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'[1]3нед'!C233</f>
        <v>0</v>
      </c>
      <c r="E107" s="23">
        <f>'[1]3нед'!D233</f>
        <v>0</v>
      </c>
      <c r="F107" s="21">
        <f>'[1]3нед'!G233</f>
        <v>0</v>
      </c>
      <c r="G107" s="22" t="str">
        <f>'[1]3нед'!H233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'[1]4нед'!C233</f>
        <v>0</v>
      </c>
      <c r="M107" s="23">
        <f>'[1]4нед'!D233</f>
        <v>0</v>
      </c>
      <c r="N107" s="21">
        <f>'[1]4нед'!G233</f>
        <v>0</v>
      </c>
      <c r="O107" s="22" t="str">
        <f>'[1]4нед'!H233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'[1]3нед'!C234</f>
        <v>0</v>
      </c>
      <c r="E108" s="23">
        <f>'[1]3нед'!D234</f>
        <v>0</v>
      </c>
      <c r="F108" s="21">
        <f>'[1]3нед'!G234</f>
        <v>0</v>
      </c>
      <c r="G108" s="22" t="str">
        <f>'[1]3нед'!H234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'[1]4нед'!C234</f>
        <v>0</v>
      </c>
      <c r="M108" s="23">
        <f>'[1]4нед'!D234</f>
        <v>0</v>
      </c>
      <c r="N108" s="21">
        <f>'[1]4нед'!G234</f>
        <v>0</v>
      </c>
      <c r="O108" s="22" t="str">
        <f>'[1]4нед'!H234</f>
        <v/>
      </c>
      <c r="P108" s="57" t="str">
        <f>HYPERLINK(VLOOKUP(M108,$R$12:$S$180,2,FALSE))</f>
        <v/>
      </c>
    </row>
    <row r="109" spans="1:16" ht="37.5" x14ac:dyDescent="0.2">
      <c r="A109" s="82"/>
      <c r="B109" s="85"/>
      <c r="C109" s="14" t="s">
        <v>23</v>
      </c>
      <c r="D109" s="20" t="str">
        <f>'[1]3нед'!C235</f>
        <v>пр</v>
      </c>
      <c r="E109" s="23" t="str">
        <f>'[1]3нед'!D235</f>
        <v>Алгебра</v>
      </c>
      <c r="F109" s="21" t="str">
        <f>'[1]3нед'!G235</f>
        <v>Овчинникова М.В.</v>
      </c>
      <c r="G109" s="22" t="str">
        <f>'[1]3нед'!H235</f>
        <v>доцент, канд. наук</v>
      </c>
      <c r="H109" s="57" t="str">
        <f>HYPERLINK(VLOOKUP(E109,$R$12:$S$180,2,FALSE))</f>
        <v>https://max.ru/join/8alUL1AavbikkBK8Wox0H5Gqk0GpaAW3WoZ_oaAjx88</v>
      </c>
      <c r="I109" s="71"/>
      <c r="J109" s="88"/>
      <c r="K109" s="14" t="s">
        <v>23</v>
      </c>
      <c r="L109" s="20" t="str">
        <f>'[1]4нед'!C235</f>
        <v>л</v>
      </c>
      <c r="M109" s="23" t="str">
        <f>'[1]4нед'!D235</f>
        <v>Математический анализ</v>
      </c>
      <c r="N109" s="21" t="str">
        <f>'[1]4нед'!G235</f>
        <v>Линник Е.П.</v>
      </c>
      <c r="O109" s="22" t="str">
        <f>'[1]4нед'!H235</f>
        <v>доцент, канд. наук</v>
      </c>
      <c r="P109" s="57" t="str">
        <f>HYPERLINK(VLOOKUP(M109,$R$12:$S$180,2,FALSE))</f>
        <v>https://max.ru/join/8alUL1AavbikkBK8Wox0H5Gqk0GpaAW3WoZ_oaAjx88</v>
      </c>
    </row>
    <row r="110" spans="1:16" ht="32.25" thickBot="1" x14ac:dyDescent="0.25">
      <c r="A110" s="82"/>
      <c r="B110" s="85"/>
      <c r="C110" s="14" t="s">
        <v>24</v>
      </c>
      <c r="D110" s="20">
        <f>'[1]3нед'!C236</f>
        <v>0</v>
      </c>
      <c r="E110" s="23">
        <f>'[1]3нед'!D236</f>
        <v>0</v>
      </c>
      <c r="F110" s="21">
        <f>'[1]3нед'!G236</f>
        <v>0</v>
      </c>
      <c r="G110" s="22" t="str">
        <f>'[1]3нед'!H236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'[1]4нед'!C236</f>
        <v>0</v>
      </c>
      <c r="M110" s="23">
        <f>'[1]4нед'!D236</f>
        <v>0</v>
      </c>
      <c r="N110" s="21">
        <f>'[1]4нед'!G236</f>
        <v>0</v>
      </c>
      <c r="O110" s="22" t="str">
        <f>'[1]4нед'!H236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'[1]3нед'!C237</f>
        <v>0</v>
      </c>
      <c r="E111" s="25">
        <f>'[1]3нед'!D237</f>
        <v>0</v>
      </c>
      <c r="F111" s="26">
        <f>'[1]3нед'!G237</f>
        <v>0</v>
      </c>
      <c r="G111" s="27" t="str">
        <f>'[1]3нед'!H237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'[1]4нед'!C237</f>
        <v>0</v>
      </c>
      <c r="M111" s="25">
        <f>'[1]4нед'!D237</f>
        <v>0</v>
      </c>
      <c r="N111" s="26">
        <f>'[1]4нед'!G237</f>
        <v>0</v>
      </c>
      <c r="O111" s="27" t="str">
        <f>'[1]4нед'!H237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'[1]3нед'!C238</f>
        <v>0</v>
      </c>
      <c r="E112" s="19">
        <f>'[1]3нед'!D238</f>
        <v>0</v>
      </c>
      <c r="F112" s="17">
        <f>'[1]3нед'!G238</f>
        <v>0</v>
      </c>
      <c r="G112" s="18" t="str">
        <f>'[1]3нед'!H238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'[1]4нед'!C238</f>
        <v>0</v>
      </c>
      <c r="M112" s="19">
        <f>'[1]4нед'!D238</f>
        <v>0</v>
      </c>
      <c r="N112" s="17">
        <f>'[1]4нед'!G238</f>
        <v>0</v>
      </c>
      <c r="O112" s="18" t="str">
        <f>'[1]4нед'!H238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61</v>
      </c>
      <c r="D113" s="20">
        <f>'[1]3нед'!C239</f>
        <v>0</v>
      </c>
      <c r="E113" s="23">
        <f>'[1]3нед'!D239</f>
        <v>0</v>
      </c>
      <c r="F113" s="21">
        <f>'[1]3нед'!G239</f>
        <v>0</v>
      </c>
      <c r="G113" s="22" t="str">
        <f>'[1]3нед'!H239</f>
        <v/>
      </c>
      <c r="H113" s="57" t="str">
        <f>HYPERLINK(VLOOKUP(E113,$R$12:$S$180,2,FALSE))</f>
        <v/>
      </c>
      <c r="I113" s="71"/>
      <c r="J113" s="88"/>
      <c r="K113" s="14" t="s">
        <v>61</v>
      </c>
      <c r="L113" s="20">
        <f>'[1]4нед'!C239</f>
        <v>0</v>
      </c>
      <c r="M113" s="23">
        <f>'[1]4нед'!D239</f>
        <v>0</v>
      </c>
      <c r="N113" s="21">
        <f>'[1]4нед'!G239</f>
        <v>0</v>
      </c>
      <c r="O113" s="22" t="str">
        <f>'[1]4нед'!H239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62</v>
      </c>
      <c r="D114" s="20">
        <f>'[1]3нед'!C240</f>
        <v>0</v>
      </c>
      <c r="E114" s="23">
        <f>'[1]3нед'!D240</f>
        <v>0</v>
      </c>
      <c r="F114" s="21">
        <f>'[1]3нед'!G240</f>
        <v>0</v>
      </c>
      <c r="G114" s="22" t="str">
        <f>'[1]3нед'!H240</f>
        <v/>
      </c>
      <c r="H114" s="57" t="str">
        <f>HYPERLINK(VLOOKUP(E114,$R$12:$S$180,2,FALSE))</f>
        <v/>
      </c>
      <c r="I114" s="71"/>
      <c r="J114" s="88"/>
      <c r="K114" s="14" t="s">
        <v>62</v>
      </c>
      <c r="L114" s="20">
        <f>'[1]4нед'!C240</f>
        <v>0</v>
      </c>
      <c r="M114" s="23">
        <f>'[1]4нед'!D240</f>
        <v>0</v>
      </c>
      <c r="N114" s="21">
        <f>'[1]4нед'!G240</f>
        <v>0</v>
      </c>
      <c r="O114" s="22" t="str">
        <f>'[1]4нед'!H240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'[1]3нед'!C241</f>
        <v>0</v>
      </c>
      <c r="E115" s="23">
        <f>'[1]3нед'!D241</f>
        <v>0</v>
      </c>
      <c r="F115" s="21">
        <f>'[1]3нед'!G241</f>
        <v>0</v>
      </c>
      <c r="G115" s="22" t="str">
        <f>'[1]3нед'!H241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'[1]4нед'!C241</f>
        <v>0</v>
      </c>
      <c r="M115" s="23">
        <f>'[1]4нед'!D241</f>
        <v>0</v>
      </c>
      <c r="N115" s="21">
        <f>'[1]4нед'!G241</f>
        <v>0</v>
      </c>
      <c r="O115" s="22" t="str">
        <f>'[1]4нед'!H241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'[1]3нед'!C242</f>
        <v>0</v>
      </c>
      <c r="E116" s="23">
        <f>'[1]3нед'!D242</f>
        <v>0</v>
      </c>
      <c r="F116" s="21">
        <f>'[1]3нед'!G242</f>
        <v>0</v>
      </c>
      <c r="G116" s="22" t="str">
        <f>'[1]3нед'!H242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'[1]4нед'!C242</f>
        <v>0</v>
      </c>
      <c r="M116" s="23">
        <f>'[1]4нед'!D242</f>
        <v>0</v>
      </c>
      <c r="N116" s="21">
        <f>'[1]4нед'!G242</f>
        <v>0</v>
      </c>
      <c r="O116" s="22" t="str">
        <f>'[1]4нед'!H242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'[1]3нед'!C243</f>
        <v>0</v>
      </c>
      <c r="E117" s="23">
        <f>'[1]3нед'!D243</f>
        <v>0</v>
      </c>
      <c r="F117" s="21">
        <f>'[1]3нед'!G243</f>
        <v>0</v>
      </c>
      <c r="G117" s="22" t="str">
        <f>'[1]3нед'!H243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'[1]4нед'!C243</f>
        <v>0</v>
      </c>
      <c r="M117" s="23">
        <f>'[1]4нед'!D243</f>
        <v>0</v>
      </c>
      <c r="N117" s="21">
        <f>'[1]4нед'!G243</f>
        <v>0</v>
      </c>
      <c r="O117" s="22" t="str">
        <f>'[1]4нед'!H243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'[1]3нед'!C244</f>
        <v>0</v>
      </c>
      <c r="E118" s="23">
        <f>'[1]3нед'!D244</f>
        <v>0</v>
      </c>
      <c r="F118" s="21">
        <f>'[1]3нед'!G244</f>
        <v>0</v>
      </c>
      <c r="G118" s="22" t="str">
        <f>'[1]3нед'!H244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'[1]4нед'!C244</f>
        <v>0</v>
      </c>
      <c r="M118" s="23">
        <f>'[1]4нед'!D244</f>
        <v>0</v>
      </c>
      <c r="N118" s="21">
        <f>'[1]4нед'!G244</f>
        <v>0</v>
      </c>
      <c r="O118" s="22" t="str">
        <f>'[1]4нед'!H244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'[1]1нед'!$D$196</f>
        <v>12-25МИоз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'[1]1нед'!$D$196</f>
        <v>12-25МИоз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'[3]5нед'!C198</f>
        <v>0</v>
      </c>
      <c r="E132" s="19">
        <f>'[3]5нед'!D198</f>
        <v>0</v>
      </c>
      <c r="F132" s="17">
        <f>'[3]5нед'!G198</f>
        <v>0</v>
      </c>
      <c r="G132" s="18" t="str">
        <f>'[3]5нед'!H198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'[3]6нед'!C198</f>
        <v>0</v>
      </c>
      <c r="M132" s="19">
        <f>'[3]6нед'!D198</f>
        <v>0</v>
      </c>
      <c r="N132" s="17">
        <f>'[3]6нед'!G198</f>
        <v>0</v>
      </c>
      <c r="O132" s="18" t="str">
        <f>'[3]6нед'!H198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61</v>
      </c>
      <c r="D133" s="20">
        <f>'[3]5нед'!C199</f>
        <v>0</v>
      </c>
      <c r="E133" s="23">
        <f>'[3]5нед'!D199</f>
        <v>0</v>
      </c>
      <c r="F133" s="21">
        <f>'[3]5нед'!G199</f>
        <v>0</v>
      </c>
      <c r="G133" s="22" t="str">
        <f>'[3]5нед'!H199</f>
        <v/>
      </c>
      <c r="H133" s="57" t="str">
        <f>HYPERLINK(VLOOKUP(E133,$R$12:$S$180,2,FALSE))</f>
        <v/>
      </c>
      <c r="I133" s="71"/>
      <c r="J133" s="88"/>
      <c r="K133" s="14" t="s">
        <v>61</v>
      </c>
      <c r="L133" s="20">
        <f>'[3]6нед'!C199</f>
        <v>0</v>
      </c>
      <c r="M133" s="23">
        <f>'[3]6нед'!D199</f>
        <v>0</v>
      </c>
      <c r="N133" s="21">
        <f>'[3]6нед'!G199</f>
        <v>0</v>
      </c>
      <c r="O133" s="22" t="str">
        <f>'[3]6нед'!H199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62</v>
      </c>
      <c r="D134" s="20">
        <f>'[3]5нед'!C200</f>
        <v>0</v>
      </c>
      <c r="E134" s="23">
        <f>'[3]5нед'!D200</f>
        <v>0</v>
      </c>
      <c r="F134" s="21">
        <f>'[3]5нед'!G200</f>
        <v>0</v>
      </c>
      <c r="G134" s="22" t="str">
        <f>'[3]5нед'!H200</f>
        <v/>
      </c>
      <c r="H134" s="57" t="str">
        <f>HYPERLINK(VLOOKUP(E134,$R$12:$S$180,2,FALSE))</f>
        <v/>
      </c>
      <c r="I134" s="71"/>
      <c r="J134" s="88"/>
      <c r="K134" s="14" t="s">
        <v>62</v>
      </c>
      <c r="L134" s="20">
        <f>'[3]6нед'!C200</f>
        <v>0</v>
      </c>
      <c r="M134" s="23">
        <f>'[3]6нед'!D200</f>
        <v>0</v>
      </c>
      <c r="N134" s="21">
        <f>'[3]6нед'!G200</f>
        <v>0</v>
      </c>
      <c r="O134" s="22" t="str">
        <f>'[3]6нед'!H200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'[3]5нед'!C201</f>
        <v>0</v>
      </c>
      <c r="E135" s="23">
        <f>'[3]5нед'!D201</f>
        <v>0</v>
      </c>
      <c r="F135" s="21">
        <f>'[3]5нед'!G201</f>
        <v>0</v>
      </c>
      <c r="G135" s="22" t="str">
        <f>'[3]5нед'!H201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'[3]6нед'!C201</f>
        <v>0</v>
      </c>
      <c r="M135" s="23">
        <f>'[3]6нед'!D201</f>
        <v>0</v>
      </c>
      <c r="N135" s="21">
        <f>'[3]6нед'!G201</f>
        <v>0</v>
      </c>
      <c r="O135" s="22" t="str">
        <f>'[3]6нед'!H201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'[3]5нед'!C202</f>
        <v>0</v>
      </c>
      <c r="E136" s="23">
        <f>'[3]5нед'!D202</f>
        <v>0</v>
      </c>
      <c r="F136" s="21">
        <f>'[3]5нед'!G202</f>
        <v>0</v>
      </c>
      <c r="G136" s="22" t="str">
        <f>'[3]5нед'!H202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'[3]6нед'!C202</f>
        <v>0</v>
      </c>
      <c r="M136" s="23">
        <f>'[3]6нед'!D202</f>
        <v>0</v>
      </c>
      <c r="N136" s="21">
        <f>'[3]6нед'!G202</f>
        <v>0</v>
      </c>
      <c r="O136" s="22" t="str">
        <f>'[3]6нед'!H202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'[3]5нед'!C203</f>
        <v>пр</v>
      </c>
      <c r="E137" s="23" t="str">
        <f>'[3]5нед'!D203</f>
        <v xml:space="preserve"> Финансово-экономический практикум</v>
      </c>
      <c r="F137" s="21" t="str">
        <f>'[3]5нед'!G203</f>
        <v>Бойчук О.В.</v>
      </c>
      <c r="G137" s="22" t="str">
        <f>'[3]5нед'!H203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'[3]6нед'!C203</f>
        <v>л</v>
      </c>
      <c r="M137" s="23" t="str">
        <f>'[3]6нед'!D203</f>
        <v>Программирование</v>
      </c>
      <c r="N137" s="21" t="str">
        <f>'[3]6нед'!G203</f>
        <v>Криницкий Ю.В.</v>
      </c>
      <c r="O137" s="22" t="str">
        <f>'[3]6нед'!H203</f>
        <v>преподаватель</v>
      </c>
      <c r="P137" s="55" t="str">
        <f>HYPERLINK(VLOOKUP(M137,$R$12:$S$180,2,FALSE))</f>
        <v>https://max.ru/join/8alUL1AavbikkBK8Wox0H5Gqk0GpaAW3WoZ_oaAjx88</v>
      </c>
    </row>
    <row r="138" spans="1:16" ht="38.25" thickBot="1" x14ac:dyDescent="0.25">
      <c r="A138" s="82"/>
      <c r="B138" s="85"/>
      <c r="C138" s="14" t="s">
        <v>24</v>
      </c>
      <c r="D138" s="20" t="str">
        <f>'[3]5нед'!C204</f>
        <v>пр</v>
      </c>
      <c r="E138" s="23" t="str">
        <f>'[3]5нед'!D204</f>
        <v xml:space="preserve"> Нормативно-правовые основы профессиональной деятельности</v>
      </c>
      <c r="F138" s="21" t="str">
        <f>'[3]5нед'!G204</f>
        <v>Жанова Д.А.</v>
      </c>
      <c r="G138" s="22" t="str">
        <f>'[3]5нед'!H204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>
        <f>'[3]6нед'!C204</f>
        <v>0</v>
      </c>
      <c r="M138" s="23">
        <f>'[3]6нед'!D204</f>
        <v>0</v>
      </c>
      <c r="N138" s="21">
        <f>'[3]6нед'!G204</f>
        <v>0</v>
      </c>
      <c r="O138" s="22" t="str">
        <f>'[3]6нед'!H204</f>
        <v/>
      </c>
      <c r="P138" s="55" t="str">
        <f>HYPERLINK(VLOOKUP(M138,$R$12:$S$180,2,FALSE))</f>
        <v/>
      </c>
    </row>
    <row r="139" spans="1:16" ht="18.399999999999999" hidden="1" customHeight="1" thickBot="1" x14ac:dyDescent="0.25">
      <c r="A139" s="83"/>
      <c r="B139" s="86"/>
      <c r="C139" s="15"/>
      <c r="D139" s="24">
        <f>'[3]5нед'!C205</f>
        <v>0</v>
      </c>
      <c r="E139" s="25">
        <f>'[3]5нед'!D205</f>
        <v>0</v>
      </c>
      <c r="F139" s="26">
        <f>'[3]5нед'!G205</f>
        <v>0</v>
      </c>
      <c r="G139" s="27" t="str">
        <f>'[3]5нед'!H205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'[3]6нед'!C205</f>
        <v>0</v>
      </c>
      <c r="M139" s="25">
        <f>'[3]6нед'!D205</f>
        <v>0</v>
      </c>
      <c r="N139" s="26">
        <f>'[3]6нед'!G205</f>
        <v>0</v>
      </c>
      <c r="O139" s="27" t="str">
        <f>'[3]6нед'!H205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'[3]5нед'!C206</f>
        <v>0</v>
      </c>
      <c r="E140" s="19">
        <f>'[3]5нед'!D206</f>
        <v>0</v>
      </c>
      <c r="F140" s="17">
        <f>'[3]5нед'!G206</f>
        <v>0</v>
      </c>
      <c r="G140" s="18" t="str">
        <f>'[3]5нед'!H206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'[3]6нед'!C206</f>
        <v>0</v>
      </c>
      <c r="M140" s="19">
        <f>'[3]6нед'!D206</f>
        <v>0</v>
      </c>
      <c r="N140" s="17">
        <f>'[3]6нед'!G206</f>
        <v>0</v>
      </c>
      <c r="O140" s="18" t="str">
        <f>'[3]6нед'!H206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61</v>
      </c>
      <c r="D141" s="20">
        <f>'[3]5нед'!C207</f>
        <v>0</v>
      </c>
      <c r="E141" s="23">
        <f>'[3]5нед'!D207</f>
        <v>0</v>
      </c>
      <c r="F141" s="21">
        <f>'[3]5нед'!G207</f>
        <v>0</v>
      </c>
      <c r="G141" s="22" t="str">
        <f>'[3]5нед'!H207</f>
        <v/>
      </c>
      <c r="H141" s="57" t="str">
        <f>HYPERLINK(VLOOKUP(E141,$R$12:$S$180,2,FALSE))</f>
        <v/>
      </c>
      <c r="I141" s="71"/>
      <c r="J141" s="88"/>
      <c r="K141" s="14" t="s">
        <v>61</v>
      </c>
      <c r="L141" s="20">
        <f>'[3]6нед'!C207</f>
        <v>0</v>
      </c>
      <c r="M141" s="23">
        <f>'[3]6нед'!D207</f>
        <v>0</v>
      </c>
      <c r="N141" s="21">
        <f>'[3]6нед'!G207</f>
        <v>0</v>
      </c>
      <c r="O141" s="22" t="str">
        <f>'[3]6нед'!H207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62</v>
      </c>
      <c r="D142" s="20">
        <f>'[3]5нед'!C208</f>
        <v>0</v>
      </c>
      <c r="E142" s="23">
        <f>'[3]5нед'!D208</f>
        <v>0</v>
      </c>
      <c r="F142" s="21">
        <f>'[3]5нед'!G208</f>
        <v>0</v>
      </c>
      <c r="G142" s="22" t="str">
        <f>'[3]5нед'!H208</f>
        <v/>
      </c>
      <c r="H142" s="57" t="str">
        <f>HYPERLINK(VLOOKUP(E142,$R$12:$S$180,2,FALSE))</f>
        <v/>
      </c>
      <c r="I142" s="71"/>
      <c r="J142" s="88"/>
      <c r="K142" s="14" t="s">
        <v>62</v>
      </c>
      <c r="L142" s="20">
        <f>'[3]6нед'!C208</f>
        <v>0</v>
      </c>
      <c r="M142" s="23">
        <f>'[3]6нед'!D208</f>
        <v>0</v>
      </c>
      <c r="N142" s="21">
        <f>'[3]6нед'!G208</f>
        <v>0</v>
      </c>
      <c r="O142" s="22" t="str">
        <f>'[3]6нед'!H208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'[3]5нед'!C209</f>
        <v>0</v>
      </c>
      <c r="E143" s="23">
        <f>'[3]5нед'!D209</f>
        <v>0</v>
      </c>
      <c r="F143" s="21">
        <f>'[3]5нед'!G209</f>
        <v>0</v>
      </c>
      <c r="G143" s="22" t="str">
        <f>'[3]5нед'!H209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'[3]6нед'!C209</f>
        <v>0</v>
      </c>
      <c r="M143" s="23">
        <f>'[3]6нед'!D209</f>
        <v>0</v>
      </c>
      <c r="N143" s="21">
        <f>'[3]6нед'!G209</f>
        <v>0</v>
      </c>
      <c r="O143" s="22" t="str">
        <f>'[3]6нед'!H209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'[3]5нед'!C210</f>
        <v>0</v>
      </c>
      <c r="E144" s="23">
        <f>'[3]5нед'!D210</f>
        <v>0</v>
      </c>
      <c r="F144" s="21">
        <f>'[3]5нед'!G210</f>
        <v>0</v>
      </c>
      <c r="G144" s="22" t="str">
        <f>'[3]5нед'!H210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'[3]6нед'!C210</f>
        <v>0</v>
      </c>
      <c r="M144" s="23">
        <f>'[3]6нед'!D210</f>
        <v>0</v>
      </c>
      <c r="N144" s="21">
        <f>'[3]6нед'!G210</f>
        <v>0</v>
      </c>
      <c r="O144" s="22" t="str">
        <f>'[3]6нед'!H210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'[3]5нед'!C211</f>
        <v>пр</v>
      </c>
      <c r="E145" s="23" t="str">
        <f>'[3]5нед'!D211</f>
        <v xml:space="preserve"> Математический анализ</v>
      </c>
      <c r="F145" s="21" t="str">
        <f>'[3]5нед'!G211</f>
        <v>Якимова В.В.</v>
      </c>
      <c r="G145" s="22" t="str">
        <f>'[3]5нед'!H211</f>
        <v>ст. преподаватель</v>
      </c>
      <c r="H145" s="57" t="str">
        <f>HYPERLINK(VLOOKUP(E145,$R$12:$S$180,2,FALSE))</f>
        <v>https://max.ru/join/8alUL1AavbikkBK8Wox0H5Gqk0GpaAW3WoZ_oaAjx88</v>
      </c>
      <c r="I145" s="71"/>
      <c r="J145" s="88"/>
      <c r="K145" s="14" t="s">
        <v>23</v>
      </c>
      <c r="L145" s="20">
        <f>'[3]6нед'!C211</f>
        <v>0</v>
      </c>
      <c r="M145" s="23">
        <f>'[3]6нед'!D211</f>
        <v>0</v>
      </c>
      <c r="N145" s="21">
        <f>'[3]6нед'!G211</f>
        <v>0</v>
      </c>
      <c r="O145" s="22" t="str">
        <f>'[3]6нед'!H211</f>
        <v/>
      </c>
      <c r="P145" s="57" t="str">
        <f>HYPERLINK(VLOOKUP(M145,$R$12:$S$180,2,FALSE))</f>
        <v/>
      </c>
    </row>
    <row r="146" spans="1:16" ht="38.25" thickBot="1" x14ac:dyDescent="0.25">
      <c r="A146" s="82"/>
      <c r="B146" s="85"/>
      <c r="C146" s="14" t="s">
        <v>24</v>
      </c>
      <c r="D146" s="20">
        <f>'[3]5нед'!C212</f>
        <v>0</v>
      </c>
      <c r="E146" s="23">
        <f>'[3]5нед'!D212</f>
        <v>0</v>
      </c>
      <c r="F146" s="21">
        <f>'[3]5нед'!G212</f>
        <v>0</v>
      </c>
      <c r="G146" s="22" t="str">
        <f>'[3]5нед'!H212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 t="str">
        <f>'[3]6нед'!C212</f>
        <v>л</v>
      </c>
      <c r="M146" s="23" t="str">
        <f>'[3]6нед'!D212</f>
        <v>Математический анализ</v>
      </c>
      <c r="N146" s="21" t="str">
        <f>'[3]6нед'!G212</f>
        <v>Линник Е.П.</v>
      </c>
      <c r="O146" s="22" t="str">
        <f>'[3]6нед'!H212</f>
        <v>доцент, канд. наук</v>
      </c>
      <c r="P146" s="57" t="str">
        <f>HYPERLINK(VLOOKUP(M146,$R$12:$S$180,2,FALSE))</f>
        <v>https://max.ru/join/8alUL1AavbikkBK8Wox0H5Gqk0GpaAW3WoZ_oaAjx88</v>
      </c>
    </row>
    <row r="147" spans="1:16" ht="18.399999999999999" hidden="1" customHeight="1" thickBot="1" x14ac:dyDescent="0.25">
      <c r="A147" s="83"/>
      <c r="B147" s="86"/>
      <c r="C147" s="15"/>
      <c r="D147" s="24">
        <f>'[3]5нед'!C213</f>
        <v>0</v>
      </c>
      <c r="E147" s="25">
        <f>'[3]5нед'!D213</f>
        <v>0</v>
      </c>
      <c r="F147" s="26">
        <f>'[3]5нед'!G213</f>
        <v>0</v>
      </c>
      <c r="G147" s="27" t="str">
        <f>'[3]5нед'!H213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'[3]6нед'!C213</f>
        <v>0</v>
      </c>
      <c r="M147" s="25">
        <f>'[3]6нед'!D213</f>
        <v>0</v>
      </c>
      <c r="N147" s="26">
        <f>'[3]6нед'!G213</f>
        <v>0</v>
      </c>
      <c r="O147" s="27" t="str">
        <f>'[3]6нед'!H213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'[3]5нед'!C214</f>
        <v>0</v>
      </c>
      <c r="E148" s="19">
        <f>'[3]5нед'!D214</f>
        <v>0</v>
      </c>
      <c r="F148" s="17">
        <f>'[3]5нед'!G214</f>
        <v>0</v>
      </c>
      <c r="G148" s="18" t="str">
        <f>'[3]5нед'!H214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'[3]6нед'!C214</f>
        <v>0</v>
      </c>
      <c r="M148" s="19">
        <f>'[3]6нед'!D214</f>
        <v>0</v>
      </c>
      <c r="N148" s="17">
        <f>'[3]6нед'!G214</f>
        <v>0</v>
      </c>
      <c r="O148" s="18" t="str">
        <f>'[3]6нед'!H214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61</v>
      </c>
      <c r="D149" s="20">
        <f>'[3]5нед'!C215</f>
        <v>0</v>
      </c>
      <c r="E149" s="23">
        <f>'[3]5нед'!D215</f>
        <v>0</v>
      </c>
      <c r="F149" s="21">
        <f>'[3]5нед'!G215</f>
        <v>0</v>
      </c>
      <c r="G149" s="22" t="str">
        <f>'[3]5нед'!H215</f>
        <v/>
      </c>
      <c r="H149" s="57" t="str">
        <f>HYPERLINK(VLOOKUP(E149,$R$12:$S$180,2,FALSE))</f>
        <v/>
      </c>
      <c r="I149" s="71"/>
      <c r="J149" s="74"/>
      <c r="K149" s="14" t="s">
        <v>61</v>
      </c>
      <c r="L149" s="20">
        <f>'[3]6нед'!C215</f>
        <v>0</v>
      </c>
      <c r="M149" s="23">
        <f>'[3]6нед'!D215</f>
        <v>0</v>
      </c>
      <c r="N149" s="21">
        <f>'[3]6нед'!G215</f>
        <v>0</v>
      </c>
      <c r="O149" s="22" t="str">
        <f>'[3]6нед'!H215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62</v>
      </c>
      <c r="D150" s="20">
        <f>'[3]5нед'!C216</f>
        <v>0</v>
      </c>
      <c r="E150" s="23">
        <f>'[3]5нед'!D216</f>
        <v>0</v>
      </c>
      <c r="F150" s="21">
        <f>'[3]5нед'!G216</f>
        <v>0</v>
      </c>
      <c r="G150" s="22" t="str">
        <f>'[3]5нед'!H216</f>
        <v/>
      </c>
      <c r="H150" s="57" t="str">
        <f>HYPERLINK(VLOOKUP(E150,$R$12:$S$180,2,FALSE))</f>
        <v/>
      </c>
      <c r="I150" s="71"/>
      <c r="J150" s="74"/>
      <c r="K150" s="14" t="s">
        <v>62</v>
      </c>
      <c r="L150" s="20">
        <f>'[3]6нед'!C216</f>
        <v>0</v>
      </c>
      <c r="M150" s="23">
        <f>'[3]6нед'!D216</f>
        <v>0</v>
      </c>
      <c r="N150" s="21">
        <f>'[3]6нед'!G216</f>
        <v>0</v>
      </c>
      <c r="O150" s="22" t="str">
        <f>'[3]6нед'!H216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'[3]5нед'!C217</f>
        <v>0</v>
      </c>
      <c r="E151" s="23">
        <f>'[3]5нед'!D217</f>
        <v>0</v>
      </c>
      <c r="F151" s="21">
        <f>'[3]5нед'!G217</f>
        <v>0</v>
      </c>
      <c r="G151" s="22" t="str">
        <f>'[3]5нед'!H217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'[3]6нед'!C217</f>
        <v>0</v>
      </c>
      <c r="M151" s="23">
        <f>'[3]6нед'!D217</f>
        <v>0</v>
      </c>
      <c r="N151" s="21">
        <f>'[3]6нед'!G217</f>
        <v>0</v>
      </c>
      <c r="O151" s="22" t="str">
        <f>'[3]6нед'!H217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'[3]5нед'!C218</f>
        <v>0</v>
      </c>
      <c r="E152" s="23">
        <f>'[3]5нед'!D218</f>
        <v>0</v>
      </c>
      <c r="F152" s="21">
        <f>'[3]5нед'!G218</f>
        <v>0</v>
      </c>
      <c r="G152" s="22" t="str">
        <f>'[3]5нед'!H218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'[3]6нед'!C218</f>
        <v>0</v>
      </c>
      <c r="M152" s="23">
        <f>'[3]6нед'!D218</f>
        <v>0</v>
      </c>
      <c r="N152" s="21">
        <f>'[3]6нед'!G218</f>
        <v>0</v>
      </c>
      <c r="O152" s="22" t="str">
        <f>'[3]6нед'!H218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'[3]5нед'!C219</f>
        <v>0</v>
      </c>
      <c r="E153" s="23">
        <f>'[3]5нед'!D219</f>
        <v>0</v>
      </c>
      <c r="F153" s="21">
        <f>'[3]5нед'!G219</f>
        <v>0</v>
      </c>
      <c r="G153" s="22" t="str">
        <f>'[3]5нед'!H219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 t="str">
        <f>'[3]6нед'!C219</f>
        <v>л</v>
      </c>
      <c r="M153" s="23" t="str">
        <f>'[3]6нед'!D219</f>
        <v>Геометрия</v>
      </c>
      <c r="N153" s="21" t="str">
        <f>'[3]6нед'!G219</f>
        <v>Казанцев Ю.А.</v>
      </c>
      <c r="O153" s="22" t="str">
        <f>'[3]6нед'!H219</f>
        <v>ст. преподаватель</v>
      </c>
      <c r="P153" s="55" t="str">
        <f>HYPERLINK(VLOOKUP(M153,$R$12:$S$180,2,FALSE))</f>
        <v>https://max.ru/join/8alUL1AavbikkBK8Wox0H5Gqk0GpaAW3WoZ_oaAjx88</v>
      </c>
    </row>
    <row r="154" spans="1:16" ht="32.25" thickBot="1" x14ac:dyDescent="0.25">
      <c r="A154" s="82"/>
      <c r="B154" s="68"/>
      <c r="C154" s="14" t="s">
        <v>24</v>
      </c>
      <c r="D154" s="20">
        <f>'[3]5нед'!C220</f>
        <v>0</v>
      </c>
      <c r="E154" s="23">
        <f>'[3]5нед'!D220</f>
        <v>0</v>
      </c>
      <c r="F154" s="21">
        <f>'[3]5нед'!G220</f>
        <v>0</v>
      </c>
      <c r="G154" s="22" t="str">
        <f>'[3]5нед'!H220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'[3]6нед'!C220</f>
        <v>л</v>
      </c>
      <c r="M154" s="23" t="str">
        <f>'[3]6нед'!D220</f>
        <v>Алгебра</v>
      </c>
      <c r="N154" s="21" t="str">
        <f>'[3]6нед'!G220</f>
        <v>Овчинникова М.В.</v>
      </c>
      <c r="O154" s="22" t="str">
        <f>'[3]6нед'!H220</f>
        <v>доцент, канд. наук</v>
      </c>
      <c r="P154" s="55" t="str">
        <f>HYPERLINK(VLOOKUP(M154,$R$12:$S$180,2,FALSE))</f>
        <v>https://max.ru/join/8alUL1AavbikkBK8Wox0H5Gqk0GpaAW3WoZ_oaAjx88</v>
      </c>
    </row>
    <row r="155" spans="1:16" ht="18.399999999999999" hidden="1" customHeight="1" thickBot="1" x14ac:dyDescent="0.25">
      <c r="A155" s="83"/>
      <c r="B155" s="69"/>
      <c r="C155" s="15"/>
      <c r="D155" s="24">
        <f>'[3]5нед'!C221</f>
        <v>0</v>
      </c>
      <c r="E155" s="25">
        <f>'[3]5нед'!D221</f>
        <v>0</v>
      </c>
      <c r="F155" s="26">
        <f>'[3]5нед'!G221</f>
        <v>0</v>
      </c>
      <c r="G155" s="27" t="str">
        <f>'[3]5нед'!H221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'[3]6нед'!C221</f>
        <v>0</v>
      </c>
      <c r="M155" s="25">
        <f>'[3]6нед'!D221</f>
        <v>0</v>
      </c>
      <c r="N155" s="26">
        <f>'[3]6нед'!G221</f>
        <v>0</v>
      </c>
      <c r="O155" s="27" t="str">
        <f>'[3]6нед'!H221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'[3]5нед'!C222</f>
        <v>0</v>
      </c>
      <c r="E156" s="19">
        <f>'[3]5нед'!D222</f>
        <v>0</v>
      </c>
      <c r="F156" s="17">
        <f>'[3]5нед'!G222</f>
        <v>0</v>
      </c>
      <c r="G156" s="18" t="str">
        <f>'[3]5нед'!H222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'[3]6нед'!C222</f>
        <v>0</v>
      </c>
      <c r="M156" s="19">
        <f>'[3]6нед'!D222</f>
        <v>0</v>
      </c>
      <c r="N156" s="17">
        <f>'[3]6нед'!G222</f>
        <v>0</v>
      </c>
      <c r="O156" s="18" t="str">
        <f>'[3]6нед'!H222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61</v>
      </c>
      <c r="D157" s="20">
        <f>'[3]5нед'!C223</f>
        <v>0</v>
      </c>
      <c r="E157" s="23">
        <f>'[3]5нед'!D223</f>
        <v>0</v>
      </c>
      <c r="F157" s="21">
        <f>'[3]5нед'!G223</f>
        <v>0</v>
      </c>
      <c r="G157" s="22" t="str">
        <f>'[3]5нед'!H223</f>
        <v/>
      </c>
      <c r="H157" s="57" t="str">
        <f>HYPERLINK(VLOOKUP(E157,$R$12:$S$180,2,FALSE))</f>
        <v/>
      </c>
      <c r="I157" s="71"/>
      <c r="J157" s="88"/>
      <c r="K157" s="14" t="s">
        <v>61</v>
      </c>
      <c r="L157" s="20">
        <f>'[3]6нед'!C223</f>
        <v>0</v>
      </c>
      <c r="M157" s="23">
        <f>'[3]6нед'!D223</f>
        <v>0</v>
      </c>
      <c r="N157" s="21">
        <f>'[3]6нед'!G223</f>
        <v>0</v>
      </c>
      <c r="O157" s="22" t="str">
        <f>'[3]6нед'!H223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62</v>
      </c>
      <c r="D158" s="20">
        <f>'[3]5нед'!C224</f>
        <v>0</v>
      </c>
      <c r="E158" s="23">
        <f>'[3]5нед'!D224</f>
        <v>0</v>
      </c>
      <c r="F158" s="21">
        <f>'[3]5нед'!G224</f>
        <v>0</v>
      </c>
      <c r="G158" s="22" t="str">
        <f>'[3]5нед'!H224</f>
        <v/>
      </c>
      <c r="H158" s="57" t="str">
        <f>HYPERLINK(VLOOKUP(E158,$R$12:$S$180,2,FALSE))</f>
        <v/>
      </c>
      <c r="I158" s="71"/>
      <c r="J158" s="88"/>
      <c r="K158" s="14" t="s">
        <v>62</v>
      </c>
      <c r="L158" s="20">
        <f>'[3]6нед'!C224</f>
        <v>0</v>
      </c>
      <c r="M158" s="23">
        <f>'[3]6нед'!D224</f>
        <v>0</v>
      </c>
      <c r="N158" s="21">
        <f>'[3]6нед'!G224</f>
        <v>0</v>
      </c>
      <c r="O158" s="22" t="str">
        <f>'[3]6нед'!H224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'[3]5нед'!C225</f>
        <v>0</v>
      </c>
      <c r="E159" s="23">
        <f>'[3]5нед'!D225</f>
        <v>0</v>
      </c>
      <c r="F159" s="21">
        <f>'[3]5нед'!G225</f>
        <v>0</v>
      </c>
      <c r="G159" s="22" t="str">
        <f>'[3]5нед'!H225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'[3]6нед'!C225</f>
        <v>0</v>
      </c>
      <c r="M159" s="23">
        <f>'[3]6нед'!D225</f>
        <v>0</v>
      </c>
      <c r="N159" s="21">
        <f>'[3]6нед'!G225</f>
        <v>0</v>
      </c>
      <c r="O159" s="22" t="str">
        <f>'[3]6нед'!H225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'[3]5нед'!C226</f>
        <v>0</v>
      </c>
      <c r="E160" s="23">
        <f>'[3]5нед'!D226</f>
        <v>0</v>
      </c>
      <c r="F160" s="21">
        <f>'[3]5нед'!G226</f>
        <v>0</v>
      </c>
      <c r="G160" s="22" t="str">
        <f>'[3]5нед'!H226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'[3]6нед'!C226</f>
        <v>0</v>
      </c>
      <c r="M160" s="23">
        <f>'[3]6нед'!D226</f>
        <v>0</v>
      </c>
      <c r="N160" s="21">
        <f>'[3]6нед'!G226</f>
        <v>0</v>
      </c>
      <c r="O160" s="22" t="str">
        <f>'[3]6нед'!H226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'[3]5нед'!C227</f>
        <v>0</v>
      </c>
      <c r="E161" s="23">
        <f>'[3]5нед'!D227</f>
        <v>0</v>
      </c>
      <c r="F161" s="21">
        <f>'[3]5нед'!G227</f>
        <v>0</v>
      </c>
      <c r="G161" s="22" t="str">
        <f>'[3]5нед'!H227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>
        <f>'[3]6нед'!C227</f>
        <v>0</v>
      </c>
      <c r="M161" s="23">
        <f>'[3]6нед'!D227</f>
        <v>0</v>
      </c>
      <c r="N161" s="21">
        <f>'[3]6нед'!G227</f>
        <v>0</v>
      </c>
      <c r="O161" s="22" t="str">
        <f>'[3]6нед'!H227</f>
        <v/>
      </c>
      <c r="P161" s="55" t="str">
        <f>HYPERLINK(VLOOKUP(M161,$R$12:$S$180,2,FALSE))</f>
        <v/>
      </c>
    </row>
    <row r="162" spans="1:16" ht="32.25" thickBot="1" x14ac:dyDescent="0.25">
      <c r="A162" s="82"/>
      <c r="B162" s="85"/>
      <c r="C162" s="14" t="s">
        <v>24</v>
      </c>
      <c r="D162" s="20" t="str">
        <f>'[3]5нед'!C228</f>
        <v>л</v>
      </c>
      <c r="E162" s="23" t="str">
        <f>'[3]5нед'!D228</f>
        <v>Информационные системы</v>
      </c>
      <c r="F162" s="21" t="str">
        <f>'[3]5нед'!G228</f>
        <v>Казак А.Н.</v>
      </c>
      <c r="G162" s="22" t="str">
        <f>'[3]5нед'!H228</f>
        <v>доцент, канд. наук</v>
      </c>
      <c r="H162" s="55" t="str">
        <f>HYPERLINK(VLOOKUP(E162,$R$12:$S$180,2,FALSE))</f>
        <v>https://max.ru/join/8alUL1AavbikkBK8Wox0H5Gqk0GpaAW3WoZ_oaAjx88</v>
      </c>
      <c r="I162" s="71"/>
      <c r="J162" s="88"/>
      <c r="K162" s="14" t="s">
        <v>24</v>
      </c>
      <c r="L162" s="20" t="str">
        <f>'[3]6нед'!C228</f>
        <v>пр</v>
      </c>
      <c r="M162" s="23" t="str">
        <f>'[3]6нед'!D228</f>
        <v>Информационные системы</v>
      </c>
      <c r="N162" s="21" t="str">
        <f>'[3]6нед'!G228</f>
        <v>Казак А.Н.</v>
      </c>
      <c r="O162" s="22" t="str">
        <f>'[3]6нед'!H228</f>
        <v>доцент, канд. наук</v>
      </c>
      <c r="P162" s="55" t="str">
        <f>HYPERLINK(VLOOKUP(M162,$R$12:$S$180,2,FALSE))</f>
        <v>https://max.ru/join/8alUL1AavbikkBK8Wox0H5Gqk0GpaAW3WoZ_oaAjx88</v>
      </c>
    </row>
    <row r="163" spans="1:16" ht="18.399999999999999" hidden="1" customHeight="1" thickBot="1" x14ac:dyDescent="0.25">
      <c r="A163" s="83"/>
      <c r="B163" s="86"/>
      <c r="C163" s="15"/>
      <c r="D163" s="24">
        <f>'[3]5нед'!C229</f>
        <v>0</v>
      </c>
      <c r="E163" s="25">
        <f>'[3]5нед'!D229</f>
        <v>0</v>
      </c>
      <c r="F163" s="26">
        <f>'[3]5нед'!G229</f>
        <v>0</v>
      </c>
      <c r="G163" s="27" t="str">
        <f>'[3]5нед'!H229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'[3]6нед'!C229</f>
        <v>0</v>
      </c>
      <c r="M163" s="25">
        <f>'[3]6нед'!D229</f>
        <v>0</v>
      </c>
      <c r="N163" s="26">
        <f>'[3]6нед'!G229</f>
        <v>0</v>
      </c>
      <c r="O163" s="27" t="str">
        <f>'[3]6нед'!H229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'[3]5нед'!C230</f>
        <v>0</v>
      </c>
      <c r="E164" s="19">
        <f>'[3]5нед'!D230</f>
        <v>0</v>
      </c>
      <c r="F164" s="17">
        <f>'[3]5нед'!G230</f>
        <v>0</v>
      </c>
      <c r="G164" s="18" t="str">
        <f>'[3]5нед'!H230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'[3]6нед'!C230</f>
        <v>0</v>
      </c>
      <c r="M164" s="19">
        <f>'[3]6нед'!D230</f>
        <v>0</v>
      </c>
      <c r="N164" s="17">
        <f>'[3]6нед'!G230</f>
        <v>0</v>
      </c>
      <c r="O164" s="18" t="str">
        <f>'[3]6нед'!H230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61</v>
      </c>
      <c r="D165" s="20">
        <f>'[3]5нед'!C231</f>
        <v>0</v>
      </c>
      <c r="E165" s="23">
        <f>'[3]5нед'!D231</f>
        <v>0</v>
      </c>
      <c r="F165" s="21">
        <f>'[3]5нед'!G231</f>
        <v>0</v>
      </c>
      <c r="G165" s="22" t="str">
        <f>'[3]5нед'!H231</f>
        <v/>
      </c>
      <c r="H165" s="57" t="str">
        <f>HYPERLINK(VLOOKUP(E165,$R$12:$S$180,2,FALSE))</f>
        <v/>
      </c>
      <c r="I165" s="71"/>
      <c r="J165" s="88"/>
      <c r="K165" s="14" t="s">
        <v>61</v>
      </c>
      <c r="L165" s="20">
        <f>'[3]6нед'!C231</f>
        <v>0</v>
      </c>
      <c r="M165" s="23">
        <f>'[3]6нед'!D231</f>
        <v>0</v>
      </c>
      <c r="N165" s="21">
        <f>'[3]6нед'!G231</f>
        <v>0</v>
      </c>
      <c r="O165" s="22" t="str">
        <f>'[3]6нед'!H231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62</v>
      </c>
      <c r="D166" s="20">
        <f>'[3]5нед'!C232</f>
        <v>0</v>
      </c>
      <c r="E166" s="23">
        <f>'[3]5нед'!D232</f>
        <v>0</v>
      </c>
      <c r="F166" s="21">
        <f>'[3]5нед'!G232</f>
        <v>0</v>
      </c>
      <c r="G166" s="22" t="str">
        <f>'[3]5нед'!H232</f>
        <v/>
      </c>
      <c r="H166" s="57" t="str">
        <f>HYPERLINK(VLOOKUP(E166,$R$12:$S$180,2,FALSE))</f>
        <v/>
      </c>
      <c r="I166" s="71"/>
      <c r="J166" s="88"/>
      <c r="K166" s="14" t="s">
        <v>62</v>
      </c>
      <c r="L166" s="20">
        <f>'[3]6нед'!C232</f>
        <v>0</v>
      </c>
      <c r="M166" s="23">
        <f>'[3]6нед'!D232</f>
        <v>0</v>
      </c>
      <c r="N166" s="21">
        <f>'[3]6нед'!G232</f>
        <v>0</v>
      </c>
      <c r="O166" s="22" t="str">
        <f>'[3]6нед'!H232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'[3]5нед'!C233</f>
        <v>0</v>
      </c>
      <c r="E167" s="23">
        <f>'[3]5нед'!D233</f>
        <v>0</v>
      </c>
      <c r="F167" s="21">
        <f>'[3]5нед'!G233</f>
        <v>0</v>
      </c>
      <c r="G167" s="22" t="str">
        <f>'[3]5нед'!H233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'[3]6нед'!C233</f>
        <v>0</v>
      </c>
      <c r="M167" s="23">
        <f>'[3]6нед'!D233</f>
        <v>0</v>
      </c>
      <c r="N167" s="21">
        <f>'[3]6нед'!G233</f>
        <v>0</v>
      </c>
      <c r="O167" s="22" t="str">
        <f>'[3]6нед'!H233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'[3]5нед'!C234</f>
        <v>0</v>
      </c>
      <c r="E168" s="23">
        <f>'[3]5нед'!D234</f>
        <v>0</v>
      </c>
      <c r="F168" s="21">
        <f>'[3]5нед'!G234</f>
        <v>0</v>
      </c>
      <c r="G168" s="22" t="str">
        <f>'[3]5нед'!H234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'[3]6нед'!C234</f>
        <v>0</v>
      </c>
      <c r="M168" s="23">
        <f>'[3]6нед'!D234</f>
        <v>0</v>
      </c>
      <c r="N168" s="21">
        <f>'[3]6нед'!G234</f>
        <v>0</v>
      </c>
      <c r="O168" s="22" t="str">
        <f>'[3]6нед'!H234</f>
        <v/>
      </c>
      <c r="P168" s="57" t="str">
        <f>HYPERLINK(VLOOKUP(M168,$R$12:$S$180,2,FALSE))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'[3]5нед'!C235</f>
        <v>пр</v>
      </c>
      <c r="E169" s="23" t="str">
        <f>'[3]5нед'!D235</f>
        <v xml:space="preserve"> Педагогика</v>
      </c>
      <c r="F169" s="21" t="str">
        <f>'[3]5нед'!G235</f>
        <v>Кобзева Е.В.</v>
      </c>
      <c r="G169" s="22" t="str">
        <f>'[3]5нед'!H235</f>
        <v>преподаватель</v>
      </c>
      <c r="H169" s="57" t="str">
        <f>HYPERLINK(VLOOKUP(E169,$R$12:$S$180,2,FALSE))</f>
        <v>https://max.ru/join/83qviP_NZQNUREKHhLZDjtaG-cPRrU7VmIRLd2eydTs</v>
      </c>
      <c r="I169" s="71"/>
      <c r="J169" s="88"/>
      <c r="K169" s="14" t="s">
        <v>23</v>
      </c>
      <c r="L169" s="20">
        <f>'[3]6нед'!C235</f>
        <v>0</v>
      </c>
      <c r="M169" s="23">
        <f>'[3]6нед'!D235</f>
        <v>0</v>
      </c>
      <c r="N169" s="21">
        <f>'[3]6нед'!G235</f>
        <v>0</v>
      </c>
      <c r="O169" s="22" t="str">
        <f>'[3]6нед'!H235</f>
        <v/>
      </c>
      <c r="P169" s="57" t="str">
        <f>HYPERLINK(VLOOKUP(M169,$R$12:$S$180,2,FALSE))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'[3]5нед'!C236</f>
        <v>пр</v>
      </c>
      <c r="E170" s="23" t="str">
        <f>'[3]5нед'!D236</f>
        <v xml:space="preserve"> Психология</v>
      </c>
      <c r="F170" s="21" t="str">
        <f>'[3]5нед'!G236</f>
        <v>Кирилюк Л.Л.</v>
      </c>
      <c r="G170" s="22" t="str">
        <f>'[3]5нед'!H236</f>
        <v>преподаватель</v>
      </c>
      <c r="H170" s="57" t="str">
        <f>HYPERLINK(VLOOKUP(E170,$R$12:$S$180,2,FALSE))</f>
        <v>https://max.ru/join/83qviP_NZQNUREKHhLZDjtaG-cPRrU7VmIRLd2eydTs</v>
      </c>
      <c r="I170" s="71"/>
      <c r="J170" s="88"/>
      <c r="K170" s="14" t="s">
        <v>24</v>
      </c>
      <c r="L170" s="20">
        <f>'[3]6нед'!C236</f>
        <v>0</v>
      </c>
      <c r="M170" s="23">
        <f>'[3]6нед'!D236</f>
        <v>0</v>
      </c>
      <c r="N170" s="21">
        <f>'[3]6нед'!G236</f>
        <v>0</v>
      </c>
      <c r="O170" s="22" t="str">
        <f>'[3]6нед'!H236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'[3]5нед'!C237</f>
        <v>0</v>
      </c>
      <c r="E171" s="25">
        <f>'[3]5нед'!D237</f>
        <v>0</v>
      </c>
      <c r="F171" s="26">
        <f>'[3]5нед'!G237</f>
        <v>0</v>
      </c>
      <c r="G171" s="27" t="str">
        <f>'[3]5нед'!H237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'[3]6нед'!C237</f>
        <v>0</v>
      </c>
      <c r="M171" s="25">
        <f>'[3]6нед'!D237</f>
        <v>0</v>
      </c>
      <c r="N171" s="26">
        <f>'[3]6нед'!G237</f>
        <v>0</v>
      </c>
      <c r="O171" s="27" t="str">
        <f>'[3]6нед'!H237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'[3]5нед'!C238</f>
        <v>0</v>
      </c>
      <c r="E172" s="19">
        <f>'[3]5нед'!D238</f>
        <v>0</v>
      </c>
      <c r="F172" s="17">
        <f>'[3]5нед'!G238</f>
        <v>0</v>
      </c>
      <c r="G172" s="18" t="str">
        <f>'[3]5нед'!H238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'[3]6нед'!C238</f>
        <v>0</v>
      </c>
      <c r="M172" s="19">
        <f>'[3]6нед'!D238</f>
        <v>0</v>
      </c>
      <c r="N172" s="17">
        <f>'[3]6нед'!G238</f>
        <v>0</v>
      </c>
      <c r="O172" s="18" t="str">
        <f>'[3]6нед'!H238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61</v>
      </c>
      <c r="D173" s="20">
        <f>'[3]5нед'!C239</f>
        <v>0</v>
      </c>
      <c r="E173" s="23">
        <f>'[3]5нед'!D239</f>
        <v>0</v>
      </c>
      <c r="F173" s="21">
        <f>'[3]5нед'!G239</f>
        <v>0</v>
      </c>
      <c r="G173" s="22" t="str">
        <f>'[3]5нед'!H239</f>
        <v/>
      </c>
      <c r="H173" s="57" t="str">
        <f>HYPERLINK(VLOOKUP(E173,$R$12:$S$180,2,FALSE))</f>
        <v/>
      </c>
      <c r="I173" s="71"/>
      <c r="J173" s="88"/>
      <c r="K173" s="14" t="s">
        <v>61</v>
      </c>
      <c r="L173" s="20">
        <f>'[3]6нед'!C239</f>
        <v>0</v>
      </c>
      <c r="M173" s="23">
        <f>'[3]6нед'!D239</f>
        <v>0</v>
      </c>
      <c r="N173" s="21">
        <f>'[3]6нед'!G239</f>
        <v>0</v>
      </c>
      <c r="O173" s="22" t="str">
        <f>'[3]6нед'!H239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62</v>
      </c>
      <c r="D174" s="20">
        <f>'[3]5нед'!C240</f>
        <v>0</v>
      </c>
      <c r="E174" s="23">
        <f>'[3]5нед'!D240</f>
        <v>0</v>
      </c>
      <c r="F174" s="21">
        <f>'[3]5нед'!G240</f>
        <v>0</v>
      </c>
      <c r="G174" s="22" t="str">
        <f>'[3]5нед'!H240</f>
        <v/>
      </c>
      <c r="H174" s="57" t="str">
        <f>HYPERLINK(VLOOKUP(E174,$R$12:$S$180,2,FALSE))</f>
        <v/>
      </c>
      <c r="I174" s="71"/>
      <c r="J174" s="88"/>
      <c r="K174" s="14" t="s">
        <v>62</v>
      </c>
      <c r="L174" s="20">
        <f>'[3]6нед'!C240</f>
        <v>0</v>
      </c>
      <c r="M174" s="23">
        <f>'[3]6нед'!D240</f>
        <v>0</v>
      </c>
      <c r="N174" s="21">
        <f>'[3]6нед'!G240</f>
        <v>0</v>
      </c>
      <c r="O174" s="22" t="str">
        <f>'[3]6нед'!H240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'[3]5нед'!C241</f>
        <v>0</v>
      </c>
      <c r="E175" s="23">
        <f>'[3]5нед'!D241</f>
        <v>0</v>
      </c>
      <c r="F175" s="21">
        <f>'[3]5нед'!G241</f>
        <v>0</v>
      </c>
      <c r="G175" s="22" t="str">
        <f>'[3]5нед'!H241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'[3]6нед'!C241</f>
        <v>0</v>
      </c>
      <c r="M175" s="23">
        <f>'[3]6нед'!D241</f>
        <v>0</v>
      </c>
      <c r="N175" s="21">
        <f>'[3]6нед'!G241</f>
        <v>0</v>
      </c>
      <c r="O175" s="22" t="str">
        <f>'[3]6нед'!H241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'[3]5нед'!C242</f>
        <v>0</v>
      </c>
      <c r="E176" s="23">
        <f>'[3]5нед'!D242</f>
        <v>0</v>
      </c>
      <c r="F176" s="21">
        <f>'[3]5нед'!G242</f>
        <v>0</v>
      </c>
      <c r="G176" s="22" t="str">
        <f>'[3]5нед'!H242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'[3]6нед'!C242</f>
        <v>0</v>
      </c>
      <c r="M176" s="23">
        <f>'[3]6нед'!D242</f>
        <v>0</v>
      </c>
      <c r="N176" s="21">
        <f>'[3]6нед'!G242</f>
        <v>0</v>
      </c>
      <c r="O176" s="22" t="str">
        <f>'[3]6нед'!H242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'[3]5нед'!C243</f>
        <v>0</v>
      </c>
      <c r="E177" s="23">
        <f>'[3]5нед'!D243</f>
        <v>0</v>
      </c>
      <c r="F177" s="21">
        <f>'[3]5нед'!G243</f>
        <v>0</v>
      </c>
      <c r="G177" s="22" t="str">
        <f>'[3]5нед'!H243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'[3]6нед'!C243</f>
        <v>0</v>
      </c>
      <c r="M177" s="23">
        <f>'[3]6нед'!D243</f>
        <v>0</v>
      </c>
      <c r="N177" s="21">
        <f>'[3]6нед'!G243</f>
        <v>0</v>
      </c>
      <c r="O177" s="22" t="str">
        <f>'[3]6нед'!H243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'[3]5нед'!C244</f>
        <v>0</v>
      </c>
      <c r="E178" s="23">
        <f>'[3]5нед'!D244</f>
        <v>0</v>
      </c>
      <c r="F178" s="21">
        <f>'[3]5нед'!G244</f>
        <v>0</v>
      </c>
      <c r="G178" s="22" t="str">
        <f>'[3]5нед'!H244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'[3]6нед'!C244</f>
        <v>0</v>
      </c>
      <c r="M178" s="23">
        <f>'[3]6нед'!D244</f>
        <v>0</v>
      </c>
      <c r="N178" s="21">
        <f>'[3]6нед'!G244</f>
        <v>0</v>
      </c>
      <c r="O178" s="22" t="str">
        <f>'[3]6нед'!H244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</mergeCells>
  <conditionalFormatting sqref="G59">
    <cfRule type="cellIs" dxfId="109" priority="220" operator="equal">
      <formula>"0. ,0, "</formula>
    </cfRule>
  </conditionalFormatting>
  <conditionalFormatting sqref="G59">
    <cfRule type="cellIs" dxfId="108" priority="219" operator="equal">
      <formula>"0. 0,0, ауд. 0, 0"</formula>
    </cfRule>
  </conditionalFormatting>
  <conditionalFormatting sqref="G59">
    <cfRule type="cellIs" dxfId="107" priority="218" operator="equal">
      <formula>"0. 0 0, ауд. 0, 0"</formula>
    </cfRule>
  </conditionalFormatting>
  <conditionalFormatting sqref="G59">
    <cfRule type="cellIs" dxfId="106" priority="217" operator="equal">
      <formula>"0. ,0, "</formula>
    </cfRule>
  </conditionalFormatting>
  <conditionalFormatting sqref="G59">
    <cfRule type="cellIs" dxfId="105" priority="216" operator="equal">
      <formula>"0. 0,0, ауд. 0, 0"</formula>
    </cfRule>
  </conditionalFormatting>
  <conditionalFormatting sqref="G59">
    <cfRule type="cellIs" dxfId="104" priority="215" operator="equal">
      <formula>"0. 0 0, ауд. 0, 0"</formula>
    </cfRule>
  </conditionalFormatting>
  <conditionalFormatting sqref="G59">
    <cfRule type="cellIs" dxfId="103" priority="214" operator="equal">
      <formula>"0. ,0, "</formula>
    </cfRule>
  </conditionalFormatting>
  <conditionalFormatting sqref="G59">
    <cfRule type="cellIs" dxfId="102" priority="213" operator="equal">
      <formula>"0. 0,0, ауд. 0, 0"</formula>
    </cfRule>
  </conditionalFormatting>
  <conditionalFormatting sqref="G59">
    <cfRule type="cellIs" dxfId="101" priority="212" operator="equal">
      <formula>"0. 0 0, ауд. 0, 0"</formula>
    </cfRule>
  </conditionalFormatting>
  <conditionalFormatting sqref="G59">
    <cfRule type="cellIs" dxfId="100" priority="210" operator="equal">
      <formula>"0. 0 0, ауд. 0,"</formula>
    </cfRule>
    <cfRule type="colorScale" priority="211">
      <colorScale>
        <cfvo type="min"/>
        <cfvo type="max"/>
        <color rgb="FFFF7128"/>
        <color rgb="FFFFEF9C"/>
      </colorScale>
    </cfRule>
  </conditionalFormatting>
  <conditionalFormatting sqref="G119">
    <cfRule type="cellIs" dxfId="99" priority="121" operator="equal">
      <formula>"0. ,0, "</formula>
    </cfRule>
  </conditionalFormatting>
  <conditionalFormatting sqref="G119">
    <cfRule type="cellIs" dxfId="98" priority="120" operator="equal">
      <formula>"0. 0,0, ауд. 0, 0"</formula>
    </cfRule>
  </conditionalFormatting>
  <conditionalFormatting sqref="G119">
    <cfRule type="cellIs" dxfId="97" priority="119" operator="equal">
      <formula>"0. 0 0, ауд. 0, 0"</formula>
    </cfRule>
  </conditionalFormatting>
  <conditionalFormatting sqref="G119">
    <cfRule type="cellIs" dxfId="96" priority="118" operator="equal">
      <formula>"0. ,0, "</formula>
    </cfRule>
  </conditionalFormatting>
  <conditionalFormatting sqref="G119">
    <cfRule type="cellIs" dxfId="95" priority="117" operator="equal">
      <formula>"0. 0,0, ауд. 0, 0"</formula>
    </cfRule>
  </conditionalFormatting>
  <conditionalFormatting sqref="G119">
    <cfRule type="cellIs" dxfId="94" priority="116" operator="equal">
      <formula>"0. 0 0, ауд. 0, 0"</formula>
    </cfRule>
  </conditionalFormatting>
  <conditionalFormatting sqref="G119">
    <cfRule type="cellIs" dxfId="93" priority="115" operator="equal">
      <formula>"0. ,0, "</formula>
    </cfRule>
  </conditionalFormatting>
  <conditionalFormatting sqref="G119">
    <cfRule type="cellIs" dxfId="92" priority="114" operator="equal">
      <formula>"0. 0,0, ауд. 0, 0"</formula>
    </cfRule>
  </conditionalFormatting>
  <conditionalFormatting sqref="G119">
    <cfRule type="cellIs" dxfId="91" priority="113" operator="equal">
      <formula>"0. 0 0, ауд. 0, 0"</formula>
    </cfRule>
  </conditionalFormatting>
  <conditionalFormatting sqref="G119">
    <cfRule type="cellIs" dxfId="9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89" priority="110" operator="equal">
      <formula>"0. ,0, "</formula>
    </cfRule>
  </conditionalFormatting>
  <conditionalFormatting sqref="G179">
    <cfRule type="cellIs" dxfId="88" priority="109" operator="equal">
      <formula>"0. 0,0, ауд. 0, 0"</formula>
    </cfRule>
  </conditionalFormatting>
  <conditionalFormatting sqref="G179">
    <cfRule type="cellIs" dxfId="87" priority="108" operator="equal">
      <formula>"0. 0 0, ауд. 0, 0"</formula>
    </cfRule>
  </conditionalFormatting>
  <conditionalFormatting sqref="G179">
    <cfRule type="cellIs" dxfId="86" priority="107" operator="equal">
      <formula>"0. ,0, "</formula>
    </cfRule>
  </conditionalFormatting>
  <conditionalFormatting sqref="G179">
    <cfRule type="cellIs" dxfId="85" priority="106" operator="equal">
      <formula>"0. 0,0, ауд. 0, 0"</formula>
    </cfRule>
  </conditionalFormatting>
  <conditionalFormatting sqref="G179">
    <cfRule type="cellIs" dxfId="84" priority="105" operator="equal">
      <formula>"0. 0 0, ауд. 0, 0"</formula>
    </cfRule>
  </conditionalFormatting>
  <conditionalFormatting sqref="G179">
    <cfRule type="cellIs" dxfId="83" priority="104" operator="equal">
      <formula>"0. ,0, "</formula>
    </cfRule>
  </conditionalFormatting>
  <conditionalFormatting sqref="G179">
    <cfRule type="cellIs" dxfId="82" priority="103" operator="equal">
      <formula>"0. 0,0, ауд. 0, 0"</formula>
    </cfRule>
  </conditionalFormatting>
  <conditionalFormatting sqref="G179">
    <cfRule type="cellIs" dxfId="81" priority="102" operator="equal">
      <formula>"0. 0 0, ауд. 0, 0"</formula>
    </cfRule>
  </conditionalFormatting>
  <conditionalFormatting sqref="G179">
    <cfRule type="cellIs" dxfId="8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12" r:id="rId1" xr:uid="{F7A7682B-5213-4BD8-A9A9-F7200D5BCEC1}"/>
    <hyperlink ref="S13" r:id="rId2" xr:uid="{DE01C0BC-0F53-49A6-92F0-6AD297F2EC1A}"/>
    <hyperlink ref="S24:S25" r:id="rId3" display="https://max.ru/join/F2rHatjyRcQw2TG_ocvg-KtDcxEZHt6IW5wcYLC4iuw" xr:uid="{AD4355AF-E052-4F33-BFD3-4C0D5195B3DE}"/>
    <hyperlink ref="S14" r:id="rId4" xr:uid="{F4038B54-6D55-49FF-A6A4-854217378C61}"/>
    <hyperlink ref="S15" r:id="rId5" xr:uid="{9DB919B1-E79F-42AF-BA34-BDCD5633281F}"/>
    <hyperlink ref="S23" r:id="rId6" xr:uid="{4DEF80DC-2802-4CDD-AF94-DC34475F7DD9}"/>
    <hyperlink ref="S26" r:id="rId7" xr:uid="{E70B0EEF-D59E-4056-B4C9-319358B66ADD}"/>
    <hyperlink ref="S16" r:id="rId8" xr:uid="{C8FF3A9C-9AEA-401E-9A36-D5C1C43F66CD}"/>
    <hyperlink ref="S17:S22" r:id="rId9" display="https://max.ru/join/8alUL1AavbikkBK8Wox0H5Gqk0GpaAW3WoZ_oaAjx88" xr:uid="{E3DA3ACA-CE65-4238-AF96-1FF90710447C}"/>
  </hyperlinks>
  <pageMargins left="0.70866141732283472" right="0.70866141732283472" top="0.74803149606299213" bottom="0.74803149606299213" header="0.31496062992125984" footer="0.31496062992125984"/>
  <pageSetup paperSize="9" scale="34" orientation="portrait" r:id="rId10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S180"/>
  <sheetViews>
    <sheetView view="pageBreakPreview" topLeftCell="G120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45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'[1]1нед'!$L$192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'[1]1нед'!$L$196</f>
        <v>12-25МЭоз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'[1]1нед'!$L$196</f>
        <v>12-25МЭоз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'[1]1нед'!K198</f>
        <v>0</v>
      </c>
      <c r="E12" s="19">
        <f>'[1]1нед'!L198</f>
        <v>0</v>
      </c>
      <c r="F12" s="17">
        <f>'[1]1нед'!O198</f>
        <v>0</v>
      </c>
      <c r="G12" s="18" t="str">
        <f>'[1]1нед'!P198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'[1]2нед'!K198</f>
        <v>0</v>
      </c>
      <c r="M12" s="19">
        <f>'[1]2нед'!L198</f>
        <v>0</v>
      </c>
      <c r="N12" s="17">
        <f>'[1]2нед'!O198</f>
        <v>0</v>
      </c>
      <c r="O12" s="18" t="str">
        <f>'[1]2нед'!P198</f>
        <v/>
      </c>
      <c r="P12" s="56" t="str">
        <f>HYPERLINK(VLOOKUP(M12,$R$12:$S$180,2,FALSE))</f>
        <v/>
      </c>
      <c r="R12" t="str">
        <f>[2]Уч.План!B502</f>
        <v>Финансово-экономический практикум</v>
      </c>
      <c r="S12" s="61" t="s">
        <v>53</v>
      </c>
    </row>
    <row r="13" spans="1:19" ht="31.5" x14ac:dyDescent="0.2">
      <c r="A13" s="82"/>
      <c r="B13" s="85"/>
      <c r="C13" s="14" t="s">
        <v>19</v>
      </c>
      <c r="D13" s="20">
        <f>'[1]1нед'!K199</f>
        <v>0</v>
      </c>
      <c r="E13" s="23">
        <f>'[1]1нед'!L199</f>
        <v>0</v>
      </c>
      <c r="F13" s="21">
        <f>'[1]1нед'!O199</f>
        <v>0</v>
      </c>
      <c r="G13" s="22" t="str">
        <f>'[1]1нед'!P199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'[1]2нед'!K199</f>
        <v>0</v>
      </c>
      <c r="M13" s="23">
        <f>'[1]2нед'!L199</f>
        <v>0</v>
      </c>
      <c r="N13" s="21">
        <f>'[1]2нед'!O199</f>
        <v>0</v>
      </c>
      <c r="O13" s="22" t="str">
        <f>'[1]2нед'!P199</f>
        <v/>
      </c>
      <c r="P13" s="57" t="str">
        <f>HYPERLINK(VLOOKUP(M13,$R$12:$S$180,2,FALSE))</f>
        <v/>
      </c>
      <c r="R13" t="str">
        <f>[2]Уч.План!B503</f>
        <v>Нормативно-правовые основы профессиональной деятельности</v>
      </c>
      <c r="S13" s="61" t="s">
        <v>54</v>
      </c>
    </row>
    <row r="14" spans="1:19" ht="31.5" x14ac:dyDescent="0.2">
      <c r="A14" s="82"/>
      <c r="B14" s="85"/>
      <c r="C14" s="14" t="s">
        <v>20</v>
      </c>
      <c r="D14" s="20">
        <f>'[1]1нед'!K200</f>
        <v>0</v>
      </c>
      <c r="E14" s="23">
        <f>'[1]1нед'!L200</f>
        <v>0</v>
      </c>
      <c r="F14" s="21">
        <f>'[1]1нед'!O200</f>
        <v>0</v>
      </c>
      <c r="G14" s="22" t="str">
        <f>'[1]1нед'!P200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'[1]2нед'!K200</f>
        <v>0</v>
      </c>
      <c r="M14" s="23">
        <f>'[1]2нед'!L200</f>
        <v>0</v>
      </c>
      <c r="N14" s="21">
        <f>'[1]2нед'!O200</f>
        <v>0</v>
      </c>
      <c r="O14" s="22" t="str">
        <f>'[1]2нед'!P200</f>
        <v/>
      </c>
      <c r="P14" s="57" t="str">
        <f>HYPERLINK(VLOOKUP(M14,$R$12:$S$180,2,FALSE))</f>
        <v/>
      </c>
      <c r="R14" t="str">
        <f>[2]Уч.План!B504</f>
        <v>Психология</v>
      </c>
      <c r="S14" s="61" t="s">
        <v>57</v>
      </c>
    </row>
    <row r="15" spans="1:19" ht="31.5" x14ac:dyDescent="0.2">
      <c r="A15" s="82"/>
      <c r="B15" s="85"/>
      <c r="C15" s="14" t="s">
        <v>21</v>
      </c>
      <c r="D15" s="20">
        <f>'[1]1нед'!K201</f>
        <v>0</v>
      </c>
      <c r="E15" s="23">
        <f>'[1]1нед'!L201</f>
        <v>0</v>
      </c>
      <c r="F15" s="21">
        <f>'[1]1нед'!O201</f>
        <v>0</v>
      </c>
      <c r="G15" s="22" t="str">
        <f>'[1]1нед'!P201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'[1]2нед'!K201</f>
        <v>0</v>
      </c>
      <c r="M15" s="23">
        <f>'[1]2нед'!L201</f>
        <v>0</v>
      </c>
      <c r="N15" s="21">
        <f>'[1]2нед'!O201</f>
        <v>0</v>
      </c>
      <c r="O15" s="22" t="str">
        <f>'[1]2нед'!P201</f>
        <v/>
      </c>
      <c r="P15" s="57" t="str">
        <f>HYPERLINK(VLOOKUP(M15,$R$12:$S$180,2,FALSE))</f>
        <v/>
      </c>
      <c r="R15" t="str">
        <f>[2]Уч.План!B505</f>
        <v>Педагогика</v>
      </c>
      <c r="S15" s="61" t="s">
        <v>58</v>
      </c>
    </row>
    <row r="16" spans="1:19" ht="31.5" x14ac:dyDescent="0.2">
      <c r="A16" s="82"/>
      <c r="B16" s="85"/>
      <c r="C16" s="14" t="s">
        <v>22</v>
      </c>
      <c r="D16" s="20">
        <f>'[1]1нед'!K202</f>
        <v>0</v>
      </c>
      <c r="E16" s="23">
        <f>'[1]1нед'!L202</f>
        <v>0</v>
      </c>
      <c r="F16" s="21">
        <f>'[1]1нед'!O202</f>
        <v>0</v>
      </c>
      <c r="G16" s="22" t="str">
        <f>'[1]1нед'!P202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'[1]2нед'!K202</f>
        <v>0</v>
      </c>
      <c r="M16" s="23">
        <f>'[1]2нед'!L202</f>
        <v>0</v>
      </c>
      <c r="N16" s="21">
        <f>'[1]2нед'!O202</f>
        <v>0</v>
      </c>
      <c r="O16" s="22" t="str">
        <f>'[1]2нед'!P202</f>
        <v/>
      </c>
      <c r="P16" s="57" t="str">
        <f>HYPERLINK(VLOOKUP(M16,$R$12:$S$180,2,FALSE))</f>
        <v/>
      </c>
      <c r="R16" t="str">
        <f>[2]Уч.План!B506</f>
        <v>Математический анализ</v>
      </c>
      <c r="S16" s="61" t="s">
        <v>63</v>
      </c>
    </row>
    <row r="17" spans="1:19" ht="31.5" x14ac:dyDescent="0.2">
      <c r="A17" s="82"/>
      <c r="B17" s="85"/>
      <c r="C17" s="14" t="s">
        <v>23</v>
      </c>
      <c r="D17" s="20">
        <f>'[1]1нед'!K203</f>
        <v>0</v>
      </c>
      <c r="E17" s="23">
        <f>'[1]1нед'!L203</f>
        <v>0</v>
      </c>
      <c r="F17" s="21">
        <f>'[1]1нед'!O203</f>
        <v>0</v>
      </c>
      <c r="G17" s="22" t="str">
        <f>'[1]1нед'!P203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'[1]2нед'!K203</f>
        <v>л</v>
      </c>
      <c r="M17" s="23" t="str">
        <f>'[1]2нед'!L203</f>
        <v>Микроэкономика</v>
      </c>
      <c r="N17" s="21" t="str">
        <f>'[1]2нед'!O203</f>
        <v>Самчинская Я.Б.</v>
      </c>
      <c r="O17" s="22" t="str">
        <f>'[1]2нед'!P203</f>
        <v>доцент, канд. наук</v>
      </c>
      <c r="P17" s="55" t="str">
        <f>HYPERLINK(VLOOKUP(M17,$R$12:$S$180,2,FALSE))</f>
        <v>https://max.ru/join/DN-Al3Hn8BwzumxU2F0z1ZrdkkOKrJJlr2N-X5z2j-A</v>
      </c>
      <c r="R17" t="str">
        <f>[2]Уч.План!B507</f>
        <v>Геометрия</v>
      </c>
      <c r="S17" s="61" t="s">
        <v>63</v>
      </c>
    </row>
    <row r="18" spans="1:19" ht="32.25" thickBot="1" x14ac:dyDescent="0.25">
      <c r="A18" s="82"/>
      <c r="B18" s="85"/>
      <c r="C18" s="14" t="s">
        <v>24</v>
      </c>
      <c r="D18" s="20">
        <f>'[1]1нед'!K204</f>
        <v>0</v>
      </c>
      <c r="E18" s="23">
        <f>'[1]1нед'!L204</f>
        <v>0</v>
      </c>
      <c r="F18" s="21">
        <f>'[1]1нед'!O204</f>
        <v>0</v>
      </c>
      <c r="G18" s="22" t="str">
        <f>'[1]1нед'!P204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'[1]2нед'!K204</f>
        <v>л</v>
      </c>
      <c r="M18" s="23" t="str">
        <f>'[1]2нед'!L204</f>
        <v>Алгебра</v>
      </c>
      <c r="N18" s="21" t="str">
        <f>'[1]2нед'!O204</f>
        <v>Овчинникова М.В.</v>
      </c>
      <c r="O18" s="22" t="str">
        <f>'[1]2нед'!P204</f>
        <v>доцент, канд. наук</v>
      </c>
      <c r="P18" s="55" t="str">
        <f>HYPERLINK(VLOOKUP(M18,$R$12:$S$180,2,FALSE))</f>
        <v>https://max.ru/join/DN-Al3Hn8BwzumxU2F0z1ZrdkkOKrJJlr2N-X5z2j-A</v>
      </c>
      <c r="R18" t="str">
        <f>[2]Уч.План!B508</f>
        <v>Алгебра</v>
      </c>
      <c r="S18" s="61" t="s">
        <v>63</v>
      </c>
    </row>
    <row r="19" spans="1:19" ht="18.399999999999999" hidden="1" customHeight="1" thickBot="1" x14ac:dyDescent="0.25">
      <c r="A19" s="83"/>
      <c r="B19" s="86"/>
      <c r="C19" s="15"/>
      <c r="D19" s="24">
        <f>'[1]1нед'!K205</f>
        <v>0</v>
      </c>
      <c r="E19" s="25">
        <f>'[1]1нед'!L205</f>
        <v>0</v>
      </c>
      <c r="F19" s="26">
        <f>'[1]1нед'!O205</f>
        <v>0</v>
      </c>
      <c r="G19" s="27" t="str">
        <f>'[1]1нед'!P205</f>
        <v/>
      </c>
      <c r="H19" s="58" t="str">
        <f>HYPERLINK(VLOOKUP(E19,$R$12:$S$180,2,FALSE))</f>
        <v/>
      </c>
      <c r="I19" s="72"/>
      <c r="J19" s="89"/>
      <c r="K19" s="15"/>
      <c r="L19" s="24">
        <f>'[1]2нед'!K205</f>
        <v>0</v>
      </c>
      <c r="M19" s="25">
        <f>'[1]2нед'!L205</f>
        <v>0</v>
      </c>
      <c r="N19" s="26">
        <f>'[1]2нед'!O205</f>
        <v>0</v>
      </c>
      <c r="O19" s="27" t="str">
        <f>'[1]2нед'!P205</f>
        <v/>
      </c>
      <c r="P19" s="58" t="str">
        <f>HYPERLINK(VLOOKUP(M19,$R$12:$S$180,2,FALSE))</f>
        <v/>
      </c>
      <c r="R19" t="str">
        <f>[2]Уч.План!B509</f>
        <v>Программирование</v>
      </c>
      <c r="S19" s="61" t="s">
        <v>63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'[1]1нед'!K206</f>
        <v>0</v>
      </c>
      <c r="E20" s="19">
        <f>'[1]1нед'!L206</f>
        <v>0</v>
      </c>
      <c r="F20" s="17">
        <f>'[1]1нед'!O206</f>
        <v>0</v>
      </c>
      <c r="G20" s="18" t="str">
        <f>'[1]1нед'!P206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'[1]2нед'!K206</f>
        <v>0</v>
      </c>
      <c r="M20" s="19">
        <f>'[1]2нед'!L206</f>
        <v>0</v>
      </c>
      <c r="N20" s="17">
        <f>'[1]2нед'!O206</f>
        <v>0</v>
      </c>
      <c r="O20" s="18" t="str">
        <f>'[1]2нед'!P206</f>
        <v/>
      </c>
      <c r="P20" s="56" t="str">
        <f>HYPERLINK(VLOOKUP(M20,$R$12:$S$180,2,FALSE))</f>
        <v/>
      </c>
      <c r="R20" t="str">
        <f>[2]Уч.План!B510</f>
        <v>Микроэкономика</v>
      </c>
      <c r="S20" s="61" t="s">
        <v>63</v>
      </c>
    </row>
    <row r="21" spans="1:19" ht="31.5" x14ac:dyDescent="0.2">
      <c r="A21" s="82"/>
      <c r="B21" s="85"/>
      <c r="C21" s="14" t="s">
        <v>19</v>
      </c>
      <c r="D21" s="20">
        <f>'[1]1нед'!K207</f>
        <v>0</v>
      </c>
      <c r="E21" s="23">
        <f>'[1]1нед'!L207</f>
        <v>0</v>
      </c>
      <c r="F21" s="21">
        <f>'[1]1нед'!O207</f>
        <v>0</v>
      </c>
      <c r="G21" s="22" t="str">
        <f>'[1]1нед'!P207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'[1]2нед'!K207</f>
        <v>0</v>
      </c>
      <c r="M21" s="23">
        <f>'[1]2нед'!L207</f>
        <v>0</v>
      </c>
      <c r="N21" s="21">
        <f>'[1]2нед'!O207</f>
        <v>0</v>
      </c>
      <c r="O21" s="22" t="str">
        <f>'[1]2нед'!P207</f>
        <v/>
      </c>
      <c r="P21" s="57" t="str">
        <f>HYPERLINK(VLOOKUP(M21,$R$12:$S$180,2,FALSE))</f>
        <v/>
      </c>
      <c r="R21" t="str">
        <f>[2]Уч.План!B511</f>
        <v>Основы предпринимательства</v>
      </c>
      <c r="S21" s="61" t="s">
        <v>63</v>
      </c>
    </row>
    <row r="22" spans="1:19" ht="31.5" x14ac:dyDescent="0.2">
      <c r="A22" s="82"/>
      <c r="B22" s="85"/>
      <c r="C22" s="14" t="s">
        <v>20</v>
      </c>
      <c r="D22" s="20">
        <f>'[1]1нед'!K208</f>
        <v>0</v>
      </c>
      <c r="E22" s="23">
        <f>'[1]1нед'!L208</f>
        <v>0</v>
      </c>
      <c r="F22" s="21">
        <f>'[1]1нед'!O208</f>
        <v>0</v>
      </c>
      <c r="G22" s="22" t="str">
        <f>'[1]1нед'!P208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'[1]2нед'!K208</f>
        <v>0</v>
      </c>
      <c r="M22" s="23">
        <f>'[1]2нед'!L208</f>
        <v>0</v>
      </c>
      <c r="N22" s="21">
        <f>'[1]2нед'!O208</f>
        <v>0</v>
      </c>
      <c r="O22" s="22" t="str">
        <f>'[1]2нед'!P208</f>
        <v/>
      </c>
      <c r="P22" s="57" t="str">
        <f>HYPERLINK(VLOOKUP(M22,$R$12:$S$180,2,FALSE))</f>
        <v/>
      </c>
      <c r="R22" t="str">
        <f>[2]Уч.План!B512</f>
        <v>Деньги, кредит, банки</v>
      </c>
      <c r="S22" s="61" t="s">
        <v>63</v>
      </c>
    </row>
    <row r="23" spans="1:19" ht="31.5" x14ac:dyDescent="0.2">
      <c r="A23" s="82"/>
      <c r="B23" s="85"/>
      <c r="C23" s="14" t="s">
        <v>21</v>
      </c>
      <c r="D23" s="20">
        <f>'[1]1нед'!K209</f>
        <v>0</v>
      </c>
      <c r="E23" s="23">
        <f>'[1]1нед'!L209</f>
        <v>0</v>
      </c>
      <c r="F23" s="21">
        <f>'[1]1нед'!O209</f>
        <v>0</v>
      </c>
      <c r="G23" s="22" t="str">
        <f>'[1]1нед'!P209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'[1]2нед'!K209</f>
        <v>0</v>
      </c>
      <c r="M23" s="23">
        <f>'[1]2нед'!L209</f>
        <v>0</v>
      </c>
      <c r="N23" s="21">
        <f>'[1]2нед'!O209</f>
        <v>0</v>
      </c>
      <c r="O23" s="22" t="str">
        <f>'[1]2нед'!P209</f>
        <v/>
      </c>
      <c r="P23" s="57" t="str">
        <f>HYPERLINK(VLOOKUP(M23,$R$12:$S$180,2,FALSE))</f>
        <v/>
      </c>
      <c r="R23" t="str">
        <f>[2]Уч.План!B513</f>
        <v>Экономика фирмы</v>
      </c>
      <c r="S23" s="61" t="s">
        <v>63</v>
      </c>
    </row>
    <row r="24" spans="1:19" ht="31.5" x14ac:dyDescent="0.2">
      <c r="A24" s="82"/>
      <c r="B24" s="85"/>
      <c r="C24" s="14" t="s">
        <v>22</v>
      </c>
      <c r="D24" s="20">
        <f>'[1]1нед'!K210</f>
        <v>0</v>
      </c>
      <c r="E24" s="23">
        <f>'[1]1нед'!L210</f>
        <v>0</v>
      </c>
      <c r="F24" s="21">
        <f>'[1]1нед'!O210</f>
        <v>0</v>
      </c>
      <c r="G24" s="22" t="str">
        <f>'[1]1нед'!P210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'[1]2нед'!K210</f>
        <v>0</v>
      </c>
      <c r="M24" s="23">
        <f>'[1]2нед'!L210</f>
        <v>0</v>
      </c>
      <c r="N24" s="21">
        <f>'[1]2нед'!O210</f>
        <v>0</v>
      </c>
      <c r="O24" s="22" t="str">
        <f>'[1]2нед'!P210</f>
        <v/>
      </c>
      <c r="P24" s="57" t="str">
        <f>HYPERLINK(VLOOKUP(M24,$R$12:$S$180,2,FALSE))</f>
        <v/>
      </c>
      <c r="R24" t="str">
        <f>[2]Уч.План!B514</f>
        <v xml:space="preserve"> Математический анализ</v>
      </c>
      <c r="S24" s="61" t="s">
        <v>63</v>
      </c>
    </row>
    <row r="25" spans="1:19" ht="31.5" x14ac:dyDescent="0.2">
      <c r="A25" s="82"/>
      <c r="B25" s="85"/>
      <c r="C25" s="14" t="s">
        <v>23</v>
      </c>
      <c r="D25" s="20">
        <f>'[1]1нед'!K211</f>
        <v>0</v>
      </c>
      <c r="E25" s="23">
        <f>'[1]1нед'!L211</f>
        <v>0</v>
      </c>
      <c r="F25" s="21">
        <f>'[1]1нед'!O211</f>
        <v>0</v>
      </c>
      <c r="G25" s="22" t="str">
        <f>'[1]1нед'!P211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>
        <f>'[1]2нед'!K211</f>
        <v>0</v>
      </c>
      <c r="M25" s="23">
        <f>'[1]2нед'!L211</f>
        <v>0</v>
      </c>
      <c r="N25" s="21">
        <f>'[1]2нед'!O211</f>
        <v>0</v>
      </c>
      <c r="O25" s="22" t="str">
        <f>'[1]2нед'!P211</f>
        <v/>
      </c>
      <c r="P25" s="57" t="str">
        <f>HYPERLINK(VLOOKUP(M25,$R$12:$S$180,2,FALSE))</f>
        <v/>
      </c>
      <c r="R25" t="str">
        <f>[2]Уч.План!B515</f>
        <v xml:space="preserve"> Психология</v>
      </c>
      <c r="S25" s="61" t="s">
        <v>60</v>
      </c>
    </row>
    <row r="26" spans="1:19" ht="37.5" x14ac:dyDescent="0.2">
      <c r="A26" s="82"/>
      <c r="B26" s="85"/>
      <c r="C26" s="14" t="s">
        <v>24</v>
      </c>
      <c r="D26" s="20">
        <f>'[1]1нед'!K212</f>
        <v>0</v>
      </c>
      <c r="E26" s="23">
        <f>'[1]1нед'!L212</f>
        <v>0</v>
      </c>
      <c r="F26" s="21">
        <f>'[1]1нед'!O212</f>
        <v>0</v>
      </c>
      <c r="G26" s="22" t="str">
        <f>'[1]1нед'!P212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'[1]2нед'!K212</f>
        <v>л</v>
      </c>
      <c r="M26" s="23" t="str">
        <f>'[1]2нед'!L212</f>
        <v>Основы предпринимательства</v>
      </c>
      <c r="N26" s="21" t="str">
        <f>'[1]2нед'!O212</f>
        <v>Илюшина О.Н.</v>
      </c>
      <c r="O26" s="22" t="str">
        <f>'[1]2нед'!P212</f>
        <v>доцент, канд. наук</v>
      </c>
      <c r="P26" s="57" t="str">
        <f>HYPERLINK(VLOOKUP(M26,$R$12:$S$180,2,FALSE))</f>
        <v>https://max.ru/join/DN-Al3Hn8BwzumxU2F0z1ZrdkkOKrJJlr2N-X5z2j-A</v>
      </c>
      <c r="R26" t="str">
        <f>[2]Уч.План!B516</f>
        <v xml:space="preserve"> Финансово-экономический практикум</v>
      </c>
      <c r="S26" s="61" t="s">
        <v>56</v>
      </c>
    </row>
    <row r="27" spans="1:19" ht="18.399999999999999" customHeight="1" thickBot="1" x14ac:dyDescent="0.25">
      <c r="A27" s="83"/>
      <c r="B27" s="86"/>
      <c r="C27" s="15"/>
      <c r="D27" s="24">
        <f>'[1]1нед'!K213</f>
        <v>0</v>
      </c>
      <c r="E27" s="25">
        <f>'[1]1нед'!L213</f>
        <v>0</v>
      </c>
      <c r="F27" s="26">
        <f>'[1]1нед'!O213</f>
        <v>0</v>
      </c>
      <c r="G27" s="27" t="str">
        <f>'[1]1нед'!P213</f>
        <v/>
      </c>
      <c r="H27" s="58" t="str">
        <f>HYPERLINK(VLOOKUP(E27,$R$12:$S$180,2,FALSE))</f>
        <v/>
      </c>
      <c r="I27" s="72"/>
      <c r="J27" s="89"/>
      <c r="K27" s="15"/>
      <c r="L27" s="24">
        <f>'[1]2нед'!K213</f>
        <v>0</v>
      </c>
      <c r="M27" s="25">
        <f>'[1]2нед'!L213</f>
        <v>0</v>
      </c>
      <c r="N27" s="26">
        <f>'[1]2нед'!O213</f>
        <v>0</v>
      </c>
      <c r="O27" s="27" t="str">
        <f>'[1]2нед'!P213</f>
        <v/>
      </c>
      <c r="P27" s="58" t="str">
        <f>HYPERLINK(VLOOKUP(M27,$R$12:$S$180,2,FALSE))</f>
        <v/>
      </c>
      <c r="R27" t="str">
        <f>[2]Уч.План!B517</f>
        <v xml:space="preserve"> Нормативно-правовые основы профессиональной деятельности</v>
      </c>
      <c r="S27" s="61" t="s">
        <v>56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'[1]1нед'!K214</f>
        <v>0</v>
      </c>
      <c r="E28" s="19">
        <f>'[1]1нед'!L214</f>
        <v>0</v>
      </c>
      <c r="F28" s="17">
        <f>'[1]1нед'!O214</f>
        <v>0</v>
      </c>
      <c r="G28" s="18" t="str">
        <f>'[1]1нед'!P214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'[1]2нед'!K214</f>
        <v>0</v>
      </c>
      <c r="M28" s="19">
        <f>'[1]2нед'!L214</f>
        <v>0</v>
      </c>
      <c r="N28" s="17">
        <f>'[1]2нед'!O214</f>
        <v>0</v>
      </c>
      <c r="O28" s="18" t="str">
        <f>'[1]2нед'!P214</f>
        <v/>
      </c>
      <c r="P28" s="56" t="str">
        <f>HYPERLINK(VLOOKUP(M28,$R$12:$S$180,2,FALSE))</f>
        <v/>
      </c>
      <c r="R28" t="str">
        <f>[2]Уч.План!B518</f>
        <v xml:space="preserve"> Педагогика</v>
      </c>
      <c r="S28" s="61" t="s">
        <v>60</v>
      </c>
    </row>
    <row r="29" spans="1:19" ht="31.5" x14ac:dyDescent="0.2">
      <c r="A29" s="82"/>
      <c r="B29" s="68"/>
      <c r="C29" s="14" t="s">
        <v>19</v>
      </c>
      <c r="D29" s="20">
        <f>'[1]1нед'!K215</f>
        <v>0</v>
      </c>
      <c r="E29" s="23">
        <f>'[1]1нед'!L215</f>
        <v>0</v>
      </c>
      <c r="F29" s="21">
        <f>'[1]1нед'!O215</f>
        <v>0</v>
      </c>
      <c r="G29" s="22" t="str">
        <f>'[1]1нед'!P215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'[1]2нед'!K215</f>
        <v>0</v>
      </c>
      <c r="M29" s="23">
        <f>'[1]2нед'!L215</f>
        <v>0</v>
      </c>
      <c r="N29" s="21">
        <f>'[1]2нед'!O215</f>
        <v>0</v>
      </c>
      <c r="O29" s="22" t="str">
        <f>'[1]2нед'!P215</f>
        <v/>
      </c>
      <c r="P29" s="57" t="str">
        <f>HYPERLINK(VLOOKUP(M29,$R$12:$S$180,2,FALSE))</f>
        <v/>
      </c>
      <c r="R29">
        <f>[2]Уч.План!B519</f>
        <v>0</v>
      </c>
    </row>
    <row r="30" spans="1:19" ht="31.5" x14ac:dyDescent="0.2">
      <c r="A30" s="82"/>
      <c r="B30" s="68"/>
      <c r="C30" s="14" t="s">
        <v>20</v>
      </c>
      <c r="D30" s="20">
        <f>'[1]1нед'!K216</f>
        <v>0</v>
      </c>
      <c r="E30" s="23">
        <f>'[1]1нед'!L216</f>
        <v>0</v>
      </c>
      <c r="F30" s="21">
        <f>'[1]1нед'!O216</f>
        <v>0</v>
      </c>
      <c r="G30" s="22" t="str">
        <f>'[1]1нед'!P216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'[1]2нед'!K216</f>
        <v>0</v>
      </c>
      <c r="M30" s="23">
        <f>'[1]2нед'!L216</f>
        <v>0</v>
      </c>
      <c r="N30" s="21">
        <f>'[1]2нед'!O216</f>
        <v>0</v>
      </c>
      <c r="O30" s="22" t="str">
        <f>'[1]2нед'!P216</f>
        <v/>
      </c>
      <c r="P30" s="57" t="str">
        <f>HYPERLINK(VLOOKUP(M30,$R$12:$S$180,2,FALSE))</f>
        <v/>
      </c>
      <c r="R30">
        <f>[2]Уч.План!B520</f>
        <v>0</v>
      </c>
    </row>
    <row r="31" spans="1:19" ht="31.5" x14ac:dyDescent="0.2">
      <c r="A31" s="82"/>
      <c r="B31" s="68"/>
      <c r="C31" s="14" t="s">
        <v>21</v>
      </c>
      <c r="D31" s="20">
        <f>'[1]1нед'!K217</f>
        <v>0</v>
      </c>
      <c r="E31" s="23">
        <f>'[1]1нед'!L217</f>
        <v>0</v>
      </c>
      <c r="F31" s="21">
        <f>'[1]1нед'!O217</f>
        <v>0</v>
      </c>
      <c r="G31" s="22" t="str">
        <f>'[1]1нед'!P217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'[1]2нед'!K217</f>
        <v>0</v>
      </c>
      <c r="M31" s="23">
        <f>'[1]2нед'!L217</f>
        <v>0</v>
      </c>
      <c r="N31" s="21">
        <f>'[1]2нед'!O217</f>
        <v>0</v>
      </c>
      <c r="O31" s="22" t="str">
        <f>'[1]2нед'!P217</f>
        <v/>
      </c>
      <c r="P31" s="57" t="str">
        <f>HYPERLINK(VLOOKUP(M31,$R$12:$S$180,2,FALSE))</f>
        <v/>
      </c>
      <c r="R31">
        <f>[2]Уч.План!B521</f>
        <v>0</v>
      </c>
    </row>
    <row r="32" spans="1:19" ht="31.5" x14ac:dyDescent="0.2">
      <c r="A32" s="82"/>
      <c r="B32" s="68"/>
      <c r="C32" s="14" t="s">
        <v>22</v>
      </c>
      <c r="D32" s="20">
        <f>'[1]1нед'!K218</f>
        <v>0</v>
      </c>
      <c r="E32" s="23">
        <f>'[1]1нед'!L218</f>
        <v>0</v>
      </c>
      <c r="F32" s="21">
        <f>'[1]1нед'!O218</f>
        <v>0</v>
      </c>
      <c r="G32" s="22" t="str">
        <f>'[1]1нед'!P218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'[1]2нед'!K218</f>
        <v>0</v>
      </c>
      <c r="M32" s="23">
        <f>'[1]2нед'!L218</f>
        <v>0</v>
      </c>
      <c r="N32" s="21">
        <f>'[1]2нед'!O218</f>
        <v>0</v>
      </c>
      <c r="O32" s="22" t="str">
        <f>'[1]2нед'!P218</f>
        <v/>
      </c>
      <c r="P32" s="57" t="str">
        <f>HYPERLINK(VLOOKUP(M32,$R$12:$S$180,2,FALSE))</f>
        <v/>
      </c>
    </row>
    <row r="33" spans="1:16" ht="31.5" x14ac:dyDescent="0.2">
      <c r="A33" s="82"/>
      <c r="B33" s="68"/>
      <c r="C33" s="14" t="s">
        <v>23</v>
      </c>
      <c r="D33" s="20" t="str">
        <f>'[1]1нед'!K219</f>
        <v>л</v>
      </c>
      <c r="E33" s="23" t="str">
        <f>'[1]1нед'!L219</f>
        <v>Финансово-экономический практикум</v>
      </c>
      <c r="F33" s="21" t="str">
        <f>'[1]1нед'!O219</f>
        <v>Марусик Е.А.</v>
      </c>
      <c r="G33" s="22" t="str">
        <f>'[1]1нед'!P219</f>
        <v>доцент, канд. наук</v>
      </c>
      <c r="H33" s="55" t="str">
        <f>HYPERLINK(VLOOKUP(E33,$R$12:$S$180,2,FALSE))</f>
        <v>https://max.ru/join/O7ELSE3mnUXAMkjL9zkW6akpHRr_OV1RfDfgb1E6BKA</v>
      </c>
      <c r="I33" s="71"/>
      <c r="J33" s="74"/>
      <c r="K33" s="14" t="s">
        <v>23</v>
      </c>
      <c r="L33" s="20" t="str">
        <f>'[1]2нед'!K219</f>
        <v>л</v>
      </c>
      <c r="M33" s="23" t="str">
        <f>'[1]2нед'!L219</f>
        <v>Деньги, кредит, банки</v>
      </c>
      <c r="N33" s="21" t="str">
        <f>'[1]2нед'!O219</f>
        <v>Самчинская Я.Б.</v>
      </c>
      <c r="O33" s="22" t="str">
        <f>'[1]2нед'!P219</f>
        <v>доцент, канд. наук</v>
      </c>
      <c r="P33" s="55" t="str">
        <f>HYPERLINK(VLOOKUP(M33,$R$12:$S$180,2,FALSE))</f>
        <v>https://max.ru/join/DN-Al3Hn8BwzumxU2F0z1ZrdkkOKrJJlr2N-X5z2j-A</v>
      </c>
    </row>
    <row r="34" spans="1:16" ht="38.25" thickBot="1" x14ac:dyDescent="0.25">
      <c r="A34" s="82"/>
      <c r="B34" s="68"/>
      <c r="C34" s="14" t="s">
        <v>24</v>
      </c>
      <c r="D34" s="20" t="str">
        <f>'[1]1нед'!K220</f>
        <v>л</v>
      </c>
      <c r="E34" s="23" t="str">
        <f>'[1]1нед'!L220</f>
        <v>Нормативно-правовые основы профессиональной деятельности</v>
      </c>
      <c r="F34" s="21" t="str">
        <f>'[1]1нед'!O220</f>
        <v>Лаврищева О.А.</v>
      </c>
      <c r="G34" s="22" t="str">
        <f>'[1]1нед'!P220</f>
        <v>доцент, канд. наук</v>
      </c>
      <c r="H34" s="55" t="str">
        <f>HYPERLINK(VLOOKUP(E34,$R$12:$S$180,2,FALSE))</f>
        <v>https://max.ru/join/lLG9wFTsslIHYpmiSC-XFj3ChsNqu9JFSujMK928YAg</v>
      </c>
      <c r="I34" s="71"/>
      <c r="J34" s="74"/>
      <c r="K34" s="14" t="s">
        <v>24</v>
      </c>
      <c r="L34" s="20" t="str">
        <f>'[1]2нед'!K220</f>
        <v>л</v>
      </c>
      <c r="M34" s="23" t="str">
        <f>'[1]2нед'!L220</f>
        <v>Геометрия</v>
      </c>
      <c r="N34" s="21" t="str">
        <f>'[1]2нед'!O220</f>
        <v>Казанцев Ю.А.</v>
      </c>
      <c r="O34" s="22" t="str">
        <f>'[1]2нед'!P220</f>
        <v>ст. преподаватель</v>
      </c>
      <c r="P34" s="55" t="str">
        <f>HYPERLINK(VLOOKUP(M34,$R$12:$S$180,2,FALSE))</f>
        <v>https://max.ru/join/DN-Al3Hn8BwzumxU2F0z1ZrdkkOKrJJlr2N-X5z2j-A</v>
      </c>
    </row>
    <row r="35" spans="1:16" ht="18.399999999999999" hidden="1" customHeight="1" thickBot="1" x14ac:dyDescent="0.25">
      <c r="A35" s="83"/>
      <c r="B35" s="69"/>
      <c r="C35" s="15"/>
      <c r="D35" s="24">
        <f>'[1]1нед'!K221</f>
        <v>0</v>
      </c>
      <c r="E35" s="25">
        <f>'[1]1нед'!L221</f>
        <v>0</v>
      </c>
      <c r="F35" s="26">
        <f>'[1]1нед'!O221</f>
        <v>0</v>
      </c>
      <c r="G35" s="27" t="str">
        <f>'[1]1нед'!P221</f>
        <v/>
      </c>
      <c r="H35" s="58" t="str">
        <f>HYPERLINK(VLOOKUP(E35,$R$12:$S$180,2,FALSE))</f>
        <v/>
      </c>
      <c r="I35" s="72"/>
      <c r="J35" s="75"/>
      <c r="K35" s="15"/>
      <c r="L35" s="24">
        <f>'[1]2нед'!K221</f>
        <v>0</v>
      </c>
      <c r="M35" s="25">
        <f>'[1]2нед'!L221</f>
        <v>0</v>
      </c>
      <c r="N35" s="26">
        <f>'[1]2нед'!O221</f>
        <v>0</v>
      </c>
      <c r="O35" s="27" t="str">
        <f>'[1]2нед'!P221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'[1]1нед'!K222</f>
        <v>0</v>
      </c>
      <c r="E36" s="19">
        <f>'[1]1нед'!L222</f>
        <v>0</v>
      </c>
      <c r="F36" s="17">
        <f>'[1]1нед'!O222</f>
        <v>0</v>
      </c>
      <c r="G36" s="18" t="str">
        <f>'[1]1нед'!P222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'[1]2нед'!K222</f>
        <v>0</v>
      </c>
      <c r="M36" s="19">
        <f>'[1]2нед'!L222</f>
        <v>0</v>
      </c>
      <c r="N36" s="17">
        <f>'[1]2нед'!O222</f>
        <v>0</v>
      </c>
      <c r="O36" s="18" t="str">
        <f>'[1]2нед'!P222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'[1]1нед'!K223</f>
        <v>0</v>
      </c>
      <c r="E37" s="23">
        <f>'[1]1нед'!L223</f>
        <v>0</v>
      </c>
      <c r="F37" s="21">
        <f>'[1]1нед'!O223</f>
        <v>0</v>
      </c>
      <c r="G37" s="22" t="str">
        <f>'[1]1нед'!P223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'[1]2нед'!K223</f>
        <v>0</v>
      </c>
      <c r="M37" s="23">
        <f>'[1]2нед'!L223</f>
        <v>0</v>
      </c>
      <c r="N37" s="21">
        <f>'[1]2нед'!O223</f>
        <v>0</v>
      </c>
      <c r="O37" s="22" t="str">
        <f>'[1]2нед'!P223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'[1]1нед'!K224</f>
        <v>0</v>
      </c>
      <c r="E38" s="23">
        <f>'[1]1нед'!L224</f>
        <v>0</v>
      </c>
      <c r="F38" s="21">
        <f>'[1]1нед'!O224</f>
        <v>0</v>
      </c>
      <c r="G38" s="22" t="str">
        <f>'[1]1нед'!P224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'[1]2нед'!K224</f>
        <v>0</v>
      </c>
      <c r="M38" s="23">
        <f>'[1]2нед'!L224</f>
        <v>0</v>
      </c>
      <c r="N38" s="21">
        <f>'[1]2нед'!O224</f>
        <v>0</v>
      </c>
      <c r="O38" s="22" t="str">
        <f>'[1]2нед'!P224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'[1]1нед'!K225</f>
        <v>0</v>
      </c>
      <c r="E39" s="23">
        <f>'[1]1нед'!L225</f>
        <v>0</v>
      </c>
      <c r="F39" s="21">
        <f>'[1]1нед'!O225</f>
        <v>0</v>
      </c>
      <c r="G39" s="22" t="str">
        <f>'[1]1нед'!P225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'[1]2нед'!K225</f>
        <v>0</v>
      </c>
      <c r="M39" s="23">
        <f>'[1]2нед'!L225</f>
        <v>0</v>
      </c>
      <c r="N39" s="21">
        <f>'[1]2нед'!O225</f>
        <v>0</v>
      </c>
      <c r="O39" s="22" t="str">
        <f>'[1]2нед'!P225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'[1]1нед'!K226</f>
        <v>0</v>
      </c>
      <c r="E40" s="23">
        <f>'[1]1нед'!L226</f>
        <v>0</v>
      </c>
      <c r="F40" s="21">
        <f>'[1]1нед'!O226</f>
        <v>0</v>
      </c>
      <c r="G40" s="22" t="str">
        <f>'[1]1нед'!P226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'[1]2нед'!K226</f>
        <v>0</v>
      </c>
      <c r="M40" s="23">
        <f>'[1]2нед'!L226</f>
        <v>0</v>
      </c>
      <c r="N40" s="21">
        <f>'[1]2нед'!O226</f>
        <v>0</v>
      </c>
      <c r="O40" s="22" t="str">
        <f>'[1]2нед'!P226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 t="str">
        <f>'[1]1нед'!K227</f>
        <v>л</v>
      </c>
      <c r="E41" s="23" t="str">
        <f>'[1]1нед'!L227</f>
        <v>Психология</v>
      </c>
      <c r="F41" s="21" t="str">
        <f>'[1]1нед'!O227</f>
        <v>Дьяков С.И.</v>
      </c>
      <c r="G41" s="22" t="str">
        <f>'[1]1нед'!P227</f>
        <v>профессор, д-р наук</v>
      </c>
      <c r="H41" s="55" t="str">
        <f>HYPERLINK(VLOOKUP(E41,$R$12:$S$180,2,FALSE))</f>
        <v>https://max.ru/join/g6zvD6fUKPmI5Ues4pjwwIXB0fZghlWb7Uaeuix-jUQ</v>
      </c>
      <c r="I41" s="71"/>
      <c r="J41" s="88"/>
      <c r="K41" s="14" t="s">
        <v>23</v>
      </c>
      <c r="L41" s="20" t="str">
        <f>'[1]2нед'!K227</f>
        <v>л</v>
      </c>
      <c r="M41" s="23" t="str">
        <f>'[1]2нед'!L227</f>
        <v>Экономика фирмы</v>
      </c>
      <c r="N41" s="21" t="str">
        <f>'[1]2нед'!O227</f>
        <v>Самчинская Я.Б.</v>
      </c>
      <c r="O41" s="22" t="str">
        <f>'[1]2нед'!P227</f>
        <v>доцент, канд. наук</v>
      </c>
      <c r="P41" s="55" t="str">
        <f>HYPERLINK(VLOOKUP(M41,$R$12:$S$180,2,FALSE))</f>
        <v>https://max.ru/join/DN-Al3Hn8BwzumxU2F0z1ZrdkkOKrJJlr2N-X5z2j-A</v>
      </c>
    </row>
    <row r="42" spans="1:16" ht="32.25" thickBot="1" x14ac:dyDescent="0.25">
      <c r="A42" s="82"/>
      <c r="B42" s="85"/>
      <c r="C42" s="14" t="s">
        <v>24</v>
      </c>
      <c r="D42" s="20" t="str">
        <f>'[1]1нед'!K228</f>
        <v>л</v>
      </c>
      <c r="E42" s="23" t="str">
        <f>'[1]1нед'!L228</f>
        <v>Математический анализ</v>
      </c>
      <c r="F42" s="21" t="str">
        <f>'[1]1нед'!O228</f>
        <v>Линник Е.П.</v>
      </c>
      <c r="G42" s="22" t="str">
        <f>'[1]1нед'!P228</f>
        <v>доцент, канд. наук</v>
      </c>
      <c r="H42" s="55" t="str">
        <f>HYPERLINK(VLOOKUP(E42,$R$12:$S$180,2,FALSE))</f>
        <v>https://max.ru/join/DN-Al3Hn8BwzumxU2F0z1ZrdkkOKrJJlr2N-X5z2j-A</v>
      </c>
      <c r="I42" s="71"/>
      <c r="J42" s="88"/>
      <c r="K42" s="14" t="s">
        <v>24</v>
      </c>
      <c r="L42" s="20" t="str">
        <f>'[1]2нед'!K228</f>
        <v>л</v>
      </c>
      <c r="M42" s="23" t="str">
        <f>'[1]2нед'!L228</f>
        <v>Программирование</v>
      </c>
      <c r="N42" s="21" t="str">
        <f>'[1]2нед'!O228</f>
        <v>Криницкий Ю.В.</v>
      </c>
      <c r="O42" s="22" t="str">
        <f>'[1]2нед'!P228</f>
        <v>преподаватель</v>
      </c>
      <c r="P42" s="55" t="str">
        <f>HYPERLINK(VLOOKUP(M42,$R$12:$S$180,2,FALSE))</f>
        <v>https://max.ru/join/DN-Al3Hn8BwzumxU2F0z1ZrdkkOKrJJlr2N-X5z2j-A</v>
      </c>
    </row>
    <row r="43" spans="1:16" ht="18.399999999999999" hidden="1" customHeight="1" thickBot="1" x14ac:dyDescent="0.25">
      <c r="A43" s="83"/>
      <c r="B43" s="86"/>
      <c r="C43" s="15"/>
      <c r="D43" s="24">
        <f>'[1]1нед'!K229</f>
        <v>0</v>
      </c>
      <c r="E43" s="25">
        <f>'[1]1нед'!L229</f>
        <v>0</v>
      </c>
      <c r="F43" s="26">
        <f>'[1]1нед'!O229</f>
        <v>0</v>
      </c>
      <c r="G43" s="27" t="str">
        <f>'[1]1нед'!P229</f>
        <v/>
      </c>
      <c r="H43" s="58" t="str">
        <f>HYPERLINK(VLOOKUP(E43,$R$12:$S$180,2,FALSE))</f>
        <v/>
      </c>
      <c r="I43" s="72"/>
      <c r="J43" s="89"/>
      <c r="K43" s="15"/>
      <c r="L43" s="24">
        <f>'[1]2нед'!K229</f>
        <v>0</v>
      </c>
      <c r="M43" s="25">
        <f>'[1]2нед'!L229</f>
        <v>0</v>
      </c>
      <c r="N43" s="26">
        <f>'[1]2нед'!O229</f>
        <v>0</v>
      </c>
      <c r="O43" s="27" t="str">
        <f>'[1]2нед'!P229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'[1]1нед'!K230</f>
        <v>0</v>
      </c>
      <c r="E44" s="19">
        <f>'[1]1нед'!L230</f>
        <v>0</v>
      </c>
      <c r="F44" s="17">
        <f>'[1]1нед'!O230</f>
        <v>0</v>
      </c>
      <c r="G44" s="18" t="str">
        <f>'[1]1нед'!P230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'[1]2нед'!K230</f>
        <v>0</v>
      </c>
      <c r="M44" s="19">
        <f>'[1]2нед'!L230</f>
        <v>0</v>
      </c>
      <c r="N44" s="17">
        <f>'[1]2нед'!O230</f>
        <v>0</v>
      </c>
      <c r="O44" s="18" t="str">
        <f>'[1]2нед'!P230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'[1]1нед'!K231</f>
        <v>0</v>
      </c>
      <c r="E45" s="23">
        <f>'[1]1нед'!L231</f>
        <v>0</v>
      </c>
      <c r="F45" s="21">
        <f>'[1]1нед'!O231</f>
        <v>0</v>
      </c>
      <c r="G45" s="22" t="str">
        <f>'[1]1нед'!P231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'[1]2нед'!K231</f>
        <v>0</v>
      </c>
      <c r="M45" s="23">
        <f>'[1]2нед'!L231</f>
        <v>0</v>
      </c>
      <c r="N45" s="21">
        <f>'[1]2нед'!O231</f>
        <v>0</v>
      </c>
      <c r="O45" s="22" t="str">
        <f>'[1]2нед'!P231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'[1]1нед'!K232</f>
        <v>0</v>
      </c>
      <c r="E46" s="23">
        <f>'[1]1нед'!L232</f>
        <v>0</v>
      </c>
      <c r="F46" s="21">
        <f>'[1]1нед'!O232</f>
        <v>0</v>
      </c>
      <c r="G46" s="22" t="str">
        <f>'[1]1нед'!P232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'[1]2нед'!K232</f>
        <v>0</v>
      </c>
      <c r="M46" s="23">
        <f>'[1]2нед'!L232</f>
        <v>0</v>
      </c>
      <c r="N46" s="21">
        <f>'[1]2нед'!O232</f>
        <v>0</v>
      </c>
      <c r="O46" s="22" t="str">
        <f>'[1]2нед'!P232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'[1]1нед'!K233</f>
        <v>0</v>
      </c>
      <c r="E47" s="23">
        <f>'[1]1нед'!L233</f>
        <v>0</v>
      </c>
      <c r="F47" s="21">
        <f>'[1]1нед'!O233</f>
        <v>0</v>
      </c>
      <c r="G47" s="22" t="str">
        <f>'[1]1нед'!P233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'[1]2нед'!K233</f>
        <v>0</v>
      </c>
      <c r="M47" s="23">
        <f>'[1]2нед'!L233</f>
        <v>0</v>
      </c>
      <c r="N47" s="21">
        <f>'[1]2нед'!O233</f>
        <v>0</v>
      </c>
      <c r="O47" s="22" t="str">
        <f>'[1]2нед'!P233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'[1]1нед'!K234</f>
        <v>0</v>
      </c>
      <c r="E48" s="23">
        <f>'[1]1нед'!L234</f>
        <v>0</v>
      </c>
      <c r="F48" s="21">
        <f>'[1]1нед'!O234</f>
        <v>0</v>
      </c>
      <c r="G48" s="22" t="str">
        <f>'[1]1нед'!P234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'[1]2нед'!K234</f>
        <v>0</v>
      </c>
      <c r="M48" s="23">
        <f>'[1]2нед'!L234</f>
        <v>0</v>
      </c>
      <c r="N48" s="21">
        <f>'[1]2нед'!O234</f>
        <v>0</v>
      </c>
      <c r="O48" s="22" t="str">
        <f>'[1]2нед'!P234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'[1]1нед'!K235</f>
        <v>0</v>
      </c>
      <c r="E49" s="23">
        <f>'[1]1нед'!L235</f>
        <v>0</v>
      </c>
      <c r="F49" s="21">
        <f>'[1]1нед'!O235</f>
        <v>0</v>
      </c>
      <c r="G49" s="22" t="str">
        <f>'[1]1нед'!P235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'[1]2нед'!K235</f>
        <v>0</v>
      </c>
      <c r="M49" s="23">
        <f>'[1]2нед'!L235</f>
        <v>0</v>
      </c>
      <c r="N49" s="21">
        <f>'[1]2нед'!O235</f>
        <v>0</v>
      </c>
      <c r="O49" s="22" t="str">
        <f>'[1]2нед'!P235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'[1]1нед'!K236</f>
        <v>0</v>
      </c>
      <c r="E50" s="23">
        <f>'[1]1нед'!L236</f>
        <v>0</v>
      </c>
      <c r="F50" s="21">
        <f>'[1]1нед'!O236</f>
        <v>0</v>
      </c>
      <c r="G50" s="22" t="str">
        <f>'[1]1нед'!P236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'[1]2нед'!K236</f>
        <v>0</v>
      </c>
      <c r="M50" s="23">
        <f>'[1]2нед'!L236</f>
        <v>0</v>
      </c>
      <c r="N50" s="21">
        <f>'[1]2нед'!O236</f>
        <v>0</v>
      </c>
      <c r="O50" s="22" t="str">
        <f>'[1]2нед'!P236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'[1]1нед'!K237</f>
        <v>0</v>
      </c>
      <c r="E51" s="25">
        <f>'[1]1нед'!L237</f>
        <v>0</v>
      </c>
      <c r="F51" s="26">
        <f>'[1]1нед'!O237</f>
        <v>0</v>
      </c>
      <c r="G51" s="27" t="str">
        <f>'[1]1нед'!P237</f>
        <v/>
      </c>
      <c r="H51" s="58" t="str">
        <f>HYPERLINK(VLOOKUP(E51,$R$12:$S$180,2,FALSE))</f>
        <v/>
      </c>
      <c r="I51" s="72"/>
      <c r="J51" s="89"/>
      <c r="K51" s="15"/>
      <c r="L51" s="24">
        <f>'[1]2нед'!K237</f>
        <v>0</v>
      </c>
      <c r="M51" s="25">
        <f>'[1]2нед'!L237</f>
        <v>0</v>
      </c>
      <c r="N51" s="26">
        <f>'[1]2нед'!O237</f>
        <v>0</v>
      </c>
      <c r="O51" s="27" t="str">
        <f>'[1]2нед'!P237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'[1]1нед'!K238</f>
        <v>0</v>
      </c>
      <c r="E52" s="19">
        <f>'[1]1нед'!L238</f>
        <v>0</v>
      </c>
      <c r="F52" s="17">
        <f>'[1]1нед'!O238</f>
        <v>0</v>
      </c>
      <c r="G52" s="18" t="str">
        <f>'[1]1нед'!P238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'[1]2нед'!K238</f>
        <v>0</v>
      </c>
      <c r="M52" s="19">
        <f>'[1]2нед'!L238</f>
        <v>0</v>
      </c>
      <c r="N52" s="17">
        <f>'[1]2нед'!O238</f>
        <v>0</v>
      </c>
      <c r="O52" s="18" t="str">
        <f>'[1]2нед'!P238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'[1]1нед'!K239</f>
        <v>0</v>
      </c>
      <c r="E53" s="23">
        <f>'[1]1нед'!L239</f>
        <v>0</v>
      </c>
      <c r="F53" s="21">
        <f>'[1]1нед'!O239</f>
        <v>0</v>
      </c>
      <c r="G53" s="22" t="str">
        <f>'[1]1нед'!P239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'[1]2нед'!K239</f>
        <v>0</v>
      </c>
      <c r="M53" s="23">
        <f>'[1]2нед'!L239</f>
        <v>0</v>
      </c>
      <c r="N53" s="21">
        <f>'[1]2нед'!O239</f>
        <v>0</v>
      </c>
      <c r="O53" s="22" t="str">
        <f>'[1]2нед'!P239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'[1]1нед'!K240</f>
        <v>0</v>
      </c>
      <c r="E54" s="23">
        <f>'[1]1нед'!L240</f>
        <v>0</v>
      </c>
      <c r="F54" s="21">
        <f>'[1]1нед'!O240</f>
        <v>0</v>
      </c>
      <c r="G54" s="22" t="str">
        <f>'[1]1нед'!P240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'[1]2нед'!K240</f>
        <v>0</v>
      </c>
      <c r="M54" s="23">
        <f>'[1]2нед'!L240</f>
        <v>0</v>
      </c>
      <c r="N54" s="21">
        <f>'[1]2нед'!O240</f>
        <v>0</v>
      </c>
      <c r="O54" s="22" t="str">
        <f>'[1]2нед'!P240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'[1]1нед'!K241</f>
        <v>0</v>
      </c>
      <c r="E55" s="23">
        <f>'[1]1нед'!L241</f>
        <v>0</v>
      </c>
      <c r="F55" s="21">
        <f>'[1]1нед'!O241</f>
        <v>0</v>
      </c>
      <c r="G55" s="22" t="str">
        <f>'[1]1нед'!P241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'[1]2нед'!K241</f>
        <v>0</v>
      </c>
      <c r="M55" s="23">
        <f>'[1]2нед'!L241</f>
        <v>0</v>
      </c>
      <c r="N55" s="21">
        <f>'[1]2нед'!O241</f>
        <v>0</v>
      </c>
      <c r="O55" s="22" t="str">
        <f>'[1]2нед'!P241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'[1]1нед'!K242</f>
        <v>0</v>
      </c>
      <c r="E56" s="23">
        <f>'[1]1нед'!L242</f>
        <v>0</v>
      </c>
      <c r="F56" s="21">
        <f>'[1]1нед'!O242</f>
        <v>0</v>
      </c>
      <c r="G56" s="22" t="str">
        <f>'[1]1нед'!P242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'[1]2нед'!K242</f>
        <v>0</v>
      </c>
      <c r="M56" s="23">
        <f>'[1]2нед'!L242</f>
        <v>0</v>
      </c>
      <c r="N56" s="21">
        <f>'[1]2нед'!O242</f>
        <v>0</v>
      </c>
      <c r="O56" s="22" t="str">
        <f>'[1]2нед'!P242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'[1]1нед'!K243</f>
        <v>0</v>
      </c>
      <c r="E57" s="23">
        <f>'[1]1нед'!L243</f>
        <v>0</v>
      </c>
      <c r="F57" s="21">
        <f>'[1]1нед'!O243</f>
        <v>0</v>
      </c>
      <c r="G57" s="22" t="str">
        <f>'[1]1нед'!P243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'[1]2нед'!K243</f>
        <v>0</v>
      </c>
      <c r="M57" s="23">
        <f>'[1]2нед'!L243</f>
        <v>0</v>
      </c>
      <c r="N57" s="21">
        <f>'[1]2нед'!O243</f>
        <v>0</v>
      </c>
      <c r="O57" s="22" t="str">
        <f>'[1]2нед'!P243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'[1]1нед'!K244</f>
        <v>0</v>
      </c>
      <c r="E58" s="23">
        <f>'[1]1нед'!L244</f>
        <v>0</v>
      </c>
      <c r="F58" s="21">
        <f>'[1]1нед'!O244</f>
        <v>0</v>
      </c>
      <c r="G58" s="22" t="str">
        <f>'[1]1нед'!P244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'[1]2нед'!K244</f>
        <v>0</v>
      </c>
      <c r="M58" s="23">
        <f>'[1]2нед'!L244</f>
        <v>0</v>
      </c>
      <c r="N58" s="21">
        <f>'[1]2нед'!O244</f>
        <v>0</v>
      </c>
      <c r="O58" s="22" t="str">
        <f>'[1]2нед'!P244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24">
        <f>'[1]2нед'!K59</f>
        <v>0</v>
      </c>
      <c r="M59" s="25">
        <f>'[1]2нед'!L59</f>
        <v>0</v>
      </c>
      <c r="N59" s="26">
        <f>'[1]2нед'!O59</f>
        <v>0</v>
      </c>
      <c r="O59" s="27" t="str">
        <f>'[1]2нед'!P59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'[1]1нед'!$L$196</f>
        <v>12-25МЭоз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'[1]1нед'!$L$196</f>
        <v>12-25МЭоз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'[1]3нед'!K198</f>
        <v>0</v>
      </c>
      <c r="E72" s="19">
        <f>'[1]3нед'!L198</f>
        <v>0</v>
      </c>
      <c r="F72" s="17">
        <f>'[1]3нед'!O198</f>
        <v>0</v>
      </c>
      <c r="G72" s="18" t="str">
        <f>'[1]3нед'!P198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'[1]4нед'!K198</f>
        <v>0</v>
      </c>
      <c r="M72" s="19">
        <f>'[1]4нед'!L198</f>
        <v>0</v>
      </c>
      <c r="N72" s="17">
        <f>'[1]4нед'!O198</f>
        <v>0</v>
      </c>
      <c r="O72" s="18" t="str">
        <f>'[1]4нед'!P198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61</v>
      </c>
      <c r="D73" s="20">
        <f>'[1]3нед'!K199</f>
        <v>0</v>
      </c>
      <c r="E73" s="23">
        <f>'[1]3нед'!L199</f>
        <v>0</v>
      </c>
      <c r="F73" s="21">
        <f>'[1]3нед'!O199</f>
        <v>0</v>
      </c>
      <c r="G73" s="22" t="str">
        <f>'[1]3нед'!P199</f>
        <v/>
      </c>
      <c r="H73" s="57" t="str">
        <f>HYPERLINK(VLOOKUP(E73,$R$12:$S$180,2,FALSE))</f>
        <v/>
      </c>
      <c r="I73" s="71"/>
      <c r="J73" s="88"/>
      <c r="K73" s="14" t="s">
        <v>61</v>
      </c>
      <c r="L73" s="20">
        <f>'[1]4нед'!K199</f>
        <v>0</v>
      </c>
      <c r="M73" s="23">
        <f>'[1]4нед'!L199</f>
        <v>0</v>
      </c>
      <c r="N73" s="21">
        <f>'[1]4нед'!O199</f>
        <v>0</v>
      </c>
      <c r="O73" s="22" t="str">
        <f>'[1]4нед'!P199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62</v>
      </c>
      <c r="D74" s="20">
        <f>'[1]3нед'!K200</f>
        <v>0</v>
      </c>
      <c r="E74" s="23">
        <f>'[1]3нед'!L200</f>
        <v>0</v>
      </c>
      <c r="F74" s="21">
        <f>'[1]3нед'!O200</f>
        <v>0</v>
      </c>
      <c r="G74" s="22" t="str">
        <f>'[1]3нед'!P200</f>
        <v/>
      </c>
      <c r="H74" s="57" t="str">
        <f>HYPERLINK(VLOOKUP(E74,$R$12:$S$180,2,FALSE))</f>
        <v/>
      </c>
      <c r="I74" s="71"/>
      <c r="J74" s="88"/>
      <c r="K74" s="14" t="s">
        <v>62</v>
      </c>
      <c r="L74" s="20">
        <f>'[1]4нед'!K200</f>
        <v>0</v>
      </c>
      <c r="M74" s="23">
        <f>'[1]4нед'!L200</f>
        <v>0</v>
      </c>
      <c r="N74" s="21">
        <f>'[1]4нед'!O200</f>
        <v>0</v>
      </c>
      <c r="O74" s="22" t="str">
        <f>'[1]4нед'!P200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'[1]3нед'!K201</f>
        <v>0</v>
      </c>
      <c r="E75" s="23">
        <f>'[1]3нед'!L201</f>
        <v>0</v>
      </c>
      <c r="F75" s="21">
        <f>'[1]3нед'!O201</f>
        <v>0</v>
      </c>
      <c r="G75" s="22" t="str">
        <f>'[1]3нед'!P201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'[1]4нед'!K201</f>
        <v>0</v>
      </c>
      <c r="M75" s="23">
        <f>'[1]4нед'!L201</f>
        <v>0</v>
      </c>
      <c r="N75" s="21">
        <f>'[1]4нед'!O201</f>
        <v>0</v>
      </c>
      <c r="O75" s="22" t="str">
        <f>'[1]4нед'!P201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'[1]3нед'!K202</f>
        <v>0</v>
      </c>
      <c r="E76" s="23">
        <f>'[1]3нед'!L202</f>
        <v>0</v>
      </c>
      <c r="F76" s="21">
        <f>'[1]3нед'!O202</f>
        <v>0</v>
      </c>
      <c r="G76" s="22" t="str">
        <f>'[1]3нед'!P202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'[1]4нед'!K202</f>
        <v>0</v>
      </c>
      <c r="M76" s="23">
        <f>'[1]4нед'!L202</f>
        <v>0</v>
      </c>
      <c r="N76" s="21">
        <f>'[1]4нед'!O202</f>
        <v>0</v>
      </c>
      <c r="O76" s="22" t="str">
        <f>'[1]4нед'!P202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 t="str">
        <f>'[1]3нед'!K203</f>
        <v>л</v>
      </c>
      <c r="E77" s="23" t="str">
        <f>'[1]3нед'!L203</f>
        <v>Педагогика</v>
      </c>
      <c r="F77" s="21" t="str">
        <f>'[1]3нед'!O203</f>
        <v>Вишневский В.А.</v>
      </c>
      <c r="G77" s="22" t="str">
        <f>'[1]3нед'!P203</f>
        <v>доцент, канд. наук</v>
      </c>
      <c r="H77" s="55" t="str">
        <f>HYPERLINK(VLOOKUP(E77,$R$12:$S$180,2,FALSE))</f>
        <v>https://max.ru/join/ZQI6UYw-Ll6800VmJaLdI-Md1s6hKqFaVeuR5NmzeXM</v>
      </c>
      <c r="I77" s="71"/>
      <c r="J77" s="88"/>
      <c r="K77" s="14" t="s">
        <v>23</v>
      </c>
      <c r="L77" s="20" t="str">
        <f>'[1]4нед'!K203</f>
        <v>пр</v>
      </c>
      <c r="M77" s="23" t="str">
        <f>'[1]4нед'!L203</f>
        <v>Микроэкономика</v>
      </c>
      <c r="N77" s="21" t="str">
        <f>'[1]4нед'!O203</f>
        <v>Самчинская Я.Б.</v>
      </c>
      <c r="O77" s="22" t="str">
        <f>'[1]4нед'!P203</f>
        <v>доцент, канд. наук</v>
      </c>
      <c r="P77" s="55" t="str">
        <f>HYPERLINK(VLOOKUP(M77,$R$12:$S$180,2,FALSE))</f>
        <v>https://max.ru/join/DN-Al3Hn8BwzumxU2F0z1ZrdkkOKrJJlr2N-X5z2j-A</v>
      </c>
    </row>
    <row r="78" spans="1:16" ht="32.25" thickBot="1" x14ac:dyDescent="0.25">
      <c r="A78" s="82"/>
      <c r="B78" s="85"/>
      <c r="C78" s="14" t="s">
        <v>24</v>
      </c>
      <c r="D78" s="20" t="str">
        <f>'[1]3нед'!K204</f>
        <v>пр</v>
      </c>
      <c r="E78" s="23" t="str">
        <f>'[1]3нед'!L204</f>
        <v>Алгебра</v>
      </c>
      <c r="F78" s="21" t="str">
        <f>'[1]3нед'!O204</f>
        <v>Овчинникова М.В.</v>
      </c>
      <c r="G78" s="22" t="str">
        <f>'[1]3нед'!P204</f>
        <v>доцент, канд. наук</v>
      </c>
      <c r="H78" s="55" t="str">
        <f>HYPERLINK(VLOOKUP(E78,$R$12:$S$180,2,FALSE))</f>
        <v>https://max.ru/join/DN-Al3Hn8BwzumxU2F0z1ZrdkkOKrJJlr2N-X5z2j-A</v>
      </c>
      <c r="I78" s="71"/>
      <c r="J78" s="88"/>
      <c r="K78" s="14" t="s">
        <v>24</v>
      </c>
      <c r="L78" s="20" t="str">
        <f>'[1]4нед'!K204</f>
        <v>л</v>
      </c>
      <c r="M78" s="23" t="str">
        <f>'[1]4нед'!L204</f>
        <v>Математический анализ</v>
      </c>
      <c r="N78" s="21" t="str">
        <f>'[1]4нед'!O204</f>
        <v>Линник Е.П.</v>
      </c>
      <c r="O78" s="22" t="str">
        <f>'[1]4нед'!P204</f>
        <v>доцент, канд. наук</v>
      </c>
      <c r="P78" s="55" t="str">
        <f>HYPERLINK(VLOOKUP(M78,$R$12:$S$180,2,FALSE))</f>
        <v>https://max.ru/join/DN-Al3Hn8BwzumxU2F0z1ZrdkkOKrJJlr2N-X5z2j-A</v>
      </c>
    </row>
    <row r="79" spans="1:16" ht="18.399999999999999" hidden="1" customHeight="1" thickBot="1" x14ac:dyDescent="0.25">
      <c r="A79" s="83"/>
      <c r="B79" s="86"/>
      <c r="C79" s="15"/>
      <c r="D79" s="24">
        <f>'[1]3нед'!K205</f>
        <v>0</v>
      </c>
      <c r="E79" s="25">
        <f>'[1]3нед'!L205</f>
        <v>0</v>
      </c>
      <c r="F79" s="26">
        <f>'[1]3нед'!O205</f>
        <v>0</v>
      </c>
      <c r="G79" s="27" t="str">
        <f>'[1]3нед'!P205</f>
        <v/>
      </c>
      <c r="H79" s="58" t="str">
        <f>HYPERLINK(VLOOKUP(E79,$R$12:$S$180,2,FALSE))</f>
        <v/>
      </c>
      <c r="I79" s="72"/>
      <c r="J79" s="89"/>
      <c r="K79" s="15"/>
      <c r="L79" s="24">
        <f>'[1]4нед'!K205</f>
        <v>0</v>
      </c>
      <c r="M79" s="25">
        <f>'[1]4нед'!L205</f>
        <v>0</v>
      </c>
      <c r="N79" s="26">
        <f>'[1]4нед'!O205</f>
        <v>0</v>
      </c>
      <c r="O79" s="27" t="str">
        <f>'[1]4нед'!P205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'[1]3нед'!K206</f>
        <v>0</v>
      </c>
      <c r="E80" s="19">
        <f>'[1]3нед'!L206</f>
        <v>0</v>
      </c>
      <c r="F80" s="17">
        <f>'[1]3нед'!O206</f>
        <v>0</v>
      </c>
      <c r="G80" s="18" t="str">
        <f>'[1]3нед'!P206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'[1]4нед'!K206</f>
        <v>0</v>
      </c>
      <c r="M80" s="19">
        <f>'[1]4нед'!L206</f>
        <v>0</v>
      </c>
      <c r="N80" s="17">
        <f>'[1]4нед'!O206</f>
        <v>0</v>
      </c>
      <c r="O80" s="18" t="str">
        <f>'[1]4нед'!P206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61</v>
      </c>
      <c r="D81" s="20">
        <f>'[1]3нед'!K207</f>
        <v>0</v>
      </c>
      <c r="E81" s="23">
        <f>'[1]3нед'!L207</f>
        <v>0</v>
      </c>
      <c r="F81" s="21">
        <f>'[1]3нед'!O207</f>
        <v>0</v>
      </c>
      <c r="G81" s="22" t="str">
        <f>'[1]3нед'!P207</f>
        <v/>
      </c>
      <c r="H81" s="57" t="str">
        <f>HYPERLINK(VLOOKUP(E81,$R$12:$S$180,2,FALSE))</f>
        <v/>
      </c>
      <c r="I81" s="71"/>
      <c r="J81" s="88"/>
      <c r="K81" s="14" t="s">
        <v>61</v>
      </c>
      <c r="L81" s="20">
        <f>'[1]4нед'!K207</f>
        <v>0</v>
      </c>
      <c r="M81" s="23">
        <f>'[1]4нед'!L207</f>
        <v>0</v>
      </c>
      <c r="N81" s="21">
        <f>'[1]4нед'!O207</f>
        <v>0</v>
      </c>
      <c r="O81" s="22" t="str">
        <f>'[1]4нед'!P207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62</v>
      </c>
      <c r="D82" s="20">
        <f>'[1]3нед'!K208</f>
        <v>0</v>
      </c>
      <c r="E82" s="23">
        <f>'[1]3нед'!L208</f>
        <v>0</v>
      </c>
      <c r="F82" s="21">
        <f>'[1]3нед'!O208</f>
        <v>0</v>
      </c>
      <c r="G82" s="22" t="str">
        <f>'[1]3нед'!P208</f>
        <v/>
      </c>
      <c r="H82" s="57" t="str">
        <f>HYPERLINK(VLOOKUP(E82,$R$12:$S$180,2,FALSE))</f>
        <v/>
      </c>
      <c r="I82" s="71"/>
      <c r="J82" s="88"/>
      <c r="K82" s="14" t="s">
        <v>62</v>
      </c>
      <c r="L82" s="20">
        <f>'[1]4нед'!K208</f>
        <v>0</v>
      </c>
      <c r="M82" s="23">
        <f>'[1]4нед'!L208</f>
        <v>0</v>
      </c>
      <c r="N82" s="21">
        <f>'[1]4нед'!O208</f>
        <v>0</v>
      </c>
      <c r="O82" s="22" t="str">
        <f>'[1]4нед'!P208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'[1]3нед'!K209</f>
        <v>0</v>
      </c>
      <c r="E83" s="23">
        <f>'[1]3нед'!L209</f>
        <v>0</v>
      </c>
      <c r="F83" s="21">
        <f>'[1]3нед'!O209</f>
        <v>0</v>
      </c>
      <c r="G83" s="22" t="str">
        <f>'[1]3нед'!P209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'[1]4нед'!K209</f>
        <v>0</v>
      </c>
      <c r="M83" s="23">
        <f>'[1]4нед'!L209</f>
        <v>0</v>
      </c>
      <c r="N83" s="21">
        <f>'[1]4нед'!O209</f>
        <v>0</v>
      </c>
      <c r="O83" s="22" t="str">
        <f>'[1]4нед'!P209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'[1]3нед'!K210</f>
        <v>0</v>
      </c>
      <c r="E84" s="23">
        <f>'[1]3нед'!L210</f>
        <v>0</v>
      </c>
      <c r="F84" s="21">
        <f>'[1]3нед'!O210</f>
        <v>0</v>
      </c>
      <c r="G84" s="22" t="str">
        <f>'[1]3нед'!P210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'[1]4нед'!K210</f>
        <v>0</v>
      </c>
      <c r="M84" s="23">
        <f>'[1]4нед'!L210</f>
        <v>0</v>
      </c>
      <c r="N84" s="21">
        <f>'[1]4нед'!O210</f>
        <v>0</v>
      </c>
      <c r="O84" s="22" t="str">
        <f>'[1]4нед'!P210</f>
        <v/>
      </c>
      <c r="P84" s="57" t="str">
        <f>HYPERLINK(VLOOKUP(M84,$R$12:$S$180,2,FALSE))</f>
        <v/>
      </c>
    </row>
    <row r="85" spans="1:16" ht="31.5" x14ac:dyDescent="0.2">
      <c r="A85" s="82"/>
      <c r="B85" s="85"/>
      <c r="C85" s="14" t="s">
        <v>23</v>
      </c>
      <c r="D85" s="20">
        <f>'[1]3нед'!K211</f>
        <v>0</v>
      </c>
      <c r="E85" s="23">
        <f>'[1]3нед'!L211</f>
        <v>0</v>
      </c>
      <c r="F85" s="21">
        <f>'[1]3нед'!O211</f>
        <v>0</v>
      </c>
      <c r="G85" s="22" t="str">
        <f>'[1]3нед'!P211</f>
        <v/>
      </c>
      <c r="H85" s="57" t="str">
        <f>HYPERLINK(VLOOKUP(E85,$R$12:$S$180,2,FALSE))</f>
        <v/>
      </c>
      <c r="I85" s="71"/>
      <c r="J85" s="88"/>
      <c r="K85" s="14" t="s">
        <v>23</v>
      </c>
      <c r="L85" s="20">
        <f>'[1]4нед'!K211</f>
        <v>0</v>
      </c>
      <c r="M85" s="23">
        <f>'[1]4нед'!L211</f>
        <v>0</v>
      </c>
      <c r="N85" s="21">
        <f>'[1]4нед'!O211</f>
        <v>0</v>
      </c>
      <c r="O85" s="22" t="str">
        <f>'[1]4нед'!P211</f>
        <v/>
      </c>
      <c r="P85" s="57" t="str">
        <f>HYPERLINK(VLOOKUP(M85,$R$12:$S$180,2,FALSE))</f>
        <v/>
      </c>
    </row>
    <row r="86" spans="1:16" ht="32.25" thickBot="1" x14ac:dyDescent="0.25">
      <c r="A86" s="82"/>
      <c r="B86" s="85"/>
      <c r="C86" s="14" t="s">
        <v>24</v>
      </c>
      <c r="D86" s="20">
        <f>'[1]3нед'!K212</f>
        <v>0</v>
      </c>
      <c r="E86" s="23">
        <f>'[1]3нед'!L212</f>
        <v>0</v>
      </c>
      <c r="F86" s="21">
        <f>'[1]3нед'!O212</f>
        <v>0</v>
      </c>
      <c r="G86" s="22" t="str">
        <f>'[1]3нед'!P212</f>
        <v/>
      </c>
      <c r="H86" s="57" t="str">
        <f>HYPERLINK(VLOOKUP(E86,$R$12:$S$180,2,FALSE))</f>
        <v/>
      </c>
      <c r="I86" s="71"/>
      <c r="J86" s="88"/>
      <c r="K86" s="14" t="s">
        <v>24</v>
      </c>
      <c r="L86" s="20">
        <f>'[1]4нед'!K212</f>
        <v>0</v>
      </c>
      <c r="M86" s="23">
        <f>'[1]4нед'!L212</f>
        <v>0</v>
      </c>
      <c r="N86" s="21">
        <f>'[1]4нед'!O212</f>
        <v>0</v>
      </c>
      <c r="O86" s="22" t="str">
        <f>'[1]4нед'!P212</f>
        <v/>
      </c>
      <c r="P86" s="57" t="str">
        <f>HYPERLINK(VLOOKUP(M86,$R$12:$S$180,2,FALSE))</f>
        <v/>
      </c>
    </row>
    <row r="87" spans="1:16" ht="18.399999999999999" hidden="1" customHeight="1" thickBot="1" x14ac:dyDescent="0.25">
      <c r="A87" s="83"/>
      <c r="B87" s="86"/>
      <c r="C87" s="15"/>
      <c r="D87" s="24">
        <f>'[1]3нед'!K213</f>
        <v>0</v>
      </c>
      <c r="E87" s="25">
        <f>'[1]3нед'!L213</f>
        <v>0</v>
      </c>
      <c r="F87" s="26">
        <f>'[1]3нед'!O213</f>
        <v>0</v>
      </c>
      <c r="G87" s="27" t="str">
        <f>'[1]3нед'!P213</f>
        <v/>
      </c>
      <c r="H87" s="58" t="str">
        <f>HYPERLINK(VLOOKUP(E87,$R$12:$S$180,2,FALSE))</f>
        <v/>
      </c>
      <c r="I87" s="72"/>
      <c r="J87" s="89"/>
      <c r="K87" s="15"/>
      <c r="L87" s="24">
        <f>'[1]4нед'!K213</f>
        <v>0</v>
      </c>
      <c r="M87" s="25">
        <f>'[1]4нед'!L213</f>
        <v>0</v>
      </c>
      <c r="N87" s="26">
        <f>'[1]4нед'!O213</f>
        <v>0</v>
      </c>
      <c r="O87" s="27" t="str">
        <f>'[1]4нед'!P213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'[1]3нед'!K214</f>
        <v>0</v>
      </c>
      <c r="E88" s="19">
        <f>'[1]3нед'!L214</f>
        <v>0</v>
      </c>
      <c r="F88" s="17">
        <f>'[1]3нед'!O214</f>
        <v>0</v>
      </c>
      <c r="G88" s="18" t="str">
        <f>'[1]3нед'!P214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'[1]4нед'!K214</f>
        <v>0</v>
      </c>
      <c r="M88" s="19">
        <f>'[1]4нед'!L214</f>
        <v>0</v>
      </c>
      <c r="N88" s="17">
        <f>'[1]4нед'!O214</f>
        <v>0</v>
      </c>
      <c r="O88" s="18" t="str">
        <f>'[1]4нед'!P214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61</v>
      </c>
      <c r="D89" s="20">
        <f>'[1]3нед'!K215</f>
        <v>0</v>
      </c>
      <c r="E89" s="23">
        <f>'[1]3нед'!L215</f>
        <v>0</v>
      </c>
      <c r="F89" s="21">
        <f>'[1]3нед'!O215</f>
        <v>0</v>
      </c>
      <c r="G89" s="22" t="str">
        <f>'[1]3нед'!P215</f>
        <v/>
      </c>
      <c r="H89" s="57" t="str">
        <f>HYPERLINK(VLOOKUP(E89,$R$12:$S$180,2,FALSE))</f>
        <v/>
      </c>
      <c r="I89" s="71"/>
      <c r="J89" s="74"/>
      <c r="K89" s="14" t="s">
        <v>61</v>
      </c>
      <c r="L89" s="20">
        <f>'[1]4нед'!K215</f>
        <v>0</v>
      </c>
      <c r="M89" s="23">
        <f>'[1]4нед'!L215</f>
        <v>0</v>
      </c>
      <c r="N89" s="21">
        <f>'[1]4нед'!O215</f>
        <v>0</v>
      </c>
      <c r="O89" s="22" t="str">
        <f>'[1]4нед'!P215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62</v>
      </c>
      <c r="D90" s="20">
        <f>'[1]3нед'!K216</f>
        <v>0</v>
      </c>
      <c r="E90" s="23">
        <f>'[1]3нед'!L216</f>
        <v>0</v>
      </c>
      <c r="F90" s="21">
        <f>'[1]3нед'!O216</f>
        <v>0</v>
      </c>
      <c r="G90" s="22" t="str">
        <f>'[1]3нед'!P216</f>
        <v/>
      </c>
      <c r="H90" s="57" t="str">
        <f>HYPERLINK(VLOOKUP(E90,$R$12:$S$180,2,FALSE))</f>
        <v/>
      </c>
      <c r="I90" s="71"/>
      <c r="J90" s="74"/>
      <c r="K90" s="14" t="s">
        <v>62</v>
      </c>
      <c r="L90" s="20">
        <f>'[1]4нед'!K216</f>
        <v>0</v>
      </c>
      <c r="M90" s="23">
        <f>'[1]4нед'!L216</f>
        <v>0</v>
      </c>
      <c r="N90" s="21">
        <f>'[1]4нед'!O216</f>
        <v>0</v>
      </c>
      <c r="O90" s="22" t="str">
        <f>'[1]4нед'!P216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'[1]3нед'!K217</f>
        <v>0</v>
      </c>
      <c r="E91" s="23">
        <f>'[1]3нед'!L217</f>
        <v>0</v>
      </c>
      <c r="F91" s="21">
        <f>'[1]3нед'!O217</f>
        <v>0</v>
      </c>
      <c r="G91" s="22" t="str">
        <f>'[1]3нед'!P217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'[1]4нед'!K217</f>
        <v>0</v>
      </c>
      <c r="M91" s="23">
        <f>'[1]4нед'!L217</f>
        <v>0</v>
      </c>
      <c r="N91" s="21">
        <f>'[1]4нед'!O217</f>
        <v>0</v>
      </c>
      <c r="O91" s="22" t="str">
        <f>'[1]4нед'!P217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'[1]3нед'!K218</f>
        <v>0</v>
      </c>
      <c r="E92" s="23">
        <f>'[1]3нед'!L218</f>
        <v>0</v>
      </c>
      <c r="F92" s="21">
        <f>'[1]3нед'!O218</f>
        <v>0</v>
      </c>
      <c r="G92" s="22" t="str">
        <f>'[1]3нед'!P218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'[1]4нед'!K218</f>
        <v>0</v>
      </c>
      <c r="M92" s="23">
        <f>'[1]4нед'!L218</f>
        <v>0</v>
      </c>
      <c r="N92" s="21">
        <f>'[1]4нед'!O218</f>
        <v>0</v>
      </c>
      <c r="O92" s="22" t="str">
        <f>'[1]4нед'!P218</f>
        <v/>
      </c>
      <c r="P92" s="57" t="str">
        <f>HYPERLINK(VLOOKUP(M92,$R$12:$S$180,2,FALSE))</f>
        <v/>
      </c>
    </row>
    <row r="93" spans="1:16" ht="31.5" x14ac:dyDescent="0.2">
      <c r="A93" s="82"/>
      <c r="B93" s="68"/>
      <c r="C93" s="14" t="s">
        <v>23</v>
      </c>
      <c r="D93" s="20" t="str">
        <f>'[1]3нед'!K219</f>
        <v>л</v>
      </c>
      <c r="E93" s="23" t="str">
        <f>'[1]3нед'!L219</f>
        <v>Финансово-экономический практикум</v>
      </c>
      <c r="F93" s="21" t="str">
        <f>'[1]3нед'!O219</f>
        <v>Марусик Е.А.</v>
      </c>
      <c r="G93" s="22" t="str">
        <f>'[1]3нед'!P219</f>
        <v>доцент, канд. наук</v>
      </c>
      <c r="H93" s="55" t="str">
        <f>HYPERLINK(VLOOKUP(E93,$R$12:$S$180,2,FALSE))</f>
        <v>https://max.ru/join/O7ELSE3mnUXAMkjL9zkW6akpHRr_OV1RfDfgb1E6BKA</v>
      </c>
      <c r="I93" s="71"/>
      <c r="J93" s="74"/>
      <c r="K93" s="14" t="s">
        <v>23</v>
      </c>
      <c r="L93" s="20" t="str">
        <f>'[1]4нед'!K219</f>
        <v>пр</v>
      </c>
      <c r="M93" s="23" t="str">
        <f>'[1]4нед'!L219</f>
        <v>Деньги, кредит, банки</v>
      </c>
      <c r="N93" s="21" t="str">
        <f>'[1]4нед'!O219</f>
        <v>Самчинская Я.Б.</v>
      </c>
      <c r="O93" s="22" t="str">
        <f>'[1]4нед'!P219</f>
        <v>доцент, канд. наук</v>
      </c>
      <c r="P93" s="55" t="str">
        <f>HYPERLINK(VLOOKUP(M93,$R$12:$S$180,2,FALSE))</f>
        <v>https://max.ru/join/DN-Al3Hn8BwzumxU2F0z1ZrdkkOKrJJlr2N-X5z2j-A</v>
      </c>
    </row>
    <row r="94" spans="1:16" ht="38.25" thickBot="1" x14ac:dyDescent="0.25">
      <c r="A94" s="82"/>
      <c r="B94" s="68"/>
      <c r="C94" s="14" t="s">
        <v>24</v>
      </c>
      <c r="D94" s="20" t="str">
        <f>'[1]3нед'!K220</f>
        <v>л</v>
      </c>
      <c r="E94" s="23" t="str">
        <f>'[1]3нед'!L220</f>
        <v>Нормативно-правовые основы профессиональной деятельности</v>
      </c>
      <c r="F94" s="21" t="str">
        <f>'[1]3нед'!O220</f>
        <v>Лаврищева О.А.</v>
      </c>
      <c r="G94" s="22" t="str">
        <f>'[1]3нед'!P220</f>
        <v>доцент, канд. наук</v>
      </c>
      <c r="H94" s="55" t="str">
        <f>HYPERLINK(VLOOKUP(E94,$R$12:$S$180,2,FALSE))</f>
        <v>https://max.ru/join/lLG9wFTsslIHYpmiSC-XFj3ChsNqu9JFSujMK928YAg</v>
      </c>
      <c r="I94" s="71"/>
      <c r="J94" s="74"/>
      <c r="K94" s="14" t="s">
        <v>24</v>
      </c>
      <c r="L94" s="20" t="str">
        <f>'[1]4нед'!K220</f>
        <v>пр</v>
      </c>
      <c r="M94" s="23" t="str">
        <f>'[1]4нед'!L220</f>
        <v>Геометрия</v>
      </c>
      <c r="N94" s="21" t="str">
        <f>'[1]4нед'!O220</f>
        <v>Казанцев Ю.А.</v>
      </c>
      <c r="O94" s="22" t="str">
        <f>'[1]4нед'!P220</f>
        <v>ст. преподаватель</v>
      </c>
      <c r="P94" s="55" t="str">
        <f>HYPERLINK(VLOOKUP(M94,$R$12:$S$180,2,FALSE))</f>
        <v>https://max.ru/join/DN-Al3Hn8BwzumxU2F0z1ZrdkkOKrJJlr2N-X5z2j-A</v>
      </c>
    </row>
    <row r="95" spans="1:16" ht="18.399999999999999" hidden="1" customHeight="1" thickBot="1" x14ac:dyDescent="0.25">
      <c r="A95" s="83"/>
      <c r="B95" s="69"/>
      <c r="C95" s="15"/>
      <c r="D95" s="24">
        <f>'[1]3нед'!K221</f>
        <v>0</v>
      </c>
      <c r="E95" s="25">
        <f>'[1]3нед'!L221</f>
        <v>0</v>
      </c>
      <c r="F95" s="26">
        <f>'[1]3нед'!O221</f>
        <v>0</v>
      </c>
      <c r="G95" s="27" t="str">
        <f>'[1]3нед'!P221</f>
        <v/>
      </c>
      <c r="H95" s="58" t="str">
        <f>HYPERLINK(VLOOKUP(E95,$R$12:$S$180,2,FALSE))</f>
        <v/>
      </c>
      <c r="I95" s="72"/>
      <c r="J95" s="75"/>
      <c r="K95" s="15"/>
      <c r="L95" s="24">
        <f>'[1]4нед'!K221</f>
        <v>0</v>
      </c>
      <c r="M95" s="25">
        <f>'[1]4нед'!L221</f>
        <v>0</v>
      </c>
      <c r="N95" s="26">
        <f>'[1]4нед'!O221</f>
        <v>0</v>
      </c>
      <c r="O95" s="27" t="str">
        <f>'[1]4нед'!P221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'[1]3нед'!K222</f>
        <v>0</v>
      </c>
      <c r="E96" s="19">
        <f>'[1]3нед'!L222</f>
        <v>0</v>
      </c>
      <c r="F96" s="17">
        <f>'[1]3нед'!O222</f>
        <v>0</v>
      </c>
      <c r="G96" s="18" t="str">
        <f>'[1]3нед'!P222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'[1]4нед'!K222</f>
        <v>0</v>
      </c>
      <c r="M96" s="19">
        <f>'[1]4нед'!L222</f>
        <v>0</v>
      </c>
      <c r="N96" s="17">
        <f>'[1]4нед'!O222</f>
        <v>0</v>
      </c>
      <c r="O96" s="18" t="str">
        <f>'[1]4нед'!P222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61</v>
      </c>
      <c r="D97" s="20">
        <f>'[1]3нед'!K223</f>
        <v>0</v>
      </c>
      <c r="E97" s="23">
        <f>'[1]3нед'!L223</f>
        <v>0</v>
      </c>
      <c r="F97" s="21">
        <f>'[1]3нед'!O223</f>
        <v>0</v>
      </c>
      <c r="G97" s="22" t="str">
        <f>'[1]3нед'!P223</f>
        <v/>
      </c>
      <c r="H97" s="57" t="str">
        <f>HYPERLINK(VLOOKUP(E97,$R$12:$S$180,2,FALSE))</f>
        <v/>
      </c>
      <c r="I97" s="71"/>
      <c r="J97" s="88"/>
      <c r="K97" s="14" t="s">
        <v>61</v>
      </c>
      <c r="L97" s="20">
        <f>'[1]4нед'!K223</f>
        <v>0</v>
      </c>
      <c r="M97" s="23">
        <f>'[1]4нед'!L223</f>
        <v>0</v>
      </c>
      <c r="N97" s="21">
        <f>'[1]4нед'!O223</f>
        <v>0</v>
      </c>
      <c r="O97" s="22" t="str">
        <f>'[1]4нед'!P223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62</v>
      </c>
      <c r="D98" s="20">
        <f>'[1]3нед'!K224</f>
        <v>0</v>
      </c>
      <c r="E98" s="23">
        <f>'[1]3нед'!L224</f>
        <v>0</v>
      </c>
      <c r="F98" s="21">
        <f>'[1]3нед'!O224</f>
        <v>0</v>
      </c>
      <c r="G98" s="22" t="str">
        <f>'[1]3нед'!P224</f>
        <v/>
      </c>
      <c r="H98" s="57" t="str">
        <f>HYPERLINK(VLOOKUP(E98,$R$12:$S$180,2,FALSE))</f>
        <v/>
      </c>
      <c r="I98" s="71"/>
      <c r="J98" s="88"/>
      <c r="K98" s="14" t="s">
        <v>62</v>
      </c>
      <c r="L98" s="20">
        <f>'[1]4нед'!K224</f>
        <v>0</v>
      </c>
      <c r="M98" s="23">
        <f>'[1]4нед'!L224</f>
        <v>0</v>
      </c>
      <c r="N98" s="21">
        <f>'[1]4нед'!O224</f>
        <v>0</v>
      </c>
      <c r="O98" s="22" t="str">
        <f>'[1]4нед'!P224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'[1]3нед'!K225</f>
        <v>0</v>
      </c>
      <c r="E99" s="23">
        <f>'[1]3нед'!L225</f>
        <v>0</v>
      </c>
      <c r="F99" s="21">
        <f>'[1]3нед'!O225</f>
        <v>0</v>
      </c>
      <c r="G99" s="22" t="str">
        <f>'[1]3нед'!P225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'[1]4нед'!K225</f>
        <v>0</v>
      </c>
      <c r="M99" s="23">
        <f>'[1]4нед'!L225</f>
        <v>0</v>
      </c>
      <c r="N99" s="21">
        <f>'[1]4нед'!O225</f>
        <v>0</v>
      </c>
      <c r="O99" s="22" t="str">
        <f>'[1]4нед'!P225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'[1]3нед'!K226</f>
        <v>0</v>
      </c>
      <c r="E100" s="23">
        <f>'[1]3нед'!L226</f>
        <v>0</v>
      </c>
      <c r="F100" s="21">
        <f>'[1]3нед'!O226</f>
        <v>0</v>
      </c>
      <c r="G100" s="22" t="str">
        <f>'[1]3нед'!P226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'[1]4нед'!K226</f>
        <v>0</v>
      </c>
      <c r="M100" s="23">
        <f>'[1]4нед'!L226</f>
        <v>0</v>
      </c>
      <c r="N100" s="21">
        <f>'[1]4нед'!O226</f>
        <v>0</v>
      </c>
      <c r="O100" s="22" t="str">
        <f>'[1]4нед'!P226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 t="str">
        <f>'[1]3нед'!K227</f>
        <v>л</v>
      </c>
      <c r="E101" s="23" t="str">
        <f>'[1]3нед'!L227</f>
        <v>Психология</v>
      </c>
      <c r="F101" s="21" t="str">
        <f>'[1]3нед'!O227</f>
        <v>Дьяков С.И.</v>
      </c>
      <c r="G101" s="22" t="str">
        <f>'[1]3нед'!P227</f>
        <v>профессор, д-р наук</v>
      </c>
      <c r="H101" s="55" t="str">
        <f>HYPERLINK(VLOOKUP(E101,$R$12:$S$180,2,FALSE))</f>
        <v>https://max.ru/join/g6zvD6fUKPmI5Ues4pjwwIXB0fZghlWb7Uaeuix-jUQ</v>
      </c>
      <c r="I101" s="71"/>
      <c r="J101" s="88"/>
      <c r="K101" s="14" t="s">
        <v>23</v>
      </c>
      <c r="L101" s="20" t="str">
        <f>'[1]4нед'!K227</f>
        <v>пр</v>
      </c>
      <c r="M101" s="23" t="str">
        <f>'[1]4нед'!L227</f>
        <v>Экономика фирмы</v>
      </c>
      <c r="N101" s="21" t="str">
        <f>'[1]4нед'!O227</f>
        <v>Самчинская Я.Б.</v>
      </c>
      <c r="O101" s="22" t="str">
        <f>'[1]4нед'!P227</f>
        <v>доцент, канд. наук</v>
      </c>
      <c r="P101" s="55" t="str">
        <f>HYPERLINK(VLOOKUP(M101,$R$12:$S$180,2,FALSE))</f>
        <v>https://max.ru/join/DN-Al3Hn8BwzumxU2F0z1ZrdkkOKrJJlr2N-X5z2j-A</v>
      </c>
    </row>
    <row r="102" spans="1:16" ht="32.25" thickBot="1" x14ac:dyDescent="0.25">
      <c r="A102" s="82"/>
      <c r="B102" s="85"/>
      <c r="C102" s="14" t="s">
        <v>24</v>
      </c>
      <c r="D102" s="20" t="str">
        <f>'[1]3нед'!K228</f>
        <v>пр</v>
      </c>
      <c r="E102" s="23" t="str">
        <f>'[1]3нед'!L228</f>
        <v>Основы предпринимательства</v>
      </c>
      <c r="F102" s="21" t="str">
        <f>'[1]3нед'!O228</f>
        <v>Илюшина О.Н.</v>
      </c>
      <c r="G102" s="22" t="str">
        <f>'[1]3нед'!P228</f>
        <v>доцент, канд. наук</v>
      </c>
      <c r="H102" s="55" t="str">
        <f>HYPERLINK(VLOOKUP(E102,$R$12:$S$180,2,FALSE))</f>
        <v>https://max.ru/join/DN-Al3Hn8BwzumxU2F0z1ZrdkkOKrJJlr2N-X5z2j-A</v>
      </c>
      <c r="I102" s="71"/>
      <c r="J102" s="88"/>
      <c r="K102" s="14" t="s">
        <v>24</v>
      </c>
      <c r="L102" s="20" t="str">
        <f>'[1]4нед'!K228</f>
        <v>пр</v>
      </c>
      <c r="M102" s="23" t="str">
        <f>'[1]4нед'!L228</f>
        <v>Программирование</v>
      </c>
      <c r="N102" s="21" t="str">
        <f>'[1]4нед'!O228</f>
        <v>Криницкий Ю.В.</v>
      </c>
      <c r="O102" s="22" t="str">
        <f>'[1]4нед'!P228</f>
        <v>преподаватель</v>
      </c>
      <c r="P102" s="55" t="str">
        <f>HYPERLINK(VLOOKUP(M102,$R$12:$S$180,2,FALSE))</f>
        <v>https://max.ru/join/DN-Al3Hn8BwzumxU2F0z1ZrdkkOKrJJlr2N-X5z2j-A</v>
      </c>
    </row>
    <row r="103" spans="1:16" ht="18.399999999999999" hidden="1" customHeight="1" thickBot="1" x14ac:dyDescent="0.25">
      <c r="A103" s="83"/>
      <c r="B103" s="86"/>
      <c r="C103" s="15"/>
      <c r="D103" s="24">
        <f>'[1]3нед'!K229</f>
        <v>0</v>
      </c>
      <c r="E103" s="25">
        <f>'[1]3нед'!L229</f>
        <v>0</v>
      </c>
      <c r="F103" s="26">
        <f>'[1]3нед'!O229</f>
        <v>0</v>
      </c>
      <c r="G103" s="27" t="str">
        <f>'[1]3нед'!P229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'[1]4нед'!K229</f>
        <v>0</v>
      </c>
      <c r="M103" s="25">
        <f>'[1]4нед'!L229</f>
        <v>0</v>
      </c>
      <c r="N103" s="26">
        <f>'[1]4нед'!O229</f>
        <v>0</v>
      </c>
      <c r="O103" s="27" t="str">
        <f>'[1]4нед'!P229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'[1]3нед'!K230</f>
        <v>0</v>
      </c>
      <c r="E104" s="19">
        <f>'[1]3нед'!L230</f>
        <v>0</v>
      </c>
      <c r="F104" s="17">
        <f>'[1]3нед'!O230</f>
        <v>0</v>
      </c>
      <c r="G104" s="18" t="str">
        <f>'[1]3нед'!P230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'[1]4нед'!K230</f>
        <v>0</v>
      </c>
      <c r="M104" s="19">
        <f>'[1]4нед'!L230</f>
        <v>0</v>
      </c>
      <c r="N104" s="17">
        <f>'[1]4нед'!O230</f>
        <v>0</v>
      </c>
      <c r="O104" s="18" t="str">
        <f>'[1]4нед'!P230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61</v>
      </c>
      <c r="D105" s="20">
        <f>'[1]3нед'!K231</f>
        <v>0</v>
      </c>
      <c r="E105" s="23">
        <f>'[1]3нед'!L231</f>
        <v>0</v>
      </c>
      <c r="F105" s="21">
        <f>'[1]3нед'!O231</f>
        <v>0</v>
      </c>
      <c r="G105" s="22" t="str">
        <f>'[1]3нед'!P231</f>
        <v/>
      </c>
      <c r="H105" s="57" t="str">
        <f>HYPERLINK(VLOOKUP(E105,$R$12:$S$180,2,FALSE))</f>
        <v/>
      </c>
      <c r="I105" s="71"/>
      <c r="J105" s="88"/>
      <c r="K105" s="14" t="s">
        <v>61</v>
      </c>
      <c r="L105" s="20">
        <f>'[1]4нед'!K231</f>
        <v>0</v>
      </c>
      <c r="M105" s="23">
        <f>'[1]4нед'!L231</f>
        <v>0</v>
      </c>
      <c r="N105" s="21">
        <f>'[1]4нед'!O231</f>
        <v>0</v>
      </c>
      <c r="O105" s="22" t="str">
        <f>'[1]4нед'!P231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62</v>
      </c>
      <c r="D106" s="20">
        <f>'[1]3нед'!K232</f>
        <v>0</v>
      </c>
      <c r="E106" s="23">
        <f>'[1]3нед'!L232</f>
        <v>0</v>
      </c>
      <c r="F106" s="21">
        <f>'[1]3нед'!O232</f>
        <v>0</v>
      </c>
      <c r="G106" s="22" t="str">
        <f>'[1]3нед'!P232</f>
        <v/>
      </c>
      <c r="H106" s="57" t="str">
        <f>HYPERLINK(VLOOKUP(E106,$R$12:$S$180,2,FALSE))</f>
        <v/>
      </c>
      <c r="I106" s="71"/>
      <c r="J106" s="88"/>
      <c r="K106" s="14" t="s">
        <v>62</v>
      </c>
      <c r="L106" s="20">
        <f>'[1]4нед'!K232</f>
        <v>0</v>
      </c>
      <c r="M106" s="23">
        <f>'[1]4нед'!L232</f>
        <v>0</v>
      </c>
      <c r="N106" s="21">
        <f>'[1]4нед'!O232</f>
        <v>0</v>
      </c>
      <c r="O106" s="22" t="str">
        <f>'[1]4нед'!P232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'[1]3нед'!K233</f>
        <v>0</v>
      </c>
      <c r="E107" s="23">
        <f>'[1]3нед'!L233</f>
        <v>0</v>
      </c>
      <c r="F107" s="21">
        <f>'[1]3нед'!O233</f>
        <v>0</v>
      </c>
      <c r="G107" s="22" t="str">
        <f>'[1]3нед'!P233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'[1]4нед'!K233</f>
        <v>0</v>
      </c>
      <c r="M107" s="23">
        <f>'[1]4нед'!L233</f>
        <v>0</v>
      </c>
      <c r="N107" s="21">
        <f>'[1]4нед'!O233</f>
        <v>0</v>
      </c>
      <c r="O107" s="22" t="str">
        <f>'[1]4нед'!P233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'[1]3нед'!K234</f>
        <v>0</v>
      </c>
      <c r="E108" s="23">
        <f>'[1]3нед'!L234</f>
        <v>0</v>
      </c>
      <c r="F108" s="21">
        <f>'[1]3нед'!O234</f>
        <v>0</v>
      </c>
      <c r="G108" s="22" t="str">
        <f>'[1]3нед'!P234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'[1]4нед'!K234</f>
        <v>0</v>
      </c>
      <c r="M108" s="23">
        <f>'[1]4нед'!L234</f>
        <v>0</v>
      </c>
      <c r="N108" s="21">
        <f>'[1]4нед'!O234</f>
        <v>0</v>
      </c>
      <c r="O108" s="22" t="str">
        <f>'[1]4нед'!P234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'[1]3нед'!K235</f>
        <v>0</v>
      </c>
      <c r="E109" s="23">
        <f>'[1]3нед'!L235</f>
        <v>0</v>
      </c>
      <c r="F109" s="21">
        <f>'[1]3нед'!O235</f>
        <v>0</v>
      </c>
      <c r="G109" s="22" t="str">
        <f>'[1]3нед'!P235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'[1]4нед'!K235</f>
        <v>0</v>
      </c>
      <c r="M109" s="23">
        <f>'[1]4нед'!L235</f>
        <v>0</v>
      </c>
      <c r="N109" s="21">
        <f>'[1]4нед'!O235</f>
        <v>0</v>
      </c>
      <c r="O109" s="22" t="str">
        <f>'[1]4нед'!P235</f>
        <v/>
      </c>
      <c r="P109" s="57" t="str">
        <f>HYPERLINK(VLOOKUP(M109,$R$12:$S$180,2,FALSE))</f>
        <v/>
      </c>
    </row>
    <row r="110" spans="1:16" ht="32.25" thickBot="1" x14ac:dyDescent="0.25">
      <c r="A110" s="82"/>
      <c r="B110" s="85"/>
      <c r="C110" s="14" t="s">
        <v>24</v>
      </c>
      <c r="D110" s="20">
        <f>'[1]3нед'!K236</f>
        <v>0</v>
      </c>
      <c r="E110" s="23">
        <f>'[1]3нед'!L236</f>
        <v>0</v>
      </c>
      <c r="F110" s="21">
        <f>'[1]3нед'!O236</f>
        <v>0</v>
      </c>
      <c r="G110" s="22" t="str">
        <f>'[1]3нед'!P236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'[1]4нед'!K236</f>
        <v>0</v>
      </c>
      <c r="M110" s="23">
        <f>'[1]4нед'!L236</f>
        <v>0</v>
      </c>
      <c r="N110" s="21">
        <f>'[1]4нед'!O236</f>
        <v>0</v>
      </c>
      <c r="O110" s="22" t="str">
        <f>'[1]4нед'!P236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'[1]3нед'!K237</f>
        <v>0</v>
      </c>
      <c r="E111" s="25">
        <f>'[1]3нед'!L237</f>
        <v>0</v>
      </c>
      <c r="F111" s="26">
        <f>'[1]3нед'!O237</f>
        <v>0</v>
      </c>
      <c r="G111" s="27" t="str">
        <f>'[1]3нед'!P237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'[1]4нед'!K237</f>
        <v>0</v>
      </c>
      <c r="M111" s="25">
        <f>'[1]4нед'!L237</f>
        <v>0</v>
      </c>
      <c r="N111" s="26">
        <f>'[1]4нед'!O237</f>
        <v>0</v>
      </c>
      <c r="O111" s="27" t="str">
        <f>'[1]4нед'!P237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'[1]3нед'!K238</f>
        <v>0</v>
      </c>
      <c r="E112" s="19">
        <f>'[1]3нед'!L238</f>
        <v>0</v>
      </c>
      <c r="F112" s="17">
        <f>'[1]3нед'!O238</f>
        <v>0</v>
      </c>
      <c r="G112" s="18" t="str">
        <f>'[1]3нед'!P238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'[1]4нед'!K238</f>
        <v>0</v>
      </c>
      <c r="M112" s="19">
        <f>'[1]4нед'!L238</f>
        <v>0</v>
      </c>
      <c r="N112" s="17">
        <f>'[1]4нед'!O238</f>
        <v>0</v>
      </c>
      <c r="O112" s="18" t="str">
        <f>'[1]4нед'!P238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61</v>
      </c>
      <c r="D113" s="20">
        <f>'[1]3нед'!K239</f>
        <v>0</v>
      </c>
      <c r="E113" s="23">
        <f>'[1]3нед'!L239</f>
        <v>0</v>
      </c>
      <c r="F113" s="21">
        <f>'[1]3нед'!O239</f>
        <v>0</v>
      </c>
      <c r="G113" s="22" t="str">
        <f>'[1]3нед'!P239</f>
        <v/>
      </c>
      <c r="H113" s="57" t="str">
        <f>HYPERLINK(VLOOKUP(E113,$R$12:$S$180,2,FALSE))</f>
        <v/>
      </c>
      <c r="I113" s="71"/>
      <c r="J113" s="88"/>
      <c r="K113" s="14" t="s">
        <v>61</v>
      </c>
      <c r="L113" s="20">
        <f>'[1]4нед'!K239</f>
        <v>0</v>
      </c>
      <c r="M113" s="23">
        <f>'[1]4нед'!L239</f>
        <v>0</v>
      </c>
      <c r="N113" s="21">
        <f>'[1]4нед'!O239</f>
        <v>0</v>
      </c>
      <c r="O113" s="22" t="str">
        <f>'[1]4нед'!P239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62</v>
      </c>
      <c r="D114" s="20">
        <f>'[1]3нед'!K240</f>
        <v>0</v>
      </c>
      <c r="E114" s="23">
        <f>'[1]3нед'!L240</f>
        <v>0</v>
      </c>
      <c r="F114" s="21">
        <f>'[1]3нед'!O240</f>
        <v>0</v>
      </c>
      <c r="G114" s="22" t="str">
        <f>'[1]3нед'!P240</f>
        <v/>
      </c>
      <c r="H114" s="57" t="str">
        <f>HYPERLINK(VLOOKUP(E114,$R$12:$S$180,2,FALSE))</f>
        <v/>
      </c>
      <c r="I114" s="71"/>
      <c r="J114" s="88"/>
      <c r="K114" s="14" t="s">
        <v>62</v>
      </c>
      <c r="L114" s="20">
        <f>'[1]4нед'!K240</f>
        <v>0</v>
      </c>
      <c r="M114" s="23">
        <f>'[1]4нед'!L240</f>
        <v>0</v>
      </c>
      <c r="N114" s="21">
        <f>'[1]4нед'!O240</f>
        <v>0</v>
      </c>
      <c r="O114" s="22" t="str">
        <f>'[1]4нед'!P240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'[1]3нед'!K241</f>
        <v>0</v>
      </c>
      <c r="E115" s="23">
        <f>'[1]3нед'!L241</f>
        <v>0</v>
      </c>
      <c r="F115" s="21">
        <f>'[1]3нед'!O241</f>
        <v>0</v>
      </c>
      <c r="G115" s="22" t="str">
        <f>'[1]3нед'!P241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'[1]4нед'!K241</f>
        <v>0</v>
      </c>
      <c r="M115" s="23">
        <f>'[1]4нед'!L241</f>
        <v>0</v>
      </c>
      <c r="N115" s="21">
        <f>'[1]4нед'!O241</f>
        <v>0</v>
      </c>
      <c r="O115" s="22" t="str">
        <f>'[1]4нед'!P241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'[1]3нед'!K242</f>
        <v>0</v>
      </c>
      <c r="E116" s="23">
        <f>'[1]3нед'!L242</f>
        <v>0</v>
      </c>
      <c r="F116" s="21">
        <f>'[1]3нед'!O242</f>
        <v>0</v>
      </c>
      <c r="G116" s="22" t="str">
        <f>'[1]3нед'!P242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'[1]4нед'!K242</f>
        <v>0</v>
      </c>
      <c r="M116" s="23">
        <f>'[1]4нед'!L242</f>
        <v>0</v>
      </c>
      <c r="N116" s="21">
        <f>'[1]4нед'!O242</f>
        <v>0</v>
      </c>
      <c r="O116" s="22" t="str">
        <f>'[1]4нед'!P242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'[1]3нед'!K243</f>
        <v>0</v>
      </c>
      <c r="E117" s="23">
        <f>'[1]3нед'!L243</f>
        <v>0</v>
      </c>
      <c r="F117" s="21">
        <f>'[1]3нед'!O243</f>
        <v>0</v>
      </c>
      <c r="G117" s="22" t="str">
        <f>'[1]3нед'!P243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'[1]4нед'!K243</f>
        <v>0</v>
      </c>
      <c r="M117" s="23">
        <f>'[1]4нед'!L243</f>
        <v>0</v>
      </c>
      <c r="N117" s="21">
        <f>'[1]4нед'!O243</f>
        <v>0</v>
      </c>
      <c r="O117" s="22" t="str">
        <f>'[1]4нед'!P243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'[1]3нед'!K244</f>
        <v>0</v>
      </c>
      <c r="E118" s="23">
        <f>'[1]3нед'!L244</f>
        <v>0</v>
      </c>
      <c r="F118" s="21">
        <f>'[1]3нед'!O244</f>
        <v>0</v>
      </c>
      <c r="G118" s="22" t="str">
        <f>'[1]3нед'!P244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'[1]4нед'!K244</f>
        <v>0</v>
      </c>
      <c r="M118" s="23">
        <f>'[1]4нед'!L244</f>
        <v>0</v>
      </c>
      <c r="N118" s="21">
        <f>'[1]4нед'!O244</f>
        <v>0</v>
      </c>
      <c r="O118" s="22" t="str">
        <f>'[1]4нед'!P244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'[1]1нед'!$L$196</f>
        <v>12-25МЭоз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'[1]1нед'!$L$196</f>
        <v>12-25МЭоз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'[3]5нед'!K198</f>
        <v>0</v>
      </c>
      <c r="E132" s="19">
        <f>'[3]5нед'!L198</f>
        <v>0</v>
      </c>
      <c r="F132" s="17">
        <f>'[3]5нед'!O198</f>
        <v>0</v>
      </c>
      <c r="G132" s="18" t="str">
        <f>'[3]5нед'!P198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'[3]6нед'!K198</f>
        <v>0</v>
      </c>
      <c r="M132" s="19">
        <f>'[3]6нед'!L198</f>
        <v>0</v>
      </c>
      <c r="N132" s="17">
        <f>'[3]6нед'!O198</f>
        <v>0</v>
      </c>
      <c r="O132" s="18" t="str">
        <f>'[3]6нед'!P198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61</v>
      </c>
      <c r="D133" s="20">
        <f>'[3]5нед'!K199</f>
        <v>0</v>
      </c>
      <c r="E133" s="23">
        <f>'[3]5нед'!L199</f>
        <v>0</v>
      </c>
      <c r="F133" s="21">
        <f>'[3]5нед'!O199</f>
        <v>0</v>
      </c>
      <c r="G133" s="22" t="str">
        <f>'[3]5нед'!P199</f>
        <v/>
      </c>
      <c r="H133" s="57" t="str">
        <f>HYPERLINK(VLOOKUP(E133,$R$12:$S$180,2,FALSE))</f>
        <v/>
      </c>
      <c r="I133" s="71"/>
      <c r="J133" s="88"/>
      <c r="K133" s="14" t="s">
        <v>61</v>
      </c>
      <c r="L133" s="20">
        <f>'[3]6нед'!K199</f>
        <v>0</v>
      </c>
      <c r="M133" s="23">
        <f>'[3]6нед'!L199</f>
        <v>0</v>
      </c>
      <c r="N133" s="21">
        <f>'[3]6нед'!O199</f>
        <v>0</v>
      </c>
      <c r="O133" s="22" t="str">
        <f>'[3]6нед'!P199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62</v>
      </c>
      <c r="D134" s="20">
        <f>'[3]5нед'!K200</f>
        <v>0</v>
      </c>
      <c r="E134" s="23">
        <f>'[3]5нед'!L200</f>
        <v>0</v>
      </c>
      <c r="F134" s="21">
        <f>'[3]5нед'!O200</f>
        <v>0</v>
      </c>
      <c r="G134" s="22" t="str">
        <f>'[3]5нед'!P200</f>
        <v/>
      </c>
      <c r="H134" s="57" t="str">
        <f>HYPERLINK(VLOOKUP(E134,$R$12:$S$180,2,FALSE))</f>
        <v/>
      </c>
      <c r="I134" s="71"/>
      <c r="J134" s="88"/>
      <c r="K134" s="14" t="s">
        <v>62</v>
      </c>
      <c r="L134" s="20">
        <f>'[3]6нед'!K200</f>
        <v>0</v>
      </c>
      <c r="M134" s="23">
        <f>'[3]6нед'!L200</f>
        <v>0</v>
      </c>
      <c r="N134" s="21">
        <f>'[3]6нед'!O200</f>
        <v>0</v>
      </c>
      <c r="O134" s="22" t="str">
        <f>'[3]6нед'!P200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'[3]5нед'!K201</f>
        <v>0</v>
      </c>
      <c r="E135" s="23">
        <f>'[3]5нед'!L201</f>
        <v>0</v>
      </c>
      <c r="F135" s="21">
        <f>'[3]5нед'!O201</f>
        <v>0</v>
      </c>
      <c r="G135" s="22" t="str">
        <f>'[3]5нед'!P201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'[3]6нед'!K201</f>
        <v>0</v>
      </c>
      <c r="M135" s="23">
        <f>'[3]6нед'!L201</f>
        <v>0</v>
      </c>
      <c r="N135" s="21">
        <f>'[3]6нед'!O201</f>
        <v>0</v>
      </c>
      <c r="O135" s="22" t="str">
        <f>'[3]6нед'!P201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'[3]5нед'!K202</f>
        <v>0</v>
      </c>
      <c r="E136" s="23">
        <f>'[3]5нед'!L202</f>
        <v>0</v>
      </c>
      <c r="F136" s="21">
        <f>'[3]5нед'!O202</f>
        <v>0</v>
      </c>
      <c r="G136" s="22" t="str">
        <f>'[3]5нед'!P202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'[3]6нед'!K202</f>
        <v>0</v>
      </c>
      <c r="M136" s="23">
        <f>'[3]6нед'!L202</f>
        <v>0</v>
      </c>
      <c r="N136" s="21">
        <f>'[3]6нед'!O202</f>
        <v>0</v>
      </c>
      <c r="O136" s="22" t="str">
        <f>'[3]6нед'!P202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 t="str">
        <f>'[3]5нед'!K203</f>
        <v>пр</v>
      </c>
      <c r="E137" s="23" t="str">
        <f>'[3]5нед'!L203</f>
        <v xml:space="preserve"> Финансово-экономический практикум</v>
      </c>
      <c r="F137" s="21" t="str">
        <f>'[3]5нед'!O203</f>
        <v>Бойчук О.В.</v>
      </c>
      <c r="G137" s="22" t="str">
        <f>'[3]5нед'!P203</f>
        <v>ст. преподаватель</v>
      </c>
      <c r="H137" s="55" t="str">
        <f>HYPERLINK(VLOOKUP(E137,$R$12:$S$180,2,FALSE))</f>
        <v>https://max.ru/join/F2rHatjyRcQw2TG_ocvg-KtDcxEZHt6IW5wcYLC4iuw</v>
      </c>
      <c r="I137" s="71"/>
      <c r="J137" s="88"/>
      <c r="K137" s="14" t="s">
        <v>23</v>
      </c>
      <c r="L137" s="20" t="str">
        <f>'[3]6нед'!K203</f>
        <v>л</v>
      </c>
      <c r="M137" s="23" t="str">
        <f>'[3]6нед'!L203</f>
        <v>Микроэкономика</v>
      </c>
      <c r="N137" s="21" t="str">
        <f>'[3]6нед'!O203</f>
        <v>Самчинская Я.Б.</v>
      </c>
      <c r="O137" s="22" t="str">
        <f>'[3]6нед'!P203</f>
        <v>доцент, канд. наук</v>
      </c>
      <c r="P137" s="55" t="str">
        <f>HYPERLINK(VLOOKUP(M137,$R$12:$S$180,2,FALSE))</f>
        <v>https://max.ru/join/DN-Al3Hn8BwzumxU2F0z1ZrdkkOKrJJlr2N-X5z2j-A</v>
      </c>
    </row>
    <row r="138" spans="1:16" ht="38.25" thickBot="1" x14ac:dyDescent="0.25">
      <c r="A138" s="82"/>
      <c r="B138" s="85"/>
      <c r="C138" s="14" t="s">
        <v>24</v>
      </c>
      <c r="D138" s="20" t="str">
        <f>'[3]5нед'!K204</f>
        <v>пр</v>
      </c>
      <c r="E138" s="23" t="str">
        <f>'[3]5нед'!L204</f>
        <v xml:space="preserve"> Нормативно-правовые основы профессиональной деятельности</v>
      </c>
      <c r="F138" s="21" t="str">
        <f>'[3]5нед'!O204</f>
        <v>Жанова Д.А.</v>
      </c>
      <c r="G138" s="22" t="str">
        <f>'[3]5нед'!P204</f>
        <v>преподаватель</v>
      </c>
      <c r="H138" s="55" t="str">
        <f>HYPERLINK(VLOOKUP(E138,$R$12:$S$180,2,FALSE))</f>
        <v>https://max.ru/join/F2rHatjyRcQw2TG_ocvg-KtDcxEZHt6IW5wcYLC4iuw</v>
      </c>
      <c r="I138" s="71"/>
      <c r="J138" s="88"/>
      <c r="K138" s="14" t="s">
        <v>24</v>
      </c>
      <c r="L138" s="20" t="str">
        <f>'[3]6нед'!K204</f>
        <v>л</v>
      </c>
      <c r="M138" s="23" t="str">
        <f>'[3]6нед'!L204</f>
        <v>Математический анализ</v>
      </c>
      <c r="N138" s="21" t="str">
        <f>'[3]6нед'!O204</f>
        <v>Линник Е.П.</v>
      </c>
      <c r="O138" s="22" t="str">
        <f>'[3]6нед'!P204</f>
        <v>доцент, канд. наук</v>
      </c>
      <c r="P138" s="55" t="str">
        <f>HYPERLINK(VLOOKUP(M138,$R$12:$S$180,2,FALSE))</f>
        <v>https://max.ru/join/DN-Al3Hn8BwzumxU2F0z1ZrdkkOKrJJlr2N-X5z2j-A</v>
      </c>
    </row>
    <row r="139" spans="1:16" ht="18.399999999999999" hidden="1" customHeight="1" thickBot="1" x14ac:dyDescent="0.25">
      <c r="A139" s="83"/>
      <c r="B139" s="86"/>
      <c r="C139" s="15"/>
      <c r="D139" s="24">
        <f>'[3]5нед'!K205</f>
        <v>0</v>
      </c>
      <c r="E139" s="25">
        <f>'[3]5нед'!L205</f>
        <v>0</v>
      </c>
      <c r="F139" s="26">
        <f>'[3]5нед'!O205</f>
        <v>0</v>
      </c>
      <c r="G139" s="27" t="str">
        <f>'[3]5нед'!P205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'[3]6нед'!K205</f>
        <v>0</v>
      </c>
      <c r="M139" s="25">
        <f>'[3]6нед'!L205</f>
        <v>0</v>
      </c>
      <c r="N139" s="26">
        <f>'[3]6нед'!O205</f>
        <v>0</v>
      </c>
      <c r="O139" s="27" t="str">
        <f>'[3]6нед'!P205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'[3]5нед'!K206</f>
        <v>0</v>
      </c>
      <c r="E140" s="19">
        <f>'[3]5нед'!L206</f>
        <v>0</v>
      </c>
      <c r="F140" s="17" t="str">
        <f>'[3]5нед'!O206</f>
        <v/>
      </c>
      <c r="G140" s="18" t="str">
        <f>'[3]5нед'!P206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'[3]6нед'!K206</f>
        <v>0</v>
      </c>
      <c r="M140" s="19">
        <f>'[3]6нед'!L206</f>
        <v>0</v>
      </c>
      <c r="N140" s="17">
        <f>'[3]6нед'!O206</f>
        <v>0</v>
      </c>
      <c r="O140" s="18" t="str">
        <f>'[3]6нед'!P206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61</v>
      </c>
      <c r="D141" s="20">
        <f>'[3]5нед'!K207</f>
        <v>0</v>
      </c>
      <c r="E141" s="23">
        <f>'[3]5нед'!L207</f>
        <v>0</v>
      </c>
      <c r="F141" s="21">
        <f>'[3]5нед'!O207</f>
        <v>0</v>
      </c>
      <c r="G141" s="22" t="str">
        <f>'[3]5нед'!P207</f>
        <v/>
      </c>
      <c r="H141" s="57" t="str">
        <f>HYPERLINK(VLOOKUP(E141,$R$12:$S$180,2,FALSE))</f>
        <v/>
      </c>
      <c r="I141" s="71"/>
      <c r="J141" s="88"/>
      <c r="K141" s="14" t="s">
        <v>61</v>
      </c>
      <c r="L141" s="20">
        <f>'[3]6нед'!K207</f>
        <v>0</v>
      </c>
      <c r="M141" s="23">
        <f>'[3]6нед'!L207</f>
        <v>0</v>
      </c>
      <c r="N141" s="21">
        <f>'[3]6нед'!O207</f>
        <v>0</v>
      </c>
      <c r="O141" s="22" t="str">
        <f>'[3]6нед'!P207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62</v>
      </c>
      <c r="D142" s="20">
        <f>'[3]5нед'!K208</f>
        <v>0</v>
      </c>
      <c r="E142" s="23">
        <f>'[3]5нед'!L208</f>
        <v>0</v>
      </c>
      <c r="F142" s="21">
        <f>'[3]5нед'!O208</f>
        <v>0</v>
      </c>
      <c r="G142" s="22" t="str">
        <f>'[3]5нед'!P208</f>
        <v/>
      </c>
      <c r="H142" s="57" t="str">
        <f>HYPERLINK(VLOOKUP(E142,$R$12:$S$180,2,FALSE))</f>
        <v/>
      </c>
      <c r="I142" s="71"/>
      <c r="J142" s="88"/>
      <c r="K142" s="14" t="s">
        <v>62</v>
      </c>
      <c r="L142" s="20">
        <f>'[3]6нед'!K208</f>
        <v>0</v>
      </c>
      <c r="M142" s="23">
        <f>'[3]6нед'!L208</f>
        <v>0</v>
      </c>
      <c r="N142" s="21">
        <f>'[3]6нед'!O208</f>
        <v>0</v>
      </c>
      <c r="O142" s="22" t="str">
        <f>'[3]6нед'!P208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'[3]5нед'!K209</f>
        <v>0</v>
      </c>
      <c r="E143" s="23">
        <f>'[3]5нед'!L209</f>
        <v>0</v>
      </c>
      <c r="F143" s="21">
        <f>'[3]5нед'!O209</f>
        <v>0</v>
      </c>
      <c r="G143" s="22" t="str">
        <f>'[3]5нед'!P209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'[3]6нед'!K209</f>
        <v>0</v>
      </c>
      <c r="M143" s="23">
        <f>'[3]6нед'!L209</f>
        <v>0</v>
      </c>
      <c r="N143" s="21">
        <f>'[3]6нед'!O209</f>
        <v>0</v>
      </c>
      <c r="O143" s="22" t="str">
        <f>'[3]6нед'!P209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'[3]5нед'!K210</f>
        <v>0</v>
      </c>
      <c r="E144" s="23">
        <f>'[3]5нед'!L210</f>
        <v>0</v>
      </c>
      <c r="F144" s="21">
        <f>'[3]5нед'!O210</f>
        <v>0</v>
      </c>
      <c r="G144" s="22" t="str">
        <f>'[3]5нед'!P210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'[3]6нед'!K210</f>
        <v>0</v>
      </c>
      <c r="M144" s="23">
        <f>'[3]6нед'!L210</f>
        <v>0</v>
      </c>
      <c r="N144" s="21">
        <f>'[3]6нед'!O210</f>
        <v>0</v>
      </c>
      <c r="O144" s="22" t="str">
        <f>'[3]6нед'!P210</f>
        <v/>
      </c>
      <c r="P144" s="57" t="str">
        <f>HYPERLINK(VLOOKUP(M144,$R$12:$S$180,2,FALSE))</f>
        <v/>
      </c>
    </row>
    <row r="145" spans="1:16" ht="31.5" x14ac:dyDescent="0.2">
      <c r="A145" s="82"/>
      <c r="B145" s="85"/>
      <c r="C145" s="14" t="s">
        <v>23</v>
      </c>
      <c r="D145" s="20">
        <f>'[3]5нед'!K211</f>
        <v>0</v>
      </c>
      <c r="E145" s="23">
        <f>'[3]5нед'!L211</f>
        <v>0</v>
      </c>
      <c r="F145" s="21">
        <f>'[3]5нед'!O211</f>
        <v>0</v>
      </c>
      <c r="G145" s="22" t="str">
        <f>'[3]5нед'!P211</f>
        <v/>
      </c>
      <c r="H145" s="57" t="str">
        <f>HYPERLINK(VLOOKUP(E145,$R$12:$S$180,2,FALSE))</f>
        <v/>
      </c>
      <c r="I145" s="71"/>
      <c r="J145" s="88"/>
      <c r="K145" s="14" t="s">
        <v>23</v>
      </c>
      <c r="L145" s="20">
        <f>'[3]6нед'!K211</f>
        <v>0</v>
      </c>
      <c r="M145" s="23">
        <f>'[3]6нед'!L211</f>
        <v>0</v>
      </c>
      <c r="N145" s="21">
        <f>'[3]6нед'!O211</f>
        <v>0</v>
      </c>
      <c r="O145" s="22" t="str">
        <f>'[3]6нед'!P211</f>
        <v/>
      </c>
      <c r="P145" s="57" t="str">
        <f>HYPERLINK(VLOOKUP(M145,$R$12:$S$180,2,FALSE))</f>
        <v/>
      </c>
    </row>
    <row r="146" spans="1:16" ht="38.25" thickBot="1" x14ac:dyDescent="0.25">
      <c r="A146" s="82"/>
      <c r="B146" s="85"/>
      <c r="C146" s="14" t="s">
        <v>24</v>
      </c>
      <c r="D146" s="20">
        <f>'[3]5нед'!K212</f>
        <v>0</v>
      </c>
      <c r="E146" s="23">
        <f>'[3]5нед'!L212</f>
        <v>0</v>
      </c>
      <c r="F146" s="21">
        <f>'[3]5нед'!O212</f>
        <v>0</v>
      </c>
      <c r="G146" s="22" t="str">
        <f>'[3]5нед'!P212</f>
        <v/>
      </c>
      <c r="H146" s="57" t="str">
        <f>HYPERLINK(VLOOKUP(E146,$R$12:$S$180,2,FALSE))</f>
        <v/>
      </c>
      <c r="I146" s="71"/>
      <c r="J146" s="88"/>
      <c r="K146" s="14" t="s">
        <v>24</v>
      </c>
      <c r="L146" s="20" t="str">
        <f>'[3]6нед'!K212</f>
        <v>л</v>
      </c>
      <c r="M146" s="23" t="str">
        <f>'[3]6нед'!L212</f>
        <v>Основы предпринимательства</v>
      </c>
      <c r="N146" s="21" t="str">
        <f>'[3]6нед'!O212</f>
        <v>Илюшина О.Н.</v>
      </c>
      <c r="O146" s="22" t="str">
        <f>'[3]6нед'!P212</f>
        <v>доцент, канд. наук</v>
      </c>
      <c r="P146" s="57" t="str">
        <f>HYPERLINK(VLOOKUP(M146,$R$12:$S$180,2,FALSE))</f>
        <v>https://max.ru/join/DN-Al3Hn8BwzumxU2F0z1ZrdkkOKrJJlr2N-X5z2j-A</v>
      </c>
    </row>
    <row r="147" spans="1:16" ht="18.399999999999999" hidden="1" customHeight="1" thickBot="1" x14ac:dyDescent="0.25">
      <c r="A147" s="83"/>
      <c r="B147" s="86"/>
      <c r="C147" s="15"/>
      <c r="D147" s="24">
        <f>'[3]5нед'!K213</f>
        <v>0</v>
      </c>
      <c r="E147" s="25">
        <f>'[3]5нед'!L213</f>
        <v>0</v>
      </c>
      <c r="F147" s="26">
        <f>'[3]5нед'!O213</f>
        <v>0</v>
      </c>
      <c r="G147" s="27" t="str">
        <f>'[3]5нед'!P213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'[3]6нед'!K213</f>
        <v>0</v>
      </c>
      <c r="M147" s="25">
        <f>'[3]6нед'!L213</f>
        <v>0</v>
      </c>
      <c r="N147" s="26">
        <f>'[3]6нед'!O213</f>
        <v>0</v>
      </c>
      <c r="O147" s="27" t="str">
        <f>'[3]6нед'!P213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'[3]5нед'!K214</f>
        <v>0</v>
      </c>
      <c r="E148" s="19">
        <f>'[3]5нед'!L214</f>
        <v>0</v>
      </c>
      <c r="F148" s="17">
        <f>'[3]5нед'!O214</f>
        <v>0</v>
      </c>
      <c r="G148" s="18" t="str">
        <f>'[3]5нед'!P214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'[3]6нед'!K214</f>
        <v>0</v>
      </c>
      <c r="M148" s="19">
        <f>'[3]6нед'!L214</f>
        <v>0</v>
      </c>
      <c r="N148" s="17">
        <f>'[3]6нед'!O214</f>
        <v>0</v>
      </c>
      <c r="O148" s="18" t="str">
        <f>'[3]6нед'!P214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61</v>
      </c>
      <c r="D149" s="20">
        <f>'[3]5нед'!K215</f>
        <v>0</v>
      </c>
      <c r="E149" s="23">
        <f>'[3]5нед'!L215</f>
        <v>0</v>
      </c>
      <c r="F149" s="21">
        <f>'[3]5нед'!O215</f>
        <v>0</v>
      </c>
      <c r="G149" s="22" t="str">
        <f>'[3]5нед'!P215</f>
        <v/>
      </c>
      <c r="H149" s="57" t="str">
        <f>HYPERLINK(VLOOKUP(E149,$R$12:$S$180,2,FALSE))</f>
        <v/>
      </c>
      <c r="I149" s="71"/>
      <c r="J149" s="74"/>
      <c r="K149" s="14" t="s">
        <v>61</v>
      </c>
      <c r="L149" s="20">
        <f>'[3]6нед'!K215</f>
        <v>0</v>
      </c>
      <c r="M149" s="23">
        <f>'[3]6нед'!L215</f>
        <v>0</v>
      </c>
      <c r="N149" s="21">
        <f>'[3]6нед'!O215</f>
        <v>0</v>
      </c>
      <c r="O149" s="22" t="str">
        <f>'[3]6нед'!P215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62</v>
      </c>
      <c r="D150" s="20">
        <f>'[3]5нед'!K216</f>
        <v>0</v>
      </c>
      <c r="E150" s="23">
        <f>'[3]5нед'!L216</f>
        <v>0</v>
      </c>
      <c r="F150" s="21">
        <f>'[3]5нед'!O216</f>
        <v>0</v>
      </c>
      <c r="G150" s="22" t="str">
        <f>'[3]5нед'!P216</f>
        <v/>
      </c>
      <c r="H150" s="57" t="str">
        <f>HYPERLINK(VLOOKUP(E150,$R$12:$S$180,2,FALSE))</f>
        <v/>
      </c>
      <c r="I150" s="71"/>
      <c r="J150" s="74"/>
      <c r="K150" s="14" t="s">
        <v>62</v>
      </c>
      <c r="L150" s="20">
        <f>'[3]6нед'!K216</f>
        <v>0</v>
      </c>
      <c r="M150" s="23">
        <f>'[3]6нед'!L216</f>
        <v>0</v>
      </c>
      <c r="N150" s="21">
        <f>'[3]6нед'!O216</f>
        <v>0</v>
      </c>
      <c r="O150" s="22" t="str">
        <f>'[3]6нед'!P216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'[3]5нед'!K217</f>
        <v>0</v>
      </c>
      <c r="E151" s="23">
        <f>'[3]5нед'!L217</f>
        <v>0</v>
      </c>
      <c r="F151" s="21">
        <f>'[3]5нед'!O217</f>
        <v>0</v>
      </c>
      <c r="G151" s="22" t="str">
        <f>'[3]5нед'!P217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'[3]6нед'!K217</f>
        <v>0</v>
      </c>
      <c r="M151" s="23">
        <f>'[3]6нед'!L217</f>
        <v>0</v>
      </c>
      <c r="N151" s="21">
        <f>'[3]6нед'!O217</f>
        <v>0</v>
      </c>
      <c r="O151" s="22" t="str">
        <f>'[3]6нед'!P217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'[3]5нед'!K218</f>
        <v>0</v>
      </c>
      <c r="E152" s="23">
        <f>'[3]5нед'!L218</f>
        <v>0</v>
      </c>
      <c r="F152" s="21">
        <f>'[3]5нед'!O218</f>
        <v>0</v>
      </c>
      <c r="G152" s="22" t="str">
        <f>'[3]5нед'!P218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'[3]6нед'!K218</f>
        <v>0</v>
      </c>
      <c r="M152" s="23">
        <f>'[3]6нед'!L218</f>
        <v>0</v>
      </c>
      <c r="N152" s="21">
        <f>'[3]6нед'!O218</f>
        <v>0</v>
      </c>
      <c r="O152" s="22" t="str">
        <f>'[3]6нед'!P218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'[3]5нед'!K219</f>
        <v>0</v>
      </c>
      <c r="E153" s="23">
        <f>'[3]5нед'!L219</f>
        <v>0</v>
      </c>
      <c r="F153" s="21">
        <f>'[3]5нед'!O219</f>
        <v>0</v>
      </c>
      <c r="G153" s="22" t="str">
        <f>'[3]5нед'!P219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 t="str">
        <f>'[3]6нед'!K219</f>
        <v>л</v>
      </c>
      <c r="M153" s="23" t="str">
        <f>'[3]6нед'!L219</f>
        <v>Деньги, кредит, банки</v>
      </c>
      <c r="N153" s="21" t="str">
        <f>'[3]6нед'!O219</f>
        <v>Самчинская Я.Б.</v>
      </c>
      <c r="O153" s="22" t="str">
        <f>'[3]6нед'!P219</f>
        <v>доцент, канд. наук</v>
      </c>
      <c r="P153" s="55" t="str">
        <f>HYPERLINK(VLOOKUP(M153,$R$12:$S$180,2,FALSE))</f>
        <v>https://max.ru/join/DN-Al3Hn8BwzumxU2F0z1ZrdkkOKrJJlr2N-X5z2j-A</v>
      </c>
    </row>
    <row r="154" spans="1:16" ht="32.25" thickBot="1" x14ac:dyDescent="0.25">
      <c r="A154" s="82"/>
      <c r="B154" s="68"/>
      <c r="C154" s="14" t="s">
        <v>24</v>
      </c>
      <c r="D154" s="20">
        <f>'[3]5нед'!K220</f>
        <v>0</v>
      </c>
      <c r="E154" s="23">
        <f>'[3]5нед'!L220</f>
        <v>0</v>
      </c>
      <c r="F154" s="21">
        <f>'[3]5нед'!O220</f>
        <v>0</v>
      </c>
      <c r="G154" s="22" t="str">
        <f>'[3]5нед'!P220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'[3]6нед'!K220</f>
        <v>л</v>
      </c>
      <c r="M154" s="23" t="str">
        <f>'[3]6нед'!L220</f>
        <v>Геометрия</v>
      </c>
      <c r="N154" s="21" t="str">
        <f>'[3]6нед'!O220</f>
        <v>Казанцев Ю.А.</v>
      </c>
      <c r="O154" s="22" t="str">
        <f>'[3]6нед'!P220</f>
        <v>ст. преподаватель</v>
      </c>
      <c r="P154" s="55" t="str">
        <f>HYPERLINK(VLOOKUP(M154,$R$12:$S$180,2,FALSE))</f>
        <v>https://max.ru/join/DN-Al3Hn8BwzumxU2F0z1ZrdkkOKrJJlr2N-X5z2j-A</v>
      </c>
    </row>
    <row r="155" spans="1:16" ht="18.399999999999999" hidden="1" customHeight="1" thickBot="1" x14ac:dyDescent="0.25">
      <c r="A155" s="83"/>
      <c r="B155" s="69"/>
      <c r="C155" s="15"/>
      <c r="D155" s="24">
        <f>'[3]5нед'!K221</f>
        <v>0</v>
      </c>
      <c r="E155" s="25">
        <f>'[3]5нед'!L221</f>
        <v>0</v>
      </c>
      <c r="F155" s="26">
        <f>'[3]5нед'!O221</f>
        <v>0</v>
      </c>
      <c r="G155" s="27" t="str">
        <f>'[3]5нед'!P221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'[3]6нед'!K221</f>
        <v>0</v>
      </c>
      <c r="M155" s="25">
        <f>'[3]6нед'!L221</f>
        <v>0</v>
      </c>
      <c r="N155" s="26">
        <f>'[3]6нед'!O221</f>
        <v>0</v>
      </c>
      <c r="O155" s="27" t="str">
        <f>'[3]6нед'!P221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'[3]5нед'!K222</f>
        <v>0</v>
      </c>
      <c r="E156" s="19">
        <f>'[3]5нед'!L222</f>
        <v>0</v>
      </c>
      <c r="F156" s="17">
        <f>'[3]5нед'!O222</f>
        <v>0</v>
      </c>
      <c r="G156" s="18" t="str">
        <f>'[3]5нед'!P222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'[3]6нед'!K222</f>
        <v>0</v>
      </c>
      <c r="M156" s="19">
        <f>'[3]6нед'!L222</f>
        <v>0</v>
      </c>
      <c r="N156" s="17">
        <f>'[3]6нед'!O222</f>
        <v>0</v>
      </c>
      <c r="O156" s="18" t="str">
        <f>'[3]6нед'!P222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61</v>
      </c>
      <c r="D157" s="20">
        <f>'[3]5нед'!K223</f>
        <v>0</v>
      </c>
      <c r="E157" s="23">
        <f>'[3]5нед'!L223</f>
        <v>0</v>
      </c>
      <c r="F157" s="21">
        <f>'[3]5нед'!O223</f>
        <v>0</v>
      </c>
      <c r="G157" s="22" t="str">
        <f>'[3]5нед'!P223</f>
        <v/>
      </c>
      <c r="H157" s="57" t="str">
        <f>HYPERLINK(VLOOKUP(E157,$R$12:$S$180,2,FALSE))</f>
        <v/>
      </c>
      <c r="I157" s="71"/>
      <c r="J157" s="88"/>
      <c r="K157" s="14" t="s">
        <v>61</v>
      </c>
      <c r="L157" s="20">
        <f>'[3]6нед'!K223</f>
        <v>0</v>
      </c>
      <c r="M157" s="23">
        <f>'[3]6нед'!L223</f>
        <v>0</v>
      </c>
      <c r="N157" s="21">
        <f>'[3]6нед'!O223</f>
        <v>0</v>
      </c>
      <c r="O157" s="22" t="str">
        <f>'[3]6нед'!P223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62</v>
      </c>
      <c r="D158" s="20">
        <f>'[3]5нед'!K224</f>
        <v>0</v>
      </c>
      <c r="E158" s="23">
        <f>'[3]5нед'!L224</f>
        <v>0</v>
      </c>
      <c r="F158" s="21">
        <f>'[3]5нед'!O224</f>
        <v>0</v>
      </c>
      <c r="G158" s="22" t="str">
        <f>'[3]5нед'!P224</f>
        <v/>
      </c>
      <c r="H158" s="57" t="str">
        <f>HYPERLINK(VLOOKUP(E158,$R$12:$S$180,2,FALSE))</f>
        <v/>
      </c>
      <c r="I158" s="71"/>
      <c r="J158" s="88"/>
      <c r="K158" s="14" t="s">
        <v>62</v>
      </c>
      <c r="L158" s="20">
        <f>'[3]6нед'!K224</f>
        <v>0</v>
      </c>
      <c r="M158" s="23">
        <f>'[3]6нед'!L224</f>
        <v>0</v>
      </c>
      <c r="N158" s="21">
        <f>'[3]6нед'!O224</f>
        <v>0</v>
      </c>
      <c r="O158" s="22" t="str">
        <f>'[3]6нед'!P224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'[3]5нед'!K225</f>
        <v>0</v>
      </c>
      <c r="E159" s="23">
        <f>'[3]5нед'!L225</f>
        <v>0</v>
      </c>
      <c r="F159" s="21">
        <f>'[3]5нед'!O225</f>
        <v>0</v>
      </c>
      <c r="G159" s="22" t="str">
        <f>'[3]5нед'!P225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'[3]6нед'!K225</f>
        <v>0</v>
      </c>
      <c r="M159" s="23">
        <f>'[3]6нед'!L225</f>
        <v>0</v>
      </c>
      <c r="N159" s="21">
        <f>'[3]6нед'!O225</f>
        <v>0</v>
      </c>
      <c r="O159" s="22" t="str">
        <f>'[3]6нед'!P225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'[3]5нед'!K226</f>
        <v>0</v>
      </c>
      <c r="E160" s="23">
        <f>'[3]5нед'!L226</f>
        <v>0</v>
      </c>
      <c r="F160" s="21">
        <f>'[3]5нед'!O226</f>
        <v>0</v>
      </c>
      <c r="G160" s="22" t="str">
        <f>'[3]5нед'!P226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'[3]6нед'!K226</f>
        <v>0</v>
      </c>
      <c r="M160" s="23">
        <f>'[3]6нед'!L226</f>
        <v>0</v>
      </c>
      <c r="N160" s="21">
        <f>'[3]6нед'!O226</f>
        <v>0</v>
      </c>
      <c r="O160" s="22" t="str">
        <f>'[3]6нед'!P226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 t="str">
        <f>'[3]5нед'!K227</f>
        <v>пр</v>
      </c>
      <c r="E161" s="23" t="str">
        <f>'[3]5нед'!L227</f>
        <v xml:space="preserve"> Математический анализ</v>
      </c>
      <c r="F161" s="21" t="str">
        <f>'[3]5нед'!O227</f>
        <v>Якимова В.В.</v>
      </c>
      <c r="G161" s="22" t="str">
        <f>'[3]5нед'!P227</f>
        <v>ст. преподаватель</v>
      </c>
      <c r="H161" s="55" t="str">
        <f>HYPERLINK(VLOOKUP(E161,$R$12:$S$180,2,FALSE))</f>
        <v>https://max.ru/join/DN-Al3Hn8BwzumxU2F0z1ZrdkkOKrJJlr2N-X5z2j-A</v>
      </c>
      <c r="I161" s="71"/>
      <c r="J161" s="88"/>
      <c r="K161" s="14" t="s">
        <v>23</v>
      </c>
      <c r="L161" s="20" t="str">
        <f>'[3]6нед'!K227</f>
        <v>л</v>
      </c>
      <c r="M161" s="23" t="str">
        <f>'[3]6нед'!L227</f>
        <v>Экономика фирмы</v>
      </c>
      <c r="N161" s="21" t="str">
        <f>'[3]6нед'!O227</f>
        <v>Самчинская Я.Б.</v>
      </c>
      <c r="O161" s="22" t="str">
        <f>'[3]6нед'!P227</f>
        <v>доцент, канд. наук</v>
      </c>
      <c r="P161" s="55" t="str">
        <f>HYPERLINK(VLOOKUP(M161,$R$12:$S$180,2,FALSE))</f>
        <v>https://max.ru/join/DN-Al3Hn8BwzumxU2F0z1ZrdkkOKrJJlr2N-X5z2j-A</v>
      </c>
    </row>
    <row r="162" spans="1:16" ht="32.25" thickBot="1" x14ac:dyDescent="0.25">
      <c r="A162" s="82"/>
      <c r="B162" s="85"/>
      <c r="C162" s="14" t="s">
        <v>24</v>
      </c>
      <c r="D162" s="20" t="str">
        <f>'[3]5нед'!K228</f>
        <v>л</v>
      </c>
      <c r="E162" s="23" t="str">
        <f>'[3]5нед'!L228</f>
        <v>Алгебра</v>
      </c>
      <c r="F162" s="21" t="str">
        <f>'[3]5нед'!O228</f>
        <v>Овчинникова М.В.</v>
      </c>
      <c r="G162" s="22" t="str">
        <f>'[3]5нед'!P228</f>
        <v>доцент, канд. наук</v>
      </c>
      <c r="H162" s="55" t="str">
        <f>HYPERLINK(VLOOKUP(E162,$R$12:$S$180,2,FALSE))</f>
        <v>https://max.ru/join/DN-Al3Hn8BwzumxU2F0z1ZrdkkOKrJJlr2N-X5z2j-A</v>
      </c>
      <c r="I162" s="71"/>
      <c r="J162" s="88"/>
      <c r="K162" s="14" t="s">
        <v>24</v>
      </c>
      <c r="L162" s="20" t="str">
        <f>'[3]6нед'!K228</f>
        <v>л</v>
      </c>
      <c r="M162" s="23" t="str">
        <f>'[3]6нед'!L228</f>
        <v>Программирование</v>
      </c>
      <c r="N162" s="21" t="str">
        <f>'[3]6нед'!O228</f>
        <v>Криницкий Ю.В.</v>
      </c>
      <c r="O162" s="22" t="str">
        <f>'[3]6нед'!P228</f>
        <v>преподаватель</v>
      </c>
      <c r="P162" s="55" t="str">
        <f>HYPERLINK(VLOOKUP(M162,$R$12:$S$180,2,FALSE))</f>
        <v>https://max.ru/join/DN-Al3Hn8BwzumxU2F0z1ZrdkkOKrJJlr2N-X5z2j-A</v>
      </c>
    </row>
    <row r="163" spans="1:16" ht="18.399999999999999" hidden="1" customHeight="1" thickBot="1" x14ac:dyDescent="0.25">
      <c r="A163" s="83"/>
      <c r="B163" s="86"/>
      <c r="C163" s="15"/>
      <c r="D163" s="24">
        <f>'[3]5нед'!K229</f>
        <v>0</v>
      </c>
      <c r="E163" s="25">
        <f>'[3]5нед'!L229</f>
        <v>0</v>
      </c>
      <c r="F163" s="26">
        <f>'[3]5нед'!O229</f>
        <v>0</v>
      </c>
      <c r="G163" s="27" t="str">
        <f>'[3]5нед'!P229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'[3]6нед'!K229</f>
        <v>0</v>
      </c>
      <c r="M163" s="25">
        <f>'[3]6нед'!L229</f>
        <v>0</v>
      </c>
      <c r="N163" s="26">
        <f>'[3]6нед'!O229</f>
        <v>0</v>
      </c>
      <c r="O163" s="27" t="str">
        <f>'[3]6нед'!P229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'[3]5нед'!K230</f>
        <v>0</v>
      </c>
      <c r="E164" s="19">
        <f>'[3]5нед'!L230</f>
        <v>0</v>
      </c>
      <c r="F164" s="17">
        <f>'[3]5нед'!O230</f>
        <v>0</v>
      </c>
      <c r="G164" s="18" t="str">
        <f>'[3]5нед'!P230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'[3]6нед'!K230</f>
        <v>0</v>
      </c>
      <c r="M164" s="19">
        <f>'[3]6нед'!L230</f>
        <v>0</v>
      </c>
      <c r="N164" s="17">
        <f>'[3]6нед'!O230</f>
        <v>0</v>
      </c>
      <c r="O164" s="18" t="str">
        <f>'[3]6нед'!P230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61</v>
      </c>
      <c r="D165" s="20">
        <f>'[3]5нед'!K231</f>
        <v>0</v>
      </c>
      <c r="E165" s="23">
        <f>'[3]5нед'!L231</f>
        <v>0</v>
      </c>
      <c r="F165" s="21">
        <f>'[3]5нед'!O231</f>
        <v>0</v>
      </c>
      <c r="G165" s="22" t="str">
        <f>'[3]5нед'!P231</f>
        <v/>
      </c>
      <c r="H165" s="57" t="str">
        <f>HYPERLINK(VLOOKUP(E165,$R$12:$S$180,2,FALSE))</f>
        <v/>
      </c>
      <c r="I165" s="71"/>
      <c r="J165" s="88"/>
      <c r="K165" s="14" t="s">
        <v>61</v>
      </c>
      <c r="L165" s="20">
        <f>'[3]6нед'!K231</f>
        <v>0</v>
      </c>
      <c r="M165" s="23">
        <f>'[3]6нед'!L231</f>
        <v>0</v>
      </c>
      <c r="N165" s="21">
        <f>'[3]6нед'!O231</f>
        <v>0</v>
      </c>
      <c r="O165" s="22" t="str">
        <f>'[3]6нед'!P231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62</v>
      </c>
      <c r="D166" s="20">
        <f>'[3]5нед'!K232</f>
        <v>0</v>
      </c>
      <c r="E166" s="23">
        <f>'[3]5нед'!L232</f>
        <v>0</v>
      </c>
      <c r="F166" s="21">
        <f>'[3]5нед'!O232</f>
        <v>0</v>
      </c>
      <c r="G166" s="22" t="str">
        <f>'[3]5нед'!P232</f>
        <v/>
      </c>
      <c r="H166" s="57" t="str">
        <f>HYPERLINK(VLOOKUP(E166,$R$12:$S$180,2,FALSE))</f>
        <v/>
      </c>
      <c r="I166" s="71"/>
      <c r="J166" s="88"/>
      <c r="K166" s="14" t="s">
        <v>62</v>
      </c>
      <c r="L166" s="20">
        <f>'[3]6нед'!K232</f>
        <v>0</v>
      </c>
      <c r="M166" s="23">
        <f>'[3]6нед'!L232</f>
        <v>0</v>
      </c>
      <c r="N166" s="21">
        <f>'[3]6нед'!O232</f>
        <v>0</v>
      </c>
      <c r="O166" s="22" t="str">
        <f>'[3]6нед'!P232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'[3]5нед'!K233</f>
        <v>0</v>
      </c>
      <c r="E167" s="23">
        <f>'[3]5нед'!L233</f>
        <v>0</v>
      </c>
      <c r="F167" s="21">
        <f>'[3]5нед'!O233</f>
        <v>0</v>
      </c>
      <c r="G167" s="22" t="str">
        <f>'[3]5нед'!P233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'[3]6нед'!K233</f>
        <v>0</v>
      </c>
      <c r="M167" s="23">
        <f>'[3]6нед'!L233</f>
        <v>0</v>
      </c>
      <c r="N167" s="21">
        <f>'[3]6нед'!O233</f>
        <v>0</v>
      </c>
      <c r="O167" s="22" t="str">
        <f>'[3]6нед'!P233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'[3]5нед'!K234</f>
        <v>0</v>
      </c>
      <c r="E168" s="23">
        <f>'[3]5нед'!L234</f>
        <v>0</v>
      </c>
      <c r="F168" s="21">
        <f>'[3]5нед'!O234</f>
        <v>0</v>
      </c>
      <c r="G168" s="22" t="str">
        <f>'[3]5нед'!P234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'[3]6нед'!K234</f>
        <v>0</v>
      </c>
      <c r="M168" s="23">
        <f>'[3]6нед'!L234</f>
        <v>0</v>
      </c>
      <c r="N168" s="21">
        <f>'[3]6нед'!O234</f>
        <v>0</v>
      </c>
      <c r="O168" s="22" t="str">
        <f>'[3]6нед'!P234</f>
        <v/>
      </c>
      <c r="P168" s="57" t="str">
        <f>HYPERLINK(VLOOKUP(M168,$R$12:$S$180,2,FALSE))</f>
        <v/>
      </c>
    </row>
    <row r="169" spans="1:16" ht="37.5" x14ac:dyDescent="0.2">
      <c r="A169" s="82"/>
      <c r="B169" s="85"/>
      <c r="C169" s="14" t="s">
        <v>23</v>
      </c>
      <c r="D169" s="20" t="str">
        <f>'[3]5нед'!K235</f>
        <v>пр</v>
      </c>
      <c r="E169" s="23" t="str">
        <f>'[3]5нед'!L235</f>
        <v xml:space="preserve"> Педагогика</v>
      </c>
      <c r="F169" s="21" t="str">
        <f>'[3]5нед'!O235</f>
        <v>Кобзева Е.В.</v>
      </c>
      <c r="G169" s="22" t="str">
        <f>'[3]5нед'!P235</f>
        <v>преподаватель</v>
      </c>
      <c r="H169" s="57" t="str">
        <f>HYPERLINK(VLOOKUP(E169,$R$12:$S$180,2,FALSE))</f>
        <v>https://max.ru/join/83qviP_NZQNUREKHhLZDjtaG-cPRrU7VmIRLd2eydTs</v>
      </c>
      <c r="I169" s="71"/>
      <c r="J169" s="88"/>
      <c r="K169" s="14" t="s">
        <v>23</v>
      </c>
      <c r="L169" s="20">
        <f>'[3]6нед'!K235</f>
        <v>0</v>
      </c>
      <c r="M169" s="23">
        <f>'[3]6нед'!L235</f>
        <v>0</v>
      </c>
      <c r="N169" s="21">
        <f>'[3]6нед'!O235</f>
        <v>0</v>
      </c>
      <c r="O169" s="22" t="str">
        <f>'[3]6нед'!P235</f>
        <v/>
      </c>
      <c r="P169" s="57" t="str">
        <f>HYPERLINK(VLOOKUP(M169,$R$12:$S$180,2,FALSE))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'[3]5нед'!K236</f>
        <v>пр</v>
      </c>
      <c r="E170" s="23" t="str">
        <f>'[3]5нед'!L236</f>
        <v xml:space="preserve"> Психология</v>
      </c>
      <c r="F170" s="21" t="str">
        <f>'[3]5нед'!O236</f>
        <v>Кирилюк Л.Л.</v>
      </c>
      <c r="G170" s="22" t="str">
        <f>'[3]5нед'!P236</f>
        <v>преподаватель</v>
      </c>
      <c r="H170" s="57" t="str">
        <f>HYPERLINK(VLOOKUP(E170,$R$12:$S$180,2,FALSE))</f>
        <v>https://max.ru/join/83qviP_NZQNUREKHhLZDjtaG-cPRrU7VmIRLd2eydTs</v>
      </c>
      <c r="I170" s="71"/>
      <c r="J170" s="88"/>
      <c r="K170" s="14" t="s">
        <v>24</v>
      </c>
      <c r="L170" s="20">
        <f>'[3]6нед'!K236</f>
        <v>0</v>
      </c>
      <c r="M170" s="23">
        <f>'[3]6нед'!L236</f>
        <v>0</v>
      </c>
      <c r="N170" s="21">
        <f>'[3]6нед'!O236</f>
        <v>0</v>
      </c>
      <c r="O170" s="22" t="str">
        <f>'[3]6нед'!P236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'[3]5нед'!K237</f>
        <v>0</v>
      </c>
      <c r="E171" s="25">
        <f>'[3]5нед'!L237</f>
        <v>0</v>
      </c>
      <c r="F171" s="26">
        <f>'[3]5нед'!O237</f>
        <v>0</v>
      </c>
      <c r="G171" s="27" t="str">
        <f>'[3]5нед'!P237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'[3]6нед'!K237</f>
        <v>0</v>
      </c>
      <c r="M171" s="25">
        <f>'[3]6нед'!L237</f>
        <v>0</v>
      </c>
      <c r="N171" s="26">
        <f>'[3]6нед'!O237</f>
        <v>0</v>
      </c>
      <c r="O171" s="27" t="str">
        <f>'[3]6нед'!P237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'[3]5нед'!K238</f>
        <v>0</v>
      </c>
      <c r="E172" s="19">
        <f>'[3]5нед'!L238</f>
        <v>0</v>
      </c>
      <c r="F172" s="17">
        <f>'[3]5нед'!O238</f>
        <v>0</v>
      </c>
      <c r="G172" s="18" t="str">
        <f>'[3]5нед'!P238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'[3]6нед'!K238</f>
        <v>0</v>
      </c>
      <c r="M172" s="19">
        <f>'[3]6нед'!L238</f>
        <v>0</v>
      </c>
      <c r="N172" s="17">
        <f>'[3]6нед'!O238</f>
        <v>0</v>
      </c>
      <c r="O172" s="18" t="str">
        <f>'[3]6нед'!P238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61</v>
      </c>
      <c r="D173" s="20">
        <f>'[3]5нед'!K239</f>
        <v>0</v>
      </c>
      <c r="E173" s="23">
        <f>'[3]5нед'!L239</f>
        <v>0</v>
      </c>
      <c r="F173" s="21">
        <f>'[3]5нед'!O239</f>
        <v>0</v>
      </c>
      <c r="G173" s="22" t="str">
        <f>'[3]5нед'!P239</f>
        <v/>
      </c>
      <c r="H173" s="57" t="str">
        <f>HYPERLINK(VLOOKUP(E173,$R$12:$S$180,2,FALSE))</f>
        <v/>
      </c>
      <c r="I173" s="71"/>
      <c r="J173" s="88"/>
      <c r="K173" s="14" t="s">
        <v>61</v>
      </c>
      <c r="L173" s="20">
        <f>'[3]6нед'!K239</f>
        <v>0</v>
      </c>
      <c r="M173" s="23">
        <f>'[3]6нед'!L239</f>
        <v>0</v>
      </c>
      <c r="N173" s="21">
        <f>'[3]6нед'!O239</f>
        <v>0</v>
      </c>
      <c r="O173" s="22" t="str">
        <f>'[3]6нед'!P239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62</v>
      </c>
      <c r="D174" s="20">
        <f>'[3]5нед'!K240</f>
        <v>0</v>
      </c>
      <c r="E174" s="23">
        <f>'[3]5нед'!L240</f>
        <v>0</v>
      </c>
      <c r="F174" s="21">
        <f>'[3]5нед'!O240</f>
        <v>0</v>
      </c>
      <c r="G174" s="22" t="str">
        <f>'[3]5нед'!P240</f>
        <v/>
      </c>
      <c r="H174" s="57" t="str">
        <f>HYPERLINK(VLOOKUP(E174,$R$12:$S$180,2,FALSE))</f>
        <v/>
      </c>
      <c r="I174" s="71"/>
      <c r="J174" s="88"/>
      <c r="K174" s="14" t="s">
        <v>62</v>
      </c>
      <c r="L174" s="20">
        <f>'[3]6нед'!K240</f>
        <v>0</v>
      </c>
      <c r="M174" s="23">
        <f>'[3]6нед'!L240</f>
        <v>0</v>
      </c>
      <c r="N174" s="21">
        <f>'[3]6нед'!O240</f>
        <v>0</v>
      </c>
      <c r="O174" s="22" t="str">
        <f>'[3]6нед'!P240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'[3]5нед'!K241</f>
        <v>0</v>
      </c>
      <c r="E175" s="23">
        <f>'[3]5нед'!L241</f>
        <v>0</v>
      </c>
      <c r="F175" s="21">
        <f>'[3]5нед'!O241</f>
        <v>0</v>
      </c>
      <c r="G175" s="22" t="str">
        <f>'[3]5нед'!P241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'[3]6нед'!K241</f>
        <v>0</v>
      </c>
      <c r="M175" s="23">
        <f>'[3]6нед'!L241</f>
        <v>0</v>
      </c>
      <c r="N175" s="21">
        <f>'[3]6нед'!O241</f>
        <v>0</v>
      </c>
      <c r="O175" s="22" t="str">
        <f>'[3]6нед'!P241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'[3]5нед'!K242</f>
        <v>0</v>
      </c>
      <c r="E176" s="23">
        <f>'[3]5нед'!L242</f>
        <v>0</v>
      </c>
      <c r="F176" s="21">
        <f>'[3]5нед'!O242</f>
        <v>0</v>
      </c>
      <c r="G176" s="22" t="str">
        <f>'[3]5нед'!P242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'[3]6нед'!K242</f>
        <v>0</v>
      </c>
      <c r="M176" s="23">
        <f>'[3]6нед'!L242</f>
        <v>0</v>
      </c>
      <c r="N176" s="21">
        <f>'[3]6нед'!O242</f>
        <v>0</v>
      </c>
      <c r="O176" s="22" t="str">
        <f>'[3]6нед'!P242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'[3]5нед'!K243</f>
        <v>0</v>
      </c>
      <c r="E177" s="23">
        <f>'[3]5нед'!L243</f>
        <v>0</v>
      </c>
      <c r="F177" s="21">
        <f>'[3]5нед'!O243</f>
        <v>0</v>
      </c>
      <c r="G177" s="22" t="str">
        <f>'[3]5нед'!P243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'[3]6нед'!K243</f>
        <v>0</v>
      </c>
      <c r="M177" s="23">
        <f>'[3]6нед'!L243</f>
        <v>0</v>
      </c>
      <c r="N177" s="21">
        <f>'[3]6нед'!O243</f>
        <v>0</v>
      </c>
      <c r="O177" s="22" t="str">
        <f>'[3]6нед'!P243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'[3]5нед'!K244</f>
        <v>0</v>
      </c>
      <c r="E178" s="23">
        <f>'[3]5нед'!L244</f>
        <v>0</v>
      </c>
      <c r="F178" s="21">
        <f>'[3]5нед'!O244</f>
        <v>0</v>
      </c>
      <c r="G178" s="22" t="str">
        <f>'[3]5нед'!P244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'[3]6нед'!K244</f>
        <v>0</v>
      </c>
      <c r="M178" s="23">
        <f>'[3]6нед'!L244</f>
        <v>0</v>
      </c>
      <c r="N178" s="21">
        <f>'[3]6нед'!O244</f>
        <v>0</v>
      </c>
      <c r="O178" s="22" t="str">
        <f>'[3]6нед'!P244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'[3]5нед'!K245</f>
        <v>0</v>
      </c>
      <c r="E179" s="19">
        <f>'[3]5нед'!L245</f>
        <v>0</v>
      </c>
      <c r="F179" s="17">
        <f>'[3]5нед'!O245</f>
        <v>0</v>
      </c>
      <c r="G179" s="18" t="str">
        <f>'[3]5нед'!P245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conditionalFormatting sqref="G59">
    <cfRule type="cellIs" dxfId="79" priority="132" operator="equal">
      <formula>"0. ,0, "</formula>
    </cfRule>
  </conditionalFormatting>
  <conditionalFormatting sqref="G59">
    <cfRule type="cellIs" dxfId="78" priority="131" operator="equal">
      <formula>"0. 0,0, ауд. 0, 0"</formula>
    </cfRule>
  </conditionalFormatting>
  <conditionalFormatting sqref="G59">
    <cfRule type="cellIs" dxfId="77" priority="130" operator="equal">
      <formula>"0. 0 0, ауд. 0, 0"</formula>
    </cfRule>
  </conditionalFormatting>
  <conditionalFormatting sqref="G59">
    <cfRule type="cellIs" dxfId="76" priority="129" operator="equal">
      <formula>"0. ,0, "</formula>
    </cfRule>
  </conditionalFormatting>
  <conditionalFormatting sqref="G59">
    <cfRule type="cellIs" dxfId="75" priority="128" operator="equal">
      <formula>"0. 0,0, ауд. 0, 0"</formula>
    </cfRule>
  </conditionalFormatting>
  <conditionalFormatting sqref="G59">
    <cfRule type="cellIs" dxfId="74" priority="127" operator="equal">
      <formula>"0. 0 0, ауд. 0, 0"</formula>
    </cfRule>
  </conditionalFormatting>
  <conditionalFormatting sqref="G59">
    <cfRule type="cellIs" dxfId="73" priority="126" operator="equal">
      <formula>"0. ,0, "</formula>
    </cfRule>
  </conditionalFormatting>
  <conditionalFormatting sqref="G59">
    <cfRule type="cellIs" dxfId="72" priority="125" operator="equal">
      <formula>"0. 0,0, ауд. 0, 0"</formula>
    </cfRule>
  </conditionalFormatting>
  <conditionalFormatting sqref="G59">
    <cfRule type="cellIs" dxfId="71" priority="124" operator="equal">
      <formula>"0. 0 0, ауд. 0, 0"</formula>
    </cfRule>
  </conditionalFormatting>
  <conditionalFormatting sqref="G59">
    <cfRule type="cellIs" dxfId="7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69" priority="121" operator="equal">
      <formula>"0. ,0, "</formula>
    </cfRule>
  </conditionalFormatting>
  <conditionalFormatting sqref="G119">
    <cfRule type="cellIs" dxfId="68" priority="120" operator="equal">
      <formula>"0. 0,0, ауд. 0, 0"</formula>
    </cfRule>
  </conditionalFormatting>
  <conditionalFormatting sqref="G119">
    <cfRule type="cellIs" dxfId="67" priority="119" operator="equal">
      <formula>"0. 0 0, ауд. 0, 0"</formula>
    </cfRule>
  </conditionalFormatting>
  <conditionalFormatting sqref="G119">
    <cfRule type="cellIs" dxfId="66" priority="118" operator="equal">
      <formula>"0. ,0, "</formula>
    </cfRule>
  </conditionalFormatting>
  <conditionalFormatting sqref="G119">
    <cfRule type="cellIs" dxfId="65" priority="117" operator="equal">
      <formula>"0. 0,0, ауд. 0, 0"</formula>
    </cfRule>
  </conditionalFormatting>
  <conditionalFormatting sqref="G119">
    <cfRule type="cellIs" dxfId="64" priority="116" operator="equal">
      <formula>"0. 0 0, ауд. 0, 0"</formula>
    </cfRule>
  </conditionalFormatting>
  <conditionalFormatting sqref="G119">
    <cfRule type="cellIs" dxfId="63" priority="115" operator="equal">
      <formula>"0. ,0, "</formula>
    </cfRule>
  </conditionalFormatting>
  <conditionalFormatting sqref="G119">
    <cfRule type="cellIs" dxfId="62" priority="114" operator="equal">
      <formula>"0. 0,0, ауд. 0, 0"</formula>
    </cfRule>
  </conditionalFormatting>
  <conditionalFormatting sqref="G119">
    <cfRule type="cellIs" dxfId="61" priority="113" operator="equal">
      <formula>"0. 0 0, ауд. 0, 0"</formula>
    </cfRule>
  </conditionalFormatting>
  <conditionalFormatting sqref="G119">
    <cfRule type="cellIs" dxfId="6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59" priority="110" operator="equal">
      <formula>"0. ,0, "</formula>
    </cfRule>
  </conditionalFormatting>
  <conditionalFormatting sqref="G179">
    <cfRule type="cellIs" dxfId="58" priority="109" operator="equal">
      <formula>"0. 0,0, ауд. 0, 0"</formula>
    </cfRule>
  </conditionalFormatting>
  <conditionalFormatting sqref="G179">
    <cfRule type="cellIs" dxfId="57" priority="108" operator="equal">
      <formula>"0. 0 0, ауд. 0, 0"</formula>
    </cfRule>
  </conditionalFormatting>
  <conditionalFormatting sqref="G179">
    <cfRule type="cellIs" dxfId="56" priority="107" operator="equal">
      <formula>"0. ,0, "</formula>
    </cfRule>
  </conditionalFormatting>
  <conditionalFormatting sqref="G179">
    <cfRule type="cellIs" dxfId="55" priority="106" operator="equal">
      <formula>"0. 0,0, ауд. 0, 0"</formula>
    </cfRule>
  </conditionalFormatting>
  <conditionalFormatting sqref="G179">
    <cfRule type="cellIs" dxfId="54" priority="105" operator="equal">
      <formula>"0. 0 0, ауд. 0, 0"</formula>
    </cfRule>
  </conditionalFormatting>
  <conditionalFormatting sqref="G179">
    <cfRule type="cellIs" dxfId="53" priority="104" operator="equal">
      <formula>"0. ,0, "</formula>
    </cfRule>
  </conditionalFormatting>
  <conditionalFormatting sqref="G179">
    <cfRule type="cellIs" dxfId="52" priority="103" operator="equal">
      <formula>"0. 0,0, ауд. 0, 0"</formula>
    </cfRule>
  </conditionalFormatting>
  <conditionalFormatting sqref="G179">
    <cfRule type="cellIs" dxfId="51" priority="102" operator="equal">
      <formula>"0. 0 0, ауд. 0, 0"</formula>
    </cfRule>
  </conditionalFormatting>
  <conditionalFormatting sqref="G179">
    <cfRule type="cellIs" dxfId="5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12" r:id="rId1" xr:uid="{1995951A-0FD3-4281-93A9-54A2C85D6B5D}"/>
    <hyperlink ref="S13" r:id="rId2" xr:uid="{F20AF785-67EB-487E-A910-485163D58EFD}"/>
    <hyperlink ref="S26" r:id="rId3" xr:uid="{AE0294D1-A38E-4A3C-B01D-C2524233C7DC}"/>
    <hyperlink ref="S27" r:id="rId4" xr:uid="{82DF78CD-E7B4-400B-A417-9D2BE70F7465}"/>
    <hyperlink ref="S14" r:id="rId5" xr:uid="{22A2D38B-EF49-4B3A-AB1D-A6937B738342}"/>
    <hyperlink ref="S15" r:id="rId6" xr:uid="{40FA1073-95BF-4417-8370-54A2D479E79B}"/>
    <hyperlink ref="S25" r:id="rId7" xr:uid="{39E5EAB8-7E1B-4234-8365-793BC2E5025F}"/>
    <hyperlink ref="S28" r:id="rId8" xr:uid="{A2F78C2E-2D1B-4937-9DEE-1E7550D3CFA9}"/>
    <hyperlink ref="S16" r:id="rId9" xr:uid="{377DD53C-DC8B-495D-96A6-E49A6216D0EC}"/>
    <hyperlink ref="S17:S24" r:id="rId10" display="https://max.ru/join/DN-Al3Hn8BwzumxU2F0z1ZrdkkOKrJJlr2N-X5z2j-A" xr:uid="{E961ECE5-341A-48FD-B9E5-F1D81A9FCC19}"/>
  </hyperlinks>
  <pageMargins left="0.70866141732283472" right="0.70866141732283472" top="0.74803149606299213" bottom="0.74803149606299213" header="0.31496062992125984" footer="0.31496062992125984"/>
  <pageSetup paperSize="9" scale="34" orientation="portrait" r:id="rId11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8080-1B43-4D30-8FC6-449E6F808216}">
  <dimension ref="A1:S180"/>
  <sheetViews>
    <sheetView view="pageBreakPreview" topLeftCell="H120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5.42578125" customWidth="1"/>
    <col min="19" max="19" width="30.57031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'[1]1нед'!$T$192</f>
        <v>09.03.04Программная инженерия (Программно-информационные системы)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'[1]1нед'!$T$196</f>
        <v>12-24ПИоз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'[1]1нед'!$T$196</f>
        <v>12-24ПИоз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9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'[1]1нед'!S198</f>
        <v>0</v>
      </c>
      <c r="E12" s="19">
        <f>'[1]1нед'!T198</f>
        <v>0</v>
      </c>
      <c r="F12" s="17">
        <f>'[1]1нед'!W198</f>
        <v>0</v>
      </c>
      <c r="G12" s="18" t="str">
        <f>'[1]1нед'!X198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'[1]2нед'!S198</f>
        <v>0</v>
      </c>
      <c r="M12" s="19">
        <f>'[1]2нед'!T198</f>
        <v>0</v>
      </c>
      <c r="N12" s="17">
        <f>'[1]2нед'!W198</f>
        <v>0</v>
      </c>
      <c r="O12" s="18" t="str">
        <f>'[1]2нед'!X198</f>
        <v/>
      </c>
      <c r="P12" s="56" t="str">
        <f>HYPERLINK(VLOOKUP(M12,$R$12:$S$180,2,FALSE))</f>
        <v/>
      </c>
      <c r="R12" s="59" t="s">
        <v>38</v>
      </c>
      <c r="S12" s="59" t="s">
        <v>39</v>
      </c>
    </row>
    <row r="13" spans="1:19" ht="31.5" x14ac:dyDescent="0.2">
      <c r="A13" s="82"/>
      <c r="B13" s="85"/>
      <c r="C13" s="14" t="s">
        <v>19</v>
      </c>
      <c r="D13" s="20">
        <f>'[1]1нед'!S199</f>
        <v>0</v>
      </c>
      <c r="E13" s="23">
        <f>'[1]1нед'!T199</f>
        <v>0</v>
      </c>
      <c r="F13" s="21">
        <f>'[1]1нед'!W199</f>
        <v>0</v>
      </c>
      <c r="G13" s="22" t="str">
        <f>'[1]1нед'!X199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'[1]2нед'!S199</f>
        <v>0</v>
      </c>
      <c r="M13" s="23">
        <f>'[1]2нед'!T199</f>
        <v>0</v>
      </c>
      <c r="N13" s="21">
        <f>'[1]2нед'!W199</f>
        <v>0</v>
      </c>
      <c r="O13" s="22" t="str">
        <f>'[1]2нед'!X199</f>
        <v/>
      </c>
      <c r="P13" s="57" t="str">
        <f>HYPERLINK(VLOOKUP(M13,$R$12:$S$180,2,FALSE))</f>
        <v/>
      </c>
      <c r="R13" t="str">
        <f>[2]Уч.План!B551</f>
        <v>Основы военной подготовки</v>
      </c>
      <c r="S13" s="61" t="s">
        <v>64</v>
      </c>
    </row>
    <row r="14" spans="1:19" ht="31.5" x14ac:dyDescent="0.2">
      <c r="A14" s="82"/>
      <c r="B14" s="85"/>
      <c r="C14" s="14" t="s">
        <v>20</v>
      </c>
      <c r="D14" s="20">
        <f>'[1]1нед'!S200</f>
        <v>0</v>
      </c>
      <c r="E14" s="23">
        <f>'[1]1нед'!T200</f>
        <v>0</v>
      </c>
      <c r="F14" s="21">
        <f>'[1]1нед'!W200</f>
        <v>0</v>
      </c>
      <c r="G14" s="22" t="str">
        <f>'[1]1нед'!X200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'[1]2нед'!S200</f>
        <v>0</v>
      </c>
      <c r="M14" s="23">
        <f>'[1]2нед'!T200</f>
        <v>0</v>
      </c>
      <c r="N14" s="21">
        <f>'[1]2нед'!W200</f>
        <v>0</v>
      </c>
      <c r="O14" s="22" t="str">
        <f>'[1]2нед'!X200</f>
        <v/>
      </c>
      <c r="P14" s="57" t="str">
        <f>HYPERLINK(VLOOKUP(M14,$R$12:$S$180,2,FALSE))</f>
        <v/>
      </c>
      <c r="R14" t="str">
        <f>[2]Уч.План!B552</f>
        <v>Разработка программного обеспечения, дизайн алгоритмов и аналитика</v>
      </c>
      <c r="S14" s="61" t="s">
        <v>65</v>
      </c>
    </row>
    <row r="15" spans="1:19" ht="31.5" x14ac:dyDescent="0.2">
      <c r="A15" s="82"/>
      <c r="B15" s="85"/>
      <c r="C15" s="14" t="s">
        <v>21</v>
      </c>
      <c r="D15" s="20">
        <f>'[1]1нед'!S201</f>
        <v>0</v>
      </c>
      <c r="E15" s="23">
        <f>'[1]1нед'!T201</f>
        <v>0</v>
      </c>
      <c r="F15" s="21">
        <f>'[1]1нед'!W201</f>
        <v>0</v>
      </c>
      <c r="G15" s="22" t="str">
        <f>'[1]1нед'!X201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'[1]2нед'!S201</f>
        <v>0</v>
      </c>
      <c r="M15" s="23">
        <f>'[1]2нед'!T201</f>
        <v>0</v>
      </c>
      <c r="N15" s="21">
        <f>'[1]2нед'!W201</f>
        <v>0</v>
      </c>
      <c r="O15" s="22" t="str">
        <f>'[1]2нед'!X201</f>
        <v/>
      </c>
      <c r="P15" s="57" t="str">
        <f>HYPERLINK(VLOOKUP(M15,$R$12:$S$180,2,FALSE))</f>
        <v/>
      </c>
      <c r="R15" t="str">
        <f>[2]Уч.План!B553</f>
        <v>Компьютерная безопасность</v>
      </c>
      <c r="S15" s="61" t="s">
        <v>65</v>
      </c>
    </row>
    <row r="16" spans="1:19" ht="31.5" x14ac:dyDescent="0.2">
      <c r="A16" s="82"/>
      <c r="B16" s="85"/>
      <c r="C16" s="14" t="s">
        <v>22</v>
      </c>
      <c r="D16" s="20">
        <f>'[1]1нед'!S202</f>
        <v>0</v>
      </c>
      <c r="E16" s="23">
        <f>'[1]1нед'!T202</f>
        <v>0</v>
      </c>
      <c r="F16" s="21">
        <f>'[1]1нед'!W202</f>
        <v>0</v>
      </c>
      <c r="G16" s="22" t="str">
        <f>'[1]1нед'!X202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'[1]2нед'!S202</f>
        <v>0</v>
      </c>
      <c r="M16" s="23">
        <f>'[1]2нед'!T202</f>
        <v>0</v>
      </c>
      <c r="N16" s="21">
        <f>'[1]2нед'!W202</f>
        <v>0</v>
      </c>
      <c r="O16" s="22" t="str">
        <f>'[1]2нед'!X202</f>
        <v/>
      </c>
      <c r="P16" s="57" t="str">
        <f>HYPERLINK(VLOOKUP(M16,$R$12:$S$180,2,FALSE))</f>
        <v/>
      </c>
      <c r="R16" t="str">
        <f>[2]Уч.План!B554</f>
        <v>Управление ИТ-проектами и гибкая методология</v>
      </c>
      <c r="S16" s="61" t="s">
        <v>65</v>
      </c>
    </row>
    <row r="17" spans="1:19" ht="31.5" x14ac:dyDescent="0.2">
      <c r="A17" s="82"/>
      <c r="B17" s="85"/>
      <c r="C17" s="14" t="s">
        <v>23</v>
      </c>
      <c r="D17" s="20">
        <f>'[1]1нед'!S203</f>
        <v>0</v>
      </c>
      <c r="E17" s="23">
        <f>'[1]1нед'!T203</f>
        <v>0</v>
      </c>
      <c r="F17" s="21">
        <f>'[1]1нед'!W203</f>
        <v>0</v>
      </c>
      <c r="G17" s="22" t="str">
        <f>'[1]1нед'!X203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>
        <f>'[1]2нед'!S203</f>
        <v>0</v>
      </c>
      <c r="M17" s="23">
        <f>'[1]2нед'!T203</f>
        <v>0</v>
      </c>
      <c r="N17" s="21">
        <f>'[1]2нед'!W203</f>
        <v>0</v>
      </c>
      <c r="O17" s="22" t="str">
        <f>'[1]2нед'!X203</f>
        <v/>
      </c>
      <c r="P17" s="55" t="str">
        <f>HYPERLINK(VLOOKUP(M17,$R$12:$S$180,2,FALSE))</f>
        <v/>
      </c>
      <c r="R17" t="str">
        <f>[2]Уч.План!B555</f>
        <v xml:space="preserve"> Основы военной подготовки</v>
      </c>
      <c r="S17" s="61" t="s">
        <v>66</v>
      </c>
    </row>
    <row r="18" spans="1:19" ht="32.25" thickBot="1" x14ac:dyDescent="0.25">
      <c r="A18" s="82"/>
      <c r="B18" s="85"/>
      <c r="C18" s="14" t="s">
        <v>24</v>
      </c>
      <c r="D18" s="20">
        <f>'[1]1нед'!S204</f>
        <v>0</v>
      </c>
      <c r="E18" s="23">
        <f>'[1]1нед'!T204</f>
        <v>0</v>
      </c>
      <c r="F18" s="21">
        <f>'[1]1нед'!W204</f>
        <v>0</v>
      </c>
      <c r="G18" s="22" t="str">
        <f>'[1]1нед'!X204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'[1]2нед'!S204</f>
        <v>пр</v>
      </c>
      <c r="M18" s="23" t="str">
        <f>'[1]2нед'!T204</f>
        <v xml:space="preserve"> Основы военной подготовки</v>
      </c>
      <c r="N18" s="21" t="str">
        <f>'[1]2нед'!W204</f>
        <v>Кулак А.Ф.</v>
      </c>
      <c r="O18" s="22" t="str">
        <f>'[1]2нед'!X204</f>
        <v>преподаватель</v>
      </c>
      <c r="P18" s="55" t="str">
        <f>HYPERLINK(VLOOKUP(M18,$R$12:$S$180,2,FALSE))</f>
        <v>https://max.ru/join/VKkXfhUzxKeyFQk25Ym4SroS_8HJFubEzr_pkrxHHAs</v>
      </c>
      <c r="R18">
        <f>[2]Уч.План!B556</f>
        <v>0</v>
      </c>
    </row>
    <row r="19" spans="1:19" ht="18.399999999999999" hidden="1" customHeight="1" thickBot="1" x14ac:dyDescent="0.25">
      <c r="A19" s="83"/>
      <c r="B19" s="86"/>
      <c r="C19" s="15"/>
      <c r="D19" s="24">
        <f>'[1]1нед'!S205</f>
        <v>0</v>
      </c>
      <c r="E19" s="25">
        <f>'[1]1нед'!T205</f>
        <v>0</v>
      </c>
      <c r="F19" s="26">
        <f>'[1]1нед'!W205</f>
        <v>0</v>
      </c>
      <c r="G19" s="27" t="str">
        <f>'[1]1нед'!X205</f>
        <v/>
      </c>
      <c r="H19" s="58" t="str">
        <f>HYPERLINK(VLOOKUP(E19,$R$12:$S$180,2,FALSE))</f>
        <v/>
      </c>
      <c r="I19" s="72"/>
      <c r="J19" s="89"/>
      <c r="K19" s="15"/>
      <c r="L19" s="24">
        <f>'[1]2нед'!S205</f>
        <v>0</v>
      </c>
      <c r="M19" s="25">
        <f>'[1]2нед'!T205</f>
        <v>0</v>
      </c>
      <c r="N19" s="26">
        <f>'[1]2нед'!W205</f>
        <v>0</v>
      </c>
      <c r="O19" s="27" t="str">
        <f>'[1]2нед'!X205</f>
        <v/>
      </c>
      <c r="P19" s="58" t="str">
        <f>HYPERLINK(VLOOKUP(M19,$R$12:$S$180,2,FALSE))</f>
        <v/>
      </c>
      <c r="R19">
        <f>[2]Уч.План!B557</f>
        <v>0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'[1]1нед'!S206</f>
        <v>0</v>
      </c>
      <c r="E20" s="19">
        <f>'[1]1нед'!T206</f>
        <v>0</v>
      </c>
      <c r="F20" s="17">
        <f>'[1]1нед'!W206</f>
        <v>0</v>
      </c>
      <c r="G20" s="18" t="str">
        <f>'[1]1нед'!X206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'[1]2нед'!S206</f>
        <v>0</v>
      </c>
      <c r="M20" s="19">
        <f>'[1]2нед'!T206</f>
        <v>0</v>
      </c>
      <c r="N20" s="17">
        <f>'[1]2нед'!W206</f>
        <v>0</v>
      </c>
      <c r="O20" s="18" t="str">
        <f>'[1]2нед'!X206</f>
        <v/>
      </c>
      <c r="P20" s="56" t="str">
        <f>HYPERLINK(VLOOKUP(M20,$R$12:$S$180,2,FALSE))</f>
        <v/>
      </c>
      <c r="R20">
        <f>[2]Уч.План!B558</f>
        <v>0</v>
      </c>
    </row>
    <row r="21" spans="1:19" ht="31.5" x14ac:dyDescent="0.2">
      <c r="A21" s="82"/>
      <c r="B21" s="85"/>
      <c r="C21" s="14" t="s">
        <v>19</v>
      </c>
      <c r="D21" s="20">
        <f>'[1]1нед'!S207</f>
        <v>0</v>
      </c>
      <c r="E21" s="23">
        <f>'[1]1нед'!T207</f>
        <v>0</v>
      </c>
      <c r="F21" s="21">
        <f>'[1]1нед'!W207</f>
        <v>0</v>
      </c>
      <c r="G21" s="22" t="str">
        <f>'[1]1нед'!X207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'[1]2нед'!S207</f>
        <v>0</v>
      </c>
      <c r="M21" s="23">
        <f>'[1]2нед'!T207</f>
        <v>0</v>
      </c>
      <c r="N21" s="21">
        <f>'[1]2нед'!W207</f>
        <v>0</v>
      </c>
      <c r="O21" s="22" t="str">
        <f>'[1]2нед'!X207</f>
        <v/>
      </c>
      <c r="P21" s="57" t="str">
        <f>HYPERLINK(VLOOKUP(M21,$R$12:$S$180,2,FALSE))</f>
        <v/>
      </c>
      <c r="R21">
        <f>[2]Уч.План!B559</f>
        <v>0</v>
      </c>
    </row>
    <row r="22" spans="1:19" ht="31.5" x14ac:dyDescent="0.2">
      <c r="A22" s="82"/>
      <c r="B22" s="85"/>
      <c r="C22" s="14" t="s">
        <v>20</v>
      </c>
      <c r="D22" s="20">
        <f>'[1]1нед'!S208</f>
        <v>0</v>
      </c>
      <c r="E22" s="23">
        <f>'[1]1нед'!T208</f>
        <v>0</v>
      </c>
      <c r="F22" s="21">
        <f>'[1]1нед'!W208</f>
        <v>0</v>
      </c>
      <c r="G22" s="22" t="str">
        <f>'[1]1нед'!X208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'[1]2нед'!S208</f>
        <v>0</v>
      </c>
      <c r="M22" s="23">
        <f>'[1]2нед'!T208</f>
        <v>0</v>
      </c>
      <c r="N22" s="21">
        <f>'[1]2нед'!W208</f>
        <v>0</v>
      </c>
      <c r="O22" s="22" t="str">
        <f>'[1]2нед'!X208</f>
        <v/>
      </c>
      <c r="P22" s="57" t="str">
        <f>HYPERLINK(VLOOKUP(M22,$R$12:$S$180,2,FALSE))</f>
        <v/>
      </c>
      <c r="R22">
        <f>[2]Уч.План!B560</f>
        <v>0</v>
      </c>
    </row>
    <row r="23" spans="1:19" ht="31.5" x14ac:dyDescent="0.2">
      <c r="A23" s="82"/>
      <c r="B23" s="85"/>
      <c r="C23" s="14" t="s">
        <v>21</v>
      </c>
      <c r="D23" s="20">
        <f>'[1]1нед'!S209</f>
        <v>0</v>
      </c>
      <c r="E23" s="23">
        <f>'[1]1нед'!T209</f>
        <v>0</v>
      </c>
      <c r="F23" s="21">
        <f>'[1]1нед'!W209</f>
        <v>0</v>
      </c>
      <c r="G23" s="22" t="str">
        <f>'[1]1нед'!X209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'[1]2нед'!S209</f>
        <v>0</v>
      </c>
      <c r="M23" s="23">
        <f>'[1]2нед'!T209</f>
        <v>0</v>
      </c>
      <c r="N23" s="21">
        <f>'[1]2нед'!W209</f>
        <v>0</v>
      </c>
      <c r="O23" s="22" t="str">
        <f>'[1]2нед'!X209</f>
        <v/>
      </c>
      <c r="P23" s="57" t="str">
        <f>HYPERLINK(VLOOKUP(M23,$R$12:$S$180,2,FALSE))</f>
        <v/>
      </c>
      <c r="R23">
        <f>[2]Уч.План!B561</f>
        <v>0</v>
      </c>
    </row>
    <row r="24" spans="1:19" ht="31.5" x14ac:dyDescent="0.2">
      <c r="A24" s="82"/>
      <c r="B24" s="85"/>
      <c r="C24" s="14" t="s">
        <v>22</v>
      </c>
      <c r="D24" s="20">
        <f>'[1]1нед'!S210</f>
        <v>0</v>
      </c>
      <c r="E24" s="23">
        <f>'[1]1нед'!T210</f>
        <v>0</v>
      </c>
      <c r="F24" s="21">
        <f>'[1]1нед'!W210</f>
        <v>0</v>
      </c>
      <c r="G24" s="22" t="str">
        <f>'[1]1нед'!X210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'[1]2нед'!S210</f>
        <v>0</v>
      </c>
      <c r="M24" s="23">
        <f>'[1]2нед'!T210</f>
        <v>0</v>
      </c>
      <c r="N24" s="21">
        <f>'[1]2нед'!W210</f>
        <v>0</v>
      </c>
      <c r="O24" s="22" t="str">
        <f>'[1]2нед'!X210</f>
        <v/>
      </c>
      <c r="P24" s="57" t="str">
        <f>HYPERLINK(VLOOKUP(M24,$R$12:$S$180,2,FALSE))</f>
        <v/>
      </c>
      <c r="R24">
        <f>[2]Уч.План!B562</f>
        <v>0</v>
      </c>
    </row>
    <row r="25" spans="1:19" ht="37.5" x14ac:dyDescent="0.2">
      <c r="A25" s="82"/>
      <c r="B25" s="85"/>
      <c r="C25" s="14" t="s">
        <v>23</v>
      </c>
      <c r="D25" s="20">
        <f>'[1]1нед'!S211</f>
        <v>0</v>
      </c>
      <c r="E25" s="23">
        <f>'[1]1нед'!T211</f>
        <v>0</v>
      </c>
      <c r="F25" s="21">
        <f>'[1]1нед'!W211</f>
        <v>0</v>
      </c>
      <c r="G25" s="22" t="str">
        <f>'[1]1нед'!X211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'[1]2нед'!S211</f>
        <v>л</v>
      </c>
      <c r="M25" s="23" t="str">
        <f>'[1]2нед'!T211</f>
        <v>Разработка программного обеспечения, дизайн алгоритмов и аналитика</v>
      </c>
      <c r="N25" s="21" t="str">
        <f>'[1]2нед'!W211</f>
        <v>Алешов Е.В.</v>
      </c>
      <c r="O25" s="22" t="str">
        <f>'[1]2нед'!X211</f>
        <v>преподаватель</v>
      </c>
      <c r="P25" s="57" t="str">
        <f>HYPERLINK(VLOOKUP(M25,$R$12:$S$180,2,FALSE))</f>
        <v>https://max.ru/join/ABawVbim1pHAjVVmFjM7O45ddZZYKAUsl0XF3_xyIvw</v>
      </c>
      <c r="R25">
        <f>[2]Уч.План!B563</f>
        <v>0</v>
      </c>
    </row>
    <row r="26" spans="1:19" ht="38.25" thickBot="1" x14ac:dyDescent="0.25">
      <c r="A26" s="82"/>
      <c r="B26" s="85"/>
      <c r="C26" s="14" t="s">
        <v>24</v>
      </c>
      <c r="D26" s="20">
        <f>'[1]1нед'!S212</f>
        <v>0</v>
      </c>
      <c r="E26" s="23">
        <f>'[1]1нед'!T212</f>
        <v>0</v>
      </c>
      <c r="F26" s="21">
        <f>'[1]1нед'!W212</f>
        <v>0</v>
      </c>
      <c r="G26" s="22" t="str">
        <f>'[1]1нед'!X212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'[1]2нед'!S212</f>
        <v>л</v>
      </c>
      <c r="M26" s="23" t="str">
        <f>'[1]2нед'!T212</f>
        <v>Разработка программного обеспечения, дизайн алгоритмов и аналитика</v>
      </c>
      <c r="N26" s="21" t="str">
        <f>'[1]2нед'!W212</f>
        <v>Алешов Е.В.</v>
      </c>
      <c r="O26" s="22" t="str">
        <f>'[1]2нед'!X212</f>
        <v>преподаватель</v>
      </c>
      <c r="P26" s="57" t="str">
        <f>HYPERLINK(VLOOKUP(M26,$R$12:$S$180,2,FALSE))</f>
        <v>https://max.ru/join/ABawVbim1pHAjVVmFjM7O45ddZZYKAUsl0XF3_xyIvw</v>
      </c>
      <c r="R26">
        <f>[2]Уч.План!B564</f>
        <v>0</v>
      </c>
    </row>
    <row r="27" spans="1:19" ht="18.399999999999999" hidden="1" customHeight="1" thickBot="1" x14ac:dyDescent="0.25">
      <c r="A27" s="83"/>
      <c r="B27" s="86"/>
      <c r="C27" s="15"/>
      <c r="D27" s="24">
        <f>'[1]1нед'!S213</f>
        <v>0</v>
      </c>
      <c r="E27" s="25">
        <f>'[1]1нед'!T213</f>
        <v>0</v>
      </c>
      <c r="F27" s="26">
        <f>'[1]1нед'!W213</f>
        <v>0</v>
      </c>
      <c r="G27" s="27" t="str">
        <f>'[1]1нед'!X213</f>
        <v/>
      </c>
      <c r="H27" s="58" t="str">
        <f>HYPERLINK(VLOOKUP(E27,$R$12:$S$180,2,FALSE))</f>
        <v/>
      </c>
      <c r="I27" s="72"/>
      <c r="J27" s="89"/>
      <c r="K27" s="15"/>
      <c r="L27" s="24">
        <f>'[1]2нед'!S213</f>
        <v>0</v>
      </c>
      <c r="M27" s="25">
        <f>'[1]2нед'!T213</f>
        <v>0</v>
      </c>
      <c r="N27" s="26">
        <f>'[1]2нед'!W213</f>
        <v>0</v>
      </c>
      <c r="O27" s="27" t="str">
        <f>'[1]2нед'!X213</f>
        <v/>
      </c>
      <c r="P27" s="58" t="str">
        <f>HYPERLINK(VLOOKUP(M27,$R$12:$S$180,2,FALSE))</f>
        <v/>
      </c>
      <c r="R27">
        <f>[2]Уч.План!B565</f>
        <v>0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'[1]1нед'!S214</f>
        <v>0</v>
      </c>
      <c r="E28" s="19">
        <f>'[1]1нед'!T214</f>
        <v>0</v>
      </c>
      <c r="F28" s="17">
        <f>'[1]1нед'!W214</f>
        <v>0</v>
      </c>
      <c r="G28" s="18" t="str">
        <f>'[1]1нед'!X214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'[1]2нед'!S214</f>
        <v>0</v>
      </c>
      <c r="M28" s="19">
        <f>'[1]2нед'!T214</f>
        <v>0</v>
      </c>
      <c r="N28" s="17">
        <f>'[1]2нед'!W214</f>
        <v>0</v>
      </c>
      <c r="O28" s="18" t="str">
        <f>'[1]2нед'!X214</f>
        <v/>
      </c>
      <c r="P28" s="56" t="str">
        <f>HYPERLINK(VLOOKUP(M28,$R$12:$S$180,2,FALSE))</f>
        <v/>
      </c>
      <c r="R28">
        <f>[2]Уч.План!B566</f>
        <v>0</v>
      </c>
    </row>
    <row r="29" spans="1:19" ht="31.5" x14ac:dyDescent="0.2">
      <c r="A29" s="82"/>
      <c r="B29" s="68"/>
      <c r="C29" s="14" t="s">
        <v>19</v>
      </c>
      <c r="D29" s="20">
        <f>'[1]1нед'!S215</f>
        <v>0</v>
      </c>
      <c r="E29" s="23">
        <f>'[1]1нед'!T215</f>
        <v>0</v>
      </c>
      <c r="F29" s="21">
        <f>'[1]1нед'!W215</f>
        <v>0</v>
      </c>
      <c r="G29" s="22" t="str">
        <f>'[1]1нед'!X215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'[1]2нед'!S215</f>
        <v>0</v>
      </c>
      <c r="M29" s="23">
        <f>'[1]2нед'!T215</f>
        <v>0</v>
      </c>
      <c r="N29" s="21">
        <f>'[1]2нед'!W215</f>
        <v>0</v>
      </c>
      <c r="O29" s="22" t="str">
        <f>'[1]2нед'!X215</f>
        <v/>
      </c>
      <c r="P29" s="57" t="str">
        <f>HYPERLINK(VLOOKUP(M29,$R$12:$S$180,2,FALSE))</f>
        <v/>
      </c>
      <c r="R29">
        <f>[2]Уч.План!B567</f>
        <v>0</v>
      </c>
    </row>
    <row r="30" spans="1:19" ht="31.5" x14ac:dyDescent="0.2">
      <c r="A30" s="82"/>
      <c r="B30" s="68"/>
      <c r="C30" s="14" t="s">
        <v>20</v>
      </c>
      <c r="D30" s="20">
        <f>'[1]1нед'!S216</f>
        <v>0</v>
      </c>
      <c r="E30" s="23">
        <f>'[1]1нед'!T216</f>
        <v>0</v>
      </c>
      <c r="F30" s="21">
        <f>'[1]1нед'!W216</f>
        <v>0</v>
      </c>
      <c r="G30" s="22" t="str">
        <f>'[1]1нед'!X216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'[1]2нед'!S216</f>
        <v>0</v>
      </c>
      <c r="M30" s="23">
        <f>'[1]2нед'!T216</f>
        <v>0</v>
      </c>
      <c r="N30" s="21">
        <f>'[1]2нед'!W216</f>
        <v>0</v>
      </c>
      <c r="O30" s="22" t="str">
        <f>'[1]2нед'!X216</f>
        <v/>
      </c>
      <c r="P30" s="57" t="str">
        <f>HYPERLINK(VLOOKUP(M30,$R$12:$S$180,2,FALSE))</f>
        <v/>
      </c>
      <c r="R30">
        <f>[2]Уч.План!B568</f>
        <v>0</v>
      </c>
    </row>
    <row r="31" spans="1:19" ht="31.5" x14ac:dyDescent="0.2">
      <c r="A31" s="82"/>
      <c r="B31" s="68"/>
      <c r="C31" s="14" t="s">
        <v>21</v>
      </c>
      <c r="D31" s="20">
        <f>'[1]1нед'!S217</f>
        <v>0</v>
      </c>
      <c r="E31" s="23">
        <f>'[1]1нед'!T217</f>
        <v>0</v>
      </c>
      <c r="F31" s="21">
        <f>'[1]1нед'!W217</f>
        <v>0</v>
      </c>
      <c r="G31" s="22" t="str">
        <f>'[1]1нед'!X217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'[1]2нед'!S217</f>
        <v>0</v>
      </c>
      <c r="M31" s="23">
        <f>'[1]2нед'!T217</f>
        <v>0</v>
      </c>
      <c r="N31" s="21">
        <f>'[1]2нед'!W217</f>
        <v>0</v>
      </c>
      <c r="O31" s="22" t="str">
        <f>'[1]2нед'!X217</f>
        <v/>
      </c>
      <c r="P31" s="57" t="str">
        <f>HYPERLINK(VLOOKUP(M31,$R$12:$S$180,2,FALSE))</f>
        <v/>
      </c>
      <c r="R31">
        <f>[2]Уч.План!B569</f>
        <v>0</v>
      </c>
    </row>
    <row r="32" spans="1:19" ht="31.5" x14ac:dyDescent="0.2">
      <c r="A32" s="82"/>
      <c r="B32" s="68"/>
      <c r="C32" s="14" t="s">
        <v>22</v>
      </c>
      <c r="D32" s="20">
        <f>'[1]1нед'!S218</f>
        <v>0</v>
      </c>
      <c r="E32" s="23">
        <f>'[1]1нед'!T218</f>
        <v>0</v>
      </c>
      <c r="F32" s="21">
        <f>'[1]1нед'!W218</f>
        <v>0</v>
      </c>
      <c r="G32" s="22" t="str">
        <f>'[1]1нед'!X218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'[1]2нед'!S218</f>
        <v>0</v>
      </c>
      <c r="M32" s="23">
        <f>'[1]2нед'!T218</f>
        <v>0</v>
      </c>
      <c r="N32" s="21">
        <f>'[1]2нед'!W218</f>
        <v>0</v>
      </c>
      <c r="O32" s="22" t="str">
        <f>'[1]2нед'!X218</f>
        <v/>
      </c>
      <c r="P32" s="57" t="str">
        <f>HYPERLINK(VLOOKUP(M32,$R$12:$S$180,2,FALSE))</f>
        <v/>
      </c>
      <c r="R32">
        <f>[2]Уч.План!B570</f>
        <v>0</v>
      </c>
    </row>
    <row r="33" spans="1:16" ht="31.5" x14ac:dyDescent="0.2">
      <c r="A33" s="82"/>
      <c r="B33" s="68"/>
      <c r="C33" s="14" t="s">
        <v>23</v>
      </c>
      <c r="D33" s="20">
        <f>'[1]1нед'!S219</f>
        <v>0</v>
      </c>
      <c r="E33" s="23">
        <f>'[1]1нед'!T219</f>
        <v>0</v>
      </c>
      <c r="F33" s="21">
        <f>'[1]1нед'!W219</f>
        <v>0</v>
      </c>
      <c r="G33" s="22" t="str">
        <f>'[1]1нед'!X219</f>
        <v/>
      </c>
      <c r="H33" s="55" t="str">
        <f>HYPERLINK(VLOOKUP(E33,$R$12:$S$180,2,FALSE))</f>
        <v/>
      </c>
      <c r="I33" s="71"/>
      <c r="J33" s="74"/>
      <c r="K33" s="14" t="s">
        <v>23</v>
      </c>
      <c r="L33" s="20" t="str">
        <f>'[1]2нед'!S219</f>
        <v>л</v>
      </c>
      <c r="M33" s="23" t="str">
        <f>'[1]2нед'!T219</f>
        <v>Компьютерная безопасность</v>
      </c>
      <c r="N33" s="21" t="str">
        <f>'[1]2нед'!W219</f>
        <v>Алешов Е.В.</v>
      </c>
      <c r="O33" s="22" t="str">
        <f>'[1]2нед'!X219</f>
        <v>преподаватель</v>
      </c>
      <c r="P33" s="55" t="str">
        <f>HYPERLINK(VLOOKUP(M33,$R$12:$S$180,2,FALSE))</f>
        <v>https://max.ru/join/ABawVbim1pHAjVVmFjM7O45ddZZYKAUsl0XF3_xyIvw</v>
      </c>
    </row>
    <row r="34" spans="1:16" ht="32.25" thickBot="1" x14ac:dyDescent="0.25">
      <c r="A34" s="82"/>
      <c r="B34" s="68"/>
      <c r="C34" s="14" t="s">
        <v>24</v>
      </c>
      <c r="D34" s="20" t="str">
        <f>'[1]1нед'!S220</f>
        <v>л</v>
      </c>
      <c r="E34" s="23" t="str">
        <f>'[1]1нед'!T220</f>
        <v>Основы военной подготовки</v>
      </c>
      <c r="F34" s="21" t="str">
        <f>'[1]1нед'!W220</f>
        <v>Кулак А.Ф.</v>
      </c>
      <c r="G34" s="22" t="str">
        <f>'[1]1нед'!X220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 t="str">
        <f>'[1]2нед'!S220</f>
        <v>л</v>
      </c>
      <c r="M34" s="23" t="str">
        <f>'[1]2нед'!T220</f>
        <v>Компьютерная безопасность</v>
      </c>
      <c r="N34" s="21" t="str">
        <f>'[1]2нед'!W220</f>
        <v>Алешов Е.В.</v>
      </c>
      <c r="O34" s="22" t="str">
        <f>'[1]2нед'!X220</f>
        <v>преподаватель</v>
      </c>
      <c r="P34" s="55" t="str">
        <f>HYPERLINK(VLOOKUP(M34,$R$12:$S$180,2,FALSE))</f>
        <v>https://max.ru/join/ABawVbim1pHAjVVmFjM7O45ddZZYKAUsl0XF3_xyIvw</v>
      </c>
    </row>
    <row r="35" spans="1:16" ht="18.399999999999999" hidden="1" customHeight="1" thickBot="1" x14ac:dyDescent="0.25">
      <c r="A35" s="83"/>
      <c r="B35" s="69"/>
      <c r="C35" s="15"/>
      <c r="D35" s="24">
        <f>'[1]1нед'!S221</f>
        <v>0</v>
      </c>
      <c r="E35" s="25">
        <f>'[1]1нед'!T221</f>
        <v>0</v>
      </c>
      <c r="F35" s="26">
        <f>'[1]1нед'!W221</f>
        <v>0</v>
      </c>
      <c r="G35" s="27" t="str">
        <f>'[1]1нед'!X221</f>
        <v/>
      </c>
      <c r="H35" s="58" t="str">
        <f>HYPERLINK(VLOOKUP(E35,$R$12:$S$180,2,FALSE))</f>
        <v/>
      </c>
      <c r="I35" s="72"/>
      <c r="J35" s="75"/>
      <c r="K35" s="15"/>
      <c r="L35" s="24">
        <f>'[1]2нед'!S221</f>
        <v>0</v>
      </c>
      <c r="M35" s="25">
        <f>'[1]2нед'!T221</f>
        <v>0</v>
      </c>
      <c r="N35" s="26">
        <f>'[1]2нед'!W221</f>
        <v>0</v>
      </c>
      <c r="O35" s="27" t="str">
        <f>'[1]2нед'!X221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'[1]1нед'!S222</f>
        <v>0</v>
      </c>
      <c r="E36" s="19">
        <f>'[1]1нед'!T222</f>
        <v>0</v>
      </c>
      <c r="F36" s="17">
        <f>'[1]1нед'!W222</f>
        <v>0</v>
      </c>
      <c r="G36" s="18" t="str">
        <f>'[1]1нед'!X222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'[1]2нед'!S222</f>
        <v>0</v>
      </c>
      <c r="M36" s="19">
        <f>'[1]2нед'!T222</f>
        <v>0</v>
      </c>
      <c r="N36" s="17">
        <f>'[1]2нед'!W222</f>
        <v>0</v>
      </c>
      <c r="O36" s="18" t="str">
        <f>'[1]2нед'!X222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'[1]1нед'!S223</f>
        <v>0</v>
      </c>
      <c r="E37" s="23">
        <f>'[1]1нед'!T223</f>
        <v>0</v>
      </c>
      <c r="F37" s="21">
        <f>'[1]1нед'!W223</f>
        <v>0</v>
      </c>
      <c r="G37" s="22" t="str">
        <f>'[1]1нед'!X223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'[1]2нед'!S223</f>
        <v>0</v>
      </c>
      <c r="M37" s="23">
        <f>'[1]2нед'!T223</f>
        <v>0</v>
      </c>
      <c r="N37" s="21">
        <f>'[1]2нед'!W223</f>
        <v>0</v>
      </c>
      <c r="O37" s="22" t="str">
        <f>'[1]2нед'!X223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'[1]1нед'!S224</f>
        <v>0</v>
      </c>
      <c r="E38" s="23">
        <f>'[1]1нед'!T224</f>
        <v>0</v>
      </c>
      <c r="F38" s="21">
        <f>'[1]1нед'!W224</f>
        <v>0</v>
      </c>
      <c r="G38" s="22" t="str">
        <f>'[1]1нед'!X224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'[1]2нед'!S224</f>
        <v>0</v>
      </c>
      <c r="M38" s="23">
        <f>'[1]2нед'!T224</f>
        <v>0</v>
      </c>
      <c r="N38" s="21">
        <f>'[1]2нед'!W224</f>
        <v>0</v>
      </c>
      <c r="O38" s="22" t="str">
        <f>'[1]2нед'!X224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'[1]1нед'!S225</f>
        <v>0</v>
      </c>
      <c r="E39" s="23">
        <f>'[1]1нед'!T225</f>
        <v>0</v>
      </c>
      <c r="F39" s="21">
        <f>'[1]1нед'!W225</f>
        <v>0</v>
      </c>
      <c r="G39" s="22" t="str">
        <f>'[1]1нед'!X225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'[1]2нед'!S225</f>
        <v>0</v>
      </c>
      <c r="M39" s="23">
        <f>'[1]2нед'!T225</f>
        <v>0</v>
      </c>
      <c r="N39" s="21">
        <f>'[1]2нед'!W225</f>
        <v>0</v>
      </c>
      <c r="O39" s="22" t="str">
        <f>'[1]2нед'!X225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'[1]1нед'!S226</f>
        <v>0</v>
      </c>
      <c r="E40" s="23">
        <f>'[1]1нед'!T226</f>
        <v>0</v>
      </c>
      <c r="F40" s="21">
        <f>'[1]1нед'!W226</f>
        <v>0</v>
      </c>
      <c r="G40" s="22" t="str">
        <f>'[1]1нед'!X226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'[1]2нед'!S226</f>
        <v>0</v>
      </c>
      <c r="M40" s="23">
        <f>'[1]2нед'!T226</f>
        <v>0</v>
      </c>
      <c r="N40" s="21">
        <f>'[1]2нед'!W226</f>
        <v>0</v>
      </c>
      <c r="O40" s="22" t="str">
        <f>'[1]2нед'!X226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'[1]1нед'!S227</f>
        <v>0</v>
      </c>
      <c r="E41" s="23">
        <f>'[1]1нед'!T227</f>
        <v>0</v>
      </c>
      <c r="F41" s="21">
        <f>'[1]1нед'!W227</f>
        <v>0</v>
      </c>
      <c r="G41" s="22" t="str">
        <f>'[1]1нед'!X227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>
        <f>'[1]2нед'!S227</f>
        <v>0</v>
      </c>
      <c r="M41" s="23">
        <f>'[1]2нед'!T227</f>
        <v>0</v>
      </c>
      <c r="N41" s="21">
        <f>'[1]2нед'!W227</f>
        <v>0</v>
      </c>
      <c r="O41" s="22" t="str">
        <f>'[1]2нед'!X227</f>
        <v/>
      </c>
      <c r="P41" s="55" t="str">
        <f>HYPERLINK(VLOOKUP(M41,$R$12:$S$180,2,FALSE))</f>
        <v/>
      </c>
    </row>
    <row r="42" spans="1:16" ht="38.25" thickBot="1" x14ac:dyDescent="0.25">
      <c r="A42" s="82"/>
      <c r="B42" s="85"/>
      <c r="C42" s="14" t="s">
        <v>24</v>
      </c>
      <c r="D42" s="20" t="str">
        <f>'[1]1нед'!S228</f>
        <v>л</v>
      </c>
      <c r="E42" s="23" t="str">
        <f>'[1]1нед'!T228</f>
        <v>Управление ИТ-проектами и гибкая методология</v>
      </c>
      <c r="F42" s="21" t="str">
        <f>'[1]1нед'!W228</f>
        <v>Гришин И.Ю.</v>
      </c>
      <c r="G42" s="22" t="str">
        <f>'[1]1нед'!X228</f>
        <v>профессор, д-р наук</v>
      </c>
      <c r="H42" s="55" t="str">
        <f>HYPERLINK(VLOOKUP(E42,$R$12:$S$180,2,FALSE))</f>
        <v>https://max.ru/join/ABawVbim1pHAjVVmFjM7O45ddZZYKAUsl0XF3_xyIvw</v>
      </c>
      <c r="I42" s="71"/>
      <c r="J42" s="88"/>
      <c r="K42" s="14" t="s">
        <v>24</v>
      </c>
      <c r="L42" s="20">
        <f>'[1]2нед'!S228</f>
        <v>0</v>
      </c>
      <c r="M42" s="23">
        <f>'[1]2нед'!T228</f>
        <v>0</v>
      </c>
      <c r="N42" s="21">
        <f>'[1]2нед'!W228</f>
        <v>0</v>
      </c>
      <c r="O42" s="22" t="str">
        <f>'[1]2нед'!X228</f>
        <v/>
      </c>
      <c r="P42" s="55" t="str">
        <f>HYPERLINK(VLOOKUP(M42,$R$12:$S$180,2,FALSE))</f>
        <v/>
      </c>
    </row>
    <row r="43" spans="1:16" ht="18.399999999999999" hidden="1" customHeight="1" thickBot="1" x14ac:dyDescent="0.25">
      <c r="A43" s="83"/>
      <c r="B43" s="86"/>
      <c r="C43" s="15"/>
      <c r="D43" s="24">
        <f>'[1]1нед'!S229</f>
        <v>0</v>
      </c>
      <c r="E43" s="25">
        <f>'[1]1нед'!T229</f>
        <v>0</v>
      </c>
      <c r="F43" s="26">
        <f>'[1]1нед'!W229</f>
        <v>0</v>
      </c>
      <c r="G43" s="27" t="str">
        <f>'[1]1нед'!X229</f>
        <v/>
      </c>
      <c r="H43" s="58" t="str">
        <f>HYPERLINK(VLOOKUP(E43,$R$12:$S$180,2,FALSE))</f>
        <v/>
      </c>
      <c r="I43" s="72"/>
      <c r="J43" s="89"/>
      <c r="K43" s="15"/>
      <c r="L43" s="24">
        <f>'[1]2нед'!S229</f>
        <v>0</v>
      </c>
      <c r="M43" s="25">
        <f>'[1]2нед'!T229</f>
        <v>0</v>
      </c>
      <c r="N43" s="26">
        <f>'[1]2нед'!W229</f>
        <v>0</v>
      </c>
      <c r="O43" s="27" t="str">
        <f>'[1]2нед'!X229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'[1]1нед'!S230</f>
        <v>0</v>
      </c>
      <c r="E44" s="19">
        <f>'[1]1нед'!T230</f>
        <v>0</v>
      </c>
      <c r="F44" s="17">
        <f>'[1]1нед'!W230</f>
        <v>0</v>
      </c>
      <c r="G44" s="18" t="str">
        <f>'[1]1нед'!X230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'[1]2нед'!S230</f>
        <v>0</v>
      </c>
      <c r="M44" s="19">
        <f>'[1]2нед'!T230</f>
        <v>0</v>
      </c>
      <c r="N44" s="17">
        <f>'[1]2нед'!W230</f>
        <v>0</v>
      </c>
      <c r="O44" s="18" t="str">
        <f>'[1]2нед'!X230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'[1]1нед'!S231</f>
        <v>0</v>
      </c>
      <c r="E45" s="23">
        <f>'[1]1нед'!T231</f>
        <v>0</v>
      </c>
      <c r="F45" s="21">
        <f>'[1]1нед'!W231</f>
        <v>0</v>
      </c>
      <c r="G45" s="22" t="str">
        <f>'[1]1нед'!X231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'[1]2нед'!S231</f>
        <v>0</v>
      </c>
      <c r="M45" s="23">
        <f>'[1]2нед'!T231</f>
        <v>0</v>
      </c>
      <c r="N45" s="21">
        <f>'[1]2нед'!W231</f>
        <v>0</v>
      </c>
      <c r="O45" s="22" t="str">
        <f>'[1]2нед'!X231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'[1]1нед'!S232</f>
        <v>0</v>
      </c>
      <c r="E46" s="23">
        <f>'[1]1нед'!T232</f>
        <v>0</v>
      </c>
      <c r="F46" s="21">
        <f>'[1]1нед'!W232</f>
        <v>0</v>
      </c>
      <c r="G46" s="22" t="str">
        <f>'[1]1нед'!X232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'[1]2нед'!S232</f>
        <v>0</v>
      </c>
      <c r="M46" s="23">
        <f>'[1]2нед'!T232</f>
        <v>0</v>
      </c>
      <c r="N46" s="21">
        <f>'[1]2нед'!W232</f>
        <v>0</v>
      </c>
      <c r="O46" s="22" t="str">
        <f>'[1]2нед'!X232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'[1]1нед'!S233</f>
        <v>0</v>
      </c>
      <c r="E47" s="23">
        <f>'[1]1нед'!T233</f>
        <v>0</v>
      </c>
      <c r="F47" s="21">
        <f>'[1]1нед'!W233</f>
        <v>0</v>
      </c>
      <c r="G47" s="22" t="str">
        <f>'[1]1нед'!X233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'[1]2нед'!S233</f>
        <v>0</v>
      </c>
      <c r="M47" s="23">
        <f>'[1]2нед'!T233</f>
        <v>0</v>
      </c>
      <c r="N47" s="21">
        <f>'[1]2нед'!W233</f>
        <v>0</v>
      </c>
      <c r="O47" s="22" t="str">
        <f>'[1]2нед'!X233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'[1]1нед'!S234</f>
        <v>0</v>
      </c>
      <c r="E48" s="23">
        <f>'[1]1нед'!T234</f>
        <v>0</v>
      </c>
      <c r="F48" s="21">
        <f>'[1]1нед'!W234</f>
        <v>0</v>
      </c>
      <c r="G48" s="22" t="str">
        <f>'[1]1нед'!X234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'[1]2нед'!S234</f>
        <v>0</v>
      </c>
      <c r="M48" s="23">
        <f>'[1]2нед'!T234</f>
        <v>0</v>
      </c>
      <c r="N48" s="21">
        <f>'[1]2нед'!W234</f>
        <v>0</v>
      </c>
      <c r="O48" s="22" t="str">
        <f>'[1]2нед'!X234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'[1]1нед'!S235</f>
        <v>0</v>
      </c>
      <c r="E49" s="23">
        <f>'[1]1нед'!T235</f>
        <v>0</v>
      </c>
      <c r="F49" s="21">
        <f>'[1]1нед'!W235</f>
        <v>0</v>
      </c>
      <c r="G49" s="22" t="str">
        <f>'[1]1нед'!X235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'[1]2нед'!S235</f>
        <v>0</v>
      </c>
      <c r="M49" s="23">
        <f>'[1]2нед'!T235</f>
        <v>0</v>
      </c>
      <c r="N49" s="21">
        <f>'[1]2нед'!W235</f>
        <v>0</v>
      </c>
      <c r="O49" s="22" t="str">
        <f>'[1]2нед'!X235</f>
        <v/>
      </c>
      <c r="P49" s="57" t="str">
        <f>HYPERLINK(VLOOKUP(M49,$R$12:$S$180,2,FALSE))</f>
        <v/>
      </c>
    </row>
    <row r="50" spans="1:16" ht="38.25" thickBot="1" x14ac:dyDescent="0.25">
      <c r="A50" s="82"/>
      <c r="B50" s="85"/>
      <c r="C50" s="14" t="s">
        <v>24</v>
      </c>
      <c r="D50" s="20" t="str">
        <f>'[1]1нед'!S236</f>
        <v>пр</v>
      </c>
      <c r="E50" s="23" t="str">
        <f>'[1]1нед'!T236</f>
        <v>Управление ИТ-проектами и гибкая методология</v>
      </c>
      <c r="F50" s="21" t="str">
        <f>'[1]1нед'!W236</f>
        <v>Гришин И.Ю.</v>
      </c>
      <c r="G50" s="22" t="str">
        <f>'[1]1нед'!X236</f>
        <v>профессор, д-р наук</v>
      </c>
      <c r="H50" s="57" t="str">
        <f>HYPERLINK(VLOOKUP(E50,$R$12:$S$180,2,FALSE))</f>
        <v>https://max.ru/join/ABawVbim1pHAjVVmFjM7O45ddZZYKAUsl0XF3_xyIvw</v>
      </c>
      <c r="I50" s="71"/>
      <c r="J50" s="88"/>
      <c r="K50" s="14" t="s">
        <v>24</v>
      </c>
      <c r="L50" s="20" t="str">
        <f>'[1]2нед'!S236</f>
        <v>пр</v>
      </c>
      <c r="M50" s="23" t="str">
        <f>'[1]2нед'!T236</f>
        <v>Управление ИТ-проектами и гибкая методология</v>
      </c>
      <c r="N50" s="21" t="str">
        <f>'[1]2нед'!W236</f>
        <v>Гришин И.Ю.</v>
      </c>
      <c r="O50" s="22" t="str">
        <f>'[1]2нед'!X236</f>
        <v>профессор, д-р наук</v>
      </c>
      <c r="P50" s="57" t="str">
        <f>HYPERLINK(VLOOKUP(M50,$R$12:$S$180,2,FALSE))</f>
        <v>https://max.ru/join/ABawVbim1pHAjVVmFjM7O45ddZZYKAUsl0XF3_xyIvw</v>
      </c>
    </row>
    <row r="51" spans="1:16" ht="18.399999999999999" hidden="1" customHeight="1" thickBot="1" x14ac:dyDescent="0.25">
      <c r="A51" s="83"/>
      <c r="B51" s="86"/>
      <c r="C51" s="15"/>
      <c r="D51" s="24">
        <f>'[1]1нед'!S237</f>
        <v>0</v>
      </c>
      <c r="E51" s="25">
        <f>'[1]1нед'!T237</f>
        <v>0</v>
      </c>
      <c r="F51" s="26">
        <f>'[1]1нед'!W237</f>
        <v>0</v>
      </c>
      <c r="G51" s="27" t="str">
        <f>'[1]1нед'!X237</f>
        <v/>
      </c>
      <c r="H51" s="58" t="str">
        <f>HYPERLINK(VLOOKUP(E51,$R$12:$S$180,2,FALSE))</f>
        <v/>
      </c>
      <c r="I51" s="72"/>
      <c r="J51" s="89"/>
      <c r="K51" s="15"/>
      <c r="L51" s="24">
        <f>'[1]2нед'!S237</f>
        <v>0</v>
      </c>
      <c r="M51" s="25">
        <f>'[1]2нед'!T237</f>
        <v>0</v>
      </c>
      <c r="N51" s="26">
        <f>'[1]2нед'!W237</f>
        <v>0</v>
      </c>
      <c r="O51" s="27" t="str">
        <f>'[1]2нед'!X237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'[1]1нед'!S238</f>
        <v>0</v>
      </c>
      <c r="E52" s="19">
        <f>'[1]1нед'!T238</f>
        <v>0</v>
      </c>
      <c r="F52" s="17">
        <f>'[1]1нед'!W238</f>
        <v>0</v>
      </c>
      <c r="G52" s="18" t="str">
        <f>'[1]1нед'!X238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'[1]2нед'!S238</f>
        <v>0</v>
      </c>
      <c r="M52" s="19">
        <f>'[1]2нед'!T238</f>
        <v>0</v>
      </c>
      <c r="N52" s="17">
        <f>'[1]2нед'!W238</f>
        <v>0</v>
      </c>
      <c r="O52" s="18" t="str">
        <f>'[1]2нед'!X238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'[1]1нед'!S239</f>
        <v>0</v>
      </c>
      <c r="E53" s="23">
        <f>'[1]1нед'!T239</f>
        <v>0</v>
      </c>
      <c r="F53" s="21">
        <f>'[1]1нед'!W239</f>
        <v>0</v>
      </c>
      <c r="G53" s="22" t="str">
        <f>'[1]1нед'!X239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'[1]2нед'!S239</f>
        <v>0</v>
      </c>
      <c r="M53" s="23">
        <f>'[1]2нед'!T239</f>
        <v>0</v>
      </c>
      <c r="N53" s="21">
        <f>'[1]2нед'!W239</f>
        <v>0</v>
      </c>
      <c r="O53" s="22" t="str">
        <f>'[1]2нед'!X239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'[1]1нед'!S240</f>
        <v>0</v>
      </c>
      <c r="E54" s="23">
        <f>'[1]1нед'!T240</f>
        <v>0</v>
      </c>
      <c r="F54" s="21">
        <f>'[1]1нед'!W240</f>
        <v>0</v>
      </c>
      <c r="G54" s="22" t="str">
        <f>'[1]1нед'!X240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'[1]2нед'!S240</f>
        <v>0</v>
      </c>
      <c r="M54" s="23">
        <f>'[1]2нед'!T240</f>
        <v>0</v>
      </c>
      <c r="N54" s="21">
        <f>'[1]2нед'!W240</f>
        <v>0</v>
      </c>
      <c r="O54" s="22" t="str">
        <f>'[1]2нед'!X240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'[1]1нед'!S241</f>
        <v>0</v>
      </c>
      <c r="E55" s="23">
        <f>'[1]1нед'!T241</f>
        <v>0</v>
      </c>
      <c r="F55" s="21">
        <f>'[1]1нед'!W241</f>
        <v>0</v>
      </c>
      <c r="G55" s="22" t="str">
        <f>'[1]1нед'!X241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'[1]2нед'!S241</f>
        <v>0</v>
      </c>
      <c r="M55" s="23">
        <f>'[1]2нед'!T241</f>
        <v>0</v>
      </c>
      <c r="N55" s="21">
        <f>'[1]2нед'!W241</f>
        <v>0</v>
      </c>
      <c r="O55" s="22" t="str">
        <f>'[1]2нед'!X241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'[1]1нед'!S242</f>
        <v>0</v>
      </c>
      <c r="E56" s="23">
        <f>'[1]1нед'!T242</f>
        <v>0</v>
      </c>
      <c r="F56" s="21">
        <f>'[1]1нед'!W242</f>
        <v>0</v>
      </c>
      <c r="G56" s="22" t="str">
        <f>'[1]1нед'!X242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'[1]2нед'!S242</f>
        <v>0</v>
      </c>
      <c r="M56" s="23">
        <f>'[1]2нед'!T242</f>
        <v>0</v>
      </c>
      <c r="N56" s="21">
        <f>'[1]2нед'!W242</f>
        <v>0</v>
      </c>
      <c r="O56" s="22" t="str">
        <f>'[1]2нед'!X242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'[1]1нед'!S243</f>
        <v>0</v>
      </c>
      <c r="E57" s="23">
        <f>'[1]1нед'!T243</f>
        <v>0</v>
      </c>
      <c r="F57" s="21">
        <f>'[1]1нед'!W243</f>
        <v>0</v>
      </c>
      <c r="G57" s="22" t="str">
        <f>'[1]1нед'!X243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'[1]2нед'!S243</f>
        <v>0</v>
      </c>
      <c r="M57" s="23">
        <f>'[1]2нед'!T243</f>
        <v>0</v>
      </c>
      <c r="N57" s="21">
        <f>'[1]2нед'!W243</f>
        <v>0</v>
      </c>
      <c r="O57" s="22" t="str">
        <f>'[1]2нед'!X243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'[1]1нед'!S244</f>
        <v>0</v>
      </c>
      <c r="E58" s="23">
        <f>'[1]1нед'!T244</f>
        <v>0</v>
      </c>
      <c r="F58" s="21">
        <f>'[1]1нед'!W244</f>
        <v>0</v>
      </c>
      <c r="G58" s="22" t="str">
        <f>'[1]1нед'!X244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'[1]2нед'!S244</f>
        <v>0</v>
      </c>
      <c r="M58" s="23">
        <f>'[1]2нед'!T244</f>
        <v>0</v>
      </c>
      <c r="N58" s="21">
        <f>'[1]2нед'!W244</f>
        <v>0</v>
      </c>
      <c r="O58" s="22" t="str">
        <f>'[1]2нед'!X244</f>
        <v/>
      </c>
      <c r="P58" s="57" t="str">
        <f>HYPERLINK(VLOOKUP(M58,$R$12:$S$180,2,FALSE))</f>
        <v/>
      </c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44" t="str">
        <f>HYPERLINK(VLOOKUP(E59,$R$12:$S$180,2,FALSE))</f>
        <v/>
      </c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'[1]1нед'!$T$196</f>
        <v>12-24ПИоз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'[1]1нед'!$T$196</f>
        <v>12-24ПИоз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'[1]3нед'!S198</f>
        <v>0</v>
      </c>
      <c r="E72" s="19">
        <f>'[1]3нед'!T198</f>
        <v>0</v>
      </c>
      <c r="F72" s="17">
        <f>'[1]3нед'!W198</f>
        <v>0</v>
      </c>
      <c r="G72" s="18" t="str">
        <f>'[1]3нед'!X198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'[1]4нед'!S198</f>
        <v>0</v>
      </c>
      <c r="M72" s="19">
        <f>'[1]4нед'!T198</f>
        <v>0</v>
      </c>
      <c r="N72" s="17">
        <f>'[1]4нед'!W198</f>
        <v>0</v>
      </c>
      <c r="O72" s="18" t="str">
        <f>'[1]4нед'!X198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19</v>
      </c>
      <c r="D73" s="20">
        <f>'[1]3нед'!S199</f>
        <v>0</v>
      </c>
      <c r="E73" s="23">
        <f>'[1]3нед'!T199</f>
        <v>0</v>
      </c>
      <c r="F73" s="21">
        <f>'[1]3нед'!W199</f>
        <v>0</v>
      </c>
      <c r="G73" s="22" t="str">
        <f>'[1]3нед'!X199</f>
        <v/>
      </c>
      <c r="H73" s="57" t="str">
        <f>HYPERLINK(VLOOKUP(E73,$R$12:$S$180,2,FALSE))</f>
        <v/>
      </c>
      <c r="I73" s="71"/>
      <c r="J73" s="88"/>
      <c r="K73" s="14" t="s">
        <v>19</v>
      </c>
      <c r="L73" s="20">
        <f>'[1]4нед'!S199</f>
        <v>0</v>
      </c>
      <c r="M73" s="23">
        <f>'[1]4нед'!T199</f>
        <v>0</v>
      </c>
      <c r="N73" s="21">
        <f>'[1]4нед'!W199</f>
        <v>0</v>
      </c>
      <c r="O73" s="22" t="str">
        <f>'[1]4нед'!X199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20</v>
      </c>
      <c r="D74" s="20">
        <f>'[1]3нед'!S200</f>
        <v>0</v>
      </c>
      <c r="E74" s="23">
        <f>'[1]3нед'!T200</f>
        <v>0</v>
      </c>
      <c r="F74" s="21">
        <f>'[1]3нед'!W200</f>
        <v>0</v>
      </c>
      <c r="G74" s="22" t="str">
        <f>'[1]3нед'!X200</f>
        <v/>
      </c>
      <c r="H74" s="57" t="str">
        <f>HYPERLINK(VLOOKUP(E74,$R$12:$S$180,2,FALSE))</f>
        <v/>
      </c>
      <c r="I74" s="71"/>
      <c r="J74" s="88"/>
      <c r="K74" s="14" t="s">
        <v>20</v>
      </c>
      <c r="L74" s="20">
        <f>'[1]4нед'!S200</f>
        <v>0</v>
      </c>
      <c r="M74" s="23">
        <f>'[1]4нед'!T200</f>
        <v>0</v>
      </c>
      <c r="N74" s="21">
        <f>'[1]4нед'!W200</f>
        <v>0</v>
      </c>
      <c r="O74" s="22" t="str">
        <f>'[1]4нед'!X200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'[1]3нед'!S201</f>
        <v>0</v>
      </c>
      <c r="E75" s="23">
        <f>'[1]3нед'!T201</f>
        <v>0</v>
      </c>
      <c r="F75" s="21">
        <f>'[1]3нед'!W201</f>
        <v>0</v>
      </c>
      <c r="G75" s="22" t="str">
        <f>'[1]3нед'!X201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'[1]4нед'!S201</f>
        <v>0</v>
      </c>
      <c r="M75" s="23">
        <f>'[1]4нед'!T201</f>
        <v>0</v>
      </c>
      <c r="N75" s="21">
        <f>'[1]4нед'!W201</f>
        <v>0</v>
      </c>
      <c r="O75" s="22" t="str">
        <f>'[1]4нед'!X201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'[1]3нед'!S202</f>
        <v>0</v>
      </c>
      <c r="E76" s="23">
        <f>'[1]3нед'!T202</f>
        <v>0</v>
      </c>
      <c r="F76" s="21">
        <f>'[1]3нед'!W202</f>
        <v>0</v>
      </c>
      <c r="G76" s="22" t="str">
        <f>'[1]3нед'!X202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'[1]4нед'!S202</f>
        <v>0</v>
      </c>
      <c r="M76" s="23">
        <f>'[1]4нед'!T202</f>
        <v>0</v>
      </c>
      <c r="N76" s="21">
        <f>'[1]4нед'!W202</f>
        <v>0</v>
      </c>
      <c r="O76" s="22" t="str">
        <f>'[1]4нед'!X202</f>
        <v/>
      </c>
      <c r="P76" s="57" t="str">
        <f>HYPERLINK(VLOOKUP(M76,$R$12:$S$180,2,FALSE))</f>
        <v/>
      </c>
    </row>
    <row r="77" spans="1:16" ht="31.5" x14ac:dyDescent="0.2">
      <c r="A77" s="82"/>
      <c r="B77" s="85"/>
      <c r="C77" s="14" t="s">
        <v>23</v>
      </c>
      <c r="D77" s="20">
        <f>'[1]3нед'!S203</f>
        <v>0</v>
      </c>
      <c r="E77" s="23">
        <f>'[1]3нед'!T203</f>
        <v>0</v>
      </c>
      <c r="F77" s="21">
        <f>'[1]3нед'!W203</f>
        <v>0</v>
      </c>
      <c r="G77" s="22" t="str">
        <f>'[1]3нед'!X203</f>
        <v/>
      </c>
      <c r="H77" s="55" t="str">
        <f>HYPERLINK(VLOOKUP(E77,$R$12:$S$180,2,FALSE))</f>
        <v/>
      </c>
      <c r="I77" s="71"/>
      <c r="J77" s="88"/>
      <c r="K77" s="14" t="s">
        <v>23</v>
      </c>
      <c r="L77" s="20">
        <f>'[1]4нед'!S203</f>
        <v>0</v>
      </c>
      <c r="M77" s="23">
        <f>'[1]4нед'!T203</f>
        <v>0</v>
      </c>
      <c r="N77" s="21">
        <f>'[1]4нед'!W203</f>
        <v>0</v>
      </c>
      <c r="O77" s="22" t="str">
        <f>'[1]4нед'!X203</f>
        <v/>
      </c>
      <c r="P77" s="55" t="str">
        <f>HYPERLINK(VLOOKUP(M77,$R$12:$S$180,2,FALSE))</f>
        <v/>
      </c>
    </row>
    <row r="78" spans="1:16" ht="32.25" thickBot="1" x14ac:dyDescent="0.25">
      <c r="A78" s="82"/>
      <c r="B78" s="85"/>
      <c r="C78" s="14" t="s">
        <v>24</v>
      </c>
      <c r="D78" s="20">
        <f>'[1]3нед'!S204</f>
        <v>0</v>
      </c>
      <c r="E78" s="23">
        <f>'[1]3нед'!T204</f>
        <v>0</v>
      </c>
      <c r="F78" s="21">
        <f>'[1]3нед'!W204</f>
        <v>0</v>
      </c>
      <c r="G78" s="22" t="str">
        <f>'[1]3нед'!X204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'[1]4нед'!S204</f>
        <v>пр</v>
      </c>
      <c r="M78" s="23" t="str">
        <f>'[1]4нед'!T204</f>
        <v xml:space="preserve"> Основы военной подготовки</v>
      </c>
      <c r="N78" s="21" t="str">
        <f>'[1]4нед'!W204</f>
        <v>Кулак А.Ф.</v>
      </c>
      <c r="O78" s="22" t="str">
        <f>'[1]4нед'!X204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'[1]3нед'!S205</f>
        <v>0</v>
      </c>
      <c r="E79" s="25">
        <f>'[1]3нед'!T205</f>
        <v>0</v>
      </c>
      <c r="F79" s="26">
        <f>'[1]3нед'!W205</f>
        <v>0</v>
      </c>
      <c r="G79" s="27" t="str">
        <f>'[1]3нед'!X205</f>
        <v/>
      </c>
      <c r="H79" s="58" t="str">
        <f>HYPERLINK(VLOOKUP(E79,$R$12:$S$180,2,FALSE))</f>
        <v/>
      </c>
      <c r="I79" s="72"/>
      <c r="J79" s="89"/>
      <c r="K79" s="15"/>
      <c r="L79" s="24">
        <f>'[1]4нед'!S205</f>
        <v>0</v>
      </c>
      <c r="M79" s="25">
        <f>'[1]4нед'!T205</f>
        <v>0</v>
      </c>
      <c r="N79" s="26">
        <f>'[1]4нед'!W205</f>
        <v>0</v>
      </c>
      <c r="O79" s="27" t="str">
        <f>'[1]4нед'!X205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'[1]3нед'!S206</f>
        <v>0</v>
      </c>
      <c r="E80" s="19">
        <f>'[1]3нед'!T206</f>
        <v>0</v>
      </c>
      <c r="F80" s="17">
        <f>'[1]3нед'!W206</f>
        <v>0</v>
      </c>
      <c r="G80" s="18" t="str">
        <f>'[1]3нед'!X206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'[1]4нед'!S206</f>
        <v>0</v>
      </c>
      <c r="M80" s="19">
        <f>'[1]4нед'!T206</f>
        <v>0</v>
      </c>
      <c r="N80" s="17">
        <f>'[1]4нед'!W206</f>
        <v>0</v>
      </c>
      <c r="O80" s="18" t="str">
        <f>'[1]4нед'!X206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19</v>
      </c>
      <c r="D81" s="20">
        <f>'[1]3нед'!S207</f>
        <v>0</v>
      </c>
      <c r="E81" s="23">
        <f>'[1]3нед'!T207</f>
        <v>0</v>
      </c>
      <c r="F81" s="21">
        <f>'[1]3нед'!W207</f>
        <v>0</v>
      </c>
      <c r="G81" s="22" t="str">
        <f>'[1]3нед'!X207</f>
        <v/>
      </c>
      <c r="H81" s="57" t="str">
        <f>HYPERLINK(VLOOKUP(E81,$R$12:$S$180,2,FALSE))</f>
        <v/>
      </c>
      <c r="I81" s="71"/>
      <c r="J81" s="88"/>
      <c r="K81" s="14" t="s">
        <v>19</v>
      </c>
      <c r="L81" s="20">
        <f>'[1]4нед'!S207</f>
        <v>0</v>
      </c>
      <c r="M81" s="23">
        <f>'[1]4нед'!T207</f>
        <v>0</v>
      </c>
      <c r="N81" s="21">
        <f>'[1]4нед'!W207</f>
        <v>0</v>
      </c>
      <c r="O81" s="22" t="str">
        <f>'[1]4нед'!X207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20</v>
      </c>
      <c r="D82" s="20">
        <f>'[1]3нед'!S208</f>
        <v>0</v>
      </c>
      <c r="E82" s="23">
        <f>'[1]3нед'!T208</f>
        <v>0</v>
      </c>
      <c r="F82" s="21">
        <f>'[1]3нед'!W208</f>
        <v>0</v>
      </c>
      <c r="G82" s="22" t="str">
        <f>'[1]3нед'!X208</f>
        <v/>
      </c>
      <c r="H82" s="57" t="str">
        <f>HYPERLINK(VLOOKUP(E82,$R$12:$S$180,2,FALSE))</f>
        <v/>
      </c>
      <c r="I82" s="71"/>
      <c r="J82" s="88"/>
      <c r="K82" s="14" t="s">
        <v>20</v>
      </c>
      <c r="L82" s="20">
        <f>'[1]4нед'!S208</f>
        <v>0</v>
      </c>
      <c r="M82" s="23">
        <f>'[1]4нед'!T208</f>
        <v>0</v>
      </c>
      <c r="N82" s="21">
        <f>'[1]4нед'!W208</f>
        <v>0</v>
      </c>
      <c r="O82" s="22" t="str">
        <f>'[1]4нед'!X208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'[1]3нед'!S209</f>
        <v>0</v>
      </c>
      <c r="E83" s="23">
        <f>'[1]3нед'!T209</f>
        <v>0</v>
      </c>
      <c r="F83" s="21">
        <f>'[1]3нед'!W209</f>
        <v>0</v>
      </c>
      <c r="G83" s="22" t="str">
        <f>'[1]3нед'!X209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'[1]4нед'!S209</f>
        <v>0</v>
      </c>
      <c r="M83" s="23">
        <f>'[1]4нед'!T209</f>
        <v>0</v>
      </c>
      <c r="N83" s="21">
        <f>'[1]4нед'!W209</f>
        <v>0</v>
      </c>
      <c r="O83" s="22" t="str">
        <f>'[1]4нед'!X209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'[1]3нед'!S210</f>
        <v>0</v>
      </c>
      <c r="E84" s="23">
        <f>'[1]3нед'!T210</f>
        <v>0</v>
      </c>
      <c r="F84" s="21">
        <f>'[1]3нед'!W210</f>
        <v>0</v>
      </c>
      <c r="G84" s="22" t="str">
        <f>'[1]3нед'!X210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'[1]4нед'!S210</f>
        <v>0</v>
      </c>
      <c r="M84" s="23">
        <f>'[1]4нед'!T210</f>
        <v>0</v>
      </c>
      <c r="N84" s="21">
        <f>'[1]4нед'!W210</f>
        <v>0</v>
      </c>
      <c r="O84" s="22" t="str">
        <f>'[1]4нед'!X210</f>
        <v/>
      </c>
      <c r="P84" s="57" t="str">
        <f>HYPERLINK(VLOOKUP(M84,$R$12:$S$180,2,FALSE))</f>
        <v/>
      </c>
    </row>
    <row r="85" spans="1:16" ht="37.5" x14ac:dyDescent="0.2">
      <c r="A85" s="82"/>
      <c r="B85" s="85"/>
      <c r="C85" s="14" t="s">
        <v>23</v>
      </c>
      <c r="D85" s="20" t="str">
        <f>'[1]3нед'!S211</f>
        <v>пр</v>
      </c>
      <c r="E85" s="23" t="str">
        <f>'[1]3нед'!T211</f>
        <v>Разработка программного обеспечения, дизайн алгоритмов и аналитика</v>
      </c>
      <c r="F85" s="21" t="str">
        <f>'[1]3нед'!W211</f>
        <v>Алешов Е.В.</v>
      </c>
      <c r="G85" s="22" t="str">
        <f>'[1]3нед'!X211</f>
        <v>преподаватель</v>
      </c>
      <c r="H85" s="57" t="str">
        <f>HYPERLINK(VLOOKUP(E85,$R$12:$S$180,2,FALSE))</f>
        <v>https://max.ru/join/ABawVbim1pHAjVVmFjM7O45ddZZYKAUsl0XF3_xyIvw</v>
      </c>
      <c r="I85" s="71"/>
      <c r="J85" s="88"/>
      <c r="K85" s="14" t="s">
        <v>23</v>
      </c>
      <c r="L85" s="20" t="str">
        <f>'[1]4нед'!S211</f>
        <v>л</v>
      </c>
      <c r="M85" s="23" t="str">
        <f>'[1]4нед'!T211</f>
        <v>Разработка программного обеспечения, дизайн алгоритмов и аналитика</v>
      </c>
      <c r="N85" s="21" t="str">
        <f>'[1]4нед'!W211</f>
        <v>Алешов Е.В.</v>
      </c>
      <c r="O85" s="22" t="str">
        <f>'[1]4нед'!X211</f>
        <v>преподаватель</v>
      </c>
      <c r="P85" s="57" t="str">
        <f>HYPERLINK(VLOOKUP(M85,$R$12:$S$180,2,FALSE))</f>
        <v>https://max.ru/join/ABawVbim1pHAjVVmFjM7O45ddZZYKAUsl0XF3_xyIvw</v>
      </c>
    </row>
    <row r="86" spans="1:16" ht="38.25" thickBot="1" x14ac:dyDescent="0.25">
      <c r="A86" s="82"/>
      <c r="B86" s="85"/>
      <c r="C86" s="14" t="s">
        <v>24</v>
      </c>
      <c r="D86" s="20" t="str">
        <f>'[1]3нед'!S212</f>
        <v>пр</v>
      </c>
      <c r="E86" s="23" t="str">
        <f>'[1]3нед'!T212</f>
        <v>Компьютерная безопасность</v>
      </c>
      <c r="F86" s="21" t="str">
        <f>'[1]3нед'!W212</f>
        <v>Алешов Е.В.</v>
      </c>
      <c r="G86" s="22" t="str">
        <f>'[1]3нед'!X212</f>
        <v>преподаватель</v>
      </c>
      <c r="H86" s="57" t="str">
        <f>HYPERLINK(VLOOKUP(E86,$R$12:$S$180,2,FALSE))</f>
        <v>https://max.ru/join/ABawVbim1pHAjVVmFjM7O45ddZZYKAUsl0XF3_xyIvw</v>
      </c>
      <c r="I86" s="71"/>
      <c r="J86" s="88"/>
      <c r="K86" s="14" t="s">
        <v>24</v>
      </c>
      <c r="L86" s="20" t="str">
        <f>'[1]4нед'!S212</f>
        <v>л</v>
      </c>
      <c r="M86" s="23" t="str">
        <f>'[1]4нед'!T212</f>
        <v>Компьютерная безопасность</v>
      </c>
      <c r="N86" s="21" t="str">
        <f>'[1]4нед'!W212</f>
        <v>Алешов Е.В.</v>
      </c>
      <c r="O86" s="22" t="str">
        <f>'[1]4нед'!X212</f>
        <v>преподаватель</v>
      </c>
      <c r="P86" s="57" t="str">
        <f>HYPERLINK(VLOOKUP(M86,$R$12:$S$180,2,FALSE))</f>
        <v>https://max.ru/join/ABawVbim1pHAjVVmFjM7O45ddZZYKAUsl0XF3_xyIvw</v>
      </c>
    </row>
    <row r="87" spans="1:16" ht="18.399999999999999" hidden="1" customHeight="1" thickBot="1" x14ac:dyDescent="0.25">
      <c r="A87" s="83"/>
      <c r="B87" s="86"/>
      <c r="C87" s="15"/>
      <c r="D87" s="24">
        <f>'[1]3нед'!S213</f>
        <v>0</v>
      </c>
      <c r="E87" s="25">
        <f>'[1]3нед'!T213</f>
        <v>0</v>
      </c>
      <c r="F87" s="26">
        <f>'[1]3нед'!W213</f>
        <v>0</v>
      </c>
      <c r="G87" s="27" t="str">
        <f>'[1]3нед'!X213</f>
        <v/>
      </c>
      <c r="H87" s="58" t="str">
        <f>HYPERLINK(VLOOKUP(E87,$R$12:$S$180,2,FALSE))</f>
        <v/>
      </c>
      <c r="I87" s="72"/>
      <c r="J87" s="89"/>
      <c r="K87" s="15"/>
      <c r="L87" s="24">
        <f>'[1]4нед'!S213</f>
        <v>0</v>
      </c>
      <c r="M87" s="25">
        <f>'[1]4нед'!T213</f>
        <v>0</v>
      </c>
      <c r="N87" s="26">
        <f>'[1]4нед'!W213</f>
        <v>0</v>
      </c>
      <c r="O87" s="27" t="str">
        <f>'[1]4нед'!X213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'[1]3нед'!S214</f>
        <v>0</v>
      </c>
      <c r="E88" s="19">
        <f>'[1]3нед'!T214</f>
        <v>0</v>
      </c>
      <c r="F88" s="17">
        <f>'[1]3нед'!W214</f>
        <v>0</v>
      </c>
      <c r="G88" s="18" t="str">
        <f>'[1]3нед'!X214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'[1]4нед'!S214</f>
        <v>0</v>
      </c>
      <c r="M88" s="19">
        <f>'[1]4нед'!T214</f>
        <v>0</v>
      </c>
      <c r="N88" s="17">
        <f>'[1]4нед'!W214</f>
        <v>0</v>
      </c>
      <c r="O88" s="18" t="str">
        <f>'[1]4нед'!X214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19</v>
      </c>
      <c r="D89" s="20">
        <f>'[1]3нед'!S215</f>
        <v>0</v>
      </c>
      <c r="E89" s="23">
        <f>'[1]3нед'!T215</f>
        <v>0</v>
      </c>
      <c r="F89" s="21">
        <f>'[1]3нед'!W215</f>
        <v>0</v>
      </c>
      <c r="G89" s="22" t="str">
        <f>'[1]3нед'!X215</f>
        <v/>
      </c>
      <c r="H89" s="57" t="str">
        <f>HYPERLINK(VLOOKUP(E89,$R$12:$S$180,2,FALSE))</f>
        <v/>
      </c>
      <c r="I89" s="71"/>
      <c r="J89" s="74"/>
      <c r="K89" s="14" t="s">
        <v>19</v>
      </c>
      <c r="L89" s="20">
        <f>'[1]4нед'!S215</f>
        <v>0</v>
      </c>
      <c r="M89" s="23">
        <f>'[1]4нед'!T215</f>
        <v>0</v>
      </c>
      <c r="N89" s="21">
        <f>'[1]4нед'!W215</f>
        <v>0</v>
      </c>
      <c r="O89" s="22" t="str">
        <f>'[1]4нед'!X215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20</v>
      </c>
      <c r="D90" s="20">
        <f>'[1]3нед'!S216</f>
        <v>0</v>
      </c>
      <c r="E90" s="23">
        <f>'[1]3нед'!T216</f>
        <v>0</v>
      </c>
      <c r="F90" s="21">
        <f>'[1]3нед'!W216</f>
        <v>0</v>
      </c>
      <c r="G90" s="22" t="str">
        <f>'[1]3нед'!X216</f>
        <v/>
      </c>
      <c r="H90" s="57" t="str">
        <f>HYPERLINK(VLOOKUP(E90,$R$12:$S$180,2,FALSE))</f>
        <v/>
      </c>
      <c r="I90" s="71"/>
      <c r="J90" s="74"/>
      <c r="K90" s="14" t="s">
        <v>20</v>
      </c>
      <c r="L90" s="20">
        <f>'[1]4нед'!S216</f>
        <v>0</v>
      </c>
      <c r="M90" s="23">
        <f>'[1]4нед'!T216</f>
        <v>0</v>
      </c>
      <c r="N90" s="21">
        <f>'[1]4нед'!W216</f>
        <v>0</v>
      </c>
      <c r="O90" s="22" t="str">
        <f>'[1]4нед'!X216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'[1]3нед'!S217</f>
        <v>0</v>
      </c>
      <c r="E91" s="23">
        <f>'[1]3нед'!T217</f>
        <v>0</v>
      </c>
      <c r="F91" s="21">
        <f>'[1]3нед'!W217</f>
        <v>0</v>
      </c>
      <c r="G91" s="22" t="str">
        <f>'[1]3нед'!X217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'[1]4нед'!S217</f>
        <v>0</v>
      </c>
      <c r="M91" s="23">
        <f>'[1]4нед'!T217</f>
        <v>0</v>
      </c>
      <c r="N91" s="21">
        <f>'[1]4нед'!W217</f>
        <v>0</v>
      </c>
      <c r="O91" s="22" t="str">
        <f>'[1]4нед'!X217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'[1]3нед'!S218</f>
        <v>0</v>
      </c>
      <c r="E92" s="23">
        <f>'[1]3нед'!T218</f>
        <v>0</v>
      </c>
      <c r="F92" s="21">
        <f>'[1]3нед'!W218</f>
        <v>0</v>
      </c>
      <c r="G92" s="22" t="str">
        <f>'[1]3нед'!X218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'[1]4нед'!S218</f>
        <v>0</v>
      </c>
      <c r="M92" s="23">
        <f>'[1]4нед'!T218</f>
        <v>0</v>
      </c>
      <c r="N92" s="21">
        <f>'[1]4нед'!W218</f>
        <v>0</v>
      </c>
      <c r="O92" s="22" t="str">
        <f>'[1]4нед'!X218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>
        <f>'[1]3нед'!S219</f>
        <v>0</v>
      </c>
      <c r="E93" s="23">
        <f>'[1]3нед'!T219</f>
        <v>0</v>
      </c>
      <c r="F93" s="21">
        <f>'[1]3нед'!W219</f>
        <v>0</v>
      </c>
      <c r="G93" s="22" t="str">
        <f>'[1]3нед'!X219</f>
        <v/>
      </c>
      <c r="H93" s="55" t="str">
        <f>HYPERLINK(VLOOKUP(E93,$R$12:$S$180,2,FALSE))</f>
        <v/>
      </c>
      <c r="I93" s="71"/>
      <c r="J93" s="74"/>
      <c r="K93" s="14" t="s">
        <v>23</v>
      </c>
      <c r="L93" s="20" t="str">
        <f>'[1]4нед'!S219</f>
        <v>пр</v>
      </c>
      <c r="M93" s="23" t="str">
        <f>'[1]4нед'!T219</f>
        <v>Разработка программного обеспечения, дизайн алгоритмов и аналитика</v>
      </c>
      <c r="N93" s="21" t="str">
        <f>'[1]4нед'!W219</f>
        <v>Алешов Е.В.</v>
      </c>
      <c r="O93" s="22" t="str">
        <f>'[1]4нед'!X219</f>
        <v>преподаватель</v>
      </c>
      <c r="P93" s="55" t="str">
        <f>HYPERLINK(VLOOKUP(M93,$R$12:$S$180,2,FALSE))</f>
        <v>https://max.ru/join/ABawVbim1pHAjVVmFjM7O45ddZZYKAUsl0XF3_xyIvw</v>
      </c>
    </row>
    <row r="94" spans="1:16" ht="32.25" thickBot="1" x14ac:dyDescent="0.25">
      <c r="A94" s="82"/>
      <c r="B94" s="68"/>
      <c r="C94" s="14" t="s">
        <v>24</v>
      </c>
      <c r="D94" s="20" t="str">
        <f>'[1]3нед'!S220</f>
        <v>л</v>
      </c>
      <c r="E94" s="23" t="str">
        <f>'[1]3нед'!T220</f>
        <v>Основы военной подготовки</v>
      </c>
      <c r="F94" s="21" t="str">
        <f>'[1]3нед'!W220</f>
        <v>Кулак А.Ф.</v>
      </c>
      <c r="G94" s="22" t="str">
        <f>'[1]3нед'!X220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'[1]4нед'!S220</f>
        <v>пр</v>
      </c>
      <c r="M94" s="23" t="str">
        <f>'[1]4нед'!T220</f>
        <v>Компьютерная безопасность</v>
      </c>
      <c r="N94" s="21" t="str">
        <f>'[1]4нед'!W220</f>
        <v>Алешов Е.В.</v>
      </c>
      <c r="O94" s="22" t="str">
        <f>'[1]4нед'!X220</f>
        <v>преподаватель</v>
      </c>
      <c r="P94" s="55" t="str">
        <f>HYPERLINK(VLOOKUP(M94,$R$12:$S$180,2,FALSE))</f>
        <v>https://max.ru/join/ABawVbim1pHAjVVmFjM7O45ddZZYKAUsl0XF3_xyIvw</v>
      </c>
    </row>
    <row r="95" spans="1:16" ht="18.399999999999999" hidden="1" customHeight="1" thickBot="1" x14ac:dyDescent="0.25">
      <c r="A95" s="83"/>
      <c r="B95" s="69"/>
      <c r="C95" s="15"/>
      <c r="D95" s="24">
        <f>'[1]3нед'!S221</f>
        <v>0</v>
      </c>
      <c r="E95" s="25">
        <f>'[1]3нед'!T221</f>
        <v>0</v>
      </c>
      <c r="F95" s="26">
        <f>'[1]3нед'!W221</f>
        <v>0</v>
      </c>
      <c r="G95" s="27" t="str">
        <f>'[1]3нед'!X221</f>
        <v/>
      </c>
      <c r="H95" s="58" t="str">
        <f>HYPERLINK(VLOOKUP(E95,$R$12:$S$180,2,FALSE))</f>
        <v/>
      </c>
      <c r="I95" s="72"/>
      <c r="J95" s="75"/>
      <c r="K95" s="15"/>
      <c r="L95" s="24">
        <f>'[1]4нед'!S221</f>
        <v>0</v>
      </c>
      <c r="M95" s="25">
        <f>'[1]4нед'!T221</f>
        <v>0</v>
      </c>
      <c r="N95" s="26">
        <f>'[1]4нед'!W221</f>
        <v>0</v>
      </c>
      <c r="O95" s="27" t="str">
        <f>'[1]4нед'!X221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'[1]3нед'!S222</f>
        <v>0</v>
      </c>
      <c r="E96" s="19">
        <f>'[1]3нед'!T222</f>
        <v>0</v>
      </c>
      <c r="F96" s="17">
        <f>'[1]3нед'!W222</f>
        <v>0</v>
      </c>
      <c r="G96" s="18" t="str">
        <f>'[1]3нед'!X222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'[1]4нед'!S222</f>
        <v>0</v>
      </c>
      <c r="M96" s="19">
        <f>'[1]4нед'!T222</f>
        <v>0</v>
      </c>
      <c r="N96" s="17">
        <f>'[1]4нед'!W222</f>
        <v>0</v>
      </c>
      <c r="O96" s="18" t="str">
        <f>'[1]4нед'!X222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19</v>
      </c>
      <c r="D97" s="20">
        <f>'[1]3нед'!S223</f>
        <v>0</v>
      </c>
      <c r="E97" s="23">
        <f>'[1]3нед'!T223</f>
        <v>0</v>
      </c>
      <c r="F97" s="21">
        <f>'[1]3нед'!W223</f>
        <v>0</v>
      </c>
      <c r="G97" s="22" t="str">
        <f>'[1]3нед'!X223</f>
        <v/>
      </c>
      <c r="H97" s="57" t="str">
        <f>HYPERLINK(VLOOKUP(E97,$R$12:$S$180,2,FALSE))</f>
        <v/>
      </c>
      <c r="I97" s="71"/>
      <c r="J97" s="88"/>
      <c r="K97" s="14" t="s">
        <v>19</v>
      </c>
      <c r="L97" s="20">
        <f>'[1]4нед'!S223</f>
        <v>0</v>
      </c>
      <c r="M97" s="23">
        <f>'[1]4нед'!T223</f>
        <v>0</v>
      </c>
      <c r="N97" s="21">
        <f>'[1]4нед'!W223</f>
        <v>0</v>
      </c>
      <c r="O97" s="22" t="str">
        <f>'[1]4нед'!X223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20</v>
      </c>
      <c r="D98" s="20">
        <f>'[1]3нед'!S224</f>
        <v>0</v>
      </c>
      <c r="E98" s="23">
        <f>'[1]3нед'!T224</f>
        <v>0</v>
      </c>
      <c r="F98" s="21">
        <f>'[1]3нед'!W224</f>
        <v>0</v>
      </c>
      <c r="G98" s="22" t="str">
        <f>'[1]3нед'!X224</f>
        <v/>
      </c>
      <c r="H98" s="57" t="str">
        <f>HYPERLINK(VLOOKUP(E98,$R$12:$S$180,2,FALSE))</f>
        <v/>
      </c>
      <c r="I98" s="71"/>
      <c r="J98" s="88"/>
      <c r="K98" s="14" t="s">
        <v>20</v>
      </c>
      <c r="L98" s="20">
        <f>'[1]4нед'!S224</f>
        <v>0</v>
      </c>
      <c r="M98" s="23">
        <f>'[1]4нед'!T224</f>
        <v>0</v>
      </c>
      <c r="N98" s="21">
        <f>'[1]4нед'!W224</f>
        <v>0</v>
      </c>
      <c r="O98" s="22" t="str">
        <f>'[1]4нед'!X224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'[1]3нед'!S225</f>
        <v>0</v>
      </c>
      <c r="E99" s="23">
        <f>'[1]3нед'!T225</f>
        <v>0</v>
      </c>
      <c r="F99" s="21">
        <f>'[1]3нед'!W225</f>
        <v>0</v>
      </c>
      <c r="G99" s="22" t="str">
        <f>'[1]3нед'!X225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'[1]4нед'!S225</f>
        <v>0</v>
      </c>
      <c r="M99" s="23">
        <f>'[1]4нед'!T225</f>
        <v>0</v>
      </c>
      <c r="N99" s="21">
        <f>'[1]4нед'!W225</f>
        <v>0</v>
      </c>
      <c r="O99" s="22" t="str">
        <f>'[1]4нед'!X225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'[1]3нед'!S226</f>
        <v>0</v>
      </c>
      <c r="E100" s="23">
        <f>'[1]3нед'!T226</f>
        <v>0</v>
      </c>
      <c r="F100" s="21">
        <f>'[1]3нед'!W226</f>
        <v>0</v>
      </c>
      <c r="G100" s="22" t="str">
        <f>'[1]3нед'!X226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'[1]4нед'!S226</f>
        <v>0</v>
      </c>
      <c r="M100" s="23">
        <f>'[1]4нед'!T226</f>
        <v>0</v>
      </c>
      <c r="N100" s="21">
        <f>'[1]4нед'!W226</f>
        <v>0</v>
      </c>
      <c r="O100" s="22" t="str">
        <f>'[1]4нед'!X226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'[1]3нед'!S227</f>
        <v>0</v>
      </c>
      <c r="E101" s="23">
        <f>'[1]3нед'!T227</f>
        <v>0</v>
      </c>
      <c r="F101" s="21">
        <f>'[1]3нед'!W227</f>
        <v>0</v>
      </c>
      <c r="G101" s="22" t="str">
        <f>'[1]3нед'!X227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>
        <f>'[1]4нед'!S227</f>
        <v>0</v>
      </c>
      <c r="M101" s="23">
        <f>'[1]4нед'!T227</f>
        <v>0</v>
      </c>
      <c r="N101" s="21">
        <f>'[1]4нед'!W227</f>
        <v>0</v>
      </c>
      <c r="O101" s="22" t="str">
        <f>'[1]4нед'!X227</f>
        <v/>
      </c>
      <c r="P101" s="55" t="str">
        <f>HYPERLINK(VLOOKUP(M101,$R$12:$S$180,2,FALSE))</f>
        <v/>
      </c>
    </row>
    <row r="102" spans="1:16" ht="38.25" thickBot="1" x14ac:dyDescent="0.25">
      <c r="A102" s="82"/>
      <c r="B102" s="85"/>
      <c r="C102" s="14" t="s">
        <v>24</v>
      </c>
      <c r="D102" s="20" t="str">
        <f>'[1]3нед'!S228</f>
        <v>л</v>
      </c>
      <c r="E102" s="23" t="str">
        <f>'[1]3нед'!T228</f>
        <v>Управление ИТ-проектами и гибкая методология</v>
      </c>
      <c r="F102" s="21" t="str">
        <f>'[1]3нед'!W228</f>
        <v>Гришин И.Ю.</v>
      </c>
      <c r="G102" s="22" t="str">
        <f>'[1]3нед'!X228</f>
        <v>профессор, д-р наук</v>
      </c>
      <c r="H102" s="55" t="str">
        <f>HYPERLINK(VLOOKUP(E102,$R$12:$S$180,2,FALSE))</f>
        <v>https://max.ru/join/ABawVbim1pHAjVVmFjM7O45ddZZYKAUsl0XF3_xyIvw</v>
      </c>
      <c r="I102" s="71"/>
      <c r="J102" s="88"/>
      <c r="K102" s="14" t="s">
        <v>24</v>
      </c>
      <c r="L102" s="20">
        <f>'[1]4нед'!S228</f>
        <v>0</v>
      </c>
      <c r="M102" s="23">
        <f>'[1]4нед'!T228</f>
        <v>0</v>
      </c>
      <c r="N102" s="21">
        <f>'[1]4нед'!W228</f>
        <v>0</v>
      </c>
      <c r="O102" s="22" t="str">
        <f>'[1]4нед'!X228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'[1]3нед'!S229</f>
        <v>0</v>
      </c>
      <c r="E103" s="25">
        <f>'[1]3нед'!T229</f>
        <v>0</v>
      </c>
      <c r="F103" s="26">
        <f>'[1]3нед'!W229</f>
        <v>0</v>
      </c>
      <c r="G103" s="27" t="str">
        <f>'[1]3нед'!X229</f>
        <v/>
      </c>
      <c r="H103" s="58" t="str">
        <f>HYPERLINK(VLOOKUP(E103,$R$12:$S$180,2,FALSE))</f>
        <v/>
      </c>
      <c r="I103" s="72"/>
      <c r="J103" s="89"/>
      <c r="K103" s="15"/>
      <c r="L103" s="24">
        <f>'[1]4нед'!S229</f>
        <v>0</v>
      </c>
      <c r="M103" s="25">
        <f>'[1]4нед'!T229</f>
        <v>0</v>
      </c>
      <c r="N103" s="26">
        <f>'[1]4нед'!W229</f>
        <v>0</v>
      </c>
      <c r="O103" s="27" t="str">
        <f>'[1]4нед'!X229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'[1]3нед'!S230</f>
        <v>0</v>
      </c>
      <c r="E104" s="19">
        <f>'[1]3нед'!T230</f>
        <v>0</v>
      </c>
      <c r="F104" s="17">
        <f>'[1]3нед'!W230</f>
        <v>0</v>
      </c>
      <c r="G104" s="18" t="str">
        <f>'[1]3нед'!X230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'[1]4нед'!S230</f>
        <v>0</v>
      </c>
      <c r="M104" s="19">
        <f>'[1]4нед'!T230</f>
        <v>0</v>
      </c>
      <c r="N104" s="17">
        <f>'[1]4нед'!W230</f>
        <v>0</v>
      </c>
      <c r="O104" s="18" t="str">
        <f>'[1]4нед'!X230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19</v>
      </c>
      <c r="D105" s="20">
        <f>'[1]3нед'!S231</f>
        <v>0</v>
      </c>
      <c r="E105" s="23">
        <f>'[1]3нед'!T231</f>
        <v>0</v>
      </c>
      <c r="F105" s="21">
        <f>'[1]3нед'!W231</f>
        <v>0</v>
      </c>
      <c r="G105" s="22" t="str">
        <f>'[1]3нед'!X231</f>
        <v/>
      </c>
      <c r="H105" s="57" t="str">
        <f>HYPERLINK(VLOOKUP(E105,$R$12:$S$180,2,FALSE))</f>
        <v/>
      </c>
      <c r="I105" s="71"/>
      <c r="J105" s="88"/>
      <c r="K105" s="14" t="s">
        <v>19</v>
      </c>
      <c r="L105" s="20">
        <f>'[1]4нед'!S231</f>
        <v>0</v>
      </c>
      <c r="M105" s="23">
        <f>'[1]4нед'!T231</f>
        <v>0</v>
      </c>
      <c r="N105" s="21">
        <f>'[1]4нед'!W231</f>
        <v>0</v>
      </c>
      <c r="O105" s="22" t="str">
        <f>'[1]4нед'!X231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20</v>
      </c>
      <c r="D106" s="20">
        <f>'[1]3нед'!S232</f>
        <v>0</v>
      </c>
      <c r="E106" s="23">
        <f>'[1]3нед'!T232</f>
        <v>0</v>
      </c>
      <c r="F106" s="21">
        <f>'[1]3нед'!W232</f>
        <v>0</v>
      </c>
      <c r="G106" s="22" t="str">
        <f>'[1]3нед'!X232</f>
        <v/>
      </c>
      <c r="H106" s="57" t="str">
        <f>HYPERLINK(VLOOKUP(E106,$R$12:$S$180,2,FALSE))</f>
        <v/>
      </c>
      <c r="I106" s="71"/>
      <c r="J106" s="88"/>
      <c r="K106" s="14" t="s">
        <v>20</v>
      </c>
      <c r="L106" s="20">
        <f>'[1]4нед'!S232</f>
        <v>0</v>
      </c>
      <c r="M106" s="23">
        <f>'[1]4нед'!T232</f>
        <v>0</v>
      </c>
      <c r="N106" s="21">
        <f>'[1]4нед'!W232</f>
        <v>0</v>
      </c>
      <c r="O106" s="22" t="str">
        <f>'[1]4нед'!X232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'[1]3нед'!S233</f>
        <v>0</v>
      </c>
      <c r="E107" s="23">
        <f>'[1]3нед'!T233</f>
        <v>0</v>
      </c>
      <c r="F107" s="21">
        <f>'[1]3нед'!W233</f>
        <v>0</v>
      </c>
      <c r="G107" s="22" t="str">
        <f>'[1]3нед'!X233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'[1]4нед'!S233</f>
        <v>0</v>
      </c>
      <c r="M107" s="23">
        <f>'[1]4нед'!T233</f>
        <v>0</v>
      </c>
      <c r="N107" s="21">
        <f>'[1]4нед'!W233</f>
        <v>0</v>
      </c>
      <c r="O107" s="22" t="str">
        <f>'[1]4нед'!X233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'[1]3нед'!S234</f>
        <v>0</v>
      </c>
      <c r="E108" s="23">
        <f>'[1]3нед'!T234</f>
        <v>0</v>
      </c>
      <c r="F108" s="21">
        <f>'[1]3нед'!W234</f>
        <v>0</v>
      </c>
      <c r="G108" s="22" t="str">
        <f>'[1]3нед'!X234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'[1]4нед'!S234</f>
        <v>0</v>
      </c>
      <c r="M108" s="23">
        <f>'[1]4нед'!T234</f>
        <v>0</v>
      </c>
      <c r="N108" s="21">
        <f>'[1]4нед'!W234</f>
        <v>0</v>
      </c>
      <c r="O108" s="22" t="str">
        <f>'[1]4нед'!X234</f>
        <v/>
      </c>
      <c r="P108" s="57" t="str">
        <f>HYPERLINK(VLOOKUP(M108,$R$12:$S$180,2,FALSE))</f>
        <v/>
      </c>
    </row>
    <row r="109" spans="1:16" ht="31.5" x14ac:dyDescent="0.2">
      <c r="A109" s="82"/>
      <c r="B109" s="85"/>
      <c r="C109" s="14" t="s">
        <v>23</v>
      </c>
      <c r="D109" s="20">
        <f>'[1]3нед'!S235</f>
        <v>0</v>
      </c>
      <c r="E109" s="23">
        <f>'[1]3нед'!T235</f>
        <v>0</v>
      </c>
      <c r="F109" s="21">
        <f>'[1]3нед'!W235</f>
        <v>0</v>
      </c>
      <c r="G109" s="22" t="str">
        <f>'[1]3нед'!X235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>
        <f>'[1]4нед'!S235</f>
        <v>0</v>
      </c>
      <c r="M109" s="23">
        <f>'[1]4нед'!T235</f>
        <v>0</v>
      </c>
      <c r="N109" s="21">
        <f>'[1]4нед'!W235</f>
        <v>0</v>
      </c>
      <c r="O109" s="22" t="str">
        <f>'[1]4нед'!X235</f>
        <v/>
      </c>
      <c r="P109" s="57" t="str">
        <f>HYPERLINK(VLOOKUP(M109,$R$12:$S$180,2,FALSE))</f>
        <v/>
      </c>
    </row>
    <row r="110" spans="1:16" ht="38.25" thickBot="1" x14ac:dyDescent="0.25">
      <c r="A110" s="82"/>
      <c r="B110" s="85"/>
      <c r="C110" s="14" t="s">
        <v>24</v>
      </c>
      <c r="D110" s="20" t="str">
        <f>'[1]3нед'!S236</f>
        <v>пр</v>
      </c>
      <c r="E110" s="23" t="str">
        <f>'[1]3нед'!T236</f>
        <v>Управление ИТ-проектами и гибкая методология</v>
      </c>
      <c r="F110" s="21" t="str">
        <f>'[1]3нед'!W236</f>
        <v>Гришин И.Ю.</v>
      </c>
      <c r="G110" s="22" t="str">
        <f>'[1]3нед'!X236</f>
        <v>профессор, д-р наук</v>
      </c>
      <c r="H110" s="57" t="str">
        <f>HYPERLINK(VLOOKUP(E110,$R$12:$S$180,2,FALSE))</f>
        <v>https://max.ru/join/ABawVbim1pHAjVVmFjM7O45ddZZYKAUsl0XF3_xyIvw</v>
      </c>
      <c r="I110" s="71"/>
      <c r="J110" s="88"/>
      <c r="K110" s="14" t="s">
        <v>24</v>
      </c>
      <c r="L110" s="20" t="str">
        <f>'[1]4нед'!S236</f>
        <v>пр</v>
      </c>
      <c r="M110" s="23" t="str">
        <f>'[1]4нед'!T236</f>
        <v>Управление ИТ-проектами и гибкая методология</v>
      </c>
      <c r="N110" s="21" t="str">
        <f>'[1]4нед'!W236</f>
        <v>Гришин И.Ю.</v>
      </c>
      <c r="O110" s="22" t="str">
        <f>'[1]4нед'!X236</f>
        <v>профессор, д-р наук</v>
      </c>
      <c r="P110" s="57" t="str">
        <f>HYPERLINK(VLOOKUP(M110,$R$12:$S$180,2,FALSE))</f>
        <v>https://max.ru/join/ABawVbim1pHAjVVmFjM7O45ddZZYKAUsl0XF3_xyIvw</v>
      </c>
    </row>
    <row r="111" spans="1:16" ht="18.399999999999999" hidden="1" customHeight="1" thickBot="1" x14ac:dyDescent="0.25">
      <c r="A111" s="83"/>
      <c r="B111" s="86"/>
      <c r="C111" s="15"/>
      <c r="D111" s="24">
        <f>'[1]3нед'!S237</f>
        <v>0</v>
      </c>
      <c r="E111" s="25">
        <f>'[1]3нед'!T237</f>
        <v>0</v>
      </c>
      <c r="F111" s="26">
        <f>'[1]3нед'!W237</f>
        <v>0</v>
      </c>
      <c r="G111" s="27" t="str">
        <f>'[1]3нед'!X237</f>
        <v/>
      </c>
      <c r="H111" s="58" t="str">
        <f>HYPERLINK(VLOOKUP(E111,$R$12:$S$180,2,FALSE))</f>
        <v/>
      </c>
      <c r="I111" s="72"/>
      <c r="J111" s="89"/>
      <c r="K111" s="15"/>
      <c r="L111" s="24">
        <f>'[1]4нед'!S237</f>
        <v>0</v>
      </c>
      <c r="M111" s="25">
        <f>'[1]4нед'!T237</f>
        <v>0</v>
      </c>
      <c r="N111" s="26">
        <f>'[1]4нед'!W237</f>
        <v>0</v>
      </c>
      <c r="O111" s="27" t="str">
        <f>'[1]4нед'!X237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'[1]3нед'!S238</f>
        <v>0</v>
      </c>
      <c r="E112" s="19">
        <f>'[1]3нед'!T238</f>
        <v>0</v>
      </c>
      <c r="F112" s="17">
        <f>'[1]3нед'!W238</f>
        <v>0</v>
      </c>
      <c r="G112" s="18" t="str">
        <f>'[1]3нед'!X238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'[1]4нед'!S238</f>
        <v>0</v>
      </c>
      <c r="M112" s="19">
        <f>'[1]4нед'!T238</f>
        <v>0</v>
      </c>
      <c r="N112" s="17">
        <f>'[1]4нед'!W238</f>
        <v>0</v>
      </c>
      <c r="O112" s="18" t="str">
        <f>'[1]4нед'!X238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19</v>
      </c>
      <c r="D113" s="20">
        <f>'[1]3нед'!S239</f>
        <v>0</v>
      </c>
      <c r="E113" s="23">
        <f>'[1]3нед'!T239</f>
        <v>0</v>
      </c>
      <c r="F113" s="21">
        <f>'[1]3нед'!W239</f>
        <v>0</v>
      </c>
      <c r="G113" s="22" t="str">
        <f>'[1]3нед'!X239</f>
        <v/>
      </c>
      <c r="H113" s="57" t="str">
        <f>HYPERLINK(VLOOKUP(E113,$R$12:$S$180,2,FALSE))</f>
        <v/>
      </c>
      <c r="I113" s="71"/>
      <c r="J113" s="88"/>
      <c r="K113" s="14" t="s">
        <v>19</v>
      </c>
      <c r="L113" s="20">
        <f>'[1]4нед'!S239</f>
        <v>0</v>
      </c>
      <c r="M113" s="23">
        <f>'[1]4нед'!T239</f>
        <v>0</v>
      </c>
      <c r="N113" s="21">
        <f>'[1]4нед'!W239</f>
        <v>0</v>
      </c>
      <c r="O113" s="22" t="str">
        <f>'[1]4нед'!X239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20</v>
      </c>
      <c r="D114" s="20">
        <f>'[1]3нед'!S240</f>
        <v>0</v>
      </c>
      <c r="E114" s="23">
        <f>'[1]3нед'!T240</f>
        <v>0</v>
      </c>
      <c r="F114" s="21">
        <f>'[1]3нед'!W240</f>
        <v>0</v>
      </c>
      <c r="G114" s="22" t="str">
        <f>'[1]3нед'!X240</f>
        <v/>
      </c>
      <c r="H114" s="57" t="str">
        <f>HYPERLINK(VLOOKUP(E114,$R$12:$S$180,2,FALSE))</f>
        <v/>
      </c>
      <c r="I114" s="71"/>
      <c r="J114" s="88"/>
      <c r="K114" s="14" t="s">
        <v>20</v>
      </c>
      <c r="L114" s="20">
        <f>'[1]4нед'!S240</f>
        <v>0</v>
      </c>
      <c r="M114" s="23">
        <f>'[1]4нед'!T240</f>
        <v>0</v>
      </c>
      <c r="N114" s="21">
        <f>'[1]4нед'!W240</f>
        <v>0</v>
      </c>
      <c r="O114" s="22" t="str">
        <f>'[1]4нед'!X240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'[1]3нед'!S241</f>
        <v>0</v>
      </c>
      <c r="E115" s="23">
        <f>'[1]3нед'!T241</f>
        <v>0</v>
      </c>
      <c r="F115" s="21">
        <f>'[1]3нед'!W241</f>
        <v>0</v>
      </c>
      <c r="G115" s="22" t="str">
        <f>'[1]3нед'!X241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'[1]4нед'!S241</f>
        <v>0</v>
      </c>
      <c r="M115" s="23">
        <f>'[1]4нед'!T241</f>
        <v>0</v>
      </c>
      <c r="N115" s="21">
        <f>'[1]4нед'!W241</f>
        <v>0</v>
      </c>
      <c r="O115" s="22" t="str">
        <f>'[1]4нед'!X241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'[1]3нед'!S242</f>
        <v>0</v>
      </c>
      <c r="E116" s="23">
        <f>'[1]3нед'!T242</f>
        <v>0</v>
      </c>
      <c r="F116" s="21">
        <f>'[1]3нед'!W242</f>
        <v>0</v>
      </c>
      <c r="G116" s="22" t="str">
        <f>'[1]3нед'!X242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'[1]4нед'!S242</f>
        <v>0</v>
      </c>
      <c r="M116" s="23">
        <f>'[1]4нед'!T242</f>
        <v>0</v>
      </c>
      <c r="N116" s="21">
        <f>'[1]4нед'!W242</f>
        <v>0</v>
      </c>
      <c r="O116" s="22" t="str">
        <f>'[1]4нед'!X242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'[1]3нед'!S243</f>
        <v>0</v>
      </c>
      <c r="E117" s="23">
        <f>'[1]3нед'!T243</f>
        <v>0</v>
      </c>
      <c r="F117" s="21">
        <f>'[1]3нед'!W243</f>
        <v>0</v>
      </c>
      <c r="G117" s="22" t="str">
        <f>'[1]3нед'!X243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'[1]4нед'!S243</f>
        <v>0</v>
      </c>
      <c r="M117" s="23">
        <f>'[1]4нед'!T243</f>
        <v>0</v>
      </c>
      <c r="N117" s="21">
        <f>'[1]4нед'!W243</f>
        <v>0</v>
      </c>
      <c r="O117" s="22" t="str">
        <f>'[1]4нед'!X243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'[1]3нед'!S244</f>
        <v>0</v>
      </c>
      <c r="E118" s="23">
        <f>'[1]3нед'!T244</f>
        <v>0</v>
      </c>
      <c r="F118" s="21">
        <f>'[1]3нед'!W244</f>
        <v>0</v>
      </c>
      <c r="G118" s="22" t="str">
        <f>'[1]3нед'!X244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'[1]4нед'!S244</f>
        <v>0</v>
      </c>
      <c r="M118" s="23">
        <f>'[1]4нед'!T244</f>
        <v>0</v>
      </c>
      <c r="N118" s="21">
        <f>'[1]4нед'!W244</f>
        <v>0</v>
      </c>
      <c r="O118" s="22" t="str">
        <f>'[1]4нед'!X244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24">
        <f>'[1]3нед'!S59</f>
        <v>0</v>
      </c>
      <c r="E119" s="25">
        <f>'[1]3нед'!T59</f>
        <v>0</v>
      </c>
      <c r="F119" s="26">
        <f>'[1]3нед'!W59</f>
        <v>0</v>
      </c>
      <c r="G119" s="27" t="str">
        <f>'[1]3нед'!X59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'[1]1нед'!$T$196</f>
        <v>12-24ПИоз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'[1]1нед'!$T$196</f>
        <v>12-24ПИоз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'[3]5нед'!S198</f>
        <v>0</v>
      </c>
      <c r="E132" s="19">
        <f>'[3]5нед'!T198</f>
        <v>0</v>
      </c>
      <c r="F132" s="17">
        <f>'[3]5нед'!W198</f>
        <v>0</v>
      </c>
      <c r="G132" s="18" t="str">
        <f>'[3]5нед'!X198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'[3]6нед'!S198</f>
        <v>0</v>
      </c>
      <c r="M132" s="19">
        <f>'[3]6нед'!T198</f>
        <v>0</v>
      </c>
      <c r="N132" s="17">
        <f>'[3]6нед'!W198</f>
        <v>0</v>
      </c>
      <c r="O132" s="18" t="str">
        <f>'[3]6нед'!X198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19</v>
      </c>
      <c r="D133" s="20">
        <f>'[3]5нед'!S199</f>
        <v>0</v>
      </c>
      <c r="E133" s="23">
        <f>'[3]5нед'!T199</f>
        <v>0</v>
      </c>
      <c r="F133" s="21">
        <f>'[3]5нед'!W199</f>
        <v>0</v>
      </c>
      <c r="G133" s="22" t="str">
        <f>'[3]5нед'!X199</f>
        <v/>
      </c>
      <c r="H133" s="57" t="str">
        <f>HYPERLINK(VLOOKUP(E133,$R$12:$S$180,2,FALSE))</f>
        <v/>
      </c>
      <c r="I133" s="71"/>
      <c r="J133" s="88"/>
      <c r="K133" s="14" t="s">
        <v>19</v>
      </c>
      <c r="L133" s="20">
        <f>'[3]6нед'!S199</f>
        <v>0</v>
      </c>
      <c r="M133" s="23">
        <f>'[3]6нед'!T199</f>
        <v>0</v>
      </c>
      <c r="N133" s="21">
        <f>'[3]6нед'!W199</f>
        <v>0</v>
      </c>
      <c r="O133" s="22" t="str">
        <f>'[3]6нед'!X199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20</v>
      </c>
      <c r="D134" s="20">
        <f>'[3]5нед'!S200</f>
        <v>0</v>
      </c>
      <c r="E134" s="23">
        <f>'[3]5нед'!T200</f>
        <v>0</v>
      </c>
      <c r="F134" s="21">
        <f>'[3]5нед'!W200</f>
        <v>0</v>
      </c>
      <c r="G134" s="22" t="str">
        <f>'[3]5нед'!X200</f>
        <v/>
      </c>
      <c r="H134" s="57" t="str">
        <f>HYPERLINK(VLOOKUP(E134,$R$12:$S$180,2,FALSE))</f>
        <v/>
      </c>
      <c r="I134" s="71"/>
      <c r="J134" s="88"/>
      <c r="K134" s="14" t="s">
        <v>20</v>
      </c>
      <c r="L134" s="20">
        <f>'[3]6нед'!S200</f>
        <v>0</v>
      </c>
      <c r="M134" s="23">
        <f>'[3]6нед'!T200</f>
        <v>0</v>
      </c>
      <c r="N134" s="21">
        <f>'[3]6нед'!W200</f>
        <v>0</v>
      </c>
      <c r="O134" s="22" t="str">
        <f>'[3]6нед'!X200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'[3]5нед'!S201</f>
        <v>0</v>
      </c>
      <c r="E135" s="23">
        <f>'[3]5нед'!T201</f>
        <v>0</v>
      </c>
      <c r="F135" s="21">
        <f>'[3]5нед'!W201</f>
        <v>0</v>
      </c>
      <c r="G135" s="22" t="str">
        <f>'[3]5нед'!X201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'[3]6нед'!S201</f>
        <v>0</v>
      </c>
      <c r="M135" s="23">
        <f>'[3]6нед'!T201</f>
        <v>0</v>
      </c>
      <c r="N135" s="21">
        <f>'[3]6нед'!W201</f>
        <v>0</v>
      </c>
      <c r="O135" s="22" t="str">
        <f>'[3]6нед'!X201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'[3]5нед'!S202</f>
        <v>0</v>
      </c>
      <c r="E136" s="23">
        <f>'[3]5нед'!T202</f>
        <v>0</v>
      </c>
      <c r="F136" s="21">
        <f>'[3]5нед'!W202</f>
        <v>0</v>
      </c>
      <c r="G136" s="22" t="str">
        <f>'[3]5нед'!X202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'[3]6нед'!S202</f>
        <v>0</v>
      </c>
      <c r="M136" s="23">
        <f>'[3]6нед'!T202</f>
        <v>0</v>
      </c>
      <c r="N136" s="21">
        <f>'[3]6нед'!W202</f>
        <v>0</v>
      </c>
      <c r="O136" s="22" t="str">
        <f>'[3]6нед'!X202</f>
        <v/>
      </c>
      <c r="P136" s="57" t="str">
        <f>HYPERLINK(VLOOKUP(M136,$R$12:$S$180,2,FALSE))</f>
        <v/>
      </c>
    </row>
    <row r="137" spans="1:16" ht="31.5" x14ac:dyDescent="0.2">
      <c r="A137" s="82"/>
      <c r="B137" s="85"/>
      <c r="C137" s="14" t="s">
        <v>23</v>
      </c>
      <c r="D137" s="20">
        <f>'[3]5нед'!S203</f>
        <v>0</v>
      </c>
      <c r="E137" s="23">
        <f>'[3]5нед'!T203</f>
        <v>0</v>
      </c>
      <c r="F137" s="21">
        <f>'[3]5нед'!W203</f>
        <v>0</v>
      </c>
      <c r="G137" s="22" t="str">
        <f>'[3]5нед'!X203</f>
        <v/>
      </c>
      <c r="H137" s="55" t="str">
        <f>HYPERLINK(VLOOKUP(E137,$R$12:$S$180,2,FALSE))</f>
        <v/>
      </c>
      <c r="I137" s="71"/>
      <c r="J137" s="88"/>
      <c r="K137" s="14" t="s">
        <v>23</v>
      </c>
      <c r="L137" s="20">
        <f>'[3]6нед'!S203</f>
        <v>0</v>
      </c>
      <c r="M137" s="23">
        <f>'[3]6нед'!T203</f>
        <v>0</v>
      </c>
      <c r="N137" s="21">
        <f>'[3]6нед'!W203</f>
        <v>0</v>
      </c>
      <c r="O137" s="22" t="str">
        <f>'[3]6нед'!X203</f>
        <v/>
      </c>
      <c r="P137" s="55" t="str">
        <f>HYPERLINK(VLOOKUP(M137,$R$12:$S$180,2,FALSE))</f>
        <v/>
      </c>
    </row>
    <row r="138" spans="1:16" ht="32.25" thickBot="1" x14ac:dyDescent="0.25">
      <c r="A138" s="82"/>
      <c r="B138" s="85"/>
      <c r="C138" s="14" t="s">
        <v>24</v>
      </c>
      <c r="D138" s="20">
        <f>'[3]5нед'!S204</f>
        <v>0</v>
      </c>
      <c r="E138" s="23">
        <f>'[3]5нед'!T204</f>
        <v>0</v>
      </c>
      <c r="F138" s="21">
        <f>'[3]5нед'!W204</f>
        <v>0</v>
      </c>
      <c r="G138" s="22" t="str">
        <f>'[3]5нед'!X204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'[3]6нед'!S204</f>
        <v>пр</v>
      </c>
      <c r="M138" s="23" t="str">
        <f>'[3]6нед'!T204</f>
        <v xml:space="preserve"> Основы военной подготовки</v>
      </c>
      <c r="N138" s="21" t="str">
        <f>'[3]6нед'!W204</f>
        <v>Кулак А.Ф.</v>
      </c>
      <c r="O138" s="22" t="str">
        <f>'[3]6нед'!X204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'[3]5нед'!S205</f>
        <v>0</v>
      </c>
      <c r="E139" s="25">
        <f>'[3]5нед'!T205</f>
        <v>0</v>
      </c>
      <c r="F139" s="26">
        <f>'[3]5нед'!W205</f>
        <v>0</v>
      </c>
      <c r="G139" s="27" t="str">
        <f>'[3]5нед'!X205</f>
        <v/>
      </c>
      <c r="H139" s="58" t="str">
        <f>HYPERLINK(VLOOKUP(E139,$R$12:$S$180,2,FALSE))</f>
        <v/>
      </c>
      <c r="I139" s="72"/>
      <c r="J139" s="89"/>
      <c r="K139" s="15"/>
      <c r="L139" s="24">
        <f>'[3]6нед'!S205</f>
        <v>0</v>
      </c>
      <c r="M139" s="25">
        <f>'[3]6нед'!T205</f>
        <v>0</v>
      </c>
      <c r="N139" s="26">
        <f>'[3]6нед'!W205</f>
        <v>0</v>
      </c>
      <c r="O139" s="27" t="str">
        <f>'[3]6нед'!X205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'[3]5нед'!S206</f>
        <v>0</v>
      </c>
      <c r="E140" s="19">
        <f>'[3]5нед'!T206</f>
        <v>0</v>
      </c>
      <c r="F140" s="17">
        <f>'[3]5нед'!W206</f>
        <v>0</v>
      </c>
      <c r="G140" s="18" t="str">
        <f>'[3]5нед'!X206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'[3]6нед'!S206</f>
        <v>0</v>
      </c>
      <c r="M140" s="19">
        <f>'[3]6нед'!T206</f>
        <v>0</v>
      </c>
      <c r="N140" s="17">
        <f>'[3]6нед'!W206</f>
        <v>0</v>
      </c>
      <c r="O140" s="18" t="str">
        <f>'[3]6нед'!X206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19</v>
      </c>
      <c r="D141" s="20">
        <f>'[3]5нед'!S207</f>
        <v>0</v>
      </c>
      <c r="E141" s="23">
        <f>'[3]5нед'!T207</f>
        <v>0</v>
      </c>
      <c r="F141" s="21">
        <f>'[3]5нед'!W207</f>
        <v>0</v>
      </c>
      <c r="G141" s="22" t="str">
        <f>'[3]5нед'!X207</f>
        <v/>
      </c>
      <c r="H141" s="57" t="str">
        <f>HYPERLINK(VLOOKUP(E141,$R$12:$S$180,2,FALSE))</f>
        <v/>
      </c>
      <c r="I141" s="71"/>
      <c r="J141" s="88"/>
      <c r="K141" s="14" t="s">
        <v>19</v>
      </c>
      <c r="L141" s="20">
        <f>'[3]6нед'!S207</f>
        <v>0</v>
      </c>
      <c r="M141" s="23">
        <f>'[3]6нед'!T207</f>
        <v>0</v>
      </c>
      <c r="N141" s="21">
        <f>'[3]6нед'!W207</f>
        <v>0</v>
      </c>
      <c r="O141" s="22" t="str">
        <f>'[3]6нед'!X207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20</v>
      </c>
      <c r="D142" s="20">
        <f>'[3]5нед'!S208</f>
        <v>0</v>
      </c>
      <c r="E142" s="23">
        <f>'[3]5нед'!T208</f>
        <v>0</v>
      </c>
      <c r="F142" s="21">
        <f>'[3]5нед'!W208</f>
        <v>0</v>
      </c>
      <c r="G142" s="22" t="str">
        <f>'[3]5нед'!X208</f>
        <v/>
      </c>
      <c r="H142" s="57" t="str">
        <f>HYPERLINK(VLOOKUP(E142,$R$12:$S$180,2,FALSE))</f>
        <v/>
      </c>
      <c r="I142" s="71"/>
      <c r="J142" s="88"/>
      <c r="K142" s="14" t="s">
        <v>20</v>
      </c>
      <c r="L142" s="20">
        <f>'[3]6нед'!S208</f>
        <v>0</v>
      </c>
      <c r="M142" s="23">
        <f>'[3]6нед'!T208</f>
        <v>0</v>
      </c>
      <c r="N142" s="21">
        <f>'[3]6нед'!W208</f>
        <v>0</v>
      </c>
      <c r="O142" s="22" t="str">
        <f>'[3]6нед'!X208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'[3]5нед'!S209</f>
        <v>0</v>
      </c>
      <c r="E143" s="23">
        <f>'[3]5нед'!T209</f>
        <v>0</v>
      </c>
      <c r="F143" s="21">
        <f>'[3]5нед'!W209</f>
        <v>0</v>
      </c>
      <c r="G143" s="22" t="str">
        <f>'[3]5нед'!X209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'[3]6нед'!S209</f>
        <v>0</v>
      </c>
      <c r="M143" s="23">
        <f>'[3]6нед'!T209</f>
        <v>0</v>
      </c>
      <c r="N143" s="21">
        <f>'[3]6нед'!W209</f>
        <v>0</v>
      </c>
      <c r="O143" s="22" t="str">
        <f>'[3]6нед'!X209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'[3]5нед'!S210</f>
        <v>0</v>
      </c>
      <c r="E144" s="23">
        <f>'[3]5нед'!T210</f>
        <v>0</v>
      </c>
      <c r="F144" s="21">
        <f>'[3]5нед'!W210</f>
        <v>0</v>
      </c>
      <c r="G144" s="22" t="str">
        <f>'[3]5нед'!X210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'[3]6нед'!S210</f>
        <v>0</v>
      </c>
      <c r="M144" s="23">
        <f>'[3]6нед'!T210</f>
        <v>0</v>
      </c>
      <c r="N144" s="21">
        <f>'[3]6нед'!W210</f>
        <v>0</v>
      </c>
      <c r="O144" s="22" t="str">
        <f>'[3]6нед'!X210</f>
        <v/>
      </c>
      <c r="P144" s="57" t="str">
        <f>HYPERLINK(VLOOKUP(M144,$R$12:$S$180,2,FALSE))</f>
        <v/>
      </c>
    </row>
    <row r="145" spans="1:16" ht="37.5" x14ac:dyDescent="0.2">
      <c r="A145" s="82"/>
      <c r="B145" s="85"/>
      <c r="C145" s="14" t="s">
        <v>23</v>
      </c>
      <c r="D145" s="20" t="str">
        <f>'[3]5нед'!S211</f>
        <v>пр</v>
      </c>
      <c r="E145" s="23" t="str">
        <f>'[3]5нед'!T211</f>
        <v>Разработка программного обеспечения, дизайн алгоритмов и аналитика</v>
      </c>
      <c r="F145" s="21" t="str">
        <f>'[3]5нед'!W211</f>
        <v>Алешов Е.В.</v>
      </c>
      <c r="G145" s="22" t="str">
        <f>'[3]5нед'!X211</f>
        <v>преподаватель</v>
      </c>
      <c r="H145" s="57" t="str">
        <f>HYPERLINK(VLOOKUP(E145,$R$12:$S$180,2,FALSE))</f>
        <v>https://max.ru/join/ABawVbim1pHAjVVmFjM7O45ddZZYKAUsl0XF3_xyIvw</v>
      </c>
      <c r="I145" s="71"/>
      <c r="J145" s="88"/>
      <c r="K145" s="14" t="s">
        <v>23</v>
      </c>
      <c r="L145" s="20" t="str">
        <f>'[3]6нед'!S211</f>
        <v>л</v>
      </c>
      <c r="M145" s="23" t="str">
        <f>'[3]6нед'!T211</f>
        <v>Разработка программного обеспечения, дизайн алгоритмов и аналитика</v>
      </c>
      <c r="N145" s="21" t="str">
        <f>'[3]6нед'!W211</f>
        <v>Алешов Е.В.</v>
      </c>
      <c r="O145" s="22" t="str">
        <f>'[3]6нед'!X211</f>
        <v>преподаватель</v>
      </c>
      <c r="P145" s="57" t="str">
        <f>HYPERLINK(VLOOKUP(M145,$R$12:$S$180,2,FALSE))</f>
        <v>https://max.ru/join/ABawVbim1pHAjVVmFjM7O45ddZZYKAUsl0XF3_xyIvw</v>
      </c>
    </row>
    <row r="146" spans="1:16" ht="38.25" thickBot="1" x14ac:dyDescent="0.25">
      <c r="A146" s="82"/>
      <c r="B146" s="85"/>
      <c r="C146" s="14" t="s">
        <v>24</v>
      </c>
      <c r="D146" s="20" t="str">
        <f>'[3]5нед'!S212</f>
        <v>пр</v>
      </c>
      <c r="E146" s="23" t="str">
        <f>'[3]5нед'!T212</f>
        <v>Компьютерная безопасность</v>
      </c>
      <c r="F146" s="21" t="str">
        <f>'[3]5нед'!W212</f>
        <v>Алешов Е.В.</v>
      </c>
      <c r="G146" s="22" t="str">
        <f>'[3]5нед'!X212</f>
        <v>преподаватель</v>
      </c>
      <c r="H146" s="57" t="str">
        <f>HYPERLINK(VLOOKUP(E146,$R$12:$S$180,2,FALSE))</f>
        <v>https://max.ru/join/ABawVbim1pHAjVVmFjM7O45ddZZYKAUsl0XF3_xyIvw</v>
      </c>
      <c r="I146" s="71"/>
      <c r="J146" s="88"/>
      <c r="K146" s="14" t="s">
        <v>24</v>
      </c>
      <c r="L146" s="20" t="str">
        <f>'[3]6нед'!S212</f>
        <v>л</v>
      </c>
      <c r="M146" s="23" t="str">
        <f>'[3]6нед'!T212</f>
        <v>Компьютерная безопасность</v>
      </c>
      <c r="N146" s="21" t="str">
        <f>'[3]6нед'!W212</f>
        <v>Алешов Е.В.</v>
      </c>
      <c r="O146" s="22" t="str">
        <f>'[3]6нед'!X212</f>
        <v>преподаватель</v>
      </c>
      <c r="P146" s="57" t="str">
        <f>HYPERLINK(VLOOKUP(M146,$R$12:$S$180,2,FALSE))</f>
        <v>https://max.ru/join/ABawVbim1pHAjVVmFjM7O45ddZZYKAUsl0XF3_xyIvw</v>
      </c>
    </row>
    <row r="147" spans="1:16" ht="18.399999999999999" hidden="1" customHeight="1" thickBot="1" x14ac:dyDescent="0.25">
      <c r="A147" s="83"/>
      <c r="B147" s="86"/>
      <c r="C147" s="15"/>
      <c r="D147" s="24">
        <f>'[3]5нед'!S213</f>
        <v>0</v>
      </c>
      <c r="E147" s="25">
        <f>'[3]5нед'!T213</f>
        <v>0</v>
      </c>
      <c r="F147" s="26">
        <f>'[3]5нед'!W213</f>
        <v>0</v>
      </c>
      <c r="G147" s="27" t="str">
        <f>'[3]5нед'!X213</f>
        <v/>
      </c>
      <c r="H147" s="58" t="str">
        <f>HYPERLINK(VLOOKUP(E147,$R$12:$S$180,2,FALSE))</f>
        <v/>
      </c>
      <c r="I147" s="72"/>
      <c r="J147" s="89"/>
      <c r="K147" s="15"/>
      <c r="L147" s="24">
        <f>'[3]6нед'!S213</f>
        <v>0</v>
      </c>
      <c r="M147" s="25">
        <f>'[3]6нед'!T213</f>
        <v>0</v>
      </c>
      <c r="N147" s="26">
        <f>'[3]6нед'!W213</f>
        <v>0</v>
      </c>
      <c r="O147" s="27" t="str">
        <f>'[3]6нед'!X213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'[3]5нед'!S214</f>
        <v>0</v>
      </c>
      <c r="E148" s="19">
        <f>'[3]5нед'!T214</f>
        <v>0</v>
      </c>
      <c r="F148" s="17">
        <f>'[3]5нед'!W214</f>
        <v>0</v>
      </c>
      <c r="G148" s="18" t="str">
        <f>'[3]5нед'!X214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'[3]6нед'!S214</f>
        <v>0</v>
      </c>
      <c r="M148" s="19">
        <f>'[3]6нед'!T214</f>
        <v>0</v>
      </c>
      <c r="N148" s="17">
        <f>'[3]6нед'!W214</f>
        <v>0</v>
      </c>
      <c r="O148" s="18" t="str">
        <f>'[3]6нед'!X214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19</v>
      </c>
      <c r="D149" s="20">
        <f>'[3]5нед'!S215</f>
        <v>0</v>
      </c>
      <c r="E149" s="23">
        <f>'[3]5нед'!T215</f>
        <v>0</v>
      </c>
      <c r="F149" s="21">
        <f>'[3]5нед'!W215</f>
        <v>0</v>
      </c>
      <c r="G149" s="22" t="str">
        <f>'[3]5нед'!X215</f>
        <v/>
      </c>
      <c r="H149" s="57" t="str">
        <f>HYPERLINK(VLOOKUP(E149,$R$12:$S$180,2,FALSE))</f>
        <v/>
      </c>
      <c r="I149" s="71"/>
      <c r="J149" s="74"/>
      <c r="K149" s="14" t="s">
        <v>19</v>
      </c>
      <c r="L149" s="20">
        <f>'[3]6нед'!S215</f>
        <v>0</v>
      </c>
      <c r="M149" s="23">
        <f>'[3]6нед'!T215</f>
        <v>0</v>
      </c>
      <c r="N149" s="21">
        <f>'[3]6нед'!W215</f>
        <v>0</v>
      </c>
      <c r="O149" s="22" t="str">
        <f>'[3]6нед'!X215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20</v>
      </c>
      <c r="D150" s="20">
        <f>'[3]5нед'!S216</f>
        <v>0</v>
      </c>
      <c r="E150" s="23">
        <f>'[3]5нед'!T216</f>
        <v>0</v>
      </c>
      <c r="F150" s="21">
        <f>'[3]5нед'!W216</f>
        <v>0</v>
      </c>
      <c r="G150" s="22" t="str">
        <f>'[3]5нед'!X216</f>
        <v/>
      </c>
      <c r="H150" s="57" t="str">
        <f>HYPERLINK(VLOOKUP(E150,$R$12:$S$180,2,FALSE))</f>
        <v/>
      </c>
      <c r="I150" s="71"/>
      <c r="J150" s="74"/>
      <c r="K150" s="14" t="s">
        <v>20</v>
      </c>
      <c r="L150" s="20">
        <f>'[3]6нед'!S216</f>
        <v>0</v>
      </c>
      <c r="M150" s="23">
        <f>'[3]6нед'!T216</f>
        <v>0</v>
      </c>
      <c r="N150" s="21">
        <f>'[3]6нед'!W216</f>
        <v>0</v>
      </c>
      <c r="O150" s="22" t="str">
        <f>'[3]6нед'!X216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'[3]5нед'!S217</f>
        <v>0</v>
      </c>
      <c r="E151" s="23">
        <f>'[3]5нед'!T217</f>
        <v>0</v>
      </c>
      <c r="F151" s="21">
        <f>'[3]5нед'!W217</f>
        <v>0</v>
      </c>
      <c r="G151" s="22" t="str">
        <f>'[3]5нед'!X217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'[3]6нед'!S217</f>
        <v>0</v>
      </c>
      <c r="M151" s="23">
        <f>'[3]6нед'!T217</f>
        <v>0</v>
      </c>
      <c r="N151" s="21">
        <f>'[3]6нед'!W217</f>
        <v>0</v>
      </c>
      <c r="O151" s="22" t="str">
        <f>'[3]6нед'!X217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'[3]5нед'!S218</f>
        <v>0</v>
      </c>
      <c r="E152" s="23">
        <f>'[3]5нед'!T218</f>
        <v>0</v>
      </c>
      <c r="F152" s="21">
        <f>'[3]5нед'!W218</f>
        <v>0</v>
      </c>
      <c r="G152" s="22" t="str">
        <f>'[3]5нед'!X218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'[3]6нед'!S218</f>
        <v>0</v>
      </c>
      <c r="M152" s="23">
        <f>'[3]6нед'!T218</f>
        <v>0</v>
      </c>
      <c r="N152" s="21">
        <f>'[3]6нед'!W218</f>
        <v>0</v>
      </c>
      <c r="O152" s="22" t="str">
        <f>'[3]6нед'!X218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'[3]5нед'!S219</f>
        <v>0</v>
      </c>
      <c r="E153" s="23">
        <f>'[3]5нед'!T219</f>
        <v>0</v>
      </c>
      <c r="F153" s="21">
        <f>'[3]5нед'!W219</f>
        <v>0</v>
      </c>
      <c r="G153" s="22" t="str">
        <f>'[3]5нед'!X219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'[3]6нед'!S219</f>
        <v>0</v>
      </c>
      <c r="M153" s="23">
        <f>'[3]6нед'!T219</f>
        <v>0</v>
      </c>
      <c r="N153" s="21">
        <f>'[3]6нед'!W219</f>
        <v>0</v>
      </c>
      <c r="O153" s="22" t="str">
        <f>'[3]6нед'!X219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'[3]5нед'!S220</f>
        <v>0</v>
      </c>
      <c r="E154" s="23">
        <f>'[3]5нед'!T220</f>
        <v>0</v>
      </c>
      <c r="F154" s="21">
        <f>'[3]5нед'!W220</f>
        <v>0</v>
      </c>
      <c r="G154" s="22" t="str">
        <f>'[3]5нед'!X220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>
        <f>'[3]6нед'!S220</f>
        <v>0</v>
      </c>
      <c r="M154" s="23">
        <f>'[3]6нед'!T220</f>
        <v>0</v>
      </c>
      <c r="N154" s="21">
        <f>'[3]6нед'!W220</f>
        <v>0</v>
      </c>
      <c r="O154" s="22" t="str">
        <f>'[3]6нед'!X220</f>
        <v/>
      </c>
      <c r="P154" s="55" t="str">
        <f>HYPERLINK(VLOOKUP(M154,$R$12:$S$180,2,FALSE))</f>
        <v/>
      </c>
    </row>
    <row r="155" spans="1:16" ht="18.399999999999999" hidden="1" customHeight="1" thickBot="1" x14ac:dyDescent="0.25">
      <c r="A155" s="83"/>
      <c r="B155" s="69"/>
      <c r="C155" s="15"/>
      <c r="D155" s="24">
        <f>'[3]5нед'!S221</f>
        <v>0</v>
      </c>
      <c r="E155" s="25">
        <f>'[3]5нед'!T221</f>
        <v>0</v>
      </c>
      <c r="F155" s="26">
        <f>'[3]5нед'!W221</f>
        <v>0</v>
      </c>
      <c r="G155" s="27" t="str">
        <f>'[3]5нед'!X221</f>
        <v/>
      </c>
      <c r="H155" s="58" t="str">
        <f>HYPERLINK(VLOOKUP(E155,$R$12:$S$180,2,FALSE))</f>
        <v/>
      </c>
      <c r="I155" s="72"/>
      <c r="J155" s="75"/>
      <c r="K155" s="15"/>
      <c r="L155" s="24">
        <f>'[3]6нед'!S221</f>
        <v>0</v>
      </c>
      <c r="M155" s="25">
        <f>'[3]6нед'!T221</f>
        <v>0</v>
      </c>
      <c r="N155" s="26">
        <f>'[3]6нед'!W221</f>
        <v>0</v>
      </c>
      <c r="O155" s="27" t="str">
        <f>'[3]6нед'!X221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'[3]5нед'!S222</f>
        <v>0</v>
      </c>
      <c r="E156" s="19">
        <f>'[3]5нед'!T222</f>
        <v>0</v>
      </c>
      <c r="F156" s="17">
        <f>'[3]5нед'!W222</f>
        <v>0</v>
      </c>
      <c r="G156" s="18" t="str">
        <f>'[3]5нед'!X222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'[3]6нед'!S222</f>
        <v>0</v>
      </c>
      <c r="M156" s="19">
        <f>'[3]6нед'!T222</f>
        <v>0</v>
      </c>
      <c r="N156" s="17">
        <f>'[3]6нед'!W222</f>
        <v>0</v>
      </c>
      <c r="O156" s="18" t="str">
        <f>'[3]6нед'!X222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19</v>
      </c>
      <c r="D157" s="20">
        <f>'[3]5нед'!S223</f>
        <v>0</v>
      </c>
      <c r="E157" s="23">
        <f>'[3]5нед'!T223</f>
        <v>0</v>
      </c>
      <c r="F157" s="21">
        <f>'[3]5нед'!W223</f>
        <v>0</v>
      </c>
      <c r="G157" s="22" t="str">
        <f>'[3]5нед'!X223</f>
        <v/>
      </c>
      <c r="H157" s="57" t="str">
        <f>HYPERLINK(VLOOKUP(E157,$R$12:$S$180,2,FALSE))</f>
        <v/>
      </c>
      <c r="I157" s="71"/>
      <c r="J157" s="88"/>
      <c r="K157" s="14" t="s">
        <v>19</v>
      </c>
      <c r="L157" s="20">
        <f>'[3]6нед'!S223</f>
        <v>0</v>
      </c>
      <c r="M157" s="23">
        <f>'[3]6нед'!T223</f>
        <v>0</v>
      </c>
      <c r="N157" s="21">
        <f>'[3]6нед'!W223</f>
        <v>0</v>
      </c>
      <c r="O157" s="22" t="str">
        <f>'[3]6нед'!X223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20</v>
      </c>
      <c r="D158" s="20">
        <f>'[3]5нед'!S224</f>
        <v>0</v>
      </c>
      <c r="E158" s="23">
        <f>'[3]5нед'!T224</f>
        <v>0</v>
      </c>
      <c r="F158" s="21">
        <f>'[3]5нед'!W224</f>
        <v>0</v>
      </c>
      <c r="G158" s="22" t="str">
        <f>'[3]5нед'!X224</f>
        <v/>
      </c>
      <c r="H158" s="57" t="str">
        <f>HYPERLINK(VLOOKUP(E158,$R$12:$S$180,2,FALSE))</f>
        <v/>
      </c>
      <c r="I158" s="71"/>
      <c r="J158" s="88"/>
      <c r="K158" s="14" t="s">
        <v>20</v>
      </c>
      <c r="L158" s="20">
        <f>'[3]6нед'!S224</f>
        <v>0</v>
      </c>
      <c r="M158" s="23">
        <f>'[3]6нед'!T224</f>
        <v>0</v>
      </c>
      <c r="N158" s="21">
        <f>'[3]6нед'!W224</f>
        <v>0</v>
      </c>
      <c r="O158" s="22" t="str">
        <f>'[3]6нед'!X224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'[3]5нед'!S225</f>
        <v>0</v>
      </c>
      <c r="E159" s="23">
        <f>'[3]5нед'!T225</f>
        <v>0</v>
      </c>
      <c r="F159" s="21">
        <f>'[3]5нед'!W225</f>
        <v>0</v>
      </c>
      <c r="G159" s="22" t="str">
        <f>'[3]5нед'!X225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'[3]6нед'!S225</f>
        <v>0</v>
      </c>
      <c r="M159" s="23">
        <f>'[3]6нед'!T225</f>
        <v>0</v>
      </c>
      <c r="N159" s="21">
        <f>'[3]6нед'!W225</f>
        <v>0</v>
      </c>
      <c r="O159" s="22" t="str">
        <f>'[3]6нед'!X225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'[3]5нед'!S226</f>
        <v>0</v>
      </c>
      <c r="E160" s="23">
        <f>'[3]5нед'!T226</f>
        <v>0</v>
      </c>
      <c r="F160" s="21">
        <f>'[3]5нед'!W226</f>
        <v>0</v>
      </c>
      <c r="G160" s="22" t="str">
        <f>'[3]5нед'!X226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'[3]6нед'!S226</f>
        <v>0</v>
      </c>
      <c r="M160" s="23">
        <f>'[3]6нед'!T226</f>
        <v>0</v>
      </c>
      <c r="N160" s="21">
        <f>'[3]6нед'!W226</f>
        <v>0</v>
      </c>
      <c r="O160" s="22" t="str">
        <f>'[3]6нед'!X226</f>
        <v/>
      </c>
      <c r="P160" s="57" t="str">
        <f>HYPERLINK(VLOOKUP(M160,$R$12:$S$180,2,FALSE))</f>
        <v/>
      </c>
    </row>
    <row r="161" spans="1:16" ht="37.5" x14ac:dyDescent="0.2">
      <c r="A161" s="82"/>
      <c r="B161" s="85"/>
      <c r="C161" s="14" t="s">
        <v>23</v>
      </c>
      <c r="D161" s="20">
        <f>'[3]5нед'!S227</f>
        <v>0</v>
      </c>
      <c r="E161" s="23">
        <f>'[3]5нед'!T227</f>
        <v>0</v>
      </c>
      <c r="F161" s="21">
        <f>'[3]5нед'!W227</f>
        <v>0</v>
      </c>
      <c r="G161" s="22" t="str">
        <f>'[3]5нед'!X227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 t="str">
        <f>'[3]6нед'!S227</f>
        <v>пр</v>
      </c>
      <c r="M161" s="23" t="str">
        <f>'[3]6нед'!T227</f>
        <v>Разработка программного обеспечения, дизайн алгоритмов и аналитика</v>
      </c>
      <c r="N161" s="21" t="str">
        <f>'[3]6нед'!W227</f>
        <v>Алешов Е.В.</v>
      </c>
      <c r="O161" s="22" t="str">
        <f>'[3]6нед'!X227</f>
        <v>преподаватель</v>
      </c>
      <c r="P161" s="55" t="str">
        <f>HYPERLINK(VLOOKUP(M161,$R$12:$S$180,2,FALSE))</f>
        <v>https://max.ru/join/ABawVbim1pHAjVVmFjM7O45ddZZYKAUsl0XF3_xyIvw</v>
      </c>
    </row>
    <row r="162" spans="1:16" ht="38.25" thickBot="1" x14ac:dyDescent="0.25">
      <c r="A162" s="82"/>
      <c r="B162" s="85"/>
      <c r="C162" s="14" t="s">
        <v>24</v>
      </c>
      <c r="D162" s="20" t="str">
        <f>'[3]5нед'!S228</f>
        <v>л</v>
      </c>
      <c r="E162" s="23" t="str">
        <f>'[3]5нед'!T228</f>
        <v>Управление ИТ-проектами и гибкая методология</v>
      </c>
      <c r="F162" s="21" t="str">
        <f>'[3]5нед'!W228</f>
        <v>Гришин И.Ю.</v>
      </c>
      <c r="G162" s="22" t="str">
        <f>'[3]5нед'!X228</f>
        <v>профессор, д-р наук</v>
      </c>
      <c r="H162" s="55" t="str">
        <f>HYPERLINK(VLOOKUP(E162,$R$12:$S$180,2,FALSE))</f>
        <v>https://max.ru/join/ABawVbim1pHAjVVmFjM7O45ddZZYKAUsl0XF3_xyIvw</v>
      </c>
      <c r="I162" s="71"/>
      <c r="J162" s="88"/>
      <c r="K162" s="14" t="s">
        <v>24</v>
      </c>
      <c r="L162" s="20" t="str">
        <f>'[3]6нед'!S228</f>
        <v>пр</v>
      </c>
      <c r="M162" s="23" t="str">
        <f>'[3]6нед'!T228</f>
        <v>Компьютерная безопасность</v>
      </c>
      <c r="N162" s="21" t="str">
        <f>'[3]6нед'!W228</f>
        <v>Алешов Е.В.</v>
      </c>
      <c r="O162" s="22" t="str">
        <f>'[3]6нед'!X228</f>
        <v>преподаватель</v>
      </c>
      <c r="P162" s="55" t="str">
        <f>HYPERLINK(VLOOKUP(M162,$R$12:$S$180,2,FALSE))</f>
        <v>https://max.ru/join/ABawVbim1pHAjVVmFjM7O45ddZZYKAUsl0XF3_xyIvw</v>
      </c>
    </row>
    <row r="163" spans="1:16" ht="18.399999999999999" hidden="1" customHeight="1" thickBot="1" x14ac:dyDescent="0.25">
      <c r="A163" s="83"/>
      <c r="B163" s="86"/>
      <c r="C163" s="15"/>
      <c r="D163" s="24">
        <f>'[3]5нед'!S229</f>
        <v>0</v>
      </c>
      <c r="E163" s="25">
        <f>'[3]5нед'!T229</f>
        <v>0</v>
      </c>
      <c r="F163" s="26">
        <f>'[3]5нед'!W229</f>
        <v>0</v>
      </c>
      <c r="G163" s="27" t="str">
        <f>'[3]5нед'!X229</f>
        <v/>
      </c>
      <c r="H163" s="58" t="str">
        <f>HYPERLINK(VLOOKUP(E163,$R$12:$S$180,2,FALSE))</f>
        <v/>
      </c>
      <c r="I163" s="72"/>
      <c r="J163" s="89"/>
      <c r="K163" s="15"/>
      <c r="L163" s="24">
        <f>'[3]6нед'!S229</f>
        <v>0</v>
      </c>
      <c r="M163" s="25">
        <f>'[3]6нед'!T229</f>
        <v>0</v>
      </c>
      <c r="N163" s="26">
        <f>'[3]6нед'!W229</f>
        <v>0</v>
      </c>
      <c r="O163" s="27" t="str">
        <f>'[3]6нед'!X229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'[3]5нед'!S230</f>
        <v>0</v>
      </c>
      <c r="E164" s="19">
        <f>'[3]5нед'!T230</f>
        <v>0</v>
      </c>
      <c r="F164" s="17">
        <f>'[3]5нед'!W230</f>
        <v>0</v>
      </c>
      <c r="G164" s="18" t="str">
        <f>'[3]5нед'!X230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'[3]6нед'!S230</f>
        <v>0</v>
      </c>
      <c r="M164" s="19">
        <f>'[3]6нед'!T230</f>
        <v>0</v>
      </c>
      <c r="N164" s="17">
        <f>'[3]6нед'!W230</f>
        <v>0</v>
      </c>
      <c r="O164" s="18" t="str">
        <f>'[3]6нед'!X230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19</v>
      </c>
      <c r="D165" s="20">
        <f>'[3]5нед'!S231</f>
        <v>0</v>
      </c>
      <c r="E165" s="23">
        <f>'[3]5нед'!T231</f>
        <v>0</v>
      </c>
      <c r="F165" s="21">
        <f>'[3]5нед'!W231</f>
        <v>0</v>
      </c>
      <c r="G165" s="22" t="str">
        <f>'[3]5нед'!X231</f>
        <v/>
      </c>
      <c r="H165" s="57" t="str">
        <f>HYPERLINK(VLOOKUP(E165,$R$12:$S$180,2,FALSE))</f>
        <v/>
      </c>
      <c r="I165" s="71"/>
      <c r="J165" s="88"/>
      <c r="K165" s="14" t="s">
        <v>19</v>
      </c>
      <c r="L165" s="20">
        <f>'[3]6нед'!S231</f>
        <v>0</v>
      </c>
      <c r="M165" s="23">
        <f>'[3]6нед'!T231</f>
        <v>0</v>
      </c>
      <c r="N165" s="21">
        <f>'[3]6нед'!W231</f>
        <v>0</v>
      </c>
      <c r="O165" s="22" t="str">
        <f>'[3]6нед'!X231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20</v>
      </c>
      <c r="D166" s="20">
        <f>'[3]5нед'!S232</f>
        <v>0</v>
      </c>
      <c r="E166" s="23">
        <f>'[3]5нед'!T232</f>
        <v>0</v>
      </c>
      <c r="F166" s="21">
        <f>'[3]5нед'!W232</f>
        <v>0</v>
      </c>
      <c r="G166" s="22" t="str">
        <f>'[3]5нед'!X232</f>
        <v/>
      </c>
      <c r="H166" s="57" t="str">
        <f>HYPERLINK(VLOOKUP(E166,$R$12:$S$180,2,FALSE))</f>
        <v/>
      </c>
      <c r="I166" s="71"/>
      <c r="J166" s="88"/>
      <c r="K166" s="14" t="s">
        <v>20</v>
      </c>
      <c r="L166" s="20">
        <f>'[3]6нед'!S232</f>
        <v>0</v>
      </c>
      <c r="M166" s="23">
        <f>'[3]6нед'!T232</f>
        <v>0</v>
      </c>
      <c r="N166" s="21">
        <f>'[3]6нед'!W232</f>
        <v>0</v>
      </c>
      <c r="O166" s="22" t="str">
        <f>'[3]6нед'!X232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'[3]5нед'!S233</f>
        <v>0</v>
      </c>
      <c r="E167" s="23">
        <f>'[3]5нед'!T233</f>
        <v>0</v>
      </c>
      <c r="F167" s="21">
        <f>'[3]5нед'!W233</f>
        <v>0</v>
      </c>
      <c r="G167" s="22" t="str">
        <f>'[3]5нед'!X233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'[3]6нед'!S233</f>
        <v>0</v>
      </c>
      <c r="M167" s="23">
        <f>'[3]6нед'!T233</f>
        <v>0</v>
      </c>
      <c r="N167" s="21">
        <f>'[3]6нед'!W233</f>
        <v>0</v>
      </c>
      <c r="O167" s="22" t="str">
        <f>'[3]6нед'!X233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'[3]5нед'!S234</f>
        <v>0</v>
      </c>
      <c r="E168" s="23">
        <f>'[3]5нед'!T234</f>
        <v>0</v>
      </c>
      <c r="F168" s="21">
        <f>'[3]5нед'!W234</f>
        <v>0</v>
      </c>
      <c r="G168" s="22" t="str">
        <f>'[3]5нед'!X234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'[3]6нед'!S234</f>
        <v>0</v>
      </c>
      <c r="M168" s="23">
        <f>'[3]6нед'!T234</f>
        <v>0</v>
      </c>
      <c r="N168" s="21">
        <f>'[3]6нед'!W234</f>
        <v>0</v>
      </c>
      <c r="O168" s="22" t="str">
        <f>'[3]6нед'!X234</f>
        <v/>
      </c>
      <c r="P168" s="57" t="str">
        <f>HYPERLINK(VLOOKUP(M168,$R$12:$S$180,2,FALSE))</f>
        <v/>
      </c>
    </row>
    <row r="169" spans="1:16" ht="31.5" x14ac:dyDescent="0.2">
      <c r="A169" s="82"/>
      <c r="B169" s="85"/>
      <c r="C169" s="14" t="s">
        <v>23</v>
      </c>
      <c r="D169" s="20">
        <f>'[3]5нед'!S235</f>
        <v>0</v>
      </c>
      <c r="E169" s="23">
        <f>'[3]5нед'!T235</f>
        <v>0</v>
      </c>
      <c r="F169" s="21">
        <f>'[3]5нед'!W235</f>
        <v>0</v>
      </c>
      <c r="G169" s="22" t="str">
        <f>'[3]5нед'!X235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>
        <f>'[3]6нед'!S235</f>
        <v>0</v>
      </c>
      <c r="M169" s="23">
        <f>'[3]6нед'!T235</f>
        <v>0</v>
      </c>
      <c r="N169" s="21">
        <f>'[3]6нед'!W235</f>
        <v>0</v>
      </c>
      <c r="O169" s="22" t="str">
        <f>'[3]6нед'!X235</f>
        <v/>
      </c>
      <c r="P169" s="57" t="str">
        <f>HYPERLINK(VLOOKUP(M169,$R$12:$S$180,2,FALSE))</f>
        <v/>
      </c>
    </row>
    <row r="170" spans="1:16" ht="38.25" thickBot="1" x14ac:dyDescent="0.25">
      <c r="A170" s="82"/>
      <c r="B170" s="85"/>
      <c r="C170" s="14" t="s">
        <v>24</v>
      </c>
      <c r="D170" s="20" t="str">
        <f>'[3]5нед'!S236</f>
        <v>пр</v>
      </c>
      <c r="E170" s="23" t="str">
        <f>'[3]5нед'!T236</f>
        <v>Управление ИТ-проектами и гибкая методология</v>
      </c>
      <c r="F170" s="21" t="str">
        <f>'[3]5нед'!W236</f>
        <v>Гришин И.Ю.</v>
      </c>
      <c r="G170" s="22" t="str">
        <f>'[3]5нед'!X236</f>
        <v>профессор, д-р наук</v>
      </c>
      <c r="H170" s="57" t="str">
        <f>HYPERLINK(VLOOKUP(E170,$R$12:$S$180,2,FALSE))</f>
        <v>https://max.ru/join/ABawVbim1pHAjVVmFjM7O45ddZZYKAUsl0XF3_xyIvw</v>
      </c>
      <c r="I170" s="71"/>
      <c r="J170" s="88"/>
      <c r="K170" s="14" t="s">
        <v>24</v>
      </c>
      <c r="L170" s="20" t="str">
        <f>'[3]6нед'!S236</f>
        <v>пр</v>
      </c>
      <c r="M170" s="23" t="str">
        <f>'[3]6нед'!T236</f>
        <v>Управление ИТ-проектами и гибкая методология</v>
      </c>
      <c r="N170" s="21" t="str">
        <f>'[3]6нед'!W236</f>
        <v>Гришин И.Ю.</v>
      </c>
      <c r="O170" s="22" t="str">
        <f>'[3]6нед'!X236</f>
        <v>профессор, д-р наук</v>
      </c>
      <c r="P170" s="57" t="str">
        <f>HYPERLINK(VLOOKUP(M170,$R$12:$S$180,2,FALSE))</f>
        <v>https://max.ru/join/ABawVbim1pHAjVVmFjM7O45ddZZYKAUsl0XF3_xyIvw</v>
      </c>
    </row>
    <row r="171" spans="1:16" ht="18.399999999999999" hidden="1" customHeight="1" thickBot="1" x14ac:dyDescent="0.25">
      <c r="A171" s="83"/>
      <c r="B171" s="86"/>
      <c r="C171" s="15"/>
      <c r="D171" s="24">
        <f>'[3]5нед'!S237</f>
        <v>0</v>
      </c>
      <c r="E171" s="25">
        <f>'[3]5нед'!T237</f>
        <v>0</v>
      </c>
      <c r="F171" s="26">
        <f>'[3]5нед'!W237</f>
        <v>0</v>
      </c>
      <c r="G171" s="27" t="str">
        <f>'[3]5нед'!X237</f>
        <v/>
      </c>
      <c r="H171" s="58" t="str">
        <f>HYPERLINK(VLOOKUP(E171,$R$12:$S$180,2,FALSE))</f>
        <v/>
      </c>
      <c r="I171" s="72"/>
      <c r="J171" s="89"/>
      <c r="K171" s="15"/>
      <c r="L171" s="24">
        <f>'[3]6нед'!S237</f>
        <v>0</v>
      </c>
      <c r="M171" s="25">
        <f>'[3]6нед'!T237</f>
        <v>0</v>
      </c>
      <c r="N171" s="26">
        <f>'[3]6нед'!W237</f>
        <v>0</v>
      </c>
      <c r="O171" s="27" t="str">
        <f>'[3]6нед'!X237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'[3]5нед'!S238</f>
        <v>0</v>
      </c>
      <c r="E172" s="19">
        <f>'[3]5нед'!T238</f>
        <v>0</v>
      </c>
      <c r="F172" s="17">
        <f>'[3]5нед'!W238</f>
        <v>0</v>
      </c>
      <c r="G172" s="18" t="str">
        <f>'[3]5нед'!X238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'[3]6нед'!S238</f>
        <v>0</v>
      </c>
      <c r="M172" s="19">
        <f>'[3]6нед'!T238</f>
        <v>0</v>
      </c>
      <c r="N172" s="17">
        <f>'[3]6нед'!W238</f>
        <v>0</v>
      </c>
      <c r="O172" s="18" t="str">
        <f>'[3]6нед'!X238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19</v>
      </c>
      <c r="D173" s="20">
        <f>'[3]5нед'!S239</f>
        <v>0</v>
      </c>
      <c r="E173" s="23">
        <f>'[3]5нед'!T239</f>
        <v>0</v>
      </c>
      <c r="F173" s="21">
        <f>'[3]5нед'!W239</f>
        <v>0</v>
      </c>
      <c r="G173" s="22" t="str">
        <f>'[3]5нед'!X239</f>
        <v/>
      </c>
      <c r="H173" s="57" t="str">
        <f>HYPERLINK(VLOOKUP(E173,$R$12:$S$180,2,FALSE))</f>
        <v/>
      </c>
      <c r="I173" s="71"/>
      <c r="J173" s="88"/>
      <c r="K173" s="14" t="s">
        <v>19</v>
      </c>
      <c r="L173" s="20">
        <f>'[3]6нед'!S239</f>
        <v>0</v>
      </c>
      <c r="M173" s="23">
        <f>'[3]6нед'!T239</f>
        <v>0</v>
      </c>
      <c r="N173" s="21">
        <f>'[3]6нед'!W239</f>
        <v>0</v>
      </c>
      <c r="O173" s="22" t="str">
        <f>'[3]6нед'!X239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20</v>
      </c>
      <c r="D174" s="20">
        <f>'[3]5нед'!S240</f>
        <v>0</v>
      </c>
      <c r="E174" s="23">
        <f>'[3]5нед'!T240</f>
        <v>0</v>
      </c>
      <c r="F174" s="21">
        <f>'[3]5нед'!W240</f>
        <v>0</v>
      </c>
      <c r="G174" s="22" t="str">
        <f>'[3]5нед'!X240</f>
        <v/>
      </c>
      <c r="H174" s="57" t="str">
        <f>HYPERLINK(VLOOKUP(E174,$R$12:$S$180,2,FALSE))</f>
        <v/>
      </c>
      <c r="I174" s="71"/>
      <c r="J174" s="88"/>
      <c r="K174" s="14" t="s">
        <v>20</v>
      </c>
      <c r="L174" s="20">
        <f>'[3]6нед'!S240</f>
        <v>0</v>
      </c>
      <c r="M174" s="23">
        <f>'[3]6нед'!T240</f>
        <v>0</v>
      </c>
      <c r="N174" s="21">
        <f>'[3]6нед'!W240</f>
        <v>0</v>
      </c>
      <c r="O174" s="22" t="str">
        <f>'[3]6нед'!X240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'[3]5нед'!S241</f>
        <v>0</v>
      </c>
      <c r="E175" s="23">
        <f>'[3]5нед'!T241</f>
        <v>0</v>
      </c>
      <c r="F175" s="21">
        <f>'[3]5нед'!W241</f>
        <v>0</v>
      </c>
      <c r="G175" s="22" t="str">
        <f>'[3]5нед'!X241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'[3]6нед'!S241</f>
        <v>0</v>
      </c>
      <c r="M175" s="23">
        <f>'[3]6нед'!T241</f>
        <v>0</v>
      </c>
      <c r="N175" s="21">
        <f>'[3]6нед'!W241</f>
        <v>0</v>
      </c>
      <c r="O175" s="22" t="str">
        <f>'[3]6нед'!X241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'[3]5нед'!S242</f>
        <v>0</v>
      </c>
      <c r="E176" s="23">
        <f>'[3]5нед'!T242</f>
        <v>0</v>
      </c>
      <c r="F176" s="21">
        <f>'[3]5нед'!W242</f>
        <v>0</v>
      </c>
      <c r="G176" s="22" t="str">
        <f>'[3]5нед'!X242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'[3]6нед'!S242</f>
        <v>0</v>
      </c>
      <c r="M176" s="23">
        <f>'[3]6нед'!T242</f>
        <v>0</v>
      </c>
      <c r="N176" s="21">
        <f>'[3]6нед'!W242</f>
        <v>0</v>
      </c>
      <c r="O176" s="22" t="str">
        <f>'[3]6нед'!X242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'[3]5нед'!S243</f>
        <v>0</v>
      </c>
      <c r="E177" s="23">
        <f>'[3]5нед'!T243</f>
        <v>0</v>
      </c>
      <c r="F177" s="21">
        <f>'[3]5нед'!W243</f>
        <v>0</v>
      </c>
      <c r="G177" s="22" t="str">
        <f>'[3]5нед'!X243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'[3]6нед'!S243</f>
        <v>0</v>
      </c>
      <c r="M177" s="23">
        <f>'[3]6нед'!T243</f>
        <v>0</v>
      </c>
      <c r="N177" s="21">
        <f>'[3]6нед'!W243</f>
        <v>0</v>
      </c>
      <c r="O177" s="22" t="str">
        <f>'[3]6нед'!X243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'[3]5нед'!S244</f>
        <v>0</v>
      </c>
      <c r="E178" s="23">
        <f>'[3]5нед'!T244</f>
        <v>0</v>
      </c>
      <c r="F178" s="21">
        <f>'[3]5нед'!W244</f>
        <v>0</v>
      </c>
      <c r="G178" s="22" t="str">
        <f>'[3]5нед'!X244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'[3]6нед'!S244</f>
        <v>0</v>
      </c>
      <c r="M178" s="23">
        <f>'[3]6нед'!T244</f>
        <v>0</v>
      </c>
      <c r="N178" s="21">
        <f>'[3]6нед'!W244</f>
        <v>0</v>
      </c>
      <c r="O178" s="22" t="str">
        <f>'[3]6нед'!X244</f>
        <v/>
      </c>
      <c r="P178" s="57" t="str">
        <f>HYPERLINK(VLOOKUP(M178,$R$12:$S$180,2,FALSE))</f>
        <v/>
      </c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hyperlinks>
    <hyperlink ref="S17" r:id="rId1" xr:uid="{03A21B9A-4CA1-4CAD-98F9-159FFB3BDDF7}"/>
    <hyperlink ref="S13" r:id="rId2" xr:uid="{34DD4825-F11E-4DC3-8284-726A16AADBDD}"/>
    <hyperlink ref="S14" r:id="rId3" xr:uid="{0CBFFBE7-501F-46E4-8BA8-AC2CFFC0C889}"/>
    <hyperlink ref="S15:S16" r:id="rId4" display="https://max.ru/join/ABawVbim1pHAjVVmFjM7O45ddZZYKAUsl0XF3_xyIvw" xr:uid="{9763A14D-6267-4C40-BE0E-1EF930F09282}"/>
  </hyperlinks>
  <pageMargins left="0.70866141732283472" right="0.70866141732283472" top="0.74803149606299213" bottom="0.74803149606299213" header="0.31496062992125984" footer="0.31496062992125984"/>
  <pageSetup paperSize="9" scale="34" orientation="portrait" r:id="rId5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A974A-CADC-452B-821E-F3E9C0136D2E}">
  <dimension ref="A1:S180"/>
  <sheetViews>
    <sheetView view="pageBreakPreview" topLeftCell="G126" zoomScale="55" zoomScaleNormal="55" zoomScaleSheetLayoutView="55" workbookViewId="0">
      <selection activeCell="F181" sqref="A181:XFD612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70.7109375" customWidth="1"/>
    <col min="19" max="19" width="24.710937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'[1]1нед'!$D$254</f>
        <v>44.03.05Педагогическое образование (с двумя профилями подготовки) (Математика и Информатика)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44.03.05Педагогическое образование (с двумя профилями подготовки) (Математика и Информатика)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3</v>
      </c>
      <c r="F9" s="62" t="str">
        <f>'[1]1нед'!$D$258</f>
        <v>12-24МИоз</v>
      </c>
      <c r="G9" s="62"/>
      <c r="H9" s="35"/>
      <c r="I9" s="45"/>
      <c r="J9" s="81" t="s">
        <v>7</v>
      </c>
      <c r="K9" s="81"/>
      <c r="L9" s="81"/>
      <c r="M9" s="62">
        <f>E9</f>
        <v>3</v>
      </c>
      <c r="N9" s="62" t="str">
        <f>'[1]1нед'!$D$258</f>
        <v>12-24МИоз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'[1]1нед'!C260</f>
        <v>0</v>
      </c>
      <c r="E12" s="19">
        <f>'[1]1нед'!D260</f>
        <v>0</v>
      </c>
      <c r="F12" s="17">
        <f>'[1]1нед'!G260</f>
        <v>0</v>
      </c>
      <c r="G12" s="18" t="str">
        <f>'[1]1нед'!H260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'[1]2нед'!C260</f>
        <v>0</v>
      </c>
      <c r="M12" s="19">
        <f>'[1]2нед'!D260</f>
        <v>0</v>
      </c>
      <c r="N12" s="17">
        <f>'[1]2нед'!G260</f>
        <v>0</v>
      </c>
      <c r="O12" s="18" t="str">
        <f>'[1]2нед'!H260</f>
        <v/>
      </c>
      <c r="P12" s="56" t="str">
        <f>HYPERLINK(VLOOKUP(M12,$R$12:$S$180,2,FALSE))</f>
        <v/>
      </c>
      <c r="R12" t="str">
        <f>[2]Уч.План!B600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'[1]1нед'!C261</f>
        <v>0</v>
      </c>
      <c r="E13" s="23">
        <f>'[1]1нед'!D261</f>
        <v>0</v>
      </c>
      <c r="F13" s="21">
        <f>'[1]1нед'!G261</f>
        <v>0</v>
      </c>
      <c r="G13" s="22" t="str">
        <f>'[1]1нед'!H261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'[1]2нед'!C261</f>
        <v>0</v>
      </c>
      <c r="M13" s="23">
        <f>'[1]2нед'!D261</f>
        <v>0</v>
      </c>
      <c r="N13" s="21">
        <f>'[1]2нед'!G261</f>
        <v>0</v>
      </c>
      <c r="O13" s="22" t="str">
        <f>'[1]2нед'!H261</f>
        <v/>
      </c>
      <c r="P13" s="57" t="str">
        <f>HYPERLINK(VLOOKUP(M13,$R$12:$S$180,2,FALSE))</f>
        <v/>
      </c>
      <c r="R13" t="str">
        <f>[2]Уч.План!B601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'[1]1нед'!C262</f>
        <v>0</v>
      </c>
      <c r="E14" s="23">
        <f>'[1]1нед'!D262</f>
        <v>0</v>
      </c>
      <c r="F14" s="21">
        <f>'[1]1нед'!G262</f>
        <v>0</v>
      </c>
      <c r="G14" s="22" t="str">
        <f>'[1]1нед'!H262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'[1]2нед'!C262</f>
        <v>0</v>
      </c>
      <c r="M14" s="23">
        <f>'[1]2нед'!D262</f>
        <v>0</v>
      </c>
      <c r="N14" s="21">
        <f>'[1]2нед'!G262</f>
        <v>0</v>
      </c>
      <c r="O14" s="22" t="str">
        <f>'[1]2нед'!H262</f>
        <v/>
      </c>
      <c r="P14" s="57" t="str">
        <f>HYPERLINK(VLOOKUP(M14,$R$12:$S$180,2,FALSE))</f>
        <v/>
      </c>
      <c r="R14" t="str">
        <f>[2]Уч.План!B602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'[1]1нед'!C263</f>
        <v>0</v>
      </c>
      <c r="E15" s="23">
        <f>'[1]1нед'!D263</f>
        <v>0</v>
      </c>
      <c r="F15" s="21">
        <f>'[1]1нед'!G263</f>
        <v>0</v>
      </c>
      <c r="G15" s="22" t="str">
        <f>'[1]1нед'!H263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'[1]2нед'!C263</f>
        <v>0</v>
      </c>
      <c r="M15" s="23">
        <f>'[1]2нед'!D263</f>
        <v>0</v>
      </c>
      <c r="N15" s="21">
        <f>'[1]2нед'!G263</f>
        <v>0</v>
      </c>
      <c r="O15" s="22" t="str">
        <f>'[1]2нед'!H263</f>
        <v/>
      </c>
      <c r="P15" s="57" t="str">
        <f>HYPERLINK(VLOOKUP(M15,$R$12:$S$180,2,FALSE))</f>
        <v/>
      </c>
      <c r="R15" t="str">
        <f>[2]Уч.План!B603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'[1]1нед'!C264</f>
        <v>0</v>
      </c>
      <c r="E16" s="23">
        <f>'[1]1нед'!D264</f>
        <v>0</v>
      </c>
      <c r="F16" s="21">
        <f>'[1]1нед'!G264</f>
        <v>0</v>
      </c>
      <c r="G16" s="22" t="str">
        <f>'[1]1нед'!H264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'[1]2нед'!C264</f>
        <v>0</v>
      </c>
      <c r="M16" s="23">
        <f>'[1]2нед'!D264</f>
        <v>0</v>
      </c>
      <c r="N16" s="21">
        <f>'[1]2нед'!G264</f>
        <v>0</v>
      </c>
      <c r="O16" s="22" t="str">
        <f>'[1]2нед'!H264</f>
        <v/>
      </c>
      <c r="P16" s="57" t="str">
        <f>HYPERLINK(VLOOKUP(M16,$R$12:$S$180,2,FALSE))</f>
        <v/>
      </c>
      <c r="R16" t="str">
        <f>[2]Уч.План!B604</f>
        <v>Математическая логика и теория алгоритмов</v>
      </c>
      <c r="S16" s="61" t="s">
        <v>71</v>
      </c>
    </row>
    <row r="17" spans="1:19" ht="37.5" x14ac:dyDescent="0.2">
      <c r="A17" s="82"/>
      <c r="B17" s="85"/>
      <c r="C17" s="14" t="s">
        <v>23</v>
      </c>
      <c r="D17" s="20">
        <f>'[1]1нед'!C265</f>
        <v>0</v>
      </c>
      <c r="E17" s="23">
        <f>'[1]1нед'!D265</f>
        <v>0</v>
      </c>
      <c r="F17" s="21">
        <f>'[1]1нед'!G265</f>
        <v>0</v>
      </c>
      <c r="G17" s="22" t="str">
        <f>'[1]1нед'!H265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'[1]2нед'!C265</f>
        <v>пр</v>
      </c>
      <c r="M17" s="23" t="str">
        <f>'[1]2нед'!D265</f>
        <v xml:space="preserve"> Методы исследовательской/проектной деятельности</v>
      </c>
      <c r="N17" s="21" t="str">
        <f>'[1]2нед'!G265</f>
        <v>Казанцев Ю.А.</v>
      </c>
      <c r="O17" s="22" t="str">
        <f>'[1]2нед'!H265</f>
        <v>ст. преподаватель</v>
      </c>
      <c r="P17" s="55" t="str">
        <f>HYPERLINK(VLOOKUP(M17,$R$12:$S$180,2,FALSE))</f>
        <v>https://max.ru/join/vVDI4UrM3eCAidVGjy4YDG7oZq_cJEJtK2NywT5ISAk</v>
      </c>
      <c r="R17" t="str">
        <f>[2]Уч.План!B605</f>
        <v>Архитектура компьютера</v>
      </c>
      <c r="S17" s="61" t="s">
        <v>71</v>
      </c>
    </row>
    <row r="18" spans="1:19" ht="31.5" x14ac:dyDescent="0.2">
      <c r="A18" s="82"/>
      <c r="B18" s="85"/>
      <c r="C18" s="14" t="s">
        <v>24</v>
      </c>
      <c r="D18" s="20">
        <f>'[1]1нед'!C266</f>
        <v>0</v>
      </c>
      <c r="E18" s="23">
        <f>'[1]1нед'!D266</f>
        <v>0</v>
      </c>
      <c r="F18" s="21">
        <f>'[1]1нед'!G266</f>
        <v>0</v>
      </c>
      <c r="G18" s="22" t="str">
        <f>'[1]1нед'!H266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'[1]2нед'!C266</f>
        <v>пр</v>
      </c>
      <c r="M18" s="23" t="str">
        <f>'[1]2нед'!D266</f>
        <v xml:space="preserve"> Основы военной подготовки</v>
      </c>
      <c r="N18" s="21" t="str">
        <f>'[1]2нед'!G266</f>
        <v>Кулак А.Ф.</v>
      </c>
      <c r="O18" s="22" t="str">
        <f>'[1]2нед'!H266</f>
        <v>преподаватель</v>
      </c>
      <c r="P18" s="55" t="str">
        <f>HYPERLINK(VLOOKUP(M18,$R$12:$S$180,2,FALSE))</f>
        <v>https://max.ru/join/VKkXfhUzxKeyFQk25Ym4SroS_8HJFubEzr_pkrxHHAs</v>
      </c>
      <c r="R18" t="str">
        <f>[2]Уч.План!B606</f>
        <v>Теория вероятностей и математическая
статистика</v>
      </c>
      <c r="S18" s="61" t="s">
        <v>71</v>
      </c>
    </row>
    <row r="19" spans="1:19" ht="18.399999999999999" customHeight="1" thickBot="1" x14ac:dyDescent="0.25">
      <c r="A19" s="83"/>
      <c r="B19" s="86"/>
      <c r="C19" s="15"/>
      <c r="D19" s="24">
        <f>'[1]1нед'!C267</f>
        <v>0</v>
      </c>
      <c r="E19" s="25">
        <f>'[1]1нед'!D267</f>
        <v>0</v>
      </c>
      <c r="F19" s="26">
        <f>'[1]1нед'!G267</f>
        <v>0</v>
      </c>
      <c r="G19" s="27" t="str">
        <f>'[1]1нед'!H267</f>
        <v/>
      </c>
      <c r="H19" s="58" t="str">
        <f>HYPERLINK(VLOOKUP(E19,$R$12:$S$180,2,FALSE))</f>
        <v/>
      </c>
      <c r="I19" s="72"/>
      <c r="J19" s="89"/>
      <c r="K19" s="15"/>
      <c r="L19" s="24">
        <f>'[1]2нед'!C267</f>
        <v>0</v>
      </c>
      <c r="M19" s="25">
        <f>'[1]2нед'!D267</f>
        <v>0</v>
      </c>
      <c r="N19" s="26">
        <f>'[1]2нед'!G267</f>
        <v>0</v>
      </c>
      <c r="O19" s="27" t="str">
        <f>'[1]2нед'!H267</f>
        <v/>
      </c>
      <c r="P19" s="58" t="str">
        <f>HYPERLINK(VLOOKUP(M19,$R$12:$S$180,2,FALSE))</f>
        <v/>
      </c>
      <c r="R19" t="str">
        <f>[2]Уч.План!B607</f>
        <v>Психолого-педагогические основы обучения
математике и информатике</v>
      </c>
      <c r="S19" s="61" t="s">
        <v>71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'[1]1нед'!C268</f>
        <v>0</v>
      </c>
      <c r="E20" s="19">
        <f>'[1]1нед'!D268</f>
        <v>0</v>
      </c>
      <c r="F20" s="17">
        <f>'[1]1нед'!G268</f>
        <v>0</v>
      </c>
      <c r="G20" s="18" t="str">
        <f>'[1]1нед'!H268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'[1]2нед'!C268</f>
        <v>0</v>
      </c>
      <c r="M20" s="19">
        <f>'[1]2нед'!D268</f>
        <v>0</v>
      </c>
      <c r="N20" s="17">
        <f>'[1]2нед'!G268</f>
        <v>0</v>
      </c>
      <c r="O20" s="18" t="str">
        <f>'[1]2нед'!H268</f>
        <v/>
      </c>
      <c r="P20" s="56" t="str">
        <f>HYPERLINK(VLOOKUP(M20,$R$12:$S$180,2,FALSE))</f>
        <v/>
      </c>
      <c r="R20" t="str">
        <f>[2]Уч.План!B608</f>
        <v>Теория чисел</v>
      </c>
      <c r="S20" s="61" t="s">
        <v>71</v>
      </c>
    </row>
    <row r="21" spans="1:19" ht="31.5" x14ac:dyDescent="0.2">
      <c r="A21" s="82"/>
      <c r="B21" s="85"/>
      <c r="C21" s="14" t="s">
        <v>19</v>
      </c>
      <c r="D21" s="20">
        <f>'[1]1нед'!C269</f>
        <v>0</v>
      </c>
      <c r="E21" s="23">
        <f>'[1]1нед'!D269</f>
        <v>0</v>
      </c>
      <c r="F21" s="21">
        <f>'[1]1нед'!G269</f>
        <v>0</v>
      </c>
      <c r="G21" s="22" t="str">
        <f>'[1]1нед'!H269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'[1]2нед'!C269</f>
        <v>0</v>
      </c>
      <c r="M21" s="23">
        <f>'[1]2нед'!D269</f>
        <v>0</v>
      </c>
      <c r="N21" s="21">
        <f>'[1]2нед'!G269</f>
        <v>0</v>
      </c>
      <c r="O21" s="22" t="str">
        <f>'[1]2нед'!H269</f>
        <v/>
      </c>
      <c r="P21" s="57" t="str">
        <f>HYPERLINK(VLOOKUP(M21,$R$12:$S$180,2,FALSE))</f>
        <v/>
      </c>
      <c r="R21" t="str">
        <f>[2]Уч.План!B609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'[1]1нед'!C270</f>
        <v>0</v>
      </c>
      <c r="E22" s="23">
        <f>'[1]1нед'!D270</f>
        <v>0</v>
      </c>
      <c r="F22" s="21">
        <f>'[1]1нед'!G270</f>
        <v>0</v>
      </c>
      <c r="G22" s="22" t="str">
        <f>'[1]1нед'!H270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'[1]2нед'!C270</f>
        <v>0</v>
      </c>
      <c r="M22" s="23">
        <f>'[1]2нед'!D270</f>
        <v>0</v>
      </c>
      <c r="N22" s="21">
        <f>'[1]2нед'!G270</f>
        <v>0</v>
      </c>
      <c r="O22" s="22" t="str">
        <f>'[1]2нед'!H270</f>
        <v/>
      </c>
      <c r="P22" s="57" t="str">
        <f>HYPERLINK(VLOOKUP(M22,$R$12:$S$180,2,FALSE))</f>
        <v/>
      </c>
      <c r="R22" t="str">
        <f>[2]Уч.План!B610</f>
        <v>Производственная практика. Педагогическая практика</v>
      </c>
      <c r="S22" s="61" t="s">
        <v>71</v>
      </c>
    </row>
    <row r="23" spans="1:19" ht="31.5" x14ac:dyDescent="0.2">
      <c r="A23" s="82"/>
      <c r="B23" s="85"/>
      <c r="C23" s="14" t="s">
        <v>21</v>
      </c>
      <c r="D23" s="20">
        <f>'[1]1нед'!C271</f>
        <v>0</v>
      </c>
      <c r="E23" s="23">
        <f>'[1]1нед'!D271</f>
        <v>0</v>
      </c>
      <c r="F23" s="21">
        <f>'[1]1нед'!G271</f>
        <v>0</v>
      </c>
      <c r="G23" s="22" t="str">
        <f>'[1]1нед'!H271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'[1]2нед'!C271</f>
        <v>0</v>
      </c>
      <c r="M23" s="23">
        <f>'[1]2нед'!D271</f>
        <v>0</v>
      </c>
      <c r="N23" s="21">
        <f>'[1]2нед'!G271</f>
        <v>0</v>
      </c>
      <c r="O23" s="22" t="str">
        <f>'[1]2нед'!H271</f>
        <v/>
      </c>
      <c r="P23" s="57" t="str">
        <f>HYPERLINK(VLOOKUP(M23,$R$12:$S$180,2,FALSE))</f>
        <v/>
      </c>
      <c r="R23" t="str">
        <f>[2]Уч.План!B611</f>
        <v>Производственная практика. Педагогическая практика (Классное руководство)</v>
      </c>
      <c r="S23" s="61" t="s">
        <v>71</v>
      </c>
    </row>
    <row r="24" spans="1:19" ht="31.5" x14ac:dyDescent="0.2">
      <c r="A24" s="82"/>
      <c r="B24" s="85"/>
      <c r="C24" s="14" t="s">
        <v>22</v>
      </c>
      <c r="D24" s="20">
        <f>'[1]1нед'!C272</f>
        <v>0</v>
      </c>
      <c r="E24" s="23">
        <f>'[1]1нед'!D272</f>
        <v>0</v>
      </c>
      <c r="F24" s="21">
        <f>'[1]1нед'!G272</f>
        <v>0</v>
      </c>
      <c r="G24" s="22" t="str">
        <f>'[1]1нед'!H272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'[1]2нед'!C272</f>
        <v>0</v>
      </c>
      <c r="M24" s="23">
        <f>'[1]2нед'!D272</f>
        <v>0</v>
      </c>
      <c r="N24" s="21">
        <f>'[1]2нед'!G272</f>
        <v>0</v>
      </c>
      <c r="O24" s="22" t="str">
        <f>'[1]2нед'!H272</f>
        <v/>
      </c>
      <c r="P24" s="57" t="str">
        <f>HYPERLINK(VLOOKUP(M24,$R$12:$S$180,2,FALSE))</f>
        <v/>
      </c>
      <c r="R24" t="str">
        <f>[2]Уч.План!B612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'[1]1нед'!C273</f>
        <v>0</v>
      </c>
      <c r="E25" s="23">
        <f>'[1]1нед'!D273</f>
        <v>0</v>
      </c>
      <c r="F25" s="21">
        <f>'[1]1нед'!G273</f>
        <v>0</v>
      </c>
      <c r="G25" s="22" t="str">
        <f>'[1]1нед'!H273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'[1]2нед'!C273</f>
        <v>л</v>
      </c>
      <c r="M25" s="23" t="str">
        <f>'[1]2нед'!D273</f>
        <v>Математическая логика и теория алгоритмов</v>
      </c>
      <c r="N25" s="21" t="str">
        <f>'[1]2нед'!G273</f>
        <v>Казанцев Ю.А.</v>
      </c>
      <c r="O25" s="22" t="str">
        <f>'[1]2нед'!H273</f>
        <v>ст. преподаватель</v>
      </c>
      <c r="P25" s="57" t="str">
        <f>HYPERLINK(VLOOKUP(M25,$R$12:$S$180,2,FALSE))</f>
        <v>https://max.ru/join/CuOdXmdZWK47DPyk2yukbmbFfy3zg-be-Oob6Blusek</v>
      </c>
      <c r="R25" t="str">
        <f>[2]Уч.План!B613</f>
        <v xml:space="preserve"> Основы военной подготовки</v>
      </c>
      <c r="S25" s="61" t="s">
        <v>66</v>
      </c>
    </row>
    <row r="26" spans="1:19" ht="31.5" x14ac:dyDescent="0.2">
      <c r="A26" s="82"/>
      <c r="B26" s="85"/>
      <c r="C26" s="14" t="s">
        <v>24</v>
      </c>
      <c r="D26" s="20">
        <f>'[1]1нед'!C274</f>
        <v>0</v>
      </c>
      <c r="E26" s="23">
        <f>'[1]1нед'!D274</f>
        <v>0</v>
      </c>
      <c r="F26" s="21">
        <f>'[1]1нед'!G274</f>
        <v>0</v>
      </c>
      <c r="G26" s="22" t="str">
        <f>'[1]1нед'!H274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>
        <f>'[1]2нед'!C274</f>
        <v>0</v>
      </c>
      <c r="M26" s="23">
        <f>'[1]2нед'!D274</f>
        <v>0</v>
      </c>
      <c r="N26" s="21">
        <f>'[1]2нед'!G274</f>
        <v>0</v>
      </c>
      <c r="O26" s="22" t="str">
        <f>'[1]2нед'!H274</f>
        <v/>
      </c>
      <c r="P26" s="57" t="str">
        <f>HYPERLINK(VLOOKUP(M26,$R$12:$S$180,2,FALSE))</f>
        <v/>
      </c>
      <c r="R26" t="str">
        <f>[2]Уч.План!B614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'[1]1нед'!C275</f>
        <v>0</v>
      </c>
      <c r="E27" s="25">
        <f>'[1]1нед'!D275</f>
        <v>0</v>
      </c>
      <c r="F27" s="26">
        <f>'[1]1нед'!G275</f>
        <v>0</v>
      </c>
      <c r="G27" s="27" t="str">
        <f>'[1]1нед'!H275</f>
        <v/>
      </c>
      <c r="H27" s="58" t="str">
        <f>HYPERLINK(VLOOKUP(E27,$R$12:$S$180,2,FALSE))</f>
        <v/>
      </c>
      <c r="I27" s="72"/>
      <c r="J27" s="89"/>
      <c r="K27" s="15"/>
      <c r="L27" s="24">
        <f>'[1]2нед'!C275</f>
        <v>0</v>
      </c>
      <c r="M27" s="25">
        <f>'[1]2нед'!D275</f>
        <v>0</v>
      </c>
      <c r="N27" s="26">
        <f>'[1]2нед'!G275</f>
        <v>0</v>
      </c>
      <c r="O27" s="27" t="str">
        <f>'[1]2нед'!H275</f>
        <v/>
      </c>
      <c r="P27" s="58" t="str">
        <f>HYPERLINK(VLOOKUP(M27,$R$12:$S$180,2,FALSE))</f>
        <v/>
      </c>
      <c r="R27" t="str">
        <f>[2]Уч.План!B615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'[1]1нед'!C276</f>
        <v>0</v>
      </c>
      <c r="E28" s="19">
        <f>'[1]1нед'!D276</f>
        <v>0</v>
      </c>
      <c r="F28" s="17">
        <f>'[1]1нед'!G276</f>
        <v>0</v>
      </c>
      <c r="G28" s="18" t="str">
        <f>'[1]1нед'!H276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'[1]2нед'!C276</f>
        <v>0</v>
      </c>
      <c r="M28" s="19">
        <f>'[1]2нед'!D276</f>
        <v>0</v>
      </c>
      <c r="N28" s="17">
        <f>'[1]2нед'!G276</f>
        <v>0</v>
      </c>
      <c r="O28" s="18" t="str">
        <f>'[1]2нед'!H276</f>
        <v/>
      </c>
      <c r="P28" s="56" t="str">
        <f>HYPERLINK(VLOOKUP(M28,$R$12:$S$180,2,FALSE))</f>
        <v/>
      </c>
      <c r="R28" t="str">
        <f>[2]Уч.План!B616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'[1]1нед'!C277</f>
        <v>0</v>
      </c>
      <c r="E29" s="23">
        <f>'[1]1нед'!D277</f>
        <v>0</v>
      </c>
      <c r="F29" s="21">
        <f>'[1]1нед'!G277</f>
        <v>0</v>
      </c>
      <c r="G29" s="22" t="str">
        <f>'[1]1нед'!H277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'[1]2нед'!C277</f>
        <v>0</v>
      </c>
      <c r="M29" s="23">
        <f>'[1]2нед'!D277</f>
        <v>0</v>
      </c>
      <c r="N29" s="21">
        <f>'[1]2нед'!G277</f>
        <v>0</v>
      </c>
      <c r="O29" s="22" t="str">
        <f>'[1]2нед'!H277</f>
        <v/>
      </c>
      <c r="P29" s="57" t="str">
        <f>HYPERLINK(VLOOKUP(M29,$R$12:$S$180,2,FALSE))</f>
        <v/>
      </c>
      <c r="R29">
        <f>[2]Уч.План!B617</f>
        <v>0</v>
      </c>
    </row>
    <row r="30" spans="1:19" ht="31.5" x14ac:dyDescent="0.2">
      <c r="A30" s="82"/>
      <c r="B30" s="68"/>
      <c r="C30" s="14" t="s">
        <v>20</v>
      </c>
      <c r="D30" s="20">
        <f>'[1]1нед'!C278</f>
        <v>0</v>
      </c>
      <c r="E30" s="23">
        <f>'[1]1нед'!D278</f>
        <v>0</v>
      </c>
      <c r="F30" s="21">
        <f>'[1]1нед'!G278</f>
        <v>0</v>
      </c>
      <c r="G30" s="22" t="str">
        <f>'[1]1нед'!H278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'[1]2нед'!C278</f>
        <v>0</v>
      </c>
      <c r="M30" s="23">
        <f>'[1]2нед'!D278</f>
        <v>0</v>
      </c>
      <c r="N30" s="21">
        <f>'[1]2нед'!G278</f>
        <v>0</v>
      </c>
      <c r="O30" s="22" t="str">
        <f>'[1]2нед'!H278</f>
        <v/>
      </c>
      <c r="P30" s="57" t="str">
        <f>HYPERLINK(VLOOKUP(M30,$R$12:$S$180,2,FALSE))</f>
        <v/>
      </c>
      <c r="R30">
        <f>[2]Уч.План!B618</f>
        <v>0</v>
      </c>
    </row>
    <row r="31" spans="1:19" ht="31.5" x14ac:dyDescent="0.2">
      <c r="A31" s="82"/>
      <c r="B31" s="68"/>
      <c r="C31" s="14" t="s">
        <v>21</v>
      </c>
      <c r="D31" s="20">
        <f>'[1]1нед'!C279</f>
        <v>0</v>
      </c>
      <c r="E31" s="23">
        <f>'[1]1нед'!D279</f>
        <v>0</v>
      </c>
      <c r="F31" s="21">
        <f>'[1]1нед'!G279</f>
        <v>0</v>
      </c>
      <c r="G31" s="22" t="str">
        <f>'[1]1нед'!H279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'[1]2нед'!C279</f>
        <v>0</v>
      </c>
      <c r="M31" s="23">
        <f>'[1]2нед'!D279</f>
        <v>0</v>
      </c>
      <c r="N31" s="21">
        <f>'[1]2нед'!G279</f>
        <v>0</v>
      </c>
      <c r="O31" s="22" t="str">
        <f>'[1]2нед'!H279</f>
        <v/>
      </c>
      <c r="P31" s="57" t="str">
        <f>HYPERLINK(VLOOKUP(M31,$R$12:$S$180,2,FALSE))</f>
        <v/>
      </c>
      <c r="R31">
        <f>[2]Уч.План!B619</f>
        <v>0</v>
      </c>
    </row>
    <row r="32" spans="1:19" ht="31.5" x14ac:dyDescent="0.2">
      <c r="A32" s="82"/>
      <c r="B32" s="68"/>
      <c r="C32" s="14" t="s">
        <v>22</v>
      </c>
      <c r="D32" s="20">
        <f>'[1]1нед'!C280</f>
        <v>0</v>
      </c>
      <c r="E32" s="23">
        <f>'[1]1нед'!D280</f>
        <v>0</v>
      </c>
      <c r="F32" s="21">
        <f>'[1]1нед'!G280</f>
        <v>0</v>
      </c>
      <c r="G32" s="22" t="str">
        <f>'[1]1нед'!H280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'[1]2нед'!C280</f>
        <v>0</v>
      </c>
      <c r="M32" s="23">
        <f>'[1]2нед'!D280</f>
        <v>0</v>
      </c>
      <c r="N32" s="21">
        <f>'[1]2нед'!G280</f>
        <v>0</v>
      </c>
      <c r="O32" s="22" t="str">
        <f>'[1]2нед'!H280</f>
        <v/>
      </c>
      <c r="P32" s="57" t="str">
        <f>HYPERLINK(VLOOKUP(M32,$R$12:$S$180,2,FALSE))</f>
        <v/>
      </c>
      <c r="R32">
        <f>[2]Уч.План!B620</f>
        <v>0</v>
      </c>
    </row>
    <row r="33" spans="1:18" ht="37.5" x14ac:dyDescent="0.2">
      <c r="A33" s="82"/>
      <c r="B33" s="68"/>
      <c r="C33" s="14" t="s">
        <v>23</v>
      </c>
      <c r="D33" s="20" t="str">
        <f>'[1]1нед'!C281</f>
        <v>л</v>
      </c>
      <c r="E33" s="23" t="str">
        <f>'[1]1нед'!D281</f>
        <v>Методы исследовательской/проектной деятельности</v>
      </c>
      <c r="F33" s="21" t="str">
        <f>'[1]1нед'!G281</f>
        <v>Казанцев Ю.А.</v>
      </c>
      <c r="G33" s="22" t="str">
        <f>'[1]1нед'!H281</f>
        <v>ст. преподаватель</v>
      </c>
      <c r="H33" s="55" t="str">
        <f>HYPERLINK(VLOOKUP(E33,$R$12:$S$180,2,FALSE))</f>
        <v>https://max.ru/join/15pEPVrIDANjN-ex11uXS0z2QQcAQkpN7qeJUhIOK40</v>
      </c>
      <c r="I33" s="71"/>
      <c r="J33" s="74"/>
      <c r="K33" s="14" t="s">
        <v>23</v>
      </c>
      <c r="L33" s="20" t="str">
        <f>'[1]2нед'!C281</f>
        <v>л</v>
      </c>
      <c r="M33" s="23" t="str">
        <f>'[1]2нед'!D281</f>
        <v>Теория вероятностей и математическая
статистика</v>
      </c>
      <c r="N33" s="21" t="str">
        <f>'[1]2нед'!G281</f>
        <v>Блыщик Н.О.</v>
      </c>
      <c r="O33" s="22" t="str">
        <f>'[1]2нед'!H281</f>
        <v>ст. преподаватель</v>
      </c>
      <c r="P33" s="55" t="str">
        <f>HYPERLINK(VLOOKUP(M33,$R$12:$S$180,2,FALSE))</f>
        <v>https://max.ru/join/CuOdXmdZWK47DPyk2yukbmbFfy3zg-be-Oob6Blusek</v>
      </c>
      <c r="R33">
        <f>[2]Уч.План!B621</f>
        <v>0</v>
      </c>
    </row>
    <row r="34" spans="1:18" ht="32.25" thickBot="1" x14ac:dyDescent="0.25">
      <c r="A34" s="82"/>
      <c r="B34" s="68"/>
      <c r="C34" s="14" t="s">
        <v>24</v>
      </c>
      <c r="D34" s="20" t="str">
        <f>'[1]1нед'!C282</f>
        <v>л</v>
      </c>
      <c r="E34" s="23" t="str">
        <f>'[1]1нед'!D282</f>
        <v>Основы военной подготовки</v>
      </c>
      <c r="F34" s="21" t="str">
        <f>'[1]1нед'!G282</f>
        <v>Кулак А.Ф.</v>
      </c>
      <c r="G34" s="22" t="str">
        <f>'[1]1нед'!H282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 t="str">
        <f>'[1]2нед'!C282</f>
        <v>л</v>
      </c>
      <c r="M34" s="23" t="str">
        <f>'[1]2нед'!D282</f>
        <v>Архитектура компьютера</v>
      </c>
      <c r="N34" s="21" t="str">
        <f>'[1]2нед'!G282</f>
        <v>Криницкий Ю.В.</v>
      </c>
      <c r="O34" s="22" t="str">
        <f>'[1]2нед'!H282</f>
        <v>преподаватель</v>
      </c>
      <c r="P34" s="55" t="str">
        <f>HYPERLINK(VLOOKUP(M34,$R$12:$S$180,2,FALSE))</f>
        <v>https://max.ru/join/CuOdXmdZWK47DPyk2yukbmbFfy3zg-be-Oob6Blusek</v>
      </c>
    </row>
    <row r="35" spans="1:18" ht="18.399999999999999" hidden="1" customHeight="1" thickBot="1" x14ac:dyDescent="0.25">
      <c r="A35" s="83"/>
      <c r="B35" s="69"/>
      <c r="C35" s="15"/>
      <c r="D35" s="24">
        <f>'[1]1нед'!C283</f>
        <v>0</v>
      </c>
      <c r="E35" s="25">
        <f>'[1]1нед'!D283</f>
        <v>0</v>
      </c>
      <c r="F35" s="26">
        <f>'[1]1нед'!G283</f>
        <v>0</v>
      </c>
      <c r="G35" s="27" t="str">
        <f>'[1]1нед'!H283</f>
        <v/>
      </c>
      <c r="H35" s="58" t="str">
        <f>HYPERLINK(VLOOKUP(E35,$R$12:$S$180,2,FALSE))</f>
        <v/>
      </c>
      <c r="I35" s="72"/>
      <c r="J35" s="75"/>
      <c r="K35" s="15"/>
      <c r="L35" s="24">
        <f>'[1]2нед'!C283</f>
        <v>0</v>
      </c>
      <c r="M35" s="25">
        <f>'[1]2нед'!D283</f>
        <v>0</v>
      </c>
      <c r="N35" s="26">
        <f>'[1]2нед'!G283</f>
        <v>0</v>
      </c>
      <c r="O35" s="27" t="str">
        <f>'[1]2нед'!H283</f>
        <v/>
      </c>
      <c r="P35" s="58" t="str">
        <f>HYPERLINK(VLOOKUP(M35,$R$12:$S$180,2,FALSE))</f>
        <v/>
      </c>
    </row>
    <row r="36" spans="1:18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'[1]1нед'!C284</f>
        <v>0</v>
      </c>
      <c r="E36" s="19">
        <f>'[1]1нед'!D284</f>
        <v>0</v>
      </c>
      <c r="F36" s="17">
        <f>'[1]1нед'!G284</f>
        <v>0</v>
      </c>
      <c r="G36" s="18" t="str">
        <f>'[1]1нед'!H284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'[1]2нед'!C284</f>
        <v>0</v>
      </c>
      <c r="M36" s="19">
        <f>'[1]2нед'!D284</f>
        <v>0</v>
      </c>
      <c r="N36" s="17">
        <f>'[1]2нед'!G284</f>
        <v>0</v>
      </c>
      <c r="O36" s="18" t="str">
        <f>'[1]2нед'!H284</f>
        <v/>
      </c>
      <c r="P36" s="56" t="str">
        <f>HYPERLINK(VLOOKUP(M36,$R$12:$S$180,2,FALSE))</f>
        <v/>
      </c>
    </row>
    <row r="37" spans="1:18" ht="31.5" x14ac:dyDescent="0.2">
      <c r="A37" s="82"/>
      <c r="B37" s="85"/>
      <c r="C37" s="14" t="s">
        <v>19</v>
      </c>
      <c r="D37" s="20">
        <f>'[1]1нед'!C285</f>
        <v>0</v>
      </c>
      <c r="E37" s="23">
        <f>'[1]1нед'!D285</f>
        <v>0</v>
      </c>
      <c r="F37" s="21">
        <f>'[1]1нед'!G285</f>
        <v>0</v>
      </c>
      <c r="G37" s="22" t="str">
        <f>'[1]1нед'!H285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'[1]2нед'!C285</f>
        <v>0</v>
      </c>
      <c r="M37" s="23">
        <f>'[1]2нед'!D285</f>
        <v>0</v>
      </c>
      <c r="N37" s="21">
        <f>'[1]2нед'!G285</f>
        <v>0</v>
      </c>
      <c r="O37" s="22" t="str">
        <f>'[1]2нед'!H285</f>
        <v/>
      </c>
      <c r="P37" s="57" t="str">
        <f>HYPERLINK(VLOOKUP(M37,$R$12:$S$180,2,FALSE))</f>
        <v/>
      </c>
    </row>
    <row r="38" spans="1:18" ht="31.5" x14ac:dyDescent="0.2">
      <c r="A38" s="82"/>
      <c r="B38" s="85"/>
      <c r="C38" s="14" t="s">
        <v>20</v>
      </c>
      <c r="D38" s="20">
        <f>'[1]1нед'!C286</f>
        <v>0</v>
      </c>
      <c r="E38" s="23">
        <f>'[1]1нед'!D286</f>
        <v>0</v>
      </c>
      <c r="F38" s="21">
        <f>'[1]1нед'!G286</f>
        <v>0</v>
      </c>
      <c r="G38" s="22" t="str">
        <f>'[1]1нед'!H286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'[1]2нед'!C286</f>
        <v>0</v>
      </c>
      <c r="M38" s="23">
        <f>'[1]2нед'!D286</f>
        <v>0</v>
      </c>
      <c r="N38" s="21">
        <f>'[1]2нед'!G286</f>
        <v>0</v>
      </c>
      <c r="O38" s="22" t="str">
        <f>'[1]2нед'!H286</f>
        <v/>
      </c>
      <c r="P38" s="57" t="str">
        <f>HYPERLINK(VLOOKUP(M38,$R$12:$S$180,2,FALSE))</f>
        <v/>
      </c>
    </row>
    <row r="39" spans="1:18" ht="31.5" x14ac:dyDescent="0.2">
      <c r="A39" s="82"/>
      <c r="B39" s="85"/>
      <c r="C39" s="14" t="s">
        <v>21</v>
      </c>
      <c r="D39" s="20">
        <f>'[1]1нед'!C287</f>
        <v>0</v>
      </c>
      <c r="E39" s="23">
        <f>'[1]1нед'!D287</f>
        <v>0</v>
      </c>
      <c r="F39" s="21">
        <f>'[1]1нед'!G287</f>
        <v>0</v>
      </c>
      <c r="G39" s="22" t="str">
        <f>'[1]1нед'!H287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'[1]2нед'!C287</f>
        <v>0</v>
      </c>
      <c r="M39" s="23">
        <f>'[1]2нед'!D287</f>
        <v>0</v>
      </c>
      <c r="N39" s="21">
        <f>'[1]2нед'!G287</f>
        <v>0</v>
      </c>
      <c r="O39" s="22" t="str">
        <f>'[1]2нед'!H287</f>
        <v/>
      </c>
      <c r="P39" s="57" t="str">
        <f>HYPERLINK(VLOOKUP(M39,$R$12:$S$180,2,FALSE))</f>
        <v/>
      </c>
    </row>
    <row r="40" spans="1:18" ht="31.5" x14ac:dyDescent="0.2">
      <c r="A40" s="82"/>
      <c r="B40" s="85"/>
      <c r="C40" s="14" t="s">
        <v>22</v>
      </c>
      <c r="D40" s="20">
        <f>'[1]1нед'!C288</f>
        <v>0</v>
      </c>
      <c r="E40" s="23">
        <f>'[1]1нед'!D288</f>
        <v>0</v>
      </c>
      <c r="F40" s="21">
        <f>'[1]1нед'!G288</f>
        <v>0</v>
      </c>
      <c r="G40" s="22" t="str">
        <f>'[1]1нед'!H288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'[1]2нед'!C288</f>
        <v>0</v>
      </c>
      <c r="M40" s="23">
        <f>'[1]2нед'!D288</f>
        <v>0</v>
      </c>
      <c r="N40" s="21">
        <f>'[1]2нед'!G288</f>
        <v>0</v>
      </c>
      <c r="O40" s="22" t="str">
        <f>'[1]2нед'!H288</f>
        <v/>
      </c>
      <c r="P40" s="57" t="str">
        <f>HYPERLINK(VLOOKUP(M40,$R$12:$S$180,2,FALSE))</f>
        <v/>
      </c>
    </row>
    <row r="41" spans="1:18" ht="31.5" x14ac:dyDescent="0.2">
      <c r="A41" s="82"/>
      <c r="B41" s="85"/>
      <c r="C41" s="14" t="s">
        <v>23</v>
      </c>
      <c r="D41" s="20">
        <f>'[1]1нед'!C289</f>
        <v>0</v>
      </c>
      <c r="E41" s="23">
        <f>'[1]1нед'!D289</f>
        <v>0</v>
      </c>
      <c r="F41" s="21">
        <f>'[1]1нед'!G289</f>
        <v>0</v>
      </c>
      <c r="G41" s="22" t="str">
        <f>'[1]1нед'!H289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'[1]2нед'!C289</f>
        <v>л</v>
      </c>
      <c r="M41" s="23" t="str">
        <f>'[1]2нед'!D289</f>
        <v>Теория чисел</v>
      </c>
      <c r="N41" s="21" t="str">
        <f>'[1]2нед'!G289</f>
        <v>Овчинникова М.В.</v>
      </c>
      <c r="O41" s="22" t="str">
        <f>'[1]2нед'!H289</f>
        <v>доцент, канд. наук</v>
      </c>
      <c r="P41" s="55" t="str">
        <f>HYPERLINK(VLOOKUP(M41,$R$12:$S$180,2,FALSE))</f>
        <v>https://max.ru/join/CuOdXmdZWK47DPyk2yukbmbFfy3zg-be-Oob6Blusek</v>
      </c>
    </row>
    <row r="42" spans="1:18" ht="32.25" thickBot="1" x14ac:dyDescent="0.25">
      <c r="A42" s="82"/>
      <c r="B42" s="85"/>
      <c r="C42" s="14" t="s">
        <v>24</v>
      </c>
      <c r="D42" s="20">
        <f>'[1]1нед'!C290</f>
        <v>0</v>
      </c>
      <c r="E42" s="23">
        <f>'[1]1нед'!D290</f>
        <v>0</v>
      </c>
      <c r="F42" s="21">
        <f>'[1]1нед'!G290</f>
        <v>0</v>
      </c>
      <c r="G42" s="22" t="str">
        <f>'[1]1нед'!H290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>
        <f>'[1]2нед'!C290</f>
        <v>0</v>
      </c>
      <c r="M42" s="23">
        <f>'[1]2нед'!D290</f>
        <v>0</v>
      </c>
      <c r="N42" s="21">
        <f>'[1]2нед'!G290</f>
        <v>0</v>
      </c>
      <c r="O42" s="22" t="str">
        <f>'[1]2нед'!H290</f>
        <v/>
      </c>
      <c r="P42" s="55" t="str">
        <f>HYPERLINK(VLOOKUP(M42,$R$12:$S$180,2,FALSE))</f>
        <v/>
      </c>
    </row>
    <row r="43" spans="1:18" ht="18.399999999999999" hidden="1" customHeight="1" thickBot="1" x14ac:dyDescent="0.25">
      <c r="A43" s="83"/>
      <c r="B43" s="86"/>
      <c r="C43" s="15"/>
      <c r="D43" s="24">
        <f>'[1]1нед'!C291</f>
        <v>0</v>
      </c>
      <c r="E43" s="25">
        <f>'[1]1нед'!D291</f>
        <v>0</v>
      </c>
      <c r="F43" s="26">
        <f>'[1]1нед'!G291</f>
        <v>0</v>
      </c>
      <c r="G43" s="27" t="str">
        <f>'[1]1нед'!H291</f>
        <v/>
      </c>
      <c r="H43" s="58" t="str">
        <f>HYPERLINK(VLOOKUP(E43,$R$12:$S$180,2,FALSE))</f>
        <v/>
      </c>
      <c r="I43" s="72"/>
      <c r="J43" s="89"/>
      <c r="K43" s="15"/>
      <c r="L43" s="24">
        <f>'[1]2нед'!C291</f>
        <v>0</v>
      </c>
      <c r="M43" s="25">
        <f>'[1]2нед'!D291</f>
        <v>0</v>
      </c>
      <c r="N43" s="26">
        <f>'[1]2нед'!G291</f>
        <v>0</v>
      </c>
      <c r="O43" s="27" t="str">
        <f>'[1]2нед'!H291</f>
        <v/>
      </c>
      <c r="P43" s="58" t="str">
        <f>HYPERLINK(VLOOKUP(M43,$R$12:$S$180,2,FALSE))</f>
        <v/>
      </c>
    </row>
    <row r="44" spans="1:18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'[1]1нед'!C292</f>
        <v>0</v>
      </c>
      <c r="E44" s="19">
        <f>'[1]1нед'!D292</f>
        <v>0</v>
      </c>
      <c r="F44" s="17">
        <f>'[1]1нед'!G292</f>
        <v>0</v>
      </c>
      <c r="G44" s="18" t="str">
        <f>'[1]1нед'!H292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'[1]2нед'!C292</f>
        <v>0</v>
      </c>
      <c r="M44" s="19">
        <f>'[1]2нед'!D292</f>
        <v>0</v>
      </c>
      <c r="N44" s="17">
        <f>'[1]2нед'!G292</f>
        <v>0</v>
      </c>
      <c r="O44" s="18" t="str">
        <f>'[1]2нед'!H292</f>
        <v/>
      </c>
      <c r="P44" s="56" t="str">
        <f>HYPERLINK(VLOOKUP(M44,$R$12:$S$180,2,FALSE))</f>
        <v/>
      </c>
    </row>
    <row r="45" spans="1:18" ht="31.5" x14ac:dyDescent="0.2">
      <c r="A45" s="82"/>
      <c r="B45" s="85"/>
      <c r="C45" s="14" t="s">
        <v>19</v>
      </c>
      <c r="D45" s="20">
        <f>'[1]1нед'!C293</f>
        <v>0</v>
      </c>
      <c r="E45" s="23">
        <f>'[1]1нед'!D293</f>
        <v>0</v>
      </c>
      <c r="F45" s="21">
        <f>'[1]1нед'!G293</f>
        <v>0</v>
      </c>
      <c r="G45" s="22" t="str">
        <f>'[1]1нед'!H293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'[1]2нед'!C293</f>
        <v>0</v>
      </c>
      <c r="M45" s="23">
        <f>'[1]2нед'!D293</f>
        <v>0</v>
      </c>
      <c r="N45" s="21">
        <f>'[1]2нед'!G293</f>
        <v>0</v>
      </c>
      <c r="O45" s="22" t="str">
        <f>'[1]2нед'!H293</f>
        <v/>
      </c>
      <c r="P45" s="57" t="str">
        <f>HYPERLINK(VLOOKUP(M45,$R$12:$S$180,2,FALSE))</f>
        <v/>
      </c>
    </row>
    <row r="46" spans="1:18" ht="31.5" x14ac:dyDescent="0.2">
      <c r="A46" s="82"/>
      <c r="B46" s="85"/>
      <c r="C46" s="14" t="s">
        <v>20</v>
      </c>
      <c r="D46" s="20">
        <f>'[1]1нед'!C294</f>
        <v>0</v>
      </c>
      <c r="E46" s="23">
        <f>'[1]1нед'!D294</f>
        <v>0</v>
      </c>
      <c r="F46" s="21">
        <f>'[1]1нед'!G294</f>
        <v>0</v>
      </c>
      <c r="G46" s="22" t="str">
        <f>'[1]1нед'!H294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'[1]2нед'!C294</f>
        <v>0</v>
      </c>
      <c r="M46" s="23">
        <f>'[1]2нед'!D294</f>
        <v>0</v>
      </c>
      <c r="N46" s="21">
        <f>'[1]2нед'!G294</f>
        <v>0</v>
      </c>
      <c r="O46" s="22" t="str">
        <f>'[1]2нед'!H294</f>
        <v/>
      </c>
      <c r="P46" s="57" t="str">
        <f>HYPERLINK(VLOOKUP(M46,$R$12:$S$180,2,FALSE))</f>
        <v/>
      </c>
    </row>
    <row r="47" spans="1:18" ht="31.5" x14ac:dyDescent="0.2">
      <c r="A47" s="82"/>
      <c r="B47" s="85"/>
      <c r="C47" s="14" t="s">
        <v>21</v>
      </c>
      <c r="D47" s="20">
        <f>'[1]1нед'!C295</f>
        <v>0</v>
      </c>
      <c r="E47" s="23">
        <f>'[1]1нед'!D295</f>
        <v>0</v>
      </c>
      <c r="F47" s="21">
        <f>'[1]1нед'!G295</f>
        <v>0</v>
      </c>
      <c r="G47" s="22" t="str">
        <f>'[1]1нед'!H295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'[1]2нед'!C295</f>
        <v>0</v>
      </c>
      <c r="M47" s="23">
        <f>'[1]2нед'!D295</f>
        <v>0</v>
      </c>
      <c r="N47" s="21">
        <f>'[1]2нед'!G295</f>
        <v>0</v>
      </c>
      <c r="O47" s="22" t="str">
        <f>'[1]2нед'!H295</f>
        <v/>
      </c>
      <c r="P47" s="57" t="str">
        <f>HYPERLINK(VLOOKUP(M47,$R$12:$S$180,2,FALSE))</f>
        <v/>
      </c>
    </row>
    <row r="48" spans="1:18" ht="31.5" x14ac:dyDescent="0.2">
      <c r="A48" s="82"/>
      <c r="B48" s="85"/>
      <c r="C48" s="14" t="s">
        <v>22</v>
      </c>
      <c r="D48" s="20">
        <f>'[1]1нед'!C296</f>
        <v>0</v>
      </c>
      <c r="E48" s="23">
        <f>'[1]1нед'!D296</f>
        <v>0</v>
      </c>
      <c r="F48" s="21">
        <f>'[1]1нед'!G296</f>
        <v>0</v>
      </c>
      <c r="G48" s="22" t="str">
        <f>'[1]1нед'!H296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'[1]2нед'!C296</f>
        <v>0</v>
      </c>
      <c r="M48" s="23">
        <f>'[1]2нед'!D296</f>
        <v>0</v>
      </c>
      <c r="N48" s="21">
        <f>'[1]2нед'!G296</f>
        <v>0</v>
      </c>
      <c r="O48" s="22" t="str">
        <f>'[1]2нед'!H296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'[1]1нед'!C297</f>
        <v>0</v>
      </c>
      <c r="E49" s="23">
        <f>'[1]1нед'!D297</f>
        <v>0</v>
      </c>
      <c r="F49" s="21">
        <f>'[1]1нед'!G297</f>
        <v>0</v>
      </c>
      <c r="G49" s="22" t="str">
        <f>'[1]1нед'!H297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'[1]2нед'!C297</f>
        <v>0</v>
      </c>
      <c r="M49" s="23">
        <f>'[1]2нед'!D297</f>
        <v>0</v>
      </c>
      <c r="N49" s="21">
        <f>'[1]2нед'!G297</f>
        <v>0</v>
      </c>
      <c r="O49" s="22" t="str">
        <f>'[1]2нед'!H297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'[1]1нед'!C298</f>
        <v>0</v>
      </c>
      <c r="E50" s="23">
        <f>'[1]1нед'!D298</f>
        <v>0</v>
      </c>
      <c r="F50" s="21">
        <f>'[1]1нед'!G298</f>
        <v>0</v>
      </c>
      <c r="G50" s="22" t="str">
        <f>'[1]1нед'!H298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'[1]2нед'!C298</f>
        <v>0</v>
      </c>
      <c r="M50" s="23">
        <f>'[1]2нед'!D298</f>
        <v>0</v>
      </c>
      <c r="N50" s="21">
        <f>'[1]2нед'!G298</f>
        <v>0</v>
      </c>
      <c r="O50" s="22" t="str">
        <f>'[1]2нед'!H298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'[1]1нед'!C299</f>
        <v>0</v>
      </c>
      <c r="E51" s="25">
        <f>'[1]1нед'!D299</f>
        <v>0</v>
      </c>
      <c r="F51" s="26">
        <f>'[1]1нед'!G299</f>
        <v>0</v>
      </c>
      <c r="G51" s="27" t="str">
        <f>'[1]1нед'!H299</f>
        <v/>
      </c>
      <c r="H51" s="58" t="str">
        <f>HYPERLINK(VLOOKUP(E51,$R$12:$S$180,2,FALSE))</f>
        <v/>
      </c>
      <c r="I51" s="72"/>
      <c r="J51" s="89"/>
      <c r="K51" s="15"/>
      <c r="L51" s="24">
        <f>'[1]2нед'!C299</f>
        <v>0</v>
      </c>
      <c r="M51" s="25">
        <f>'[1]2нед'!D299</f>
        <v>0</v>
      </c>
      <c r="N51" s="26">
        <f>'[1]2нед'!G299</f>
        <v>0</v>
      </c>
      <c r="O51" s="27" t="str">
        <f>'[1]2нед'!H299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'[1]1нед'!C300</f>
        <v>0</v>
      </c>
      <c r="E52" s="19">
        <f>'[1]1нед'!D300</f>
        <v>0</v>
      </c>
      <c r="F52" s="17">
        <f>'[1]1нед'!G300</f>
        <v>0</v>
      </c>
      <c r="G52" s="18" t="str">
        <f>'[1]1нед'!H300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'[1]2нед'!C300</f>
        <v>0</v>
      </c>
      <c r="M52" s="19">
        <f>'[1]2нед'!D300</f>
        <v>0</v>
      </c>
      <c r="N52" s="17">
        <f>'[1]2нед'!G300</f>
        <v>0</v>
      </c>
      <c r="O52" s="18" t="str">
        <f>'[1]2нед'!H300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'[1]1нед'!C301</f>
        <v>0</v>
      </c>
      <c r="E53" s="23">
        <f>'[1]1нед'!D301</f>
        <v>0</v>
      </c>
      <c r="F53" s="21">
        <f>'[1]1нед'!G301</f>
        <v>0</v>
      </c>
      <c r="G53" s="22" t="str">
        <f>'[1]1нед'!H301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'[1]2нед'!C301</f>
        <v>0</v>
      </c>
      <c r="M53" s="23">
        <f>'[1]2нед'!D301</f>
        <v>0</v>
      </c>
      <c r="N53" s="21">
        <f>'[1]2нед'!G301</f>
        <v>0</v>
      </c>
      <c r="O53" s="22" t="str">
        <f>'[1]2нед'!H301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'[1]1нед'!C302</f>
        <v>0</v>
      </c>
      <c r="E54" s="23">
        <f>'[1]1нед'!D302</f>
        <v>0</v>
      </c>
      <c r="F54" s="21">
        <f>'[1]1нед'!G302</f>
        <v>0</v>
      </c>
      <c r="G54" s="22" t="str">
        <f>'[1]1нед'!H302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'[1]2нед'!C302</f>
        <v>0</v>
      </c>
      <c r="M54" s="23">
        <f>'[1]2нед'!D302</f>
        <v>0</v>
      </c>
      <c r="N54" s="21">
        <f>'[1]2нед'!G302</f>
        <v>0</v>
      </c>
      <c r="O54" s="22" t="str">
        <f>'[1]2нед'!H302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'[1]1нед'!C303</f>
        <v>0</v>
      </c>
      <c r="E55" s="23">
        <f>'[1]1нед'!D303</f>
        <v>0</v>
      </c>
      <c r="F55" s="21">
        <f>'[1]1нед'!G303</f>
        <v>0</v>
      </c>
      <c r="G55" s="22" t="str">
        <f>'[1]1нед'!H303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'[1]2нед'!C303</f>
        <v>0</v>
      </c>
      <c r="M55" s="23">
        <f>'[1]2нед'!D303</f>
        <v>0</v>
      </c>
      <c r="N55" s="21">
        <f>'[1]2нед'!G303</f>
        <v>0</v>
      </c>
      <c r="O55" s="22" t="str">
        <f>'[1]2нед'!H303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'[1]1нед'!C304</f>
        <v>0</v>
      </c>
      <c r="E56" s="23">
        <f>'[1]1нед'!D304</f>
        <v>0</v>
      </c>
      <c r="F56" s="21">
        <f>'[1]1нед'!G304</f>
        <v>0</v>
      </c>
      <c r="G56" s="22" t="str">
        <f>'[1]1нед'!H304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'[1]2нед'!C304</f>
        <v>0</v>
      </c>
      <c r="M56" s="23">
        <f>'[1]2нед'!D304</f>
        <v>0</v>
      </c>
      <c r="N56" s="21">
        <f>'[1]2нед'!G304</f>
        <v>0</v>
      </c>
      <c r="O56" s="22" t="str">
        <f>'[1]2нед'!H304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'[1]1нед'!C305</f>
        <v>0</v>
      </c>
      <c r="E57" s="23">
        <f>'[1]1нед'!D305</f>
        <v>0</v>
      </c>
      <c r="F57" s="21">
        <f>'[1]1нед'!G305</f>
        <v>0</v>
      </c>
      <c r="G57" s="22" t="str">
        <f>'[1]1нед'!H305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'[1]2нед'!C305</f>
        <v>0</v>
      </c>
      <c r="M57" s="23">
        <f>'[1]2нед'!D305</f>
        <v>0</v>
      </c>
      <c r="N57" s="21">
        <f>'[1]2нед'!G305</f>
        <v>0</v>
      </c>
      <c r="O57" s="22" t="str">
        <f>'[1]2нед'!H305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'[1]1нед'!C306</f>
        <v>0</v>
      </c>
      <c r="E58" s="23">
        <f>'[1]1нед'!D306</f>
        <v>0</v>
      </c>
      <c r="F58" s="21">
        <f>'[1]1нед'!G306</f>
        <v>0</v>
      </c>
      <c r="G58" s="22" t="str">
        <f>'[1]1нед'!H306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'[1]2нед'!C306</f>
        <v>0</v>
      </c>
      <c r="M58" s="23">
        <f>'[1]2нед'!D306</f>
        <v>0</v>
      </c>
      <c r="N58" s="21">
        <f>'[1]2нед'!G306</f>
        <v>0</v>
      </c>
      <c r="O58" s="22" t="str">
        <f>'[1]2нед'!H306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'[1]1нед'!C59</f>
        <v>0</v>
      </c>
      <c r="E59" s="19">
        <f>'[1]1нед'!D59</f>
        <v>0</v>
      </c>
      <c r="F59" s="17">
        <f>'[1]1нед'!G59</f>
        <v>0</v>
      </c>
      <c r="G59" s="18" t="str">
        <f>'[1]1нед'!H59</f>
        <v/>
      </c>
      <c r="H59" s="44" t="str">
        <f>HYPERLINK(VLOOKUP(E59,$R$12:$S$180,2,FALSE))</f>
        <v/>
      </c>
      <c r="I59" s="72"/>
      <c r="J59" s="89"/>
      <c r="K59" s="15"/>
      <c r="L59" s="24">
        <f>'[1]2нед'!C59</f>
        <v>0</v>
      </c>
      <c r="M59" s="25">
        <f>'[1]2нед'!D59</f>
        <v>0</v>
      </c>
      <c r="N59" s="26">
        <f>'[1]2нед'!G59</f>
        <v>0</v>
      </c>
      <c r="O59" s="27" t="str">
        <f>'[1]2нед'!H59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44.03.05Педагогическое образование (с двумя профилями подготовки) (Математика и Информатика)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44.03.05Педагогическое образование (с двумя профилями подготовки) (Математика и Информатика)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 t="str">
        <f>'[1]1нед'!$D$258</f>
        <v>12-24МИоз</v>
      </c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 t="str">
        <f>'[1]1нед'!$D$258</f>
        <v>12-24МИоз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'[1]3нед'!C260</f>
        <v>0</v>
      </c>
      <c r="E72" s="19">
        <f>'[1]3нед'!D260</f>
        <v>0</v>
      </c>
      <c r="F72" s="17">
        <f>'[1]3нед'!G260</f>
        <v>0</v>
      </c>
      <c r="G72" s="18" t="str">
        <f>'[1]3нед'!H260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'[1]4нед'!C260</f>
        <v>0</v>
      </c>
      <c r="M72" s="19">
        <f>'[1]4нед'!D260</f>
        <v>0</v>
      </c>
      <c r="N72" s="17">
        <f>'[1]4нед'!G260</f>
        <v>0</v>
      </c>
      <c r="O72" s="18" t="str">
        <f>'[1]4нед'!H260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73</v>
      </c>
      <c r="D73" s="20">
        <f>'[1]3нед'!C261</f>
        <v>0</v>
      </c>
      <c r="E73" s="23">
        <f>'[1]3нед'!D261</f>
        <v>0</v>
      </c>
      <c r="F73" s="21">
        <f>'[1]3нед'!G261</f>
        <v>0</v>
      </c>
      <c r="G73" s="22" t="str">
        <f>'[1]3нед'!H261</f>
        <v/>
      </c>
      <c r="H73" s="57" t="str">
        <f>HYPERLINK(VLOOKUP(E73,$R$12:$S$180,2,FALSE))</f>
        <v/>
      </c>
      <c r="I73" s="71"/>
      <c r="J73" s="88"/>
      <c r="K73" s="14" t="s">
        <v>73</v>
      </c>
      <c r="L73" s="20">
        <f>'[1]4нед'!C261</f>
        <v>0</v>
      </c>
      <c r="M73" s="23">
        <f>'[1]4нед'!D261</f>
        <v>0</v>
      </c>
      <c r="N73" s="21">
        <f>'[1]4нед'!G261</f>
        <v>0</v>
      </c>
      <c r="O73" s="22" t="str">
        <f>'[1]4нед'!H261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74</v>
      </c>
      <c r="D74" s="20">
        <f>'[1]3нед'!C262</f>
        <v>0</v>
      </c>
      <c r="E74" s="23">
        <f>'[1]3нед'!D262</f>
        <v>0</v>
      </c>
      <c r="F74" s="21">
        <f>'[1]3нед'!G262</f>
        <v>0</v>
      </c>
      <c r="G74" s="22" t="str">
        <f>'[1]3нед'!H262</f>
        <v/>
      </c>
      <c r="H74" s="57" t="str">
        <f>HYPERLINK(VLOOKUP(E74,$R$12:$S$180,2,FALSE))</f>
        <v/>
      </c>
      <c r="I74" s="71"/>
      <c r="J74" s="88"/>
      <c r="K74" s="14" t="s">
        <v>74</v>
      </c>
      <c r="L74" s="20">
        <f>'[1]4нед'!C262</f>
        <v>0</v>
      </c>
      <c r="M74" s="23">
        <f>'[1]4нед'!D262</f>
        <v>0</v>
      </c>
      <c r="N74" s="21">
        <f>'[1]4нед'!G262</f>
        <v>0</v>
      </c>
      <c r="O74" s="22" t="str">
        <f>'[1]4нед'!H262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'[1]3нед'!C263</f>
        <v>0</v>
      </c>
      <c r="E75" s="23">
        <f>'[1]3нед'!D263</f>
        <v>0</v>
      </c>
      <c r="F75" s="21">
        <f>'[1]3нед'!G263</f>
        <v>0</v>
      </c>
      <c r="G75" s="22" t="str">
        <f>'[1]3нед'!H263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'[1]4нед'!C263</f>
        <v>0</v>
      </c>
      <c r="M75" s="23">
        <f>'[1]4нед'!D263</f>
        <v>0</v>
      </c>
      <c r="N75" s="21">
        <f>'[1]4нед'!G263</f>
        <v>0</v>
      </c>
      <c r="O75" s="22" t="str">
        <f>'[1]4нед'!H263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'[1]3нед'!C264</f>
        <v>0</v>
      </c>
      <c r="E76" s="23">
        <f>'[1]3нед'!D264</f>
        <v>0</v>
      </c>
      <c r="F76" s="21">
        <f>'[1]3нед'!G264</f>
        <v>0</v>
      </c>
      <c r="G76" s="22" t="str">
        <f>'[1]3нед'!H264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'[1]4нед'!C264</f>
        <v>0</v>
      </c>
      <c r="M76" s="23">
        <f>'[1]4нед'!D264</f>
        <v>0</v>
      </c>
      <c r="N76" s="21">
        <f>'[1]4нед'!G264</f>
        <v>0</v>
      </c>
      <c r="O76" s="22" t="str">
        <f>'[1]4нед'!H264</f>
        <v/>
      </c>
      <c r="P76" s="57" t="str">
        <f>HYPERLINK(VLOOKUP(M76,$R$12:$S$180,2,FALSE))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'[1]3нед'!C265</f>
        <v>л</v>
      </c>
      <c r="E77" s="23" t="str">
        <f>'[1]3нед'!D265</f>
        <v>Технология и организация воспитательных практик (классное руководство)</v>
      </c>
      <c r="F77" s="21" t="str">
        <f>'[1]3нед'!G265</f>
        <v>Макарчук Н.В.</v>
      </c>
      <c r="G77" s="22" t="str">
        <f>'[1]3нед'!H265</f>
        <v>преподаватель</v>
      </c>
      <c r="H77" s="55" t="str">
        <f>HYPERLINK(VLOOKUP(E77,$R$12:$S$180,2,FALSE))</f>
        <v>https://max.ru/join/6P4CDIXdiW5socNdup_FdA5kKEfDh7JWkzXGBNPsMNM</v>
      </c>
      <c r="I77" s="71"/>
      <c r="J77" s="88"/>
      <c r="K77" s="14" t="s">
        <v>23</v>
      </c>
      <c r="L77" s="20" t="str">
        <f>'[1]4нед'!C265</f>
        <v>пр</v>
      </c>
      <c r="M77" s="23" t="str">
        <f>'[1]4нед'!D265</f>
        <v xml:space="preserve"> Методы исследовательской/проектной деятельности</v>
      </c>
      <c r="N77" s="21" t="str">
        <f>'[1]4нед'!G265</f>
        <v>Казанцев Ю.А.</v>
      </c>
      <c r="O77" s="22" t="str">
        <f>'[1]4нед'!H265</f>
        <v>ст. преподаватель</v>
      </c>
      <c r="P77" s="55" t="str">
        <f>HYPERLINK(VLOOKUP(M77,$R$12:$S$180,2,FALSE))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'[1]3нед'!C266</f>
        <v>0</v>
      </c>
      <c r="E78" s="23">
        <f>'[1]3нед'!D266</f>
        <v>0</v>
      </c>
      <c r="F78" s="21">
        <f>'[1]3нед'!G266</f>
        <v>0</v>
      </c>
      <c r="G78" s="22" t="str">
        <f>'[1]3нед'!H266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'[1]4нед'!C266</f>
        <v>пр</v>
      </c>
      <c r="M78" s="23" t="str">
        <f>'[1]4нед'!D266</f>
        <v xml:space="preserve"> Основы военной подготовки</v>
      </c>
      <c r="N78" s="21" t="str">
        <f>'[1]4нед'!G266</f>
        <v>Кулак А.Ф.</v>
      </c>
      <c r="O78" s="22" t="str">
        <f>'[1]4нед'!H266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'[1]3нед'!C267</f>
        <v>0</v>
      </c>
      <c r="E79" s="25">
        <f>'[1]3нед'!D267</f>
        <v>0</v>
      </c>
      <c r="F79" s="26">
        <f>'[1]3нед'!G267</f>
        <v>0</v>
      </c>
      <c r="G79" s="27" t="str">
        <f>'[1]3нед'!H267</f>
        <v/>
      </c>
      <c r="H79" s="58" t="str">
        <f>HYPERLINK(VLOOKUP(E79,$R$12:$S$180,2,FALSE))</f>
        <v/>
      </c>
      <c r="I79" s="72"/>
      <c r="J79" s="89"/>
      <c r="K79" s="15"/>
      <c r="L79" s="24">
        <f>'[1]4нед'!C267</f>
        <v>0</v>
      </c>
      <c r="M79" s="25">
        <f>'[1]4нед'!D267</f>
        <v>0</v>
      </c>
      <c r="N79" s="26">
        <f>'[1]4нед'!G267</f>
        <v>0</v>
      </c>
      <c r="O79" s="27" t="str">
        <f>'[1]4нед'!H267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'[1]3нед'!C268</f>
        <v>0</v>
      </c>
      <c r="E80" s="19">
        <f>'[1]3нед'!D268</f>
        <v>0</v>
      </c>
      <c r="F80" s="17">
        <f>'[1]3нед'!G268</f>
        <v>0</v>
      </c>
      <c r="G80" s="18" t="str">
        <f>'[1]3нед'!H268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'[1]4нед'!C268</f>
        <v>0</v>
      </c>
      <c r="M80" s="19">
        <f>'[1]4нед'!D268</f>
        <v>0</v>
      </c>
      <c r="N80" s="17">
        <f>'[1]4нед'!G268</f>
        <v>0</v>
      </c>
      <c r="O80" s="18" t="str">
        <f>'[1]4нед'!H268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73</v>
      </c>
      <c r="D81" s="20">
        <f>'[1]3нед'!C269</f>
        <v>0</v>
      </c>
      <c r="E81" s="23">
        <f>'[1]3нед'!D269</f>
        <v>0</v>
      </c>
      <c r="F81" s="21">
        <f>'[1]3нед'!G269</f>
        <v>0</v>
      </c>
      <c r="G81" s="22" t="str">
        <f>'[1]3нед'!H269</f>
        <v/>
      </c>
      <c r="H81" s="57" t="str">
        <f>HYPERLINK(VLOOKUP(E81,$R$12:$S$180,2,FALSE))</f>
        <v/>
      </c>
      <c r="I81" s="71"/>
      <c r="J81" s="88"/>
      <c r="K81" s="14" t="s">
        <v>73</v>
      </c>
      <c r="L81" s="20">
        <f>'[1]4нед'!C269</f>
        <v>0</v>
      </c>
      <c r="M81" s="23">
        <f>'[1]4нед'!D269</f>
        <v>0</v>
      </c>
      <c r="N81" s="21">
        <f>'[1]4нед'!G269</f>
        <v>0</v>
      </c>
      <c r="O81" s="22" t="str">
        <f>'[1]4нед'!H269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74</v>
      </c>
      <c r="D82" s="20">
        <f>'[1]3нед'!C270</f>
        <v>0</v>
      </c>
      <c r="E82" s="23">
        <f>'[1]3нед'!D270</f>
        <v>0</v>
      </c>
      <c r="F82" s="21">
        <f>'[1]3нед'!G270</f>
        <v>0</v>
      </c>
      <c r="G82" s="22" t="str">
        <f>'[1]3нед'!H270</f>
        <v/>
      </c>
      <c r="H82" s="57" t="str">
        <f>HYPERLINK(VLOOKUP(E82,$R$12:$S$180,2,FALSE))</f>
        <v/>
      </c>
      <c r="I82" s="71"/>
      <c r="J82" s="88"/>
      <c r="K82" s="14" t="s">
        <v>74</v>
      </c>
      <c r="L82" s="20">
        <f>'[1]4нед'!C270</f>
        <v>0</v>
      </c>
      <c r="M82" s="23">
        <f>'[1]4нед'!D270</f>
        <v>0</v>
      </c>
      <c r="N82" s="21">
        <f>'[1]4нед'!G270</f>
        <v>0</v>
      </c>
      <c r="O82" s="22" t="str">
        <f>'[1]4нед'!H270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'[1]3нед'!C271</f>
        <v>0</v>
      </c>
      <c r="E83" s="23">
        <f>'[1]3нед'!D271</f>
        <v>0</v>
      </c>
      <c r="F83" s="21">
        <f>'[1]3нед'!G271</f>
        <v>0</v>
      </c>
      <c r="G83" s="22" t="str">
        <f>'[1]3нед'!H271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'[1]4нед'!C271</f>
        <v>0</v>
      </c>
      <c r="M83" s="23">
        <f>'[1]4нед'!D271</f>
        <v>0</v>
      </c>
      <c r="N83" s="21">
        <f>'[1]4нед'!G271</f>
        <v>0</v>
      </c>
      <c r="O83" s="22" t="str">
        <f>'[1]4нед'!H271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'[1]3нед'!C272</f>
        <v>0</v>
      </c>
      <c r="E84" s="23">
        <f>'[1]3нед'!D272</f>
        <v>0</v>
      </c>
      <c r="F84" s="21">
        <f>'[1]3нед'!G272</f>
        <v>0</v>
      </c>
      <c r="G84" s="22" t="str">
        <f>'[1]3нед'!H272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'[1]4нед'!C272</f>
        <v>0</v>
      </c>
      <c r="M84" s="23">
        <f>'[1]4нед'!D272</f>
        <v>0</v>
      </c>
      <c r="N84" s="21">
        <f>'[1]4нед'!G272</f>
        <v>0</v>
      </c>
      <c r="O84" s="22" t="str">
        <f>'[1]4нед'!H272</f>
        <v/>
      </c>
      <c r="P84" s="57" t="str">
        <f>HYPERLINK(VLOOKUP(M84,$R$12:$S$180,2,FALSE))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'[1]3нед'!C273</f>
        <v>л</v>
      </c>
      <c r="E85" s="23" t="str">
        <f>'[1]3нед'!D273</f>
        <v>Основы государственной политики в сфере межэтнических и межконфессиональных отношений</v>
      </c>
      <c r="F85" s="21" t="str">
        <f>'[1]3нед'!G273</f>
        <v>Бекиров С.Н.</v>
      </c>
      <c r="G85" s="22" t="str">
        <f>'[1]3нед'!H273</f>
        <v>доцент, канд. наук</v>
      </c>
      <c r="H85" s="57" t="str">
        <f>HYPERLINK(VLOOKUP(E85,$R$12:$S$180,2,FALSE))</f>
        <v>https://max.ru/join/Okan5Ed5VxVxXuMyIaDwQXtM9Y66v263YO3R7j43k14</v>
      </c>
      <c r="I85" s="71"/>
      <c r="J85" s="88"/>
      <c r="K85" s="14" t="s">
        <v>23</v>
      </c>
      <c r="L85" s="20">
        <f>'[1]4нед'!C273</f>
        <v>0</v>
      </c>
      <c r="M85" s="23">
        <f>'[1]4нед'!D273</f>
        <v>0</v>
      </c>
      <c r="N85" s="21">
        <f>'[1]4нед'!G273</f>
        <v>0</v>
      </c>
      <c r="O85" s="22" t="str">
        <f>'[1]4нед'!H273</f>
        <v/>
      </c>
      <c r="P85" s="57" t="str">
        <f>HYPERLINK(VLOOKUP(M85,$R$12:$S$180,2,FALSE))</f>
        <v/>
      </c>
    </row>
    <row r="86" spans="1:16" ht="57" thickBot="1" x14ac:dyDescent="0.25">
      <c r="A86" s="82"/>
      <c r="B86" s="85"/>
      <c r="C86" s="14" t="s">
        <v>24</v>
      </c>
      <c r="D86" s="20" t="str">
        <f>'[1]3нед'!C274</f>
        <v>л</v>
      </c>
      <c r="E86" s="23" t="str">
        <f>'[1]3нед'!D274</f>
        <v>Педагогика</v>
      </c>
      <c r="F86" s="21" t="str">
        <f>'[1]3нед'!G274</f>
        <v>Кочегурная М.Ю.</v>
      </c>
      <c r="G86" s="22" t="str">
        <f>'[1]3нед'!H274</f>
        <v>доцент</v>
      </c>
      <c r="H86" s="57" t="str">
        <f>HYPERLINK(VLOOKUP(E86,$R$12:$S$180,2,FALSE))</f>
        <v>https://max.ru/join/v5Bjqd2wcIy4RnbDXh61Rk5L54rh3fI1wPxGBjBk2rc</v>
      </c>
      <c r="I86" s="71"/>
      <c r="J86" s="88"/>
      <c r="K86" s="14" t="s">
        <v>24</v>
      </c>
      <c r="L86" s="20" t="str">
        <f>'[1]4нед'!C274</f>
        <v>пр</v>
      </c>
      <c r="M86" s="23" t="str">
        <f>'[1]4нед'!D274</f>
        <v xml:space="preserve"> Основы государственной политики в сфере межэтнических и межконфессиональных отношений</v>
      </c>
      <c r="N86" s="21" t="str">
        <f>'[1]4нед'!G274</f>
        <v>Бекиров С.Н.</v>
      </c>
      <c r="O86" s="22" t="str">
        <f>'[1]4нед'!H274</f>
        <v>доцент, канд. наук</v>
      </c>
      <c r="P86" s="57" t="str">
        <f>HYPERLINK(VLOOKUP(M86,$R$12:$S$180,2,FALSE))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'[1]3нед'!C275</f>
        <v>0</v>
      </c>
      <c r="E87" s="25">
        <f>'[1]3нед'!D275</f>
        <v>0</v>
      </c>
      <c r="F87" s="26">
        <f>'[1]3нед'!G275</f>
        <v>0</v>
      </c>
      <c r="G87" s="27" t="str">
        <f>'[1]3нед'!H275</f>
        <v/>
      </c>
      <c r="H87" s="58" t="str">
        <f>HYPERLINK(VLOOKUP(E87,$R$12:$S$180,2,FALSE))</f>
        <v/>
      </c>
      <c r="I87" s="72"/>
      <c r="J87" s="89"/>
      <c r="K87" s="15"/>
      <c r="L87" s="24">
        <f>'[1]4нед'!C275</f>
        <v>0</v>
      </c>
      <c r="M87" s="25">
        <f>'[1]4нед'!D275</f>
        <v>0</v>
      </c>
      <c r="N87" s="26">
        <f>'[1]4нед'!G275</f>
        <v>0</v>
      </c>
      <c r="O87" s="27" t="str">
        <f>'[1]4нед'!H275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'[1]3нед'!C276</f>
        <v>0</v>
      </c>
      <c r="E88" s="19">
        <f>'[1]3нед'!D276</f>
        <v>0</v>
      </c>
      <c r="F88" s="17">
        <f>'[1]3нед'!G276</f>
        <v>0</v>
      </c>
      <c r="G88" s="18" t="str">
        <f>'[1]3нед'!H276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'[1]4нед'!C276</f>
        <v>0</v>
      </c>
      <c r="M88" s="19">
        <f>'[1]4нед'!D276</f>
        <v>0</v>
      </c>
      <c r="N88" s="17">
        <f>'[1]4нед'!G276</f>
        <v>0</v>
      </c>
      <c r="O88" s="18" t="str">
        <f>'[1]4нед'!H276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73</v>
      </c>
      <c r="D89" s="20">
        <f>'[1]3нед'!C277</f>
        <v>0</v>
      </c>
      <c r="E89" s="23">
        <f>'[1]3нед'!D277</f>
        <v>0</v>
      </c>
      <c r="F89" s="21">
        <f>'[1]3нед'!G277</f>
        <v>0</v>
      </c>
      <c r="G89" s="22" t="str">
        <f>'[1]3нед'!H277</f>
        <v/>
      </c>
      <c r="H89" s="57" t="str">
        <f>HYPERLINK(VLOOKUP(E89,$R$12:$S$180,2,FALSE))</f>
        <v/>
      </c>
      <c r="I89" s="71"/>
      <c r="J89" s="74"/>
      <c r="K89" s="14" t="s">
        <v>73</v>
      </c>
      <c r="L89" s="20">
        <f>'[1]4нед'!C277</f>
        <v>0</v>
      </c>
      <c r="M89" s="23">
        <f>'[1]4нед'!D277</f>
        <v>0</v>
      </c>
      <c r="N89" s="21">
        <f>'[1]4нед'!G277</f>
        <v>0</v>
      </c>
      <c r="O89" s="22" t="str">
        <f>'[1]4нед'!H277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74</v>
      </c>
      <c r="D90" s="20">
        <f>'[1]3нед'!C278</f>
        <v>0</v>
      </c>
      <c r="E90" s="23">
        <f>'[1]3нед'!D278</f>
        <v>0</v>
      </c>
      <c r="F90" s="21">
        <f>'[1]3нед'!G278</f>
        <v>0</v>
      </c>
      <c r="G90" s="22" t="str">
        <f>'[1]3нед'!H278</f>
        <v/>
      </c>
      <c r="H90" s="57" t="str">
        <f>HYPERLINK(VLOOKUP(E90,$R$12:$S$180,2,FALSE))</f>
        <v/>
      </c>
      <c r="I90" s="71"/>
      <c r="J90" s="74"/>
      <c r="K90" s="14" t="s">
        <v>74</v>
      </c>
      <c r="L90" s="20">
        <f>'[1]4нед'!C278</f>
        <v>0</v>
      </c>
      <c r="M90" s="23">
        <f>'[1]4нед'!D278</f>
        <v>0</v>
      </c>
      <c r="N90" s="21">
        <f>'[1]4нед'!G278</f>
        <v>0</v>
      </c>
      <c r="O90" s="22" t="str">
        <f>'[1]4нед'!H278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'[1]3нед'!C279</f>
        <v>0</v>
      </c>
      <c r="E91" s="23">
        <f>'[1]3нед'!D279</f>
        <v>0</v>
      </c>
      <c r="F91" s="21">
        <f>'[1]3нед'!G279</f>
        <v>0</v>
      </c>
      <c r="G91" s="22" t="str">
        <f>'[1]3нед'!H279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'[1]4нед'!C279</f>
        <v>0</v>
      </c>
      <c r="M91" s="23">
        <f>'[1]4нед'!D279</f>
        <v>0</v>
      </c>
      <c r="N91" s="21">
        <f>'[1]4нед'!G279</f>
        <v>0</v>
      </c>
      <c r="O91" s="22" t="str">
        <f>'[1]4нед'!H279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'[1]3нед'!C280</f>
        <v>0</v>
      </c>
      <c r="E92" s="23">
        <f>'[1]3нед'!D280</f>
        <v>0</v>
      </c>
      <c r="F92" s="21">
        <f>'[1]3нед'!G280</f>
        <v>0</v>
      </c>
      <c r="G92" s="22" t="str">
        <f>'[1]3нед'!H280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'[1]4нед'!C280</f>
        <v>0</v>
      </c>
      <c r="M92" s="23">
        <f>'[1]4нед'!D280</f>
        <v>0</v>
      </c>
      <c r="N92" s="21">
        <f>'[1]4нед'!G280</f>
        <v>0</v>
      </c>
      <c r="O92" s="22" t="str">
        <f>'[1]4нед'!H280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'[1]3нед'!C281</f>
        <v>л</v>
      </c>
      <c r="E93" s="23" t="str">
        <f>'[1]3нед'!D281</f>
        <v>Методы исследовательской/проектной деятельности</v>
      </c>
      <c r="F93" s="21" t="str">
        <f>'[1]3нед'!G281</f>
        <v>Казанцев Ю.А.</v>
      </c>
      <c r="G93" s="22" t="str">
        <f>'[1]3нед'!H281</f>
        <v>ст. преподаватель</v>
      </c>
      <c r="H93" s="55" t="str">
        <f>HYPERLINK(VLOOKUP(E93,$R$12:$S$180,2,FALSE))</f>
        <v>https://max.ru/join/15pEPVrIDANjN-ex11uXS0z2QQcAQkpN7qeJUhIOK40</v>
      </c>
      <c r="I93" s="71"/>
      <c r="J93" s="74"/>
      <c r="K93" s="14" t="s">
        <v>23</v>
      </c>
      <c r="L93" s="20" t="str">
        <f>'[1]4нед'!C281</f>
        <v>пр</v>
      </c>
      <c r="M93" s="23" t="str">
        <f>'[1]4нед'!D281</f>
        <v>Теория вероятностей и математическая
статистика</v>
      </c>
      <c r="N93" s="21" t="str">
        <f>'[1]4нед'!G281</f>
        <v>Блыщик Н.О.</v>
      </c>
      <c r="O93" s="22" t="str">
        <f>'[1]4нед'!H281</f>
        <v>ст. преподаватель</v>
      </c>
      <c r="P93" s="55" t="str">
        <f>HYPERLINK(VLOOKUP(M93,$R$12:$S$180,2,FALSE))</f>
        <v>https://max.ru/join/CuOdXmdZWK47DPyk2yukbmbFfy3zg-be-Oob6Blusek</v>
      </c>
    </row>
    <row r="94" spans="1:16" ht="32.25" thickBot="1" x14ac:dyDescent="0.25">
      <c r="A94" s="82"/>
      <c r="B94" s="68"/>
      <c r="C94" s="14" t="s">
        <v>24</v>
      </c>
      <c r="D94" s="20" t="str">
        <f>'[1]3нед'!C282</f>
        <v>л</v>
      </c>
      <c r="E94" s="23" t="str">
        <f>'[1]3нед'!D282</f>
        <v>Основы военной подготовки</v>
      </c>
      <c r="F94" s="21" t="str">
        <f>'[1]3нед'!G282</f>
        <v>Кулак А.Ф.</v>
      </c>
      <c r="G94" s="22" t="str">
        <f>'[1]3нед'!H282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'[1]4нед'!C282</f>
        <v>пр</v>
      </c>
      <c r="M94" s="23" t="str">
        <f>'[1]4нед'!D282</f>
        <v xml:space="preserve"> Педагогика</v>
      </c>
      <c r="N94" s="21" t="str">
        <f>'[1]4нед'!G282</f>
        <v>Кобзева Е.В.</v>
      </c>
      <c r="O94" s="22" t="str">
        <f>'[1]4нед'!H282</f>
        <v>преподаватель</v>
      </c>
      <c r="P94" s="55" t="str">
        <f>HYPERLINK(VLOOKUP(M94,$R$12:$S$180,2,FALSE))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'[1]3нед'!C283</f>
        <v>0</v>
      </c>
      <c r="E95" s="25">
        <f>'[1]3нед'!D283</f>
        <v>0</v>
      </c>
      <c r="F95" s="26">
        <f>'[1]3нед'!G283</f>
        <v>0</v>
      </c>
      <c r="G95" s="27" t="str">
        <f>'[1]3нед'!H283</f>
        <v/>
      </c>
      <c r="H95" s="58" t="str">
        <f>HYPERLINK(VLOOKUP(E95,$R$12:$S$180,2,FALSE))</f>
        <v/>
      </c>
      <c r="I95" s="72"/>
      <c r="J95" s="75"/>
      <c r="K95" s="15"/>
      <c r="L95" s="24">
        <f>'[1]4нед'!C283</f>
        <v>0</v>
      </c>
      <c r="M95" s="25">
        <f>'[1]4нед'!D283</f>
        <v>0</v>
      </c>
      <c r="N95" s="26">
        <f>'[1]4нед'!G283</f>
        <v>0</v>
      </c>
      <c r="O95" s="27" t="str">
        <f>'[1]4нед'!H283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'[1]3нед'!C284</f>
        <v>0</v>
      </c>
      <c r="E96" s="19">
        <f>'[1]3нед'!D284</f>
        <v>0</v>
      </c>
      <c r="F96" s="17">
        <f>'[1]3нед'!G284</f>
        <v>0</v>
      </c>
      <c r="G96" s="18" t="str">
        <f>'[1]3нед'!H284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'[1]4нед'!C284</f>
        <v>0</v>
      </c>
      <c r="M96" s="19">
        <f>'[1]4нед'!D284</f>
        <v>0</v>
      </c>
      <c r="N96" s="17">
        <f>'[1]4нед'!G284</f>
        <v>0</v>
      </c>
      <c r="O96" s="18" t="str">
        <f>'[1]4нед'!H284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73</v>
      </c>
      <c r="D97" s="20">
        <f>'[1]3нед'!C285</f>
        <v>0</v>
      </c>
      <c r="E97" s="23">
        <f>'[1]3нед'!D285</f>
        <v>0</v>
      </c>
      <c r="F97" s="21">
        <f>'[1]3нед'!G285</f>
        <v>0</v>
      </c>
      <c r="G97" s="22" t="str">
        <f>'[1]3нед'!H285</f>
        <v/>
      </c>
      <c r="H97" s="57" t="str">
        <f>HYPERLINK(VLOOKUP(E97,$R$12:$S$180,2,FALSE))</f>
        <v/>
      </c>
      <c r="I97" s="71"/>
      <c r="J97" s="88"/>
      <c r="K97" s="14" t="s">
        <v>73</v>
      </c>
      <c r="L97" s="20">
        <f>'[1]4нед'!C285</f>
        <v>0</v>
      </c>
      <c r="M97" s="23">
        <f>'[1]4нед'!D285</f>
        <v>0</v>
      </c>
      <c r="N97" s="21">
        <f>'[1]4нед'!G285</f>
        <v>0</v>
      </c>
      <c r="O97" s="22" t="str">
        <f>'[1]4нед'!H285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74</v>
      </c>
      <c r="D98" s="20">
        <f>'[1]3нед'!C286</f>
        <v>0</v>
      </c>
      <c r="E98" s="23">
        <f>'[1]3нед'!D286</f>
        <v>0</v>
      </c>
      <c r="F98" s="21">
        <f>'[1]3нед'!G286</f>
        <v>0</v>
      </c>
      <c r="G98" s="22" t="str">
        <f>'[1]3нед'!H286</f>
        <v/>
      </c>
      <c r="H98" s="57" t="str">
        <f>HYPERLINK(VLOOKUP(E98,$R$12:$S$180,2,FALSE))</f>
        <v/>
      </c>
      <c r="I98" s="71"/>
      <c r="J98" s="88"/>
      <c r="K98" s="14" t="s">
        <v>74</v>
      </c>
      <c r="L98" s="20">
        <f>'[1]4нед'!C286</f>
        <v>0</v>
      </c>
      <c r="M98" s="23">
        <f>'[1]4нед'!D286</f>
        <v>0</v>
      </c>
      <c r="N98" s="21">
        <f>'[1]4нед'!G286</f>
        <v>0</v>
      </c>
      <c r="O98" s="22" t="str">
        <f>'[1]4нед'!H286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'[1]3нед'!C287</f>
        <v>0</v>
      </c>
      <c r="E99" s="23">
        <f>'[1]3нед'!D287</f>
        <v>0</v>
      </c>
      <c r="F99" s="21">
        <f>'[1]3нед'!G287</f>
        <v>0</v>
      </c>
      <c r="G99" s="22" t="str">
        <f>'[1]3нед'!H287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'[1]4нед'!C287</f>
        <v>0</v>
      </c>
      <c r="M99" s="23">
        <f>'[1]4нед'!D287</f>
        <v>0</v>
      </c>
      <c r="N99" s="21">
        <f>'[1]4нед'!G287</f>
        <v>0</v>
      </c>
      <c r="O99" s="22" t="str">
        <f>'[1]4нед'!H287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'[1]3нед'!C288</f>
        <v>0</v>
      </c>
      <c r="E100" s="23">
        <f>'[1]3нед'!D288</f>
        <v>0</v>
      </c>
      <c r="F100" s="21">
        <f>'[1]3нед'!G288</f>
        <v>0</v>
      </c>
      <c r="G100" s="22" t="str">
        <f>'[1]3нед'!H288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'[1]4нед'!C288</f>
        <v>0</v>
      </c>
      <c r="M100" s="23">
        <f>'[1]4нед'!D288</f>
        <v>0</v>
      </c>
      <c r="N100" s="21">
        <f>'[1]4нед'!G288</f>
        <v>0</v>
      </c>
      <c r="O100" s="22" t="str">
        <f>'[1]4нед'!H288</f>
        <v/>
      </c>
      <c r="P100" s="57" t="str">
        <f>HYPERLINK(VLOOKUP(M100,$R$12:$S$180,2,FALSE))</f>
        <v/>
      </c>
    </row>
    <row r="101" spans="1:16" ht="31.5" x14ac:dyDescent="0.2">
      <c r="A101" s="82"/>
      <c r="B101" s="85"/>
      <c r="C101" s="14" t="s">
        <v>23</v>
      </c>
      <c r="D101" s="20">
        <f>'[1]3нед'!C289</f>
        <v>0</v>
      </c>
      <c r="E101" s="23">
        <f>'[1]3нед'!D289</f>
        <v>0</v>
      </c>
      <c r="F101" s="21">
        <f>'[1]3нед'!G289</f>
        <v>0</v>
      </c>
      <c r="G101" s="22" t="str">
        <f>'[1]3нед'!H289</f>
        <v/>
      </c>
      <c r="H101" s="55" t="str">
        <f>HYPERLINK(VLOOKUP(E101,$R$12:$S$180,2,FALSE))</f>
        <v/>
      </c>
      <c r="I101" s="71"/>
      <c r="J101" s="88"/>
      <c r="K101" s="14" t="s">
        <v>23</v>
      </c>
      <c r="L101" s="20" t="str">
        <f>'[1]4нед'!C289</f>
        <v>пр</v>
      </c>
      <c r="M101" s="23" t="str">
        <f>'[1]4нед'!D289</f>
        <v>Теория чисел</v>
      </c>
      <c r="N101" s="21" t="str">
        <f>'[1]4нед'!G289</f>
        <v>Овчинникова М.В.</v>
      </c>
      <c r="O101" s="22" t="str">
        <f>'[1]4нед'!H289</f>
        <v>доцент, канд. наук</v>
      </c>
      <c r="P101" s="55" t="str">
        <f>HYPERLINK(VLOOKUP(M101,$R$12:$S$180,2,FALSE))</f>
        <v>https://max.ru/join/CuOdXmdZWK47DPyk2yukbmbFfy3zg-be-Oob6Blusek</v>
      </c>
    </row>
    <row r="102" spans="1:16" ht="57" thickBot="1" x14ac:dyDescent="0.25">
      <c r="A102" s="82"/>
      <c r="B102" s="85"/>
      <c r="C102" s="14" t="s">
        <v>24</v>
      </c>
      <c r="D102" s="20" t="str">
        <f>'[1]3нед'!C290</f>
        <v>л</v>
      </c>
      <c r="E102" s="23" t="str">
        <f>'[1]3нед'!D290</f>
        <v>Психолого-педагогические основы обучения
математике и информатике</v>
      </c>
      <c r="F102" s="21" t="str">
        <f>'[1]3нед'!G290</f>
        <v>Казанцев Ю.А.</v>
      </c>
      <c r="G102" s="22" t="str">
        <f>'[1]3нед'!H290</f>
        <v>ст. преподаватель</v>
      </c>
      <c r="H102" s="55" t="str">
        <f>HYPERLINK(VLOOKUP(E102,$R$12:$S$180,2,FALSE))</f>
        <v>https://max.ru/join/CuOdXmdZWK47DPyk2yukbmbFfy3zg-be-Oob6Blusek</v>
      </c>
      <c r="I102" s="71"/>
      <c r="J102" s="88"/>
      <c r="K102" s="14" t="s">
        <v>24</v>
      </c>
      <c r="L102" s="20">
        <f>'[1]4нед'!C290</f>
        <v>0</v>
      </c>
      <c r="M102" s="23">
        <f>'[1]4нед'!D290</f>
        <v>0</v>
      </c>
      <c r="N102" s="21">
        <f>'[1]4нед'!G290</f>
        <v>0</v>
      </c>
      <c r="O102" s="22" t="str">
        <f>'[1]4нед'!H290</f>
        <v/>
      </c>
      <c r="P102" s="55" t="str">
        <f>HYPERLINK(VLOOKUP(M102,$R$12:$S$180,2,FALSE))</f>
        <v/>
      </c>
    </row>
    <row r="103" spans="1:16" ht="18.399999999999999" hidden="1" customHeight="1" thickBot="1" x14ac:dyDescent="0.25">
      <c r="A103" s="83"/>
      <c r="B103" s="86"/>
      <c r="C103" s="15"/>
      <c r="D103" s="24">
        <f>'[1]3нед'!C291</f>
        <v>0</v>
      </c>
      <c r="E103" s="25">
        <f>'[1]3нед'!D291</f>
        <v>0</v>
      </c>
      <c r="F103" s="26">
        <f>'[1]3нед'!G291</f>
        <v>0</v>
      </c>
      <c r="G103" s="27" t="str">
        <f>'[1]3нед'!H291</f>
        <v/>
      </c>
      <c r="H103" s="58" t="str">
        <f>HYPERLINK(VLOOKUP(E103,$R$12:$S$180,2,FALSE))</f>
        <v/>
      </c>
      <c r="I103" s="72"/>
      <c r="J103" s="89"/>
      <c r="K103" s="15"/>
      <c r="L103" s="24">
        <f>'[1]4нед'!C291</f>
        <v>0</v>
      </c>
      <c r="M103" s="25">
        <f>'[1]4нед'!D291</f>
        <v>0</v>
      </c>
      <c r="N103" s="26">
        <f>'[1]4нед'!G291</f>
        <v>0</v>
      </c>
      <c r="O103" s="27" t="str">
        <f>'[1]4нед'!H291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'[1]3нед'!C292</f>
        <v>0</v>
      </c>
      <c r="E104" s="19">
        <f>'[1]3нед'!D292</f>
        <v>0</v>
      </c>
      <c r="F104" s="17">
        <f>'[1]3нед'!G292</f>
        <v>0</v>
      </c>
      <c r="G104" s="18" t="str">
        <f>'[1]3нед'!H292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'[1]4нед'!C292</f>
        <v>0</v>
      </c>
      <c r="M104" s="19">
        <f>'[1]4нед'!D292</f>
        <v>0</v>
      </c>
      <c r="N104" s="17">
        <f>'[1]4нед'!G292</f>
        <v>0</v>
      </c>
      <c r="O104" s="18" t="str">
        <f>'[1]4нед'!H292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73</v>
      </c>
      <c r="D105" s="20">
        <f>'[1]3нед'!C293</f>
        <v>0</v>
      </c>
      <c r="E105" s="23">
        <f>'[1]3нед'!D293</f>
        <v>0</v>
      </c>
      <c r="F105" s="21">
        <f>'[1]3нед'!G293</f>
        <v>0</v>
      </c>
      <c r="G105" s="22" t="str">
        <f>'[1]3нед'!H293</f>
        <v/>
      </c>
      <c r="H105" s="57" t="str">
        <f>HYPERLINK(VLOOKUP(E105,$R$12:$S$180,2,FALSE))</f>
        <v/>
      </c>
      <c r="I105" s="71"/>
      <c r="J105" s="88"/>
      <c r="K105" s="14" t="s">
        <v>73</v>
      </c>
      <c r="L105" s="20">
        <f>'[1]4нед'!C293</f>
        <v>0</v>
      </c>
      <c r="M105" s="23">
        <f>'[1]4нед'!D293</f>
        <v>0</v>
      </c>
      <c r="N105" s="21">
        <f>'[1]4нед'!G293</f>
        <v>0</v>
      </c>
      <c r="O105" s="22" t="str">
        <f>'[1]4нед'!H293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74</v>
      </c>
      <c r="D106" s="20">
        <f>'[1]3нед'!C294</f>
        <v>0</v>
      </c>
      <c r="E106" s="23">
        <f>'[1]3нед'!D294</f>
        <v>0</v>
      </c>
      <c r="F106" s="21">
        <f>'[1]3нед'!G294</f>
        <v>0</v>
      </c>
      <c r="G106" s="22" t="str">
        <f>'[1]3нед'!H294</f>
        <v/>
      </c>
      <c r="H106" s="57" t="str">
        <f>HYPERLINK(VLOOKUP(E106,$R$12:$S$180,2,FALSE))</f>
        <v/>
      </c>
      <c r="I106" s="71"/>
      <c r="J106" s="88"/>
      <c r="K106" s="14" t="s">
        <v>74</v>
      </c>
      <c r="L106" s="20">
        <f>'[1]4нед'!C294</f>
        <v>0</v>
      </c>
      <c r="M106" s="23">
        <f>'[1]4нед'!D294</f>
        <v>0</v>
      </c>
      <c r="N106" s="21">
        <f>'[1]4нед'!G294</f>
        <v>0</v>
      </c>
      <c r="O106" s="22" t="str">
        <f>'[1]4нед'!H294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'[1]3нед'!C295</f>
        <v>0</v>
      </c>
      <c r="E107" s="23">
        <f>'[1]3нед'!D295</f>
        <v>0</v>
      </c>
      <c r="F107" s="21">
        <f>'[1]3нед'!G295</f>
        <v>0</v>
      </c>
      <c r="G107" s="22" t="str">
        <f>'[1]3нед'!H295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'[1]4нед'!C295</f>
        <v>0</v>
      </c>
      <c r="M107" s="23">
        <f>'[1]4нед'!D295</f>
        <v>0</v>
      </c>
      <c r="N107" s="21">
        <f>'[1]4нед'!G295</f>
        <v>0</v>
      </c>
      <c r="O107" s="22" t="str">
        <f>'[1]4нед'!H295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'[1]3нед'!C296</f>
        <v>0</v>
      </c>
      <c r="E108" s="23">
        <f>'[1]3нед'!D296</f>
        <v>0</v>
      </c>
      <c r="F108" s="21">
        <f>'[1]3нед'!G296</f>
        <v>0</v>
      </c>
      <c r="G108" s="22" t="str">
        <f>'[1]3нед'!H296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'[1]4нед'!C296</f>
        <v>0</v>
      </c>
      <c r="M108" s="23">
        <f>'[1]4нед'!D296</f>
        <v>0</v>
      </c>
      <c r="N108" s="21">
        <f>'[1]4нед'!G296</f>
        <v>0</v>
      </c>
      <c r="O108" s="22" t="str">
        <f>'[1]4нед'!H296</f>
        <v/>
      </c>
      <c r="P108" s="57" t="str">
        <f>HYPERLINK(VLOOKUP(M108,$R$12:$S$180,2,FALSE))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'[1]3нед'!C297</f>
        <v>0</v>
      </c>
      <c r="E109" s="23">
        <f>'[1]3нед'!D297</f>
        <v>0</v>
      </c>
      <c r="F109" s="21">
        <f>'[1]3нед'!G297</f>
        <v>0</v>
      </c>
      <c r="G109" s="22" t="str">
        <f>'[1]3нед'!H297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 t="str">
        <f>'[1]4нед'!C297</f>
        <v>пр</v>
      </c>
      <c r="M109" s="23" t="str">
        <f>'[1]4нед'!D297</f>
        <v xml:space="preserve"> Технология и организация воспитательных практик (классное руководство)</v>
      </c>
      <c r="N109" s="21" t="str">
        <f>'[1]4нед'!G297</f>
        <v>Макарчук Н.В.</v>
      </c>
      <c r="O109" s="22" t="str">
        <f>'[1]4нед'!H297</f>
        <v>преподаватель</v>
      </c>
      <c r="P109" s="57" t="str">
        <f>HYPERLINK(VLOOKUP(M109,$R$12:$S$180,2,FALSE))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'[1]3нед'!C298</f>
        <v>0</v>
      </c>
      <c r="E110" s="23">
        <f>'[1]3нед'!D298</f>
        <v>0</v>
      </c>
      <c r="F110" s="21">
        <f>'[1]3нед'!G298</f>
        <v>0</v>
      </c>
      <c r="G110" s="22" t="str">
        <f>'[1]3нед'!H298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'[1]4нед'!C298</f>
        <v>0</v>
      </c>
      <c r="M110" s="23">
        <f>'[1]4нед'!D298</f>
        <v>0</v>
      </c>
      <c r="N110" s="21">
        <f>'[1]4нед'!G298</f>
        <v>0</v>
      </c>
      <c r="O110" s="22" t="str">
        <f>'[1]4нед'!H298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'[1]3нед'!C299</f>
        <v>0</v>
      </c>
      <c r="E111" s="25">
        <f>'[1]3нед'!D299</f>
        <v>0</v>
      </c>
      <c r="F111" s="26">
        <f>'[1]3нед'!G299</f>
        <v>0</v>
      </c>
      <c r="G111" s="27" t="str">
        <f>'[1]3нед'!H299</f>
        <v/>
      </c>
      <c r="H111" s="58" t="str">
        <f>HYPERLINK(VLOOKUP(E111,$R$12:$S$180,2,FALSE))</f>
        <v/>
      </c>
      <c r="I111" s="72"/>
      <c r="J111" s="89"/>
      <c r="K111" s="15"/>
      <c r="L111" s="24">
        <f>'[1]4нед'!C299</f>
        <v>0</v>
      </c>
      <c r="M111" s="25">
        <f>'[1]4нед'!D299</f>
        <v>0</v>
      </c>
      <c r="N111" s="26">
        <f>'[1]4нед'!G299</f>
        <v>0</v>
      </c>
      <c r="O111" s="27" t="str">
        <f>'[1]4нед'!H299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'[1]3нед'!C300</f>
        <v>0</v>
      </c>
      <c r="E112" s="19">
        <f>'[1]3нед'!D300</f>
        <v>0</v>
      </c>
      <c r="F112" s="17">
        <f>'[1]3нед'!G300</f>
        <v>0</v>
      </c>
      <c r="G112" s="18" t="str">
        <f>'[1]3нед'!H300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'[1]4нед'!C300</f>
        <v>0</v>
      </c>
      <c r="M112" s="19">
        <f>'[1]4нед'!D300</f>
        <v>0</v>
      </c>
      <c r="N112" s="17">
        <f>'[1]4нед'!G300</f>
        <v>0</v>
      </c>
      <c r="O112" s="18" t="str">
        <f>'[1]4нед'!H300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73</v>
      </c>
      <c r="D113" s="20">
        <f>'[1]3нед'!C301</f>
        <v>0</v>
      </c>
      <c r="E113" s="23">
        <f>'[1]3нед'!D301</f>
        <v>0</v>
      </c>
      <c r="F113" s="21">
        <f>'[1]3нед'!G301</f>
        <v>0</v>
      </c>
      <c r="G113" s="22" t="str">
        <f>'[1]3нед'!H301</f>
        <v/>
      </c>
      <c r="H113" s="57" t="str">
        <f>HYPERLINK(VLOOKUP(E113,$R$12:$S$180,2,FALSE))</f>
        <v/>
      </c>
      <c r="I113" s="71"/>
      <c r="J113" s="88"/>
      <c r="K113" s="14" t="s">
        <v>73</v>
      </c>
      <c r="L113" s="20">
        <f>'[1]4нед'!C301</f>
        <v>0</v>
      </c>
      <c r="M113" s="23">
        <f>'[1]4нед'!D301</f>
        <v>0</v>
      </c>
      <c r="N113" s="21">
        <f>'[1]4нед'!G301</f>
        <v>0</v>
      </c>
      <c r="O113" s="22" t="str">
        <f>'[1]4нед'!H301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74</v>
      </c>
      <c r="D114" s="20">
        <f>'[1]3нед'!C302</f>
        <v>0</v>
      </c>
      <c r="E114" s="23">
        <f>'[1]3нед'!D302</f>
        <v>0</v>
      </c>
      <c r="F114" s="21">
        <f>'[1]3нед'!G302</f>
        <v>0</v>
      </c>
      <c r="G114" s="22" t="str">
        <f>'[1]3нед'!H302</f>
        <v/>
      </c>
      <c r="H114" s="57" t="str">
        <f>HYPERLINK(VLOOKUP(E114,$R$12:$S$180,2,FALSE))</f>
        <v/>
      </c>
      <c r="I114" s="71"/>
      <c r="J114" s="88"/>
      <c r="K114" s="14" t="s">
        <v>74</v>
      </c>
      <c r="L114" s="20">
        <f>'[1]4нед'!C302</f>
        <v>0</v>
      </c>
      <c r="M114" s="23">
        <f>'[1]4нед'!D302</f>
        <v>0</v>
      </c>
      <c r="N114" s="21">
        <f>'[1]4нед'!G302</f>
        <v>0</v>
      </c>
      <c r="O114" s="22" t="str">
        <f>'[1]4нед'!H302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'[1]3нед'!C303</f>
        <v>0</v>
      </c>
      <c r="E115" s="23">
        <f>'[1]3нед'!D303</f>
        <v>0</v>
      </c>
      <c r="F115" s="21">
        <f>'[1]3нед'!G303</f>
        <v>0</v>
      </c>
      <c r="G115" s="22" t="str">
        <f>'[1]3нед'!H303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'[1]4нед'!C303</f>
        <v>0</v>
      </c>
      <c r="M115" s="23">
        <f>'[1]4нед'!D303</f>
        <v>0</v>
      </c>
      <c r="N115" s="21">
        <f>'[1]4нед'!G303</f>
        <v>0</v>
      </c>
      <c r="O115" s="22" t="str">
        <f>'[1]4нед'!H303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'[1]3нед'!C304</f>
        <v>0</v>
      </c>
      <c r="E116" s="23">
        <f>'[1]3нед'!D304</f>
        <v>0</v>
      </c>
      <c r="F116" s="21">
        <f>'[1]3нед'!G304</f>
        <v>0</v>
      </c>
      <c r="G116" s="22" t="str">
        <f>'[1]3нед'!H304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'[1]4нед'!C304</f>
        <v>0</v>
      </c>
      <c r="M116" s="23">
        <f>'[1]4нед'!D304</f>
        <v>0</v>
      </c>
      <c r="N116" s="21">
        <f>'[1]4нед'!G304</f>
        <v>0</v>
      </c>
      <c r="O116" s="22" t="str">
        <f>'[1]4нед'!H304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'[1]3нед'!C305</f>
        <v>0</v>
      </c>
      <c r="E117" s="23">
        <f>'[1]3нед'!D305</f>
        <v>0</v>
      </c>
      <c r="F117" s="21">
        <f>'[1]3нед'!G305</f>
        <v>0</v>
      </c>
      <c r="G117" s="22" t="str">
        <f>'[1]3нед'!H305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'[1]4нед'!C305</f>
        <v>0</v>
      </c>
      <c r="M117" s="23">
        <f>'[1]4нед'!D305</f>
        <v>0</v>
      </c>
      <c r="N117" s="21">
        <f>'[1]4нед'!G305</f>
        <v>0</v>
      </c>
      <c r="O117" s="22" t="str">
        <f>'[1]4нед'!H305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'[1]3нед'!C306</f>
        <v>0</v>
      </c>
      <c r="E118" s="23">
        <f>'[1]3нед'!D306</f>
        <v>0</v>
      </c>
      <c r="F118" s="21">
        <f>'[1]3нед'!G306</f>
        <v>0</v>
      </c>
      <c r="G118" s="22" t="str">
        <f>'[1]3нед'!H306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'[1]4нед'!C306</f>
        <v>0</v>
      </c>
      <c r="M118" s="23">
        <f>'[1]4нед'!D306</f>
        <v>0</v>
      </c>
      <c r="N118" s="21">
        <f>'[1]4нед'!G306</f>
        <v>0</v>
      </c>
      <c r="O118" s="22" t="str">
        <f>'[1]4нед'!H306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'[1]3нед'!C59</f>
        <v>0</v>
      </c>
      <c r="E119" s="19">
        <f>'[1]3нед'!D59</f>
        <v>0</v>
      </c>
      <c r="F119" s="17">
        <f>'[1]3нед'!G59</f>
        <v>0</v>
      </c>
      <c r="G119" s="18" t="str">
        <f>'[1]3нед'!H59</f>
        <v/>
      </c>
      <c r="H119" s="39"/>
      <c r="I119" s="72"/>
      <c r="J119" s="89"/>
      <c r="K119" s="15"/>
      <c r="L119" s="24">
        <f>'[1]4нед'!C59</f>
        <v>0</v>
      </c>
      <c r="M119" s="25">
        <f>'[1]4нед'!D59</f>
        <v>0</v>
      </c>
      <c r="N119" s="26">
        <f>'[1]4нед'!G59</f>
        <v>0</v>
      </c>
      <c r="O119" s="27" t="str">
        <f>'[1]4нед'!H59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44.03.05Педагогическое образование (с двумя профилями подготовки) (Математика и Информатика)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44.03.05Педагогическое образование (с двумя профилями подготовки) (Математика и Информатика)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 t="str">
        <f>'[1]1нед'!$D$258</f>
        <v>12-24МИоз</v>
      </c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 t="str">
        <f>'[1]1нед'!$D$258</f>
        <v>12-24МИоз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'[3]5нед'!C260</f>
        <v>0</v>
      </c>
      <c r="E132" s="19">
        <f>'[3]5нед'!D260</f>
        <v>0</v>
      </c>
      <c r="F132" s="17">
        <f>'[3]5нед'!G260</f>
        <v>0</v>
      </c>
      <c r="G132" s="18" t="str">
        <f>'[3]5нед'!H260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'[3]6нед'!C260</f>
        <v>0</v>
      </c>
      <c r="M132" s="19">
        <f>'[3]6нед'!D260</f>
        <v>0</v>
      </c>
      <c r="N132" s="17">
        <f>'[3]6нед'!G260</f>
        <v>0</v>
      </c>
      <c r="O132" s="18" t="str">
        <f>'[3]6нед'!H260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73</v>
      </c>
      <c r="D133" s="20">
        <f>'[3]5нед'!C261</f>
        <v>0</v>
      </c>
      <c r="E133" s="23">
        <f>'[3]5нед'!D261</f>
        <v>0</v>
      </c>
      <c r="F133" s="21">
        <f>'[3]5нед'!G261</f>
        <v>0</v>
      </c>
      <c r="G133" s="22" t="str">
        <f>'[3]5нед'!H261</f>
        <v/>
      </c>
      <c r="H133" s="57" t="str">
        <f>HYPERLINK(VLOOKUP(E133,$R$12:$S$180,2,FALSE))</f>
        <v/>
      </c>
      <c r="I133" s="71"/>
      <c r="J133" s="88"/>
      <c r="K133" s="14" t="s">
        <v>73</v>
      </c>
      <c r="L133" s="20">
        <f>'[3]6нед'!C261</f>
        <v>0</v>
      </c>
      <c r="M133" s="23">
        <f>'[3]6нед'!D261</f>
        <v>0</v>
      </c>
      <c r="N133" s="21">
        <f>'[3]6нед'!G261</f>
        <v>0</v>
      </c>
      <c r="O133" s="22" t="str">
        <f>'[3]6нед'!H261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74</v>
      </c>
      <c r="D134" s="20">
        <f>'[3]5нед'!C262</f>
        <v>0</v>
      </c>
      <c r="E134" s="23">
        <f>'[3]5нед'!D262</f>
        <v>0</v>
      </c>
      <c r="F134" s="21">
        <f>'[3]5нед'!G262</f>
        <v>0</v>
      </c>
      <c r="G134" s="22" t="str">
        <f>'[3]5нед'!H262</f>
        <v/>
      </c>
      <c r="H134" s="57" t="str">
        <f>HYPERLINK(VLOOKUP(E134,$R$12:$S$180,2,FALSE))</f>
        <v/>
      </c>
      <c r="I134" s="71"/>
      <c r="J134" s="88"/>
      <c r="K134" s="14" t="s">
        <v>74</v>
      </c>
      <c r="L134" s="20">
        <f>'[3]6нед'!C262</f>
        <v>0</v>
      </c>
      <c r="M134" s="23">
        <f>'[3]6нед'!D262</f>
        <v>0</v>
      </c>
      <c r="N134" s="21">
        <f>'[3]6нед'!G262</f>
        <v>0</v>
      </c>
      <c r="O134" s="22" t="str">
        <f>'[3]6нед'!H262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'[3]5нед'!C263</f>
        <v>0</v>
      </c>
      <c r="E135" s="23">
        <f>'[3]5нед'!D263</f>
        <v>0</v>
      </c>
      <c r="F135" s="21">
        <f>'[3]5нед'!G263</f>
        <v>0</v>
      </c>
      <c r="G135" s="22" t="str">
        <f>'[3]5нед'!H263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'[3]6нед'!C263</f>
        <v>0</v>
      </c>
      <c r="M135" s="23">
        <f>'[3]6нед'!D263</f>
        <v>0</v>
      </c>
      <c r="N135" s="21">
        <f>'[3]6нед'!G263</f>
        <v>0</v>
      </c>
      <c r="O135" s="22" t="str">
        <f>'[3]6нед'!H263</f>
        <v/>
      </c>
      <c r="P135" s="57" t="str">
        <f>HYPERLINK(VLOOKUP(M135,$R$12:$S$180,2,FALSE))</f>
        <v/>
      </c>
    </row>
    <row r="136" spans="1:16" ht="56.25" x14ac:dyDescent="0.2">
      <c r="A136" s="82"/>
      <c r="B136" s="85"/>
      <c r="C136" s="14" t="s">
        <v>22</v>
      </c>
      <c r="D136" s="20" t="str">
        <f>'[3]5нед'!C264</f>
        <v>пр</v>
      </c>
      <c r="E136" s="23" t="str">
        <f>'[3]5нед'!D264</f>
        <v>Психолого-педагогические основы обучения
математике и информатике</v>
      </c>
      <c r="F136" s="21" t="str">
        <f>'[3]5нед'!G264</f>
        <v>Казанцев Ю.А.</v>
      </c>
      <c r="G136" s="22" t="str">
        <f>'[3]5нед'!H264</f>
        <v>ст. преподаватель</v>
      </c>
      <c r="H136" s="57" t="str">
        <f>HYPERLINK(VLOOKUP(E136,$R$12:$S$180,2,FALSE))</f>
        <v>https://max.ru/join/CuOdXmdZWK47DPyk2yukbmbFfy3zg-be-Oob6Blusek</v>
      </c>
      <c r="I136" s="71"/>
      <c r="J136" s="88"/>
      <c r="K136" s="14" t="s">
        <v>22</v>
      </c>
      <c r="L136" s="20">
        <f>'[3]6нед'!C264</f>
        <v>0</v>
      </c>
      <c r="M136" s="23">
        <f>'[3]6нед'!D264</f>
        <v>0</v>
      </c>
      <c r="N136" s="21">
        <f>'[3]6нед'!G264</f>
        <v>0</v>
      </c>
      <c r="O136" s="22" t="str">
        <f>'[3]6нед'!H264</f>
        <v/>
      </c>
      <c r="P136" s="57" t="str">
        <f>HYPERLINK(VLOOKUP(M136,$R$12:$S$180,2,FALSE))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'[3]5нед'!C265</f>
        <v>л</v>
      </c>
      <c r="E137" s="23" t="str">
        <f>'[3]5нед'!D265</f>
        <v>Технология и организация воспитательных практик (классное руководство)</v>
      </c>
      <c r="F137" s="21" t="str">
        <f>'[3]5нед'!G265</f>
        <v>Макарчук Н.В.</v>
      </c>
      <c r="G137" s="22" t="str">
        <f>'[3]5нед'!H265</f>
        <v>преподаватель</v>
      </c>
      <c r="H137" s="55" t="str">
        <f>HYPERLINK(VLOOKUP(E137,$R$12:$S$180,2,FALSE))</f>
        <v>https://max.ru/join/6P4CDIXdiW5socNdup_FdA5kKEfDh7JWkzXGBNPsMNM</v>
      </c>
      <c r="I137" s="71"/>
      <c r="J137" s="88"/>
      <c r="K137" s="14" t="s">
        <v>23</v>
      </c>
      <c r="L137" s="20" t="str">
        <f>'[3]6нед'!C265</f>
        <v>пр</v>
      </c>
      <c r="M137" s="23" t="str">
        <f>'[3]6нед'!D265</f>
        <v xml:space="preserve"> Методы исследовательской/проектной деятельности</v>
      </c>
      <c r="N137" s="21" t="str">
        <f>'[3]6нед'!G265</f>
        <v>Казанцев Ю.А.</v>
      </c>
      <c r="O137" s="22" t="str">
        <f>'[3]6нед'!H265</f>
        <v>ст. преподаватель</v>
      </c>
      <c r="P137" s="55" t="str">
        <f>HYPERLINK(VLOOKUP(M137,$R$12:$S$180,2,FALSE))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'[3]5нед'!C266</f>
        <v>0</v>
      </c>
      <c r="E138" s="23">
        <f>'[3]5нед'!D266</f>
        <v>0</v>
      </c>
      <c r="F138" s="21">
        <f>'[3]5нед'!G266</f>
        <v>0</v>
      </c>
      <c r="G138" s="22" t="str">
        <f>'[3]5нед'!H266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'[3]6нед'!C266</f>
        <v>пр</v>
      </c>
      <c r="M138" s="23" t="str">
        <f>'[3]6нед'!D266</f>
        <v xml:space="preserve"> Основы военной подготовки</v>
      </c>
      <c r="N138" s="21" t="str">
        <f>'[3]6нед'!G266</f>
        <v>Кулак А.Ф.</v>
      </c>
      <c r="O138" s="22" t="str">
        <f>'[3]6нед'!H266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'[3]5нед'!C267</f>
        <v>0</v>
      </c>
      <c r="E139" s="25">
        <f>'[3]5нед'!D267</f>
        <v>0</v>
      </c>
      <c r="F139" s="26">
        <f>'[3]5нед'!G267</f>
        <v>0</v>
      </c>
      <c r="G139" s="27" t="str">
        <f>'[3]5нед'!H267</f>
        <v/>
      </c>
      <c r="H139" s="58" t="str">
        <f>HYPERLINK(VLOOKUP(E139,$R$12:$S$180,2,FALSE))</f>
        <v/>
      </c>
      <c r="I139" s="72"/>
      <c r="J139" s="89"/>
      <c r="K139" s="15"/>
      <c r="L139" s="24">
        <f>'[3]6нед'!C267</f>
        <v>0</v>
      </c>
      <c r="M139" s="25">
        <f>'[3]6нед'!D267</f>
        <v>0</v>
      </c>
      <c r="N139" s="26">
        <f>'[3]6нед'!G267</f>
        <v>0</v>
      </c>
      <c r="O139" s="27" t="str">
        <f>'[3]6нед'!H267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'[3]5нед'!C268</f>
        <v>0</v>
      </c>
      <c r="E140" s="19">
        <f>'[3]5нед'!D268</f>
        <v>0</v>
      </c>
      <c r="F140" s="17">
        <f>'[3]5нед'!G268</f>
        <v>0</v>
      </c>
      <c r="G140" s="18" t="str">
        <f>'[3]5нед'!H268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'[3]6нед'!C268</f>
        <v>0</v>
      </c>
      <c r="M140" s="19">
        <f>'[3]6нед'!D268</f>
        <v>0</v>
      </c>
      <c r="N140" s="17">
        <f>'[3]6нед'!G268</f>
        <v>0</v>
      </c>
      <c r="O140" s="18" t="str">
        <f>'[3]6нед'!H268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73</v>
      </c>
      <c r="D141" s="20">
        <f>'[3]5нед'!C269</f>
        <v>0</v>
      </c>
      <c r="E141" s="23">
        <f>'[3]5нед'!D269</f>
        <v>0</v>
      </c>
      <c r="F141" s="21">
        <f>'[3]5нед'!G269</f>
        <v>0</v>
      </c>
      <c r="G141" s="22" t="str">
        <f>'[3]5нед'!H269</f>
        <v/>
      </c>
      <c r="H141" s="57" t="str">
        <f>HYPERLINK(VLOOKUP(E141,$R$12:$S$180,2,FALSE))</f>
        <v/>
      </c>
      <c r="I141" s="71"/>
      <c r="J141" s="88"/>
      <c r="K141" s="14" t="s">
        <v>73</v>
      </c>
      <c r="L141" s="20">
        <f>'[3]6нед'!C269</f>
        <v>0</v>
      </c>
      <c r="M141" s="23">
        <f>'[3]6нед'!D269</f>
        <v>0</v>
      </c>
      <c r="N141" s="21">
        <f>'[3]6нед'!G269</f>
        <v>0</v>
      </c>
      <c r="O141" s="22" t="str">
        <f>'[3]6нед'!H269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74</v>
      </c>
      <c r="D142" s="20">
        <f>'[3]5нед'!C270</f>
        <v>0</v>
      </c>
      <c r="E142" s="23">
        <f>'[3]5нед'!D270</f>
        <v>0</v>
      </c>
      <c r="F142" s="21">
        <f>'[3]5нед'!G270</f>
        <v>0</v>
      </c>
      <c r="G142" s="22" t="str">
        <f>'[3]5нед'!H270</f>
        <v/>
      </c>
      <c r="H142" s="57" t="str">
        <f>HYPERLINK(VLOOKUP(E142,$R$12:$S$180,2,FALSE))</f>
        <v/>
      </c>
      <c r="I142" s="71"/>
      <c r="J142" s="88"/>
      <c r="K142" s="14" t="s">
        <v>74</v>
      </c>
      <c r="L142" s="20">
        <f>'[3]6нед'!C270</f>
        <v>0</v>
      </c>
      <c r="M142" s="23">
        <f>'[3]6нед'!D270</f>
        <v>0</v>
      </c>
      <c r="N142" s="21">
        <f>'[3]6нед'!G270</f>
        <v>0</v>
      </c>
      <c r="O142" s="22" t="str">
        <f>'[3]6нед'!H270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'[3]5нед'!C271</f>
        <v>0</v>
      </c>
      <c r="E143" s="23">
        <f>'[3]5нед'!D271</f>
        <v>0</v>
      </c>
      <c r="F143" s="21">
        <f>'[3]5нед'!G271</f>
        <v>0</v>
      </c>
      <c r="G143" s="22" t="str">
        <f>'[3]5нед'!H271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'[3]6нед'!C271</f>
        <v>0</v>
      </c>
      <c r="M143" s="23">
        <f>'[3]6нед'!D271</f>
        <v>0</v>
      </c>
      <c r="N143" s="21">
        <f>'[3]6нед'!G271</f>
        <v>0</v>
      </c>
      <c r="O143" s="22" t="str">
        <f>'[3]6нед'!H271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'[3]5нед'!C272</f>
        <v>0</v>
      </c>
      <c r="E144" s="23">
        <f>'[3]5нед'!D272</f>
        <v>0</v>
      </c>
      <c r="F144" s="21">
        <f>'[3]5нед'!G272</f>
        <v>0</v>
      </c>
      <c r="G144" s="22" t="str">
        <f>'[3]5нед'!H272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'[3]6нед'!C272</f>
        <v>0</v>
      </c>
      <c r="M144" s="23">
        <f>'[3]6нед'!D272</f>
        <v>0</v>
      </c>
      <c r="N144" s="21">
        <f>'[3]6нед'!G272</f>
        <v>0</v>
      </c>
      <c r="O144" s="22" t="str">
        <f>'[3]6нед'!H272</f>
        <v/>
      </c>
      <c r="P144" s="57" t="str">
        <f>HYPERLINK(VLOOKUP(M144,$R$12:$S$180,2,FALSE))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'[3]5нед'!C273</f>
        <v>л</v>
      </c>
      <c r="E145" s="23" t="str">
        <f>'[3]5нед'!D273</f>
        <v>Основы государственной политики в сфере межэтнических и межконфессиональных отношений</v>
      </c>
      <c r="F145" s="21" t="str">
        <f>'[3]5нед'!G273</f>
        <v>Бекиров С.Н.</v>
      </c>
      <c r="G145" s="22" t="str">
        <f>'[3]5нед'!H273</f>
        <v>доцент, канд. наук</v>
      </c>
      <c r="H145" s="57" t="str">
        <f>HYPERLINK(VLOOKUP(E145,$R$12:$S$180,2,FALSE))</f>
        <v>https://max.ru/join/Okan5Ed5VxVxXuMyIaDwQXtM9Y66v263YO3R7j43k14</v>
      </c>
      <c r="I145" s="71"/>
      <c r="J145" s="88"/>
      <c r="K145" s="14" t="s">
        <v>23</v>
      </c>
      <c r="L145" s="20">
        <f>'[3]6нед'!C273</f>
        <v>0</v>
      </c>
      <c r="M145" s="23">
        <f>'[3]6нед'!D273</f>
        <v>0</v>
      </c>
      <c r="N145" s="21">
        <f>'[3]6нед'!G273</f>
        <v>0</v>
      </c>
      <c r="O145" s="22" t="str">
        <f>'[3]6нед'!H273</f>
        <v/>
      </c>
      <c r="P145" s="57" t="str">
        <f>HYPERLINK(VLOOKUP(M145,$R$12:$S$180,2,FALSE))</f>
        <v/>
      </c>
    </row>
    <row r="146" spans="1:16" ht="57" thickBot="1" x14ac:dyDescent="0.25">
      <c r="A146" s="82"/>
      <c r="B146" s="85"/>
      <c r="C146" s="14" t="s">
        <v>24</v>
      </c>
      <c r="D146" s="20" t="str">
        <f>'[3]5нед'!C274</f>
        <v>л</v>
      </c>
      <c r="E146" s="23" t="str">
        <f>'[3]5нед'!D274</f>
        <v>Педагогика</v>
      </c>
      <c r="F146" s="21" t="str">
        <f>'[3]5нед'!G274</f>
        <v>Кочегурная М.Ю.</v>
      </c>
      <c r="G146" s="22" t="str">
        <f>'[3]5нед'!H274</f>
        <v>доцент</v>
      </c>
      <c r="H146" s="57" t="str">
        <f>HYPERLINK(VLOOKUP(E146,$R$12:$S$180,2,FALSE))</f>
        <v>https://max.ru/join/v5Bjqd2wcIy4RnbDXh61Rk5L54rh3fI1wPxGBjBk2rc</v>
      </c>
      <c r="I146" s="71"/>
      <c r="J146" s="88"/>
      <c r="K146" s="14" t="s">
        <v>24</v>
      </c>
      <c r="L146" s="20" t="str">
        <f>'[3]6нед'!C274</f>
        <v>пр</v>
      </c>
      <c r="M146" s="23" t="str">
        <f>'[3]6нед'!D274</f>
        <v xml:space="preserve"> Основы государственной политики в сфере межэтнических и межконфессиональных отношений</v>
      </c>
      <c r="N146" s="21" t="str">
        <f>'[3]6нед'!G274</f>
        <v>Бекиров С.Н.</v>
      </c>
      <c r="O146" s="22" t="str">
        <f>'[3]6нед'!H274</f>
        <v>доцент, канд. наук</v>
      </c>
      <c r="P146" s="57" t="str">
        <f>HYPERLINK(VLOOKUP(M146,$R$12:$S$180,2,FALSE))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'[3]5нед'!C275</f>
        <v>0</v>
      </c>
      <c r="E147" s="25">
        <f>'[3]5нед'!D275</f>
        <v>0</v>
      </c>
      <c r="F147" s="26">
        <f>'[3]5нед'!G275</f>
        <v>0</v>
      </c>
      <c r="G147" s="27" t="str">
        <f>'[3]5нед'!H275</f>
        <v/>
      </c>
      <c r="H147" s="58" t="str">
        <f>HYPERLINK(VLOOKUP(E147,$R$12:$S$180,2,FALSE))</f>
        <v/>
      </c>
      <c r="I147" s="72"/>
      <c r="J147" s="89"/>
      <c r="K147" s="15"/>
      <c r="L147" s="24">
        <f>'[3]6нед'!C275</f>
        <v>0</v>
      </c>
      <c r="M147" s="25">
        <f>'[3]6нед'!D275</f>
        <v>0</v>
      </c>
      <c r="N147" s="26">
        <f>'[3]6нед'!G275</f>
        <v>0</v>
      </c>
      <c r="O147" s="27" t="str">
        <f>'[3]6нед'!H275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'[3]5нед'!C276</f>
        <v>0</v>
      </c>
      <c r="E148" s="19">
        <f>'[3]5нед'!D276</f>
        <v>0</v>
      </c>
      <c r="F148" s="17">
        <f>'[3]5нед'!G276</f>
        <v>0</v>
      </c>
      <c r="G148" s="18" t="str">
        <f>'[3]5нед'!H276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'[3]6нед'!C276</f>
        <v>0</v>
      </c>
      <c r="M148" s="19">
        <f>'[3]6нед'!D276</f>
        <v>0</v>
      </c>
      <c r="N148" s="17">
        <f>'[3]6нед'!G276</f>
        <v>0</v>
      </c>
      <c r="O148" s="18" t="str">
        <f>'[3]6нед'!H276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73</v>
      </c>
      <c r="D149" s="20">
        <f>'[3]5нед'!C277</f>
        <v>0</v>
      </c>
      <c r="E149" s="23">
        <f>'[3]5нед'!D277</f>
        <v>0</v>
      </c>
      <c r="F149" s="21">
        <f>'[3]5нед'!G277</f>
        <v>0</v>
      </c>
      <c r="G149" s="22" t="str">
        <f>'[3]5нед'!H277</f>
        <v/>
      </c>
      <c r="H149" s="57" t="str">
        <f>HYPERLINK(VLOOKUP(E149,$R$12:$S$180,2,FALSE))</f>
        <v/>
      </c>
      <c r="I149" s="71"/>
      <c r="J149" s="74"/>
      <c r="K149" s="14" t="s">
        <v>73</v>
      </c>
      <c r="L149" s="20">
        <f>'[3]6нед'!C277</f>
        <v>0</v>
      </c>
      <c r="M149" s="23">
        <f>'[3]6нед'!D277</f>
        <v>0</v>
      </c>
      <c r="N149" s="21">
        <f>'[3]6нед'!G277</f>
        <v>0</v>
      </c>
      <c r="O149" s="22" t="str">
        <f>'[3]6нед'!H277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74</v>
      </c>
      <c r="D150" s="20">
        <f>'[3]5нед'!C278</f>
        <v>0</v>
      </c>
      <c r="E150" s="23">
        <f>'[3]5нед'!D278</f>
        <v>0</v>
      </c>
      <c r="F150" s="21">
        <f>'[3]5нед'!G278</f>
        <v>0</v>
      </c>
      <c r="G150" s="22" t="str">
        <f>'[3]5нед'!H278</f>
        <v/>
      </c>
      <c r="H150" s="57" t="str">
        <f>HYPERLINK(VLOOKUP(E150,$R$12:$S$180,2,FALSE))</f>
        <v/>
      </c>
      <c r="I150" s="71"/>
      <c r="J150" s="74"/>
      <c r="K150" s="14" t="s">
        <v>74</v>
      </c>
      <c r="L150" s="20">
        <f>'[3]6нед'!C278</f>
        <v>0</v>
      </c>
      <c r="M150" s="23">
        <f>'[3]6нед'!D278</f>
        <v>0</v>
      </c>
      <c r="N150" s="21">
        <f>'[3]6нед'!G278</f>
        <v>0</v>
      </c>
      <c r="O150" s="22" t="str">
        <f>'[3]6нед'!H278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'[3]5нед'!C279</f>
        <v>0</v>
      </c>
      <c r="E151" s="23">
        <f>'[3]5нед'!D279</f>
        <v>0</v>
      </c>
      <c r="F151" s="21">
        <f>'[3]5нед'!G279</f>
        <v>0</v>
      </c>
      <c r="G151" s="22" t="str">
        <f>'[3]5нед'!H279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'[3]6нед'!C279</f>
        <v>0</v>
      </c>
      <c r="M151" s="23">
        <f>'[3]6нед'!D279</f>
        <v>0</v>
      </c>
      <c r="N151" s="21">
        <f>'[3]6нед'!G279</f>
        <v>0</v>
      </c>
      <c r="O151" s="22" t="str">
        <f>'[3]6нед'!H279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'[3]5нед'!C280</f>
        <v>0</v>
      </c>
      <c r="E152" s="23">
        <f>'[3]5нед'!D280</f>
        <v>0</v>
      </c>
      <c r="F152" s="21">
        <f>'[3]5нед'!G280</f>
        <v>0</v>
      </c>
      <c r="G152" s="22" t="str">
        <f>'[3]5нед'!H280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'[3]6нед'!C280</f>
        <v>0</v>
      </c>
      <c r="M152" s="23">
        <f>'[3]6нед'!D280</f>
        <v>0</v>
      </c>
      <c r="N152" s="21">
        <f>'[3]6нед'!G280</f>
        <v>0</v>
      </c>
      <c r="O152" s="22" t="str">
        <f>'[3]6нед'!H280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'[3]5нед'!C281</f>
        <v>0</v>
      </c>
      <c r="E153" s="23">
        <f>'[3]5нед'!D281</f>
        <v>0</v>
      </c>
      <c r="F153" s="21">
        <f>'[3]5нед'!G281</f>
        <v>0</v>
      </c>
      <c r="G153" s="22" t="str">
        <f>'[3]5нед'!H281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'[3]6нед'!C281</f>
        <v>0</v>
      </c>
      <c r="M153" s="23">
        <f>'[3]6нед'!D281</f>
        <v>0</v>
      </c>
      <c r="N153" s="21">
        <f>'[3]6нед'!G281</f>
        <v>0</v>
      </c>
      <c r="O153" s="22" t="str">
        <f>'[3]6нед'!H281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'[3]5нед'!C282</f>
        <v>0</v>
      </c>
      <c r="E154" s="23">
        <f>'[3]5нед'!D282</f>
        <v>0</v>
      </c>
      <c r="F154" s="21">
        <f>'[3]5нед'!G282</f>
        <v>0</v>
      </c>
      <c r="G154" s="22" t="str">
        <f>'[3]5нед'!H282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'[3]6нед'!C282</f>
        <v>пр</v>
      </c>
      <c r="M154" s="23" t="str">
        <f>'[3]6нед'!D282</f>
        <v xml:space="preserve"> Педагогика</v>
      </c>
      <c r="N154" s="21" t="str">
        <f>'[3]6нед'!G282</f>
        <v>Кобзева Е.В.</v>
      </c>
      <c r="O154" s="22" t="str">
        <f>'[3]6нед'!H282</f>
        <v>преподаватель</v>
      </c>
      <c r="P154" s="55" t="str">
        <f>HYPERLINK(VLOOKUP(M154,$R$12:$S$180,2,FALSE))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'[3]5нед'!C283</f>
        <v>0</v>
      </c>
      <c r="E155" s="25">
        <f>'[3]5нед'!D283</f>
        <v>0</v>
      </c>
      <c r="F155" s="26">
        <f>'[3]5нед'!G283</f>
        <v>0</v>
      </c>
      <c r="G155" s="27" t="str">
        <f>'[3]5нед'!H283</f>
        <v/>
      </c>
      <c r="H155" s="58" t="str">
        <f>HYPERLINK(VLOOKUP(E155,$R$12:$S$180,2,FALSE))</f>
        <v/>
      </c>
      <c r="I155" s="72"/>
      <c r="J155" s="75"/>
      <c r="K155" s="15"/>
      <c r="L155" s="24">
        <f>'[3]6нед'!C283</f>
        <v>0</v>
      </c>
      <c r="M155" s="25">
        <f>'[3]6нед'!D283</f>
        <v>0</v>
      </c>
      <c r="N155" s="26">
        <f>'[3]6нед'!G283</f>
        <v>0</v>
      </c>
      <c r="O155" s="27" t="str">
        <f>'[3]6нед'!H283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'[3]5нед'!C284</f>
        <v>0</v>
      </c>
      <c r="E156" s="19">
        <f>'[3]5нед'!D284</f>
        <v>0</v>
      </c>
      <c r="F156" s="17">
        <f>'[3]5нед'!G284</f>
        <v>0</v>
      </c>
      <c r="G156" s="18" t="str">
        <f>'[3]5нед'!H284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'[3]6нед'!C284</f>
        <v>0</v>
      </c>
      <c r="M156" s="19">
        <f>'[3]6нед'!D284</f>
        <v>0</v>
      </c>
      <c r="N156" s="17">
        <f>'[3]6нед'!G284</f>
        <v>0</v>
      </c>
      <c r="O156" s="18" t="str">
        <f>'[3]6нед'!H284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73</v>
      </c>
      <c r="D157" s="20">
        <f>'[3]5нед'!C285</f>
        <v>0</v>
      </c>
      <c r="E157" s="23">
        <f>'[3]5нед'!D285</f>
        <v>0</v>
      </c>
      <c r="F157" s="21">
        <f>'[3]5нед'!G285</f>
        <v>0</v>
      </c>
      <c r="G157" s="22" t="str">
        <f>'[3]5нед'!H285</f>
        <v/>
      </c>
      <c r="H157" s="57" t="str">
        <f>HYPERLINK(VLOOKUP(E157,$R$12:$S$180,2,FALSE))</f>
        <v/>
      </c>
      <c r="I157" s="71"/>
      <c r="J157" s="88"/>
      <c r="K157" s="14" t="s">
        <v>73</v>
      </c>
      <c r="L157" s="20">
        <f>'[3]6нед'!C285</f>
        <v>0</v>
      </c>
      <c r="M157" s="23">
        <f>'[3]6нед'!D285</f>
        <v>0</v>
      </c>
      <c r="N157" s="21">
        <f>'[3]6нед'!G285</f>
        <v>0</v>
      </c>
      <c r="O157" s="22" t="str">
        <f>'[3]6нед'!H285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74</v>
      </c>
      <c r="D158" s="20">
        <f>'[3]5нед'!C286</f>
        <v>0</v>
      </c>
      <c r="E158" s="23">
        <f>'[3]5нед'!D286</f>
        <v>0</v>
      </c>
      <c r="F158" s="21">
        <f>'[3]5нед'!G286</f>
        <v>0</v>
      </c>
      <c r="G158" s="22" t="str">
        <f>'[3]5нед'!H286</f>
        <v/>
      </c>
      <c r="H158" s="57" t="str">
        <f>HYPERLINK(VLOOKUP(E158,$R$12:$S$180,2,FALSE))</f>
        <v/>
      </c>
      <c r="I158" s="71"/>
      <c r="J158" s="88"/>
      <c r="K158" s="14" t="s">
        <v>74</v>
      </c>
      <c r="L158" s="20">
        <f>'[3]6нед'!C286</f>
        <v>0</v>
      </c>
      <c r="M158" s="23">
        <f>'[3]6нед'!D286</f>
        <v>0</v>
      </c>
      <c r="N158" s="21">
        <f>'[3]6нед'!G286</f>
        <v>0</v>
      </c>
      <c r="O158" s="22" t="str">
        <f>'[3]6нед'!H286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'[3]5нед'!C287</f>
        <v>0</v>
      </c>
      <c r="E159" s="23">
        <f>'[3]5нед'!D287</f>
        <v>0</v>
      </c>
      <c r="F159" s="21">
        <f>'[3]5нед'!G287</f>
        <v>0</v>
      </c>
      <c r="G159" s="22" t="str">
        <f>'[3]5нед'!H287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'[3]6нед'!C287</f>
        <v>0</v>
      </c>
      <c r="M159" s="23">
        <f>'[3]6нед'!D287</f>
        <v>0</v>
      </c>
      <c r="N159" s="21">
        <f>'[3]6нед'!G287</f>
        <v>0</v>
      </c>
      <c r="O159" s="22" t="str">
        <f>'[3]6нед'!H287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'[3]5нед'!C288</f>
        <v>0</v>
      </c>
      <c r="E160" s="23">
        <f>'[3]5нед'!D288</f>
        <v>0</v>
      </c>
      <c r="F160" s="21">
        <f>'[3]5нед'!G288</f>
        <v>0</v>
      </c>
      <c r="G160" s="22" t="str">
        <f>'[3]5нед'!H288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'[3]6нед'!C288</f>
        <v>0</v>
      </c>
      <c r="M160" s="23">
        <f>'[3]6нед'!D288</f>
        <v>0</v>
      </c>
      <c r="N160" s="21">
        <f>'[3]6нед'!G288</f>
        <v>0</v>
      </c>
      <c r="O160" s="22" t="str">
        <f>'[3]6нед'!H288</f>
        <v/>
      </c>
      <c r="P160" s="57" t="str">
        <f>HYPERLINK(VLOOKUP(M160,$R$12:$S$180,2,FALSE))</f>
        <v/>
      </c>
    </row>
    <row r="161" spans="1:16" ht="37.5" x14ac:dyDescent="0.2">
      <c r="A161" s="82"/>
      <c r="B161" s="85"/>
      <c r="C161" s="14" t="s">
        <v>23</v>
      </c>
      <c r="D161" s="20" t="str">
        <f>'[3]5нед'!C289</f>
        <v>пр</v>
      </c>
      <c r="E161" s="23" t="str">
        <f>'[3]5нед'!D289</f>
        <v>Математическая логика и теория алгоритмов</v>
      </c>
      <c r="F161" s="21" t="str">
        <f>'[3]5нед'!G289</f>
        <v>Казанцев Ю.А.</v>
      </c>
      <c r="G161" s="22" t="str">
        <f>'[3]5нед'!H289</f>
        <v>ст. преподаватель</v>
      </c>
      <c r="H161" s="55" t="str">
        <f>HYPERLINK(VLOOKUP(E161,$R$12:$S$180,2,FALSE))</f>
        <v>https://max.ru/join/CuOdXmdZWK47DPyk2yukbmbFfy3zg-be-Oob6Blusek</v>
      </c>
      <c r="I161" s="71"/>
      <c r="J161" s="88"/>
      <c r="K161" s="14" t="s">
        <v>23</v>
      </c>
      <c r="L161" s="20">
        <f>'[3]6нед'!C289</f>
        <v>0</v>
      </c>
      <c r="M161" s="23">
        <f>'[3]6нед'!D289</f>
        <v>0</v>
      </c>
      <c r="N161" s="21">
        <f>'[3]6нед'!G289</f>
        <v>0</v>
      </c>
      <c r="O161" s="22" t="str">
        <f>'[3]6нед'!H289</f>
        <v/>
      </c>
      <c r="P161" s="55" t="str">
        <f>HYPERLINK(VLOOKUP(M161,$R$12:$S$180,2,FALSE))</f>
        <v/>
      </c>
    </row>
    <row r="162" spans="1:16" ht="57" thickBot="1" x14ac:dyDescent="0.25">
      <c r="A162" s="82"/>
      <c r="B162" s="85"/>
      <c r="C162" s="14" t="s">
        <v>24</v>
      </c>
      <c r="D162" s="20" t="str">
        <f>'[3]5нед'!C290</f>
        <v>пр</v>
      </c>
      <c r="E162" s="23" t="str">
        <f>'[3]5нед'!D290</f>
        <v>Архитектура компьютера</v>
      </c>
      <c r="F162" s="21" t="str">
        <f>'[3]5нед'!G290</f>
        <v>Криницкий Ю.В.</v>
      </c>
      <c r="G162" s="22" t="str">
        <f>'[3]5нед'!H290</f>
        <v>преподаватель</v>
      </c>
      <c r="H162" s="55" t="str">
        <f>HYPERLINK(VLOOKUP(E162,$R$12:$S$180,2,FALSE))</f>
        <v>https://max.ru/join/CuOdXmdZWK47DPyk2yukbmbFfy3zg-be-Oob6Blusek</v>
      </c>
      <c r="I162" s="71"/>
      <c r="J162" s="88"/>
      <c r="K162" s="14" t="s">
        <v>24</v>
      </c>
      <c r="L162" s="20" t="str">
        <f>'[3]6нед'!C290</f>
        <v>пр</v>
      </c>
      <c r="M162" s="23" t="str">
        <f>'[3]6нед'!D290</f>
        <v xml:space="preserve"> Основы государственной политики в сфере межэтнических и межконфессиональных отношений</v>
      </c>
      <c r="N162" s="21" t="str">
        <f>'[3]6нед'!G290</f>
        <v>Бекиров С.Н.</v>
      </c>
      <c r="O162" s="22" t="str">
        <f>'[3]6нед'!H290</f>
        <v>доцент, канд. наук</v>
      </c>
      <c r="P162" s="55" t="str">
        <f>HYPERLINK(VLOOKUP(M162,$R$12:$S$180,2,FALSE))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'[3]5нед'!C291</f>
        <v>0</v>
      </c>
      <c r="E163" s="25">
        <f>'[3]5нед'!D291</f>
        <v>0</v>
      </c>
      <c r="F163" s="26">
        <f>'[3]5нед'!G291</f>
        <v>0</v>
      </c>
      <c r="G163" s="27" t="str">
        <f>'[3]5нед'!H291</f>
        <v/>
      </c>
      <c r="H163" s="58" t="str">
        <f>HYPERLINK(VLOOKUP(E163,$R$12:$S$180,2,FALSE))</f>
        <v/>
      </c>
      <c r="I163" s="72"/>
      <c r="J163" s="89"/>
      <c r="K163" s="15"/>
      <c r="L163" s="24">
        <f>'[3]6нед'!C291</f>
        <v>0</v>
      </c>
      <c r="M163" s="25">
        <f>'[3]6нед'!D291</f>
        <v>0</v>
      </c>
      <c r="N163" s="26">
        <f>'[3]6нед'!G291</f>
        <v>0</v>
      </c>
      <c r="O163" s="27" t="str">
        <f>'[3]6нед'!H291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'[3]5нед'!C292</f>
        <v>0</v>
      </c>
      <c r="E164" s="19">
        <f>'[3]5нед'!D292</f>
        <v>0</v>
      </c>
      <c r="F164" s="17">
        <f>'[3]5нед'!G292</f>
        <v>0</v>
      </c>
      <c r="G164" s="18" t="str">
        <f>'[3]5нед'!H292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'[3]6нед'!C292</f>
        <v>0</v>
      </c>
      <c r="M164" s="19">
        <f>'[3]6нед'!D292</f>
        <v>0</v>
      </c>
      <c r="N164" s="17">
        <f>'[3]6нед'!G292</f>
        <v>0</v>
      </c>
      <c r="O164" s="18" t="str">
        <f>'[3]6нед'!H292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73</v>
      </c>
      <c r="D165" s="20">
        <f>'[3]5нед'!C293</f>
        <v>0</v>
      </c>
      <c r="E165" s="23">
        <f>'[3]5нед'!D293</f>
        <v>0</v>
      </c>
      <c r="F165" s="21">
        <f>'[3]5нед'!G293</f>
        <v>0</v>
      </c>
      <c r="G165" s="22" t="str">
        <f>'[3]5нед'!H293</f>
        <v/>
      </c>
      <c r="H165" s="57" t="str">
        <f>HYPERLINK(VLOOKUP(E165,$R$12:$S$180,2,FALSE))</f>
        <v/>
      </c>
      <c r="I165" s="71"/>
      <c r="J165" s="88"/>
      <c r="K165" s="14" t="s">
        <v>73</v>
      </c>
      <c r="L165" s="20">
        <f>'[3]6нед'!C293</f>
        <v>0</v>
      </c>
      <c r="M165" s="23">
        <f>'[3]6нед'!D293</f>
        <v>0</v>
      </c>
      <c r="N165" s="21">
        <f>'[3]6нед'!G293</f>
        <v>0</v>
      </c>
      <c r="O165" s="22" t="str">
        <f>'[3]6нед'!H293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74</v>
      </c>
      <c r="D166" s="20">
        <f>'[3]5нед'!C294</f>
        <v>0</v>
      </c>
      <c r="E166" s="23">
        <f>'[3]5нед'!D294</f>
        <v>0</v>
      </c>
      <c r="F166" s="21">
        <f>'[3]5нед'!G294</f>
        <v>0</v>
      </c>
      <c r="G166" s="22" t="str">
        <f>'[3]5нед'!H294</f>
        <v/>
      </c>
      <c r="H166" s="57" t="str">
        <f>HYPERLINK(VLOOKUP(E166,$R$12:$S$180,2,FALSE))</f>
        <v/>
      </c>
      <c r="I166" s="71"/>
      <c r="J166" s="88"/>
      <c r="K166" s="14" t="s">
        <v>74</v>
      </c>
      <c r="L166" s="20">
        <f>'[3]6нед'!C294</f>
        <v>0</v>
      </c>
      <c r="M166" s="23">
        <f>'[3]6нед'!D294</f>
        <v>0</v>
      </c>
      <c r="N166" s="21">
        <f>'[3]6нед'!G294</f>
        <v>0</v>
      </c>
      <c r="O166" s="22" t="str">
        <f>'[3]6нед'!H294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'[3]5нед'!C295</f>
        <v>0</v>
      </c>
      <c r="E167" s="23">
        <f>'[3]5нед'!D295</f>
        <v>0</v>
      </c>
      <c r="F167" s="21">
        <f>'[3]5нед'!G295</f>
        <v>0</v>
      </c>
      <c r="G167" s="22" t="str">
        <f>'[3]5нед'!H295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'[3]6нед'!C295</f>
        <v>0</v>
      </c>
      <c r="M167" s="23">
        <f>'[3]6нед'!D295</f>
        <v>0</v>
      </c>
      <c r="N167" s="21">
        <f>'[3]6нед'!G295</f>
        <v>0</v>
      </c>
      <c r="O167" s="22" t="str">
        <f>'[3]6нед'!H295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'[3]5нед'!C296</f>
        <v>0</v>
      </c>
      <c r="E168" s="23">
        <f>'[3]5нед'!D296</f>
        <v>0</v>
      </c>
      <c r="F168" s="21">
        <f>'[3]5нед'!G296</f>
        <v>0</v>
      </c>
      <c r="G168" s="22" t="str">
        <f>'[3]5нед'!H296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'[3]6нед'!C296</f>
        <v>0</v>
      </c>
      <c r="M168" s="23">
        <f>'[3]6нед'!D296</f>
        <v>0</v>
      </c>
      <c r="N168" s="21">
        <f>'[3]6нед'!G296</f>
        <v>0</v>
      </c>
      <c r="O168" s="22" t="str">
        <f>'[3]6нед'!H296</f>
        <v/>
      </c>
      <c r="P168" s="57" t="str">
        <f>HYPERLINK(VLOOKUP(M168,$R$12:$S$180,2,FALSE))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'[3]5нед'!C297</f>
        <v>0</v>
      </c>
      <c r="E169" s="23">
        <f>'[3]5нед'!D297</f>
        <v>0</v>
      </c>
      <c r="F169" s="21">
        <f>'[3]5нед'!G297</f>
        <v>0</v>
      </c>
      <c r="G169" s="22" t="str">
        <f>'[3]5нед'!H297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 t="str">
        <f>'[3]6нед'!C297</f>
        <v>пр</v>
      </c>
      <c r="M169" s="23" t="str">
        <f>'[3]6нед'!D297</f>
        <v xml:space="preserve"> Технология и организация воспитательных практик (классное руководство)</v>
      </c>
      <c r="N169" s="21" t="str">
        <f>'[3]6нед'!G297</f>
        <v>Макарчук Н.В.</v>
      </c>
      <c r="O169" s="22" t="str">
        <f>'[3]6нед'!H297</f>
        <v>преподаватель</v>
      </c>
      <c r="P169" s="57" t="str">
        <f>HYPERLINK(VLOOKUP(M169,$R$12:$S$180,2,FALSE))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'[3]5нед'!C298</f>
        <v>0</v>
      </c>
      <c r="E170" s="23">
        <f>'[3]5нед'!D298</f>
        <v>0</v>
      </c>
      <c r="F170" s="21">
        <f>'[3]5нед'!G298</f>
        <v>0</v>
      </c>
      <c r="G170" s="22" t="str">
        <f>'[3]5нед'!H298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'[3]6нед'!C298</f>
        <v>0</v>
      </c>
      <c r="M170" s="23">
        <f>'[3]6нед'!D298</f>
        <v>0</v>
      </c>
      <c r="N170" s="21">
        <f>'[3]6нед'!G298</f>
        <v>0</v>
      </c>
      <c r="O170" s="22" t="str">
        <f>'[3]6нед'!H298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'[3]5нед'!C299</f>
        <v>0</v>
      </c>
      <c r="E171" s="25">
        <f>'[3]5нед'!D299</f>
        <v>0</v>
      </c>
      <c r="F171" s="26">
        <f>'[3]5нед'!G299</f>
        <v>0</v>
      </c>
      <c r="G171" s="27" t="str">
        <f>'[3]5нед'!H299</f>
        <v/>
      </c>
      <c r="H171" s="58" t="str">
        <f>HYPERLINK(VLOOKUP(E171,$R$12:$S$180,2,FALSE))</f>
        <v/>
      </c>
      <c r="I171" s="72"/>
      <c r="J171" s="89"/>
      <c r="K171" s="15"/>
      <c r="L171" s="24">
        <f>'[3]6нед'!C299</f>
        <v>0</v>
      </c>
      <c r="M171" s="25">
        <f>'[3]6нед'!D299</f>
        <v>0</v>
      </c>
      <c r="N171" s="26">
        <f>'[3]6нед'!G299</f>
        <v>0</v>
      </c>
      <c r="O171" s="27" t="str">
        <f>'[3]6нед'!H299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'[3]5нед'!C300</f>
        <v>0</v>
      </c>
      <c r="E172" s="19">
        <f>'[3]5нед'!D300</f>
        <v>0</v>
      </c>
      <c r="F172" s="17">
        <f>'[3]5нед'!G300</f>
        <v>0</v>
      </c>
      <c r="G172" s="18" t="str">
        <f>'[3]5нед'!H300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'[3]6нед'!C300</f>
        <v>0</v>
      </c>
      <c r="M172" s="19">
        <f>'[3]6нед'!D300</f>
        <v>0</v>
      </c>
      <c r="N172" s="17">
        <f>'[3]6нед'!G300</f>
        <v>0</v>
      </c>
      <c r="O172" s="18" t="str">
        <f>'[3]6нед'!H300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73</v>
      </c>
      <c r="D173" s="20">
        <f>'[3]5нед'!C301</f>
        <v>0</v>
      </c>
      <c r="E173" s="23">
        <f>'[3]5нед'!D301</f>
        <v>0</v>
      </c>
      <c r="F173" s="21">
        <f>'[3]5нед'!G301</f>
        <v>0</v>
      </c>
      <c r="G173" s="22" t="str">
        <f>'[3]5нед'!H301</f>
        <v/>
      </c>
      <c r="H173" s="57" t="str">
        <f>HYPERLINK(VLOOKUP(E173,$R$12:$S$180,2,FALSE))</f>
        <v/>
      </c>
      <c r="I173" s="71"/>
      <c r="J173" s="88"/>
      <c r="K173" s="14" t="s">
        <v>73</v>
      </c>
      <c r="L173" s="20">
        <f>'[3]6нед'!C301</f>
        <v>0</v>
      </c>
      <c r="M173" s="23">
        <f>'[3]6нед'!D301</f>
        <v>0</v>
      </c>
      <c r="N173" s="21">
        <f>'[3]6нед'!G301</f>
        <v>0</v>
      </c>
      <c r="O173" s="22" t="str">
        <f>'[3]6нед'!H301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74</v>
      </c>
      <c r="D174" s="20">
        <f>'[3]5нед'!C302</f>
        <v>0</v>
      </c>
      <c r="E174" s="23">
        <f>'[3]5нед'!D302</f>
        <v>0</v>
      </c>
      <c r="F174" s="21">
        <f>'[3]5нед'!G302</f>
        <v>0</v>
      </c>
      <c r="G174" s="22" t="str">
        <f>'[3]5нед'!H302</f>
        <v/>
      </c>
      <c r="H174" s="57" t="str">
        <f>HYPERLINK(VLOOKUP(E174,$R$12:$S$180,2,FALSE))</f>
        <v/>
      </c>
      <c r="I174" s="71"/>
      <c r="J174" s="88"/>
      <c r="K174" s="14" t="s">
        <v>74</v>
      </c>
      <c r="L174" s="20">
        <f>'[3]6нед'!C302</f>
        <v>0</v>
      </c>
      <c r="M174" s="23">
        <f>'[3]6нед'!D302</f>
        <v>0</v>
      </c>
      <c r="N174" s="21">
        <f>'[3]6нед'!G302</f>
        <v>0</v>
      </c>
      <c r="O174" s="22" t="str">
        <f>'[3]6нед'!H302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'[3]5нед'!C303</f>
        <v>0</v>
      </c>
      <c r="E175" s="23">
        <f>'[3]5нед'!D303</f>
        <v>0</v>
      </c>
      <c r="F175" s="21">
        <f>'[3]5нед'!G303</f>
        <v>0</v>
      </c>
      <c r="G175" s="22" t="str">
        <f>'[3]5нед'!H303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'[3]6нед'!C303</f>
        <v>0</v>
      </c>
      <c r="M175" s="23">
        <f>'[3]6нед'!D303</f>
        <v>0</v>
      </c>
      <c r="N175" s="21">
        <f>'[3]6нед'!G303</f>
        <v>0</v>
      </c>
      <c r="O175" s="22" t="str">
        <f>'[3]6нед'!H303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'[3]5нед'!C304</f>
        <v>0</v>
      </c>
      <c r="E176" s="23">
        <f>'[3]5нед'!D304</f>
        <v>0</v>
      </c>
      <c r="F176" s="21">
        <f>'[3]5нед'!G304</f>
        <v>0</v>
      </c>
      <c r="G176" s="22" t="str">
        <f>'[3]5нед'!H304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'[3]6нед'!C304</f>
        <v>0</v>
      </c>
      <c r="M176" s="23">
        <f>'[3]6нед'!D304</f>
        <v>0</v>
      </c>
      <c r="N176" s="21">
        <f>'[3]6нед'!G304</f>
        <v>0</v>
      </c>
      <c r="O176" s="22" t="str">
        <f>'[3]6нед'!H304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'[3]5нед'!C305</f>
        <v>0</v>
      </c>
      <c r="E177" s="23">
        <f>'[3]5нед'!D305</f>
        <v>0</v>
      </c>
      <c r="F177" s="21">
        <f>'[3]5нед'!G305</f>
        <v>0</v>
      </c>
      <c r="G177" s="22" t="str">
        <f>'[3]5нед'!H305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'[3]6нед'!C305</f>
        <v>0</v>
      </c>
      <c r="M177" s="23">
        <f>'[3]6нед'!D305</f>
        <v>0</v>
      </c>
      <c r="N177" s="21">
        <f>'[3]6нед'!G305</f>
        <v>0</v>
      </c>
      <c r="O177" s="22" t="str">
        <f>'[3]6нед'!H305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'[3]5нед'!C306</f>
        <v>0</v>
      </c>
      <c r="E178" s="23">
        <f>'[3]5нед'!D306</f>
        <v>0</v>
      </c>
      <c r="F178" s="21">
        <f>'[3]5нед'!G306</f>
        <v>0</v>
      </c>
      <c r="G178" s="22" t="str">
        <f>'[3]5нед'!H306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'[3]6нед'!C306</f>
        <v>0</v>
      </c>
      <c r="M178" s="23">
        <f>'[3]6нед'!D306</f>
        <v>0</v>
      </c>
      <c r="N178" s="21">
        <f>'[3]6нед'!G306</f>
        <v>0</v>
      </c>
      <c r="O178" s="22" t="str">
        <f>'[3]6нед'!H306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'[3]5нед'!C245</f>
        <v>0</v>
      </c>
      <c r="E179" s="19">
        <f>'[3]5нед'!D245</f>
        <v>0</v>
      </c>
      <c r="F179" s="17">
        <f>'[3]5нед'!G245</f>
        <v>0</v>
      </c>
      <c r="G179" s="18" t="str">
        <f>'[3]5нед'!H245</f>
        <v/>
      </c>
      <c r="H179" s="39"/>
      <c r="I179" s="72"/>
      <c r="J179" s="89"/>
      <c r="K179" s="15"/>
      <c r="L179" s="24">
        <f>'[3]6нед'!C59</f>
        <v>0</v>
      </c>
      <c r="M179" s="25">
        <f>'[3]6нед'!D59</f>
        <v>0</v>
      </c>
      <c r="N179" s="26">
        <f>'[3]6нед'!G59</f>
        <v>0</v>
      </c>
      <c r="O179" s="27" t="str">
        <f>'[3]6нед'!H59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49" priority="132" operator="equal">
      <formula>"0. ,0, "</formula>
    </cfRule>
  </conditionalFormatting>
  <conditionalFormatting sqref="G59">
    <cfRule type="cellIs" dxfId="48" priority="131" operator="equal">
      <formula>"0. 0,0, ауд. 0, 0"</formula>
    </cfRule>
  </conditionalFormatting>
  <conditionalFormatting sqref="G59">
    <cfRule type="cellIs" dxfId="47" priority="130" operator="equal">
      <formula>"0. 0 0, ауд. 0, 0"</formula>
    </cfRule>
  </conditionalFormatting>
  <conditionalFormatting sqref="G59">
    <cfRule type="cellIs" dxfId="46" priority="129" operator="equal">
      <formula>"0. ,0, "</formula>
    </cfRule>
  </conditionalFormatting>
  <conditionalFormatting sqref="G59">
    <cfRule type="cellIs" dxfId="45" priority="128" operator="equal">
      <formula>"0. 0,0, ауд. 0, 0"</formula>
    </cfRule>
  </conditionalFormatting>
  <conditionalFormatting sqref="G59">
    <cfRule type="cellIs" dxfId="44" priority="127" operator="equal">
      <formula>"0. 0 0, ауд. 0, 0"</formula>
    </cfRule>
  </conditionalFormatting>
  <conditionalFormatting sqref="G59">
    <cfRule type="cellIs" dxfId="43" priority="126" operator="equal">
      <formula>"0. ,0, "</formula>
    </cfRule>
  </conditionalFormatting>
  <conditionalFormatting sqref="G59">
    <cfRule type="cellIs" dxfId="42" priority="125" operator="equal">
      <formula>"0. 0,0, ауд. 0, 0"</formula>
    </cfRule>
  </conditionalFormatting>
  <conditionalFormatting sqref="G59">
    <cfRule type="cellIs" dxfId="41" priority="124" operator="equal">
      <formula>"0. 0 0, ауд. 0, 0"</formula>
    </cfRule>
  </conditionalFormatting>
  <conditionalFormatting sqref="G59">
    <cfRule type="cellIs" dxfId="4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39" priority="121" operator="equal">
      <formula>"0. ,0, "</formula>
    </cfRule>
  </conditionalFormatting>
  <conditionalFormatting sqref="G119">
    <cfRule type="cellIs" dxfId="38" priority="120" operator="equal">
      <formula>"0. 0,0, ауд. 0, 0"</formula>
    </cfRule>
  </conditionalFormatting>
  <conditionalFormatting sqref="G119">
    <cfRule type="cellIs" dxfId="37" priority="119" operator="equal">
      <formula>"0. 0 0, ауд. 0, 0"</formula>
    </cfRule>
  </conditionalFormatting>
  <conditionalFormatting sqref="G119">
    <cfRule type="cellIs" dxfId="36" priority="118" operator="equal">
      <formula>"0. ,0, "</formula>
    </cfRule>
  </conditionalFormatting>
  <conditionalFormatting sqref="G119">
    <cfRule type="cellIs" dxfId="35" priority="117" operator="equal">
      <formula>"0. 0,0, ауд. 0, 0"</formula>
    </cfRule>
  </conditionalFormatting>
  <conditionalFormatting sqref="G119">
    <cfRule type="cellIs" dxfId="34" priority="116" operator="equal">
      <formula>"0. 0 0, ауд. 0, 0"</formula>
    </cfRule>
  </conditionalFormatting>
  <conditionalFormatting sqref="G119">
    <cfRule type="cellIs" dxfId="33" priority="115" operator="equal">
      <formula>"0. ,0, "</formula>
    </cfRule>
  </conditionalFormatting>
  <conditionalFormatting sqref="G119">
    <cfRule type="cellIs" dxfId="32" priority="114" operator="equal">
      <formula>"0. 0,0, ауд. 0, 0"</formula>
    </cfRule>
  </conditionalFormatting>
  <conditionalFormatting sqref="G119">
    <cfRule type="cellIs" dxfId="31" priority="113" operator="equal">
      <formula>"0. 0 0, ауд. 0, 0"</formula>
    </cfRule>
  </conditionalFormatting>
  <conditionalFormatting sqref="G119">
    <cfRule type="cellIs" dxfId="3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conditionalFormatting sqref="G179">
    <cfRule type="cellIs" dxfId="29" priority="110" operator="equal">
      <formula>"0. ,0, "</formula>
    </cfRule>
  </conditionalFormatting>
  <conditionalFormatting sqref="G179">
    <cfRule type="cellIs" dxfId="28" priority="109" operator="equal">
      <formula>"0. 0,0, ауд. 0, 0"</formula>
    </cfRule>
  </conditionalFormatting>
  <conditionalFormatting sqref="G179">
    <cfRule type="cellIs" dxfId="27" priority="108" operator="equal">
      <formula>"0. 0 0, ауд. 0, 0"</formula>
    </cfRule>
  </conditionalFormatting>
  <conditionalFormatting sqref="G179">
    <cfRule type="cellIs" dxfId="26" priority="107" operator="equal">
      <formula>"0. ,0, "</formula>
    </cfRule>
  </conditionalFormatting>
  <conditionalFormatting sqref="G179">
    <cfRule type="cellIs" dxfId="25" priority="106" operator="equal">
      <formula>"0. 0,0, ауд. 0, 0"</formula>
    </cfRule>
  </conditionalFormatting>
  <conditionalFormatting sqref="G179">
    <cfRule type="cellIs" dxfId="24" priority="105" operator="equal">
      <formula>"0. 0 0, ауд. 0, 0"</formula>
    </cfRule>
  </conditionalFormatting>
  <conditionalFormatting sqref="G179">
    <cfRule type="cellIs" dxfId="23" priority="104" operator="equal">
      <formula>"0. ,0, "</formula>
    </cfRule>
  </conditionalFormatting>
  <conditionalFormatting sqref="G179">
    <cfRule type="cellIs" dxfId="22" priority="103" operator="equal">
      <formula>"0. 0,0, ауд. 0, 0"</formula>
    </cfRule>
  </conditionalFormatting>
  <conditionalFormatting sqref="G179">
    <cfRule type="cellIs" dxfId="21" priority="102" operator="equal">
      <formula>"0. 0 0, ауд. 0, 0"</formula>
    </cfRule>
  </conditionalFormatting>
  <conditionalFormatting sqref="G179">
    <cfRule type="cellIs" dxfId="20" priority="100" operator="equal">
      <formula>"0. 0 0, ауд. 0,"</formula>
    </cfRule>
    <cfRule type="colorScale" priority="101">
      <colorScale>
        <cfvo type="min"/>
        <cfvo type="max"/>
        <color rgb="FFFF7128"/>
        <color rgb="FFFFEF9C"/>
      </colorScale>
    </cfRule>
  </conditionalFormatting>
  <hyperlinks>
    <hyperlink ref="S25" r:id="rId1" xr:uid="{9AA4FF40-07FC-41AE-8FC5-ACD8211E1BED}"/>
    <hyperlink ref="S12" r:id="rId2" xr:uid="{077DDA2F-19A0-4857-B574-8D173DA1506C}"/>
    <hyperlink ref="S14" r:id="rId3" xr:uid="{18A355BC-6D90-48C5-A42B-90F4955CF3B7}"/>
    <hyperlink ref="S13" r:id="rId4" xr:uid="{46E5C32A-5F02-4A4E-851F-458BE1208E7E}"/>
    <hyperlink ref="S15" r:id="rId5" xr:uid="{A1CF3E41-0AD4-4101-95F5-5B5CB66CF95E}"/>
    <hyperlink ref="S24" r:id="rId6" xr:uid="{FCDBC50F-033C-4CFF-BB9D-3E7A2FA2E3F3}"/>
    <hyperlink ref="S26:S27" r:id="rId7" display="https://max.ru/join/vVDI4UrM3eCAidVGjy4YDG7oZq_cJEJtK2NywT5ISAk" xr:uid="{CE8CC304-7054-42A1-8041-BB6A60021D35}"/>
    <hyperlink ref="S28" r:id="rId8" xr:uid="{C7539C48-39BA-42CD-A7A0-07BBB4BE4590}"/>
    <hyperlink ref="S21" r:id="rId9" xr:uid="{DEDADEC9-6722-48CD-A0D6-D51C1CFD83AE}"/>
    <hyperlink ref="S16" r:id="rId10" xr:uid="{80ED30F1-B833-46AD-913F-27403C563FBA}"/>
    <hyperlink ref="S17" r:id="rId11" xr:uid="{CF600843-6814-479F-A865-DCC4D2644334}"/>
    <hyperlink ref="S18:S20" r:id="rId12" display="https://max.ru/join/CuOdXmdZWK47DPyk2yukbmbFfy3zg-be-Oob6Blusek" xr:uid="{0BBAB119-B113-4090-9812-94C49530B7C7}"/>
    <hyperlink ref="S22:S23" r:id="rId13" display="https://max.ru/join/CuOdXmdZWK47DPyk2yukbmbFfy3zg-be-Oob6Blusek" xr:uid="{55FB6A8E-5508-49E6-9C71-BE1B412BFF8E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81A7-C3E3-4471-99DF-F814CAFC65CA}">
  <dimension ref="A1:S180"/>
  <sheetViews>
    <sheetView view="pageBreakPreview" topLeftCell="F123" zoomScale="50" zoomScaleNormal="55" zoomScaleSheetLayoutView="50" workbookViewId="0">
      <selection activeCell="A600" sqref="A181:XFD600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69.7109375" style="42" customWidth="1"/>
    <col min="18" max="18" width="64.140625" customWidth="1"/>
    <col min="19" max="19" width="29.28515625" customWidth="1"/>
  </cols>
  <sheetData>
    <row r="1" spans="1:19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9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9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9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9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9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9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'[1]1нед'!$L$254</f>
        <v>44.03.05.Педагогическое образование (с двумя профилями подготовки) (Математика и Экономика)</v>
      </c>
      <c r="F7" s="7"/>
      <c r="G7" s="7"/>
      <c r="H7" s="36"/>
      <c r="I7" s="46"/>
      <c r="J7" s="62" t="str">
        <f>'[1]1нед'!$A$6</f>
        <v>Направление подготовки:</v>
      </c>
      <c r="K7" s="6"/>
      <c r="L7" s="7"/>
      <c r="M7" s="8" t="str">
        <f>E7</f>
        <v>44.03.05.Педагогическое образование (с двумя профилями подготовки) (Математика и Экономика)</v>
      </c>
      <c r="N7" s="7"/>
      <c r="O7" s="7"/>
      <c r="P7" s="36"/>
    </row>
    <row r="8" spans="1:19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9" ht="15.75" x14ac:dyDescent="0.25">
      <c r="A9" s="45"/>
      <c r="B9" s="81" t="s">
        <v>7</v>
      </c>
      <c r="C9" s="81"/>
      <c r="D9" s="81"/>
      <c r="E9" s="62">
        <v>2</v>
      </c>
      <c r="F9" s="62" t="str">
        <f>'[1]1нед'!$L$258</f>
        <v>12-24МЭоз</v>
      </c>
      <c r="G9" s="62"/>
      <c r="H9" s="35"/>
      <c r="I9" s="45"/>
      <c r="J9" s="81" t="s">
        <v>7</v>
      </c>
      <c r="K9" s="81"/>
      <c r="L9" s="81"/>
      <c r="M9" s="62">
        <f>E9</f>
        <v>2</v>
      </c>
      <c r="N9" s="62" t="str">
        <f>'[1]1нед'!$L$258</f>
        <v>12-24МЭоз</v>
      </c>
      <c r="O9" s="62"/>
      <c r="P9" s="35"/>
    </row>
    <row r="10" spans="1:19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9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  <c r="R11" s="59" t="s">
        <v>38</v>
      </c>
      <c r="S11" s="59" t="s">
        <v>39</v>
      </c>
    </row>
    <row r="12" spans="1:19" ht="32.25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'[1]1нед'!K260</f>
        <v>0</v>
      </c>
      <c r="E12" s="19">
        <f>'[1]1нед'!L260</f>
        <v>0</v>
      </c>
      <c r="F12" s="17">
        <f>'[1]1нед'!O260</f>
        <v>0</v>
      </c>
      <c r="G12" s="18" t="str">
        <f>'[1]1нед'!P260</f>
        <v/>
      </c>
      <c r="H12" s="56" t="str">
        <f>HYPERLINK(VLOOKUP(E12,$R$12:$S$180,2,FALSE))</f>
        <v/>
      </c>
      <c r="I12" s="70">
        <v>46272</v>
      </c>
      <c r="J12" s="87" t="s">
        <v>17</v>
      </c>
      <c r="K12" s="14" t="s">
        <v>18</v>
      </c>
      <c r="L12" s="16">
        <f>'[1]2нед'!K260</f>
        <v>0</v>
      </c>
      <c r="M12" s="19">
        <f>'[1]2нед'!L260</f>
        <v>0</v>
      </c>
      <c r="N12" s="17">
        <f>'[1]2нед'!O260</f>
        <v>0</v>
      </c>
      <c r="O12" s="18" t="str">
        <f>'[1]2нед'!P260</f>
        <v/>
      </c>
      <c r="P12" s="56" t="str">
        <f>HYPERLINK(VLOOKUP(M12,$R$12:$S$180,2,FALSE))</f>
        <v/>
      </c>
      <c r="R12" t="str">
        <f>[2]Уч.План!B649</f>
        <v>Педагогика</v>
      </c>
      <c r="S12" s="61" t="s">
        <v>67</v>
      </c>
    </row>
    <row r="13" spans="1:19" ht="31.5" x14ac:dyDescent="0.2">
      <c r="A13" s="82"/>
      <c r="B13" s="85"/>
      <c r="C13" s="14" t="s">
        <v>19</v>
      </c>
      <c r="D13" s="20">
        <f>'[1]1нед'!K261</f>
        <v>0</v>
      </c>
      <c r="E13" s="23">
        <f>'[1]1нед'!L261</f>
        <v>0</v>
      </c>
      <c r="F13" s="21">
        <f>'[1]1нед'!O261</f>
        <v>0</v>
      </c>
      <c r="G13" s="22" t="str">
        <f>'[1]1нед'!P261</f>
        <v/>
      </c>
      <c r="H13" s="57" t="str">
        <f>HYPERLINK(VLOOKUP(E13,$R$12:$S$180,2,FALSE))</f>
        <v/>
      </c>
      <c r="I13" s="71"/>
      <c r="J13" s="88"/>
      <c r="K13" s="14" t="s">
        <v>19</v>
      </c>
      <c r="L13" s="20">
        <f>'[1]2нед'!K261</f>
        <v>0</v>
      </c>
      <c r="M13" s="23">
        <f>'[1]2нед'!L261</f>
        <v>0</v>
      </c>
      <c r="N13" s="21">
        <f>'[1]2нед'!O261</f>
        <v>0</v>
      </c>
      <c r="O13" s="22" t="str">
        <f>'[1]2нед'!P261</f>
        <v/>
      </c>
      <c r="P13" s="57" t="str">
        <f>HYPERLINK(VLOOKUP(M13,$R$12:$S$180,2,FALSE))</f>
        <v/>
      </c>
      <c r="R13" t="str">
        <f>[2]Уч.План!B650</f>
        <v>Основы государственной политики в сфере межэтнических и межконфессиональных отношений</v>
      </c>
      <c r="S13" s="61" t="s">
        <v>68</v>
      </c>
    </row>
    <row r="14" spans="1:19" ht="31.5" x14ac:dyDescent="0.2">
      <c r="A14" s="82"/>
      <c r="B14" s="85"/>
      <c r="C14" s="14" t="s">
        <v>20</v>
      </c>
      <c r="D14" s="20">
        <f>'[1]1нед'!K262</f>
        <v>0</v>
      </c>
      <c r="E14" s="23">
        <f>'[1]1нед'!L262</f>
        <v>0</v>
      </c>
      <c r="F14" s="21">
        <f>'[1]1нед'!O262</f>
        <v>0</v>
      </c>
      <c r="G14" s="22" t="str">
        <f>'[1]1нед'!P262</f>
        <v/>
      </c>
      <c r="H14" s="57" t="str">
        <f>HYPERLINK(VLOOKUP(E14,$R$12:$S$180,2,FALSE))</f>
        <v/>
      </c>
      <c r="I14" s="71"/>
      <c r="J14" s="88"/>
      <c r="K14" s="14" t="s">
        <v>20</v>
      </c>
      <c r="L14" s="20">
        <f>'[1]2нед'!K262</f>
        <v>0</v>
      </c>
      <c r="M14" s="23">
        <f>'[1]2нед'!L262</f>
        <v>0</v>
      </c>
      <c r="N14" s="21">
        <f>'[1]2нед'!O262</f>
        <v>0</v>
      </c>
      <c r="O14" s="22" t="str">
        <f>'[1]2нед'!P262</f>
        <v/>
      </c>
      <c r="P14" s="57" t="str">
        <f>HYPERLINK(VLOOKUP(M14,$R$12:$S$180,2,FALSE))</f>
        <v/>
      </c>
      <c r="R14" t="str">
        <f>[2]Уч.План!B651</f>
        <v>Технология и организация воспитательных практик (классное руководство)</v>
      </c>
      <c r="S14" s="61" t="s">
        <v>69</v>
      </c>
    </row>
    <row r="15" spans="1:19" ht="31.5" x14ac:dyDescent="0.2">
      <c r="A15" s="82"/>
      <c r="B15" s="85"/>
      <c r="C15" s="14" t="s">
        <v>21</v>
      </c>
      <c r="D15" s="20">
        <f>'[1]1нед'!K263</f>
        <v>0</v>
      </c>
      <c r="E15" s="23">
        <f>'[1]1нед'!L263</f>
        <v>0</v>
      </c>
      <c r="F15" s="21">
        <f>'[1]1нед'!O263</f>
        <v>0</v>
      </c>
      <c r="G15" s="22" t="str">
        <f>'[1]1нед'!P263</f>
        <v/>
      </c>
      <c r="H15" s="57" t="str">
        <f>HYPERLINK(VLOOKUP(E15,$R$12:$S$180,2,FALSE))</f>
        <v/>
      </c>
      <c r="I15" s="71"/>
      <c r="J15" s="88"/>
      <c r="K15" s="14" t="s">
        <v>21</v>
      </c>
      <c r="L15" s="20">
        <f>'[1]2нед'!K263</f>
        <v>0</v>
      </c>
      <c r="M15" s="23">
        <f>'[1]2нед'!L263</f>
        <v>0</v>
      </c>
      <c r="N15" s="21">
        <f>'[1]2нед'!O263</f>
        <v>0</v>
      </c>
      <c r="O15" s="22" t="str">
        <f>'[1]2нед'!P263</f>
        <v/>
      </c>
      <c r="P15" s="57" t="str">
        <f>HYPERLINK(VLOOKUP(M15,$R$12:$S$180,2,FALSE))</f>
        <v/>
      </c>
      <c r="R15" t="str">
        <f>[2]Уч.План!B652</f>
        <v>Методы исследовательской/проектной деятельности</v>
      </c>
      <c r="S15" s="61" t="s">
        <v>70</v>
      </c>
    </row>
    <row r="16" spans="1:19" ht="31.5" x14ac:dyDescent="0.2">
      <c r="A16" s="82"/>
      <c r="B16" s="85"/>
      <c r="C16" s="14" t="s">
        <v>22</v>
      </c>
      <c r="D16" s="20">
        <f>'[1]1нед'!K264</f>
        <v>0</v>
      </c>
      <c r="E16" s="23">
        <f>'[1]1нед'!L264</f>
        <v>0</v>
      </c>
      <c r="F16" s="21">
        <f>'[1]1нед'!O264</f>
        <v>0</v>
      </c>
      <c r="G16" s="22" t="str">
        <f>'[1]1нед'!P264</f>
        <v/>
      </c>
      <c r="H16" s="57" t="str">
        <f>HYPERLINK(VLOOKUP(E16,$R$12:$S$180,2,FALSE))</f>
        <v/>
      </c>
      <c r="I16" s="71"/>
      <c r="J16" s="88"/>
      <c r="K16" s="14" t="s">
        <v>22</v>
      </c>
      <c r="L16" s="20">
        <f>'[1]2нед'!K264</f>
        <v>0</v>
      </c>
      <c r="M16" s="23">
        <f>'[1]2нед'!L264</f>
        <v>0</v>
      </c>
      <c r="N16" s="21">
        <f>'[1]2нед'!O264</f>
        <v>0</v>
      </c>
      <c r="O16" s="22" t="str">
        <f>'[1]2нед'!P264</f>
        <v/>
      </c>
      <c r="P16" s="57" t="str">
        <f>HYPERLINK(VLOOKUP(M16,$R$12:$S$180,2,FALSE))</f>
        <v/>
      </c>
      <c r="R16" t="str">
        <f>[2]Уч.План!B653</f>
        <v>Теория чисел</v>
      </c>
      <c r="S16" s="61" t="s">
        <v>75</v>
      </c>
    </row>
    <row r="17" spans="1:19" ht="37.5" x14ac:dyDescent="0.2">
      <c r="A17" s="82"/>
      <c r="B17" s="85"/>
      <c r="C17" s="14" t="s">
        <v>23</v>
      </c>
      <c r="D17" s="20">
        <f>'[1]1нед'!K265</f>
        <v>0</v>
      </c>
      <c r="E17" s="23">
        <f>'[1]1нед'!L265</f>
        <v>0</v>
      </c>
      <c r="F17" s="21">
        <f>'[1]1нед'!O265</f>
        <v>0</v>
      </c>
      <c r="G17" s="22" t="str">
        <f>'[1]1нед'!P265</f>
        <v/>
      </c>
      <c r="H17" s="55" t="str">
        <f>HYPERLINK(VLOOKUP(E17,$R$12:$S$180,2,FALSE))</f>
        <v/>
      </c>
      <c r="I17" s="71"/>
      <c r="J17" s="88"/>
      <c r="K17" s="14" t="s">
        <v>23</v>
      </c>
      <c r="L17" s="20" t="str">
        <f>'[1]2нед'!K265</f>
        <v>пр</v>
      </c>
      <c r="M17" s="23" t="str">
        <f>'[1]2нед'!L265</f>
        <v xml:space="preserve"> Методы исследовательской/проектной деятельности</v>
      </c>
      <c r="N17" s="21" t="str">
        <f>'[1]2нед'!O265</f>
        <v>Казанцев Ю.А.</v>
      </c>
      <c r="O17" s="22" t="str">
        <f>'[1]2нед'!P265</f>
        <v>ст. преподаватель</v>
      </c>
      <c r="P17" s="55" t="str">
        <f>HYPERLINK(VLOOKUP(M17,$R$12:$S$180,2,FALSE))</f>
        <v>https://max.ru/join/vVDI4UrM3eCAidVGjy4YDG7oZq_cJEJtK2NywT5ISAk</v>
      </c>
      <c r="R17" t="str">
        <f>[2]Уч.План!B654</f>
        <v>Дискретная математика</v>
      </c>
      <c r="S17" s="61" t="s">
        <v>75</v>
      </c>
    </row>
    <row r="18" spans="1:19" ht="31.5" x14ac:dyDescent="0.2">
      <c r="A18" s="82"/>
      <c r="B18" s="85"/>
      <c r="C18" s="14" t="s">
        <v>24</v>
      </c>
      <c r="D18" s="20">
        <f>'[1]1нед'!K266</f>
        <v>0</v>
      </c>
      <c r="E18" s="23">
        <f>'[1]1нед'!L266</f>
        <v>0</v>
      </c>
      <c r="F18" s="21">
        <f>'[1]1нед'!O266</f>
        <v>0</v>
      </c>
      <c r="G18" s="22" t="str">
        <f>'[1]1нед'!P266</f>
        <v/>
      </c>
      <c r="H18" s="55" t="str">
        <f>HYPERLINK(VLOOKUP(E18,$R$12:$S$180,2,FALSE))</f>
        <v/>
      </c>
      <c r="I18" s="71"/>
      <c r="J18" s="88"/>
      <c r="K18" s="14" t="s">
        <v>24</v>
      </c>
      <c r="L18" s="20" t="str">
        <f>'[1]2нед'!K266</f>
        <v>пр</v>
      </c>
      <c r="M18" s="23" t="str">
        <f>'[1]2нед'!L266</f>
        <v xml:space="preserve"> Основы военной подготовки</v>
      </c>
      <c r="N18" s="21" t="str">
        <f>'[1]2нед'!O266</f>
        <v>Кулак А.Ф.</v>
      </c>
      <c r="O18" s="22" t="str">
        <f>'[1]2нед'!P266</f>
        <v>преподаватель</v>
      </c>
      <c r="P18" s="55" t="str">
        <f>HYPERLINK(VLOOKUP(M18,$R$12:$S$180,2,FALSE))</f>
        <v>https://max.ru/join/VKkXfhUzxKeyFQk25Ym4SroS_8HJFubEzr_pkrxHHAs</v>
      </c>
      <c r="R18" t="str">
        <f>[2]Уч.План!B655</f>
        <v>Теория вероятностей и математическая статистика</v>
      </c>
      <c r="S18" s="61" t="s">
        <v>75</v>
      </c>
    </row>
    <row r="19" spans="1:19" ht="18.399999999999999" customHeight="1" thickBot="1" x14ac:dyDescent="0.25">
      <c r="A19" s="83"/>
      <c r="B19" s="86"/>
      <c r="C19" s="15"/>
      <c r="D19" s="24">
        <f>'[1]1нед'!K267</f>
        <v>0</v>
      </c>
      <c r="E19" s="25">
        <f>'[1]1нед'!L267</f>
        <v>0</v>
      </c>
      <c r="F19" s="26">
        <f>'[1]1нед'!O267</f>
        <v>0</v>
      </c>
      <c r="G19" s="27" t="str">
        <f>'[1]1нед'!P267</f>
        <v/>
      </c>
      <c r="H19" s="58" t="str">
        <f>HYPERLINK(VLOOKUP(E19,$R$12:$S$180,2,FALSE))</f>
        <v/>
      </c>
      <c r="I19" s="72"/>
      <c r="J19" s="89"/>
      <c r="K19" s="15"/>
      <c r="L19" s="24">
        <f>'[1]2нед'!K267</f>
        <v>0</v>
      </c>
      <c r="M19" s="25">
        <f>'[1]2нед'!L267</f>
        <v>0</v>
      </c>
      <c r="N19" s="26">
        <f>'[1]2нед'!O267</f>
        <v>0</v>
      </c>
      <c r="O19" s="27" t="str">
        <f>'[1]2нед'!P267</f>
        <v/>
      </c>
      <c r="P19" s="58" t="str">
        <f>HYPERLINK(VLOOKUP(M19,$R$12:$S$180,2,FALSE))</f>
        <v/>
      </c>
      <c r="R19" t="str">
        <f>[2]Уч.План!B656</f>
        <v>Математическая логика и теория алгоритмов</v>
      </c>
      <c r="S19" s="61" t="s">
        <v>75</v>
      </c>
    </row>
    <row r="20" spans="1:19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'[1]1нед'!K268</f>
        <v>0</v>
      </c>
      <c r="E20" s="19">
        <f>'[1]1нед'!L268</f>
        <v>0</v>
      </c>
      <c r="F20" s="17">
        <f>'[1]1нед'!O268</f>
        <v>0</v>
      </c>
      <c r="G20" s="18" t="str">
        <f>'[1]1нед'!P268</f>
        <v/>
      </c>
      <c r="H20" s="56" t="str">
        <f>HYPERLINK(VLOOKUP(E20,$R$12:$S$180,2,FALSE))</f>
        <v/>
      </c>
      <c r="I20" s="70">
        <v>46273</v>
      </c>
      <c r="J20" s="87" t="s">
        <v>25</v>
      </c>
      <c r="K20" s="29" t="s">
        <v>18</v>
      </c>
      <c r="L20" s="16">
        <f>'[1]2нед'!K268</f>
        <v>0</v>
      </c>
      <c r="M20" s="19">
        <f>'[1]2нед'!L268</f>
        <v>0</v>
      </c>
      <c r="N20" s="17">
        <f>'[1]2нед'!O268</f>
        <v>0</v>
      </c>
      <c r="O20" s="18" t="str">
        <f>'[1]2нед'!P268</f>
        <v/>
      </c>
      <c r="P20" s="56" t="str">
        <f>HYPERLINK(VLOOKUP(M20,$R$12:$S$180,2,FALSE))</f>
        <v/>
      </c>
      <c r="R20" t="str">
        <f>[2]Уч.План!B657</f>
        <v>Психолого-педагогические основы обучения
математике</v>
      </c>
      <c r="S20" s="61" t="s">
        <v>75</v>
      </c>
    </row>
    <row r="21" spans="1:19" ht="31.5" x14ac:dyDescent="0.2">
      <c r="A21" s="82"/>
      <c r="B21" s="85"/>
      <c r="C21" s="14" t="s">
        <v>19</v>
      </c>
      <c r="D21" s="20">
        <f>'[1]1нед'!K269</f>
        <v>0</v>
      </c>
      <c r="E21" s="23">
        <f>'[1]1нед'!L269</f>
        <v>0</v>
      </c>
      <c r="F21" s="21">
        <f>'[1]1нед'!O269</f>
        <v>0</v>
      </c>
      <c r="G21" s="22" t="str">
        <f>'[1]1нед'!P269</f>
        <v/>
      </c>
      <c r="H21" s="57" t="str">
        <f>HYPERLINK(VLOOKUP(E21,$R$12:$S$180,2,FALSE))</f>
        <v/>
      </c>
      <c r="I21" s="71"/>
      <c r="J21" s="88"/>
      <c r="K21" s="14" t="s">
        <v>19</v>
      </c>
      <c r="L21" s="20">
        <f>'[1]2нед'!K269</f>
        <v>0</v>
      </c>
      <c r="M21" s="23">
        <f>'[1]2нед'!L269</f>
        <v>0</v>
      </c>
      <c r="N21" s="21">
        <f>'[1]2нед'!O269</f>
        <v>0</v>
      </c>
      <c r="O21" s="22" t="str">
        <f>'[1]2нед'!P269</f>
        <v/>
      </c>
      <c r="P21" s="57" t="str">
        <f>HYPERLINK(VLOOKUP(M21,$R$12:$S$180,2,FALSE))</f>
        <v/>
      </c>
      <c r="R21" t="str">
        <f>[2]Уч.План!B658</f>
        <v>Основы военной подготовки</v>
      </c>
      <c r="S21" s="61" t="s">
        <v>64</v>
      </c>
    </row>
    <row r="22" spans="1:19" ht="31.5" x14ac:dyDescent="0.2">
      <c r="A22" s="82"/>
      <c r="B22" s="85"/>
      <c r="C22" s="14" t="s">
        <v>20</v>
      </c>
      <c r="D22" s="20">
        <f>'[1]1нед'!K270</f>
        <v>0</v>
      </c>
      <c r="E22" s="23">
        <f>'[1]1нед'!L270</f>
        <v>0</v>
      </c>
      <c r="F22" s="21">
        <f>'[1]1нед'!O270</f>
        <v>0</v>
      </c>
      <c r="G22" s="22" t="str">
        <f>'[1]1нед'!P270</f>
        <v/>
      </c>
      <c r="H22" s="57" t="str">
        <f>HYPERLINK(VLOOKUP(E22,$R$12:$S$180,2,FALSE))</f>
        <v/>
      </c>
      <c r="I22" s="71"/>
      <c r="J22" s="88"/>
      <c r="K22" s="14" t="s">
        <v>20</v>
      </c>
      <c r="L22" s="20">
        <f>'[1]2нед'!K270</f>
        <v>0</v>
      </c>
      <c r="M22" s="23">
        <f>'[1]2нед'!L270</f>
        <v>0</v>
      </c>
      <c r="N22" s="21">
        <f>'[1]2нед'!O270</f>
        <v>0</v>
      </c>
      <c r="O22" s="22" t="str">
        <f>'[1]2нед'!P270</f>
        <v/>
      </c>
      <c r="P22" s="57" t="str">
        <f>HYPERLINK(VLOOKUP(M22,$R$12:$S$180,2,FALSE))</f>
        <v/>
      </c>
      <c r="R22" t="str">
        <f>[2]Уч.План!B659</f>
        <v>Производственная практика. Педагогическая практика</v>
      </c>
      <c r="S22" s="61" t="s">
        <v>75</v>
      </c>
    </row>
    <row r="23" spans="1:19" ht="31.5" x14ac:dyDescent="0.2">
      <c r="A23" s="82"/>
      <c r="B23" s="85"/>
      <c r="C23" s="14" t="s">
        <v>21</v>
      </c>
      <c r="D23" s="20">
        <f>'[1]1нед'!K271</f>
        <v>0</v>
      </c>
      <c r="E23" s="23">
        <f>'[1]1нед'!L271</f>
        <v>0</v>
      </c>
      <c r="F23" s="21">
        <f>'[1]1нед'!O271</f>
        <v>0</v>
      </c>
      <c r="G23" s="22" t="str">
        <f>'[1]1нед'!P271</f>
        <v/>
      </c>
      <c r="H23" s="57" t="str">
        <f>HYPERLINK(VLOOKUP(E23,$R$12:$S$180,2,FALSE))</f>
        <v/>
      </c>
      <c r="I23" s="71"/>
      <c r="J23" s="88"/>
      <c r="K23" s="14" t="s">
        <v>21</v>
      </c>
      <c r="L23" s="20">
        <f>'[1]2нед'!K271</f>
        <v>0</v>
      </c>
      <c r="M23" s="23">
        <f>'[1]2нед'!L271</f>
        <v>0</v>
      </c>
      <c r="N23" s="21">
        <f>'[1]2нед'!O271</f>
        <v>0</v>
      </c>
      <c r="O23" s="22" t="str">
        <f>'[1]2нед'!P271</f>
        <v/>
      </c>
      <c r="P23" s="57" t="str">
        <f>HYPERLINK(VLOOKUP(M23,$R$12:$S$180,2,FALSE))</f>
        <v/>
      </c>
      <c r="R23" t="str">
        <f>[2]Уч.План!B660</f>
        <v>Производственная практика. Педагогическая практика (Классное руководство)</v>
      </c>
      <c r="S23" s="61" t="s">
        <v>75</v>
      </c>
    </row>
    <row r="24" spans="1:19" ht="31.5" x14ac:dyDescent="0.2">
      <c r="A24" s="82"/>
      <c r="B24" s="85"/>
      <c r="C24" s="14" t="s">
        <v>22</v>
      </c>
      <c r="D24" s="20">
        <f>'[1]1нед'!K272</f>
        <v>0</v>
      </c>
      <c r="E24" s="23">
        <f>'[1]1нед'!L272</f>
        <v>0</v>
      </c>
      <c r="F24" s="21">
        <f>'[1]1нед'!O272</f>
        <v>0</v>
      </c>
      <c r="G24" s="22" t="str">
        <f>'[1]1нед'!P272</f>
        <v/>
      </c>
      <c r="H24" s="57" t="str">
        <f>HYPERLINK(VLOOKUP(E24,$R$12:$S$180,2,FALSE))</f>
        <v/>
      </c>
      <c r="I24" s="71"/>
      <c r="J24" s="88"/>
      <c r="K24" s="14" t="s">
        <v>22</v>
      </c>
      <c r="L24" s="20">
        <f>'[1]2нед'!K272</f>
        <v>0</v>
      </c>
      <c r="M24" s="23">
        <f>'[1]2нед'!L272</f>
        <v>0</v>
      </c>
      <c r="N24" s="21">
        <f>'[1]2нед'!O272</f>
        <v>0</v>
      </c>
      <c r="O24" s="22" t="str">
        <f>'[1]2нед'!P272</f>
        <v/>
      </c>
      <c r="P24" s="57" t="str">
        <f>HYPERLINK(VLOOKUP(M24,$R$12:$S$180,2,FALSE))</f>
        <v/>
      </c>
      <c r="R24" t="str">
        <f>[2]Уч.План!B661</f>
        <v xml:space="preserve"> Педагогика</v>
      </c>
      <c r="S24" s="61" t="s">
        <v>72</v>
      </c>
    </row>
    <row r="25" spans="1:19" ht="37.5" x14ac:dyDescent="0.2">
      <c r="A25" s="82"/>
      <c r="B25" s="85"/>
      <c r="C25" s="14" t="s">
        <v>23</v>
      </c>
      <c r="D25" s="20">
        <f>'[1]1нед'!K273</f>
        <v>0</v>
      </c>
      <c r="E25" s="23">
        <f>'[1]1нед'!L273</f>
        <v>0</v>
      </c>
      <c r="F25" s="21">
        <f>'[1]1нед'!O273</f>
        <v>0</v>
      </c>
      <c r="G25" s="22" t="str">
        <f>'[1]1нед'!P273</f>
        <v/>
      </c>
      <c r="H25" s="57" t="str">
        <f>HYPERLINK(VLOOKUP(E25,$R$12:$S$180,2,FALSE))</f>
        <v/>
      </c>
      <c r="I25" s="71"/>
      <c r="J25" s="88"/>
      <c r="K25" s="14" t="s">
        <v>23</v>
      </c>
      <c r="L25" s="20" t="str">
        <f>'[1]2нед'!K273</f>
        <v>л</v>
      </c>
      <c r="M25" s="23" t="str">
        <f>'[1]2нед'!L273</f>
        <v>Теория вероятностей и математическая статистика</v>
      </c>
      <c r="N25" s="21" t="str">
        <f>'[1]2нед'!O273</f>
        <v>Блыщик Н.О.</v>
      </c>
      <c r="O25" s="22" t="str">
        <f>'[1]2нед'!P273</f>
        <v>ст. преподаватель</v>
      </c>
      <c r="P25" s="57" t="str">
        <f>HYPERLINK(VLOOKUP(M25,$R$12:$S$180,2,FALSE))</f>
        <v>https://max.ru/join/pcqQ76hVH1VM62gdvJpdTUt6hv6a-FL0jPDOixrw4dg</v>
      </c>
      <c r="R25" t="str">
        <f>[2]Уч.План!B662</f>
        <v xml:space="preserve"> Основы военной подготовки</v>
      </c>
      <c r="S25" s="61" t="s">
        <v>66</v>
      </c>
    </row>
    <row r="26" spans="1:19" ht="37.5" x14ac:dyDescent="0.2">
      <c r="A26" s="82"/>
      <c r="B26" s="85"/>
      <c r="C26" s="14" t="s">
        <v>24</v>
      </c>
      <c r="D26" s="20">
        <f>'[1]1нед'!K274</f>
        <v>0</v>
      </c>
      <c r="E26" s="23">
        <f>'[1]1нед'!L274</f>
        <v>0</v>
      </c>
      <c r="F26" s="21">
        <f>'[1]1нед'!O274</f>
        <v>0</v>
      </c>
      <c r="G26" s="22" t="str">
        <f>'[1]1нед'!P274</f>
        <v/>
      </c>
      <c r="H26" s="57" t="str">
        <f>HYPERLINK(VLOOKUP(E26,$R$12:$S$180,2,FALSE))</f>
        <v/>
      </c>
      <c r="I26" s="71"/>
      <c r="J26" s="88"/>
      <c r="K26" s="14" t="s">
        <v>24</v>
      </c>
      <c r="L26" s="20" t="str">
        <f>'[1]2нед'!K274</f>
        <v>л</v>
      </c>
      <c r="M26" s="23" t="str">
        <f>'[1]2нед'!L274</f>
        <v>Математическая логика и теория алгоритмов</v>
      </c>
      <c r="N26" s="21" t="str">
        <f>'[1]2нед'!O274</f>
        <v>Казанцев Ю.А.</v>
      </c>
      <c r="O26" s="22" t="str">
        <f>'[1]2нед'!P274</f>
        <v>ст. преподаватель</v>
      </c>
      <c r="P26" s="57" t="str">
        <f>HYPERLINK(VLOOKUP(M26,$R$12:$S$180,2,FALSE))</f>
        <v>https://max.ru/join/pcqQ76hVH1VM62gdvJpdTUt6hv6a-FL0jPDOixrw4dg</v>
      </c>
      <c r="R26" t="str">
        <f>[2]Уч.План!B663</f>
        <v xml:space="preserve"> Основы государственной политики в сфере межэтнических и межконфессиональных отношений</v>
      </c>
      <c r="S26" s="61" t="s">
        <v>72</v>
      </c>
    </row>
    <row r="27" spans="1:19" ht="18.399999999999999" customHeight="1" thickBot="1" x14ac:dyDescent="0.25">
      <c r="A27" s="83"/>
      <c r="B27" s="86"/>
      <c r="C27" s="15"/>
      <c r="D27" s="24">
        <f>'[1]1нед'!K275</f>
        <v>0</v>
      </c>
      <c r="E27" s="25">
        <f>'[1]1нед'!L275</f>
        <v>0</v>
      </c>
      <c r="F27" s="26">
        <f>'[1]1нед'!O275</f>
        <v>0</v>
      </c>
      <c r="G27" s="27" t="str">
        <f>'[1]1нед'!P275</f>
        <v/>
      </c>
      <c r="H27" s="58" t="str">
        <f>HYPERLINK(VLOOKUP(E27,$R$12:$S$180,2,FALSE))</f>
        <v/>
      </c>
      <c r="I27" s="72"/>
      <c r="J27" s="89"/>
      <c r="K27" s="15"/>
      <c r="L27" s="24">
        <f>'[1]2нед'!K275</f>
        <v>0</v>
      </c>
      <c r="M27" s="25">
        <f>'[1]2нед'!L275</f>
        <v>0</v>
      </c>
      <c r="N27" s="26">
        <f>'[1]2нед'!O275</f>
        <v>0</v>
      </c>
      <c r="O27" s="27" t="str">
        <f>'[1]2нед'!P275</f>
        <v/>
      </c>
      <c r="P27" s="58" t="str">
        <f>HYPERLINK(VLOOKUP(M27,$R$12:$S$180,2,FALSE))</f>
        <v/>
      </c>
      <c r="R27" t="str">
        <f>[2]Уч.План!B664</f>
        <v xml:space="preserve"> Технология и организация воспитательных практик (классное руководство)</v>
      </c>
      <c r="S27" s="61" t="s">
        <v>72</v>
      </c>
    </row>
    <row r="28" spans="1:19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'[1]1нед'!K276</f>
        <v>0</v>
      </c>
      <c r="E28" s="19">
        <f>'[1]1нед'!L276</f>
        <v>0</v>
      </c>
      <c r="F28" s="17">
        <f>'[1]1нед'!O276</f>
        <v>0</v>
      </c>
      <c r="G28" s="18" t="str">
        <f>'[1]1нед'!P276</f>
        <v/>
      </c>
      <c r="H28" s="56" t="str">
        <f>HYPERLINK(VLOOKUP(E28,$R$12:$S$180,2,FALSE))</f>
        <v/>
      </c>
      <c r="I28" s="70">
        <v>46274</v>
      </c>
      <c r="J28" s="73" t="s">
        <v>26</v>
      </c>
      <c r="K28" s="29" t="s">
        <v>18</v>
      </c>
      <c r="L28" s="16">
        <f>'[1]2нед'!K276</f>
        <v>0</v>
      </c>
      <c r="M28" s="19">
        <f>'[1]2нед'!L276</f>
        <v>0</v>
      </c>
      <c r="N28" s="17">
        <f>'[1]2нед'!O276</f>
        <v>0</v>
      </c>
      <c r="O28" s="18" t="str">
        <f>'[1]2нед'!P276</f>
        <v/>
      </c>
      <c r="P28" s="56" t="str">
        <f>HYPERLINK(VLOOKUP(M28,$R$12:$S$180,2,FALSE))</f>
        <v/>
      </c>
      <c r="R28" t="str">
        <f>[2]Уч.План!B665</f>
        <v xml:space="preserve"> Методы исследовательской/проектной деятельности</v>
      </c>
      <c r="S28" s="61" t="s">
        <v>72</v>
      </c>
    </row>
    <row r="29" spans="1:19" ht="31.5" x14ac:dyDescent="0.2">
      <c r="A29" s="82"/>
      <c r="B29" s="68"/>
      <c r="C29" s="14" t="s">
        <v>19</v>
      </c>
      <c r="D29" s="20">
        <f>'[1]1нед'!K277</f>
        <v>0</v>
      </c>
      <c r="E29" s="23">
        <f>'[1]1нед'!L277</f>
        <v>0</v>
      </c>
      <c r="F29" s="21">
        <f>'[1]1нед'!O277</f>
        <v>0</v>
      </c>
      <c r="G29" s="22" t="str">
        <f>'[1]1нед'!P277</f>
        <v/>
      </c>
      <c r="H29" s="57" t="str">
        <f>HYPERLINK(VLOOKUP(E29,$R$12:$S$180,2,FALSE))</f>
        <v/>
      </c>
      <c r="I29" s="71"/>
      <c r="J29" s="74"/>
      <c r="K29" s="14" t="s">
        <v>19</v>
      </c>
      <c r="L29" s="20">
        <f>'[1]2нед'!K277</f>
        <v>0</v>
      </c>
      <c r="M29" s="23">
        <f>'[1]2нед'!L277</f>
        <v>0</v>
      </c>
      <c r="N29" s="21">
        <f>'[1]2нед'!O277</f>
        <v>0</v>
      </c>
      <c r="O29" s="22" t="str">
        <f>'[1]2нед'!P277</f>
        <v/>
      </c>
      <c r="P29" s="57" t="str">
        <f>HYPERLINK(VLOOKUP(M29,$R$12:$S$180,2,FALSE))</f>
        <v/>
      </c>
      <c r="R29">
        <f>[2]Уч.План!B666</f>
        <v>0</v>
      </c>
    </row>
    <row r="30" spans="1:19" ht="31.5" x14ac:dyDescent="0.2">
      <c r="A30" s="82"/>
      <c r="B30" s="68"/>
      <c r="C30" s="14" t="s">
        <v>20</v>
      </c>
      <c r="D30" s="20">
        <f>'[1]1нед'!K278</f>
        <v>0</v>
      </c>
      <c r="E30" s="23">
        <f>'[1]1нед'!L278</f>
        <v>0</v>
      </c>
      <c r="F30" s="21">
        <f>'[1]1нед'!O278</f>
        <v>0</v>
      </c>
      <c r="G30" s="22" t="str">
        <f>'[1]1нед'!P278</f>
        <v/>
      </c>
      <c r="H30" s="57" t="str">
        <f>HYPERLINK(VLOOKUP(E30,$R$12:$S$180,2,FALSE))</f>
        <v/>
      </c>
      <c r="I30" s="71"/>
      <c r="J30" s="74"/>
      <c r="K30" s="14" t="s">
        <v>20</v>
      </c>
      <c r="L30" s="20">
        <f>'[1]2нед'!K278</f>
        <v>0</v>
      </c>
      <c r="M30" s="23">
        <f>'[1]2нед'!L278</f>
        <v>0</v>
      </c>
      <c r="N30" s="21">
        <f>'[1]2нед'!O278</f>
        <v>0</v>
      </c>
      <c r="O30" s="22" t="str">
        <f>'[1]2нед'!P278</f>
        <v/>
      </c>
      <c r="P30" s="57" t="str">
        <f>HYPERLINK(VLOOKUP(M30,$R$12:$S$180,2,FALSE))</f>
        <v/>
      </c>
    </row>
    <row r="31" spans="1:19" ht="31.5" x14ac:dyDescent="0.2">
      <c r="A31" s="82"/>
      <c r="B31" s="68"/>
      <c r="C31" s="14" t="s">
        <v>21</v>
      </c>
      <c r="D31" s="20">
        <f>'[1]1нед'!K279</f>
        <v>0</v>
      </c>
      <c r="E31" s="23">
        <f>'[1]1нед'!L279</f>
        <v>0</v>
      </c>
      <c r="F31" s="21">
        <f>'[1]1нед'!O279</f>
        <v>0</v>
      </c>
      <c r="G31" s="22" t="str">
        <f>'[1]1нед'!P279</f>
        <v/>
      </c>
      <c r="H31" s="57" t="str">
        <f>HYPERLINK(VLOOKUP(E31,$R$12:$S$180,2,FALSE))</f>
        <v/>
      </c>
      <c r="I31" s="71"/>
      <c r="J31" s="74"/>
      <c r="K31" s="14" t="s">
        <v>21</v>
      </c>
      <c r="L31" s="20">
        <f>'[1]2нед'!K279</f>
        <v>0</v>
      </c>
      <c r="M31" s="23">
        <f>'[1]2нед'!L279</f>
        <v>0</v>
      </c>
      <c r="N31" s="21">
        <f>'[1]2нед'!O279</f>
        <v>0</v>
      </c>
      <c r="O31" s="22" t="str">
        <f>'[1]2нед'!P279</f>
        <v/>
      </c>
      <c r="P31" s="57" t="str">
        <f>HYPERLINK(VLOOKUP(M31,$R$12:$S$180,2,FALSE))</f>
        <v/>
      </c>
    </row>
    <row r="32" spans="1:19" ht="31.5" x14ac:dyDescent="0.2">
      <c r="A32" s="82"/>
      <c r="B32" s="68"/>
      <c r="C32" s="14" t="s">
        <v>22</v>
      </c>
      <c r="D32" s="20">
        <f>'[1]1нед'!K280</f>
        <v>0</v>
      </c>
      <c r="E32" s="23">
        <f>'[1]1нед'!L280</f>
        <v>0</v>
      </c>
      <c r="F32" s="21">
        <f>'[1]1нед'!O280</f>
        <v>0</v>
      </c>
      <c r="G32" s="22" t="str">
        <f>'[1]1нед'!P280</f>
        <v/>
      </c>
      <c r="H32" s="57" t="str">
        <f>HYPERLINK(VLOOKUP(E32,$R$12:$S$180,2,FALSE))</f>
        <v/>
      </c>
      <c r="I32" s="71"/>
      <c r="J32" s="74"/>
      <c r="K32" s="14" t="s">
        <v>22</v>
      </c>
      <c r="L32" s="20">
        <f>'[1]2нед'!K280</f>
        <v>0</v>
      </c>
      <c r="M32" s="23">
        <f>'[1]2нед'!L280</f>
        <v>0</v>
      </c>
      <c r="N32" s="21">
        <f>'[1]2нед'!O280</f>
        <v>0</v>
      </c>
      <c r="O32" s="22" t="str">
        <f>'[1]2нед'!P280</f>
        <v/>
      </c>
      <c r="P32" s="57" t="str">
        <f>HYPERLINK(VLOOKUP(M32,$R$12:$S$180,2,FALSE))</f>
        <v/>
      </c>
    </row>
    <row r="33" spans="1:16" ht="37.5" x14ac:dyDescent="0.2">
      <c r="A33" s="82"/>
      <c r="B33" s="68"/>
      <c r="C33" s="14" t="s">
        <v>23</v>
      </c>
      <c r="D33" s="20" t="str">
        <f>'[1]1нед'!K281</f>
        <v>л</v>
      </c>
      <c r="E33" s="23" t="str">
        <f>'[1]1нед'!L281</f>
        <v>Методы исследовательской/проектной деятельности</v>
      </c>
      <c r="F33" s="21" t="str">
        <f>'[1]1нед'!O281</f>
        <v>Казанцев Ю.А.</v>
      </c>
      <c r="G33" s="22" t="str">
        <f>'[1]1нед'!P281</f>
        <v>ст. преподаватель</v>
      </c>
      <c r="H33" s="55" t="str">
        <f>HYPERLINK(VLOOKUP(E33,$R$12:$S$180,2,FALSE))</f>
        <v>https://max.ru/join/15pEPVrIDANjN-ex11uXS0z2QQcAQkpN7qeJUhIOK40</v>
      </c>
      <c r="I33" s="71"/>
      <c r="J33" s="74"/>
      <c r="K33" s="14" t="s">
        <v>23</v>
      </c>
      <c r="L33" s="20">
        <f>'[1]2нед'!K281</f>
        <v>0</v>
      </c>
      <c r="M33" s="23">
        <f>'[1]2нед'!L281</f>
        <v>0</v>
      </c>
      <c r="N33" s="21">
        <f>'[1]2нед'!O281</f>
        <v>0</v>
      </c>
      <c r="O33" s="22" t="str">
        <f>'[1]2нед'!P281</f>
        <v/>
      </c>
      <c r="P33" s="55" t="str">
        <f>HYPERLINK(VLOOKUP(M33,$R$12:$S$180,2,FALSE))</f>
        <v/>
      </c>
    </row>
    <row r="34" spans="1:16" ht="32.25" thickBot="1" x14ac:dyDescent="0.25">
      <c r="A34" s="82"/>
      <c r="B34" s="68"/>
      <c r="C34" s="14" t="s">
        <v>24</v>
      </c>
      <c r="D34" s="20" t="str">
        <f>'[1]1нед'!K282</f>
        <v>л</v>
      </c>
      <c r="E34" s="23" t="str">
        <f>'[1]1нед'!L282</f>
        <v>Основы военной подготовки</v>
      </c>
      <c r="F34" s="21" t="str">
        <f>'[1]1нед'!O282</f>
        <v>Кулак А.Ф.</v>
      </c>
      <c r="G34" s="22" t="str">
        <f>'[1]1нед'!P282</f>
        <v>преподаватель</v>
      </c>
      <c r="H34" s="55" t="str">
        <f>HYPERLINK(VLOOKUP(E34,$R$12:$S$180,2,FALSE))</f>
        <v>https://max.ru/join/xVfUag6N_YqTK2FYY9dw1yr1OX0njFL0kEBUFOsnrKU</v>
      </c>
      <c r="I34" s="71"/>
      <c r="J34" s="74"/>
      <c r="K34" s="14" t="s">
        <v>24</v>
      </c>
      <c r="L34" s="20">
        <f>'[1]2нед'!K282</f>
        <v>0</v>
      </c>
      <c r="M34" s="23">
        <f>'[1]2нед'!L282</f>
        <v>0</v>
      </c>
      <c r="N34" s="21">
        <f>'[1]2нед'!O282</f>
        <v>0</v>
      </c>
      <c r="O34" s="22" t="str">
        <f>'[1]2нед'!P282</f>
        <v/>
      </c>
      <c r="P34" s="55" t="str">
        <f>HYPERLINK(VLOOKUP(M34,$R$12:$S$180,2,FALSE))</f>
        <v/>
      </c>
    </row>
    <row r="35" spans="1:16" ht="18.399999999999999" hidden="1" customHeight="1" thickBot="1" x14ac:dyDescent="0.25">
      <c r="A35" s="83"/>
      <c r="B35" s="69"/>
      <c r="C35" s="15"/>
      <c r="D35" s="24">
        <f>'[1]1нед'!K283</f>
        <v>0</v>
      </c>
      <c r="E35" s="25">
        <f>'[1]1нед'!L283</f>
        <v>0</v>
      </c>
      <c r="F35" s="26">
        <f>'[1]1нед'!O283</f>
        <v>0</v>
      </c>
      <c r="G35" s="27" t="str">
        <f>'[1]1нед'!P283</f>
        <v/>
      </c>
      <c r="H35" s="58" t="str">
        <f>HYPERLINK(VLOOKUP(E35,$R$12:$S$180,2,FALSE))</f>
        <v/>
      </c>
      <c r="I35" s="72"/>
      <c r="J35" s="75"/>
      <c r="K35" s="15"/>
      <c r="L35" s="24">
        <f>'[1]2нед'!K283</f>
        <v>0</v>
      </c>
      <c r="M35" s="25">
        <f>'[1]2нед'!L283</f>
        <v>0</v>
      </c>
      <c r="N35" s="26">
        <f>'[1]2нед'!O283</f>
        <v>0</v>
      </c>
      <c r="O35" s="27" t="str">
        <f>'[1]2нед'!P283</f>
        <v/>
      </c>
      <c r="P35" s="58" t="str">
        <f>HYPERLINK(VLOOKUP(M35,$R$12:$S$180,2,FALSE))</f>
        <v/>
      </c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'[1]1нед'!K284</f>
        <v>0</v>
      </c>
      <c r="E36" s="19">
        <f>'[1]1нед'!L284</f>
        <v>0</v>
      </c>
      <c r="F36" s="17">
        <f>'[1]1нед'!O284</f>
        <v>0</v>
      </c>
      <c r="G36" s="18" t="str">
        <f>'[1]1нед'!P284</f>
        <v/>
      </c>
      <c r="H36" s="56" t="str">
        <f>HYPERLINK(VLOOKUP(E36,$R$12:$S$180,2,FALSE))</f>
        <v/>
      </c>
      <c r="I36" s="70">
        <v>46275</v>
      </c>
      <c r="J36" s="87" t="s">
        <v>27</v>
      </c>
      <c r="K36" s="29" t="s">
        <v>18</v>
      </c>
      <c r="L36" s="16">
        <f>'[1]2нед'!K284</f>
        <v>0</v>
      </c>
      <c r="M36" s="19">
        <f>'[1]2нед'!L284</f>
        <v>0</v>
      </c>
      <c r="N36" s="17">
        <f>'[1]2нед'!O284</f>
        <v>0</v>
      </c>
      <c r="O36" s="18" t="str">
        <f>'[1]2нед'!P284</f>
        <v/>
      </c>
      <c r="P36" s="56" t="str">
        <f>HYPERLINK(VLOOKUP(M36,$R$12:$S$180,2,FALSE))</f>
        <v/>
      </c>
    </row>
    <row r="37" spans="1:16" ht="31.5" x14ac:dyDescent="0.2">
      <c r="A37" s="82"/>
      <c r="B37" s="85"/>
      <c r="C37" s="14" t="s">
        <v>19</v>
      </c>
      <c r="D37" s="20">
        <f>'[1]1нед'!K285</f>
        <v>0</v>
      </c>
      <c r="E37" s="23">
        <f>'[1]1нед'!L285</f>
        <v>0</v>
      </c>
      <c r="F37" s="21">
        <f>'[1]1нед'!O285</f>
        <v>0</v>
      </c>
      <c r="G37" s="22" t="str">
        <f>'[1]1нед'!P285</f>
        <v/>
      </c>
      <c r="H37" s="57" t="str">
        <f>HYPERLINK(VLOOKUP(E37,$R$12:$S$180,2,FALSE))</f>
        <v/>
      </c>
      <c r="I37" s="71"/>
      <c r="J37" s="88"/>
      <c r="K37" s="14" t="s">
        <v>19</v>
      </c>
      <c r="L37" s="20">
        <f>'[1]2нед'!K285</f>
        <v>0</v>
      </c>
      <c r="M37" s="23">
        <f>'[1]2нед'!L285</f>
        <v>0</v>
      </c>
      <c r="N37" s="21">
        <f>'[1]2нед'!O285</f>
        <v>0</v>
      </c>
      <c r="O37" s="22" t="str">
        <f>'[1]2нед'!P285</f>
        <v/>
      </c>
      <c r="P37" s="57" t="str">
        <f>HYPERLINK(VLOOKUP(M37,$R$12:$S$180,2,FALSE))</f>
        <v/>
      </c>
    </row>
    <row r="38" spans="1:16" ht="31.5" x14ac:dyDescent="0.2">
      <c r="A38" s="82"/>
      <c r="B38" s="85"/>
      <c r="C38" s="14" t="s">
        <v>20</v>
      </c>
      <c r="D38" s="20">
        <f>'[1]1нед'!K286</f>
        <v>0</v>
      </c>
      <c r="E38" s="23">
        <f>'[1]1нед'!L286</f>
        <v>0</v>
      </c>
      <c r="F38" s="21">
        <f>'[1]1нед'!O286</f>
        <v>0</v>
      </c>
      <c r="G38" s="22" t="str">
        <f>'[1]1нед'!P286</f>
        <v/>
      </c>
      <c r="H38" s="57" t="str">
        <f>HYPERLINK(VLOOKUP(E38,$R$12:$S$180,2,FALSE))</f>
        <v/>
      </c>
      <c r="I38" s="71"/>
      <c r="J38" s="88"/>
      <c r="K38" s="14" t="s">
        <v>20</v>
      </c>
      <c r="L38" s="20">
        <f>'[1]2нед'!K286</f>
        <v>0</v>
      </c>
      <c r="M38" s="23">
        <f>'[1]2нед'!L286</f>
        <v>0</v>
      </c>
      <c r="N38" s="21">
        <f>'[1]2нед'!O286</f>
        <v>0</v>
      </c>
      <c r="O38" s="22" t="str">
        <f>'[1]2нед'!P286</f>
        <v/>
      </c>
      <c r="P38" s="57" t="str">
        <f>HYPERLINK(VLOOKUP(M38,$R$12:$S$180,2,FALSE))</f>
        <v/>
      </c>
    </row>
    <row r="39" spans="1:16" ht="31.5" x14ac:dyDescent="0.2">
      <c r="A39" s="82"/>
      <c r="B39" s="85"/>
      <c r="C39" s="14" t="s">
        <v>21</v>
      </c>
      <c r="D39" s="20">
        <f>'[1]1нед'!K287</f>
        <v>0</v>
      </c>
      <c r="E39" s="23">
        <f>'[1]1нед'!L287</f>
        <v>0</v>
      </c>
      <c r="F39" s="21">
        <f>'[1]1нед'!O287</f>
        <v>0</v>
      </c>
      <c r="G39" s="22" t="str">
        <f>'[1]1нед'!P287</f>
        <v/>
      </c>
      <c r="H39" s="57" t="str">
        <f>HYPERLINK(VLOOKUP(E39,$R$12:$S$180,2,FALSE))</f>
        <v/>
      </c>
      <c r="I39" s="71"/>
      <c r="J39" s="88"/>
      <c r="K39" s="14" t="s">
        <v>21</v>
      </c>
      <c r="L39" s="20">
        <f>'[1]2нед'!K287</f>
        <v>0</v>
      </c>
      <c r="M39" s="23">
        <f>'[1]2нед'!L287</f>
        <v>0</v>
      </c>
      <c r="N39" s="21">
        <f>'[1]2нед'!O287</f>
        <v>0</v>
      </c>
      <c r="O39" s="22" t="str">
        <f>'[1]2нед'!P287</f>
        <v/>
      </c>
      <c r="P39" s="57" t="str">
        <f>HYPERLINK(VLOOKUP(M39,$R$12:$S$180,2,FALSE))</f>
        <v/>
      </c>
    </row>
    <row r="40" spans="1:16" ht="31.5" x14ac:dyDescent="0.2">
      <c r="A40" s="82"/>
      <c r="B40" s="85"/>
      <c r="C40" s="14" t="s">
        <v>22</v>
      </c>
      <c r="D40" s="20">
        <f>'[1]1нед'!K288</f>
        <v>0</v>
      </c>
      <c r="E40" s="23">
        <f>'[1]1нед'!L288</f>
        <v>0</v>
      </c>
      <c r="F40" s="21">
        <f>'[1]1нед'!O288</f>
        <v>0</v>
      </c>
      <c r="G40" s="22" t="str">
        <f>'[1]1нед'!P288</f>
        <v/>
      </c>
      <c r="H40" s="57" t="str">
        <f>HYPERLINK(VLOOKUP(E40,$R$12:$S$180,2,FALSE))</f>
        <v/>
      </c>
      <c r="I40" s="71"/>
      <c r="J40" s="88"/>
      <c r="K40" s="14" t="s">
        <v>22</v>
      </c>
      <c r="L40" s="20">
        <f>'[1]2нед'!K288</f>
        <v>0</v>
      </c>
      <c r="M40" s="23">
        <f>'[1]2нед'!L288</f>
        <v>0</v>
      </c>
      <c r="N40" s="21">
        <f>'[1]2нед'!O288</f>
        <v>0</v>
      </c>
      <c r="O40" s="22" t="str">
        <f>'[1]2нед'!P288</f>
        <v/>
      </c>
      <c r="P40" s="57" t="str">
        <f>HYPERLINK(VLOOKUP(M40,$R$12:$S$180,2,FALSE))</f>
        <v/>
      </c>
    </row>
    <row r="41" spans="1:16" ht="31.5" x14ac:dyDescent="0.2">
      <c r="A41" s="82"/>
      <c r="B41" s="85"/>
      <c r="C41" s="14" t="s">
        <v>23</v>
      </c>
      <c r="D41" s="20">
        <f>'[1]1нед'!K289</f>
        <v>0</v>
      </c>
      <c r="E41" s="23">
        <f>'[1]1нед'!L289</f>
        <v>0</v>
      </c>
      <c r="F41" s="21">
        <f>'[1]1нед'!O289</f>
        <v>0</v>
      </c>
      <c r="G41" s="22" t="str">
        <f>'[1]1нед'!P289</f>
        <v/>
      </c>
      <c r="H41" s="55" t="str">
        <f>HYPERLINK(VLOOKUP(E41,$R$12:$S$180,2,FALSE))</f>
        <v/>
      </c>
      <c r="I41" s="71"/>
      <c r="J41" s="88"/>
      <c r="K41" s="14" t="s">
        <v>23</v>
      </c>
      <c r="L41" s="20" t="str">
        <f>'[1]2нед'!K289</f>
        <v>л</v>
      </c>
      <c r="M41" s="23" t="str">
        <f>'[1]2нед'!L289</f>
        <v>Дискретная математика</v>
      </c>
      <c r="N41" s="21" t="str">
        <f>'[1]2нед'!O289</f>
        <v>Казанцев Ю.А.</v>
      </c>
      <c r="O41" s="22" t="str">
        <f>'[1]2нед'!P289</f>
        <v>ст. преподаватель</v>
      </c>
      <c r="P41" s="55" t="str">
        <f>HYPERLINK(VLOOKUP(M41,$R$12:$S$180,2,FALSE))</f>
        <v>https://max.ru/join/pcqQ76hVH1VM62gdvJpdTUt6hv6a-FL0jPDOixrw4dg</v>
      </c>
    </row>
    <row r="42" spans="1:16" ht="32.25" thickBot="1" x14ac:dyDescent="0.25">
      <c r="A42" s="82"/>
      <c r="B42" s="85"/>
      <c r="C42" s="14" t="s">
        <v>24</v>
      </c>
      <c r="D42" s="20">
        <f>'[1]1нед'!K290</f>
        <v>0</v>
      </c>
      <c r="E42" s="23">
        <f>'[1]1нед'!L290</f>
        <v>0</v>
      </c>
      <c r="F42" s="21">
        <f>'[1]1нед'!O290</f>
        <v>0</v>
      </c>
      <c r="G42" s="22" t="str">
        <f>'[1]1нед'!P290</f>
        <v/>
      </c>
      <c r="H42" s="55" t="str">
        <f>HYPERLINK(VLOOKUP(E42,$R$12:$S$180,2,FALSE))</f>
        <v/>
      </c>
      <c r="I42" s="71"/>
      <c r="J42" s="88"/>
      <c r="K42" s="14" t="s">
        <v>24</v>
      </c>
      <c r="L42" s="20" t="str">
        <f>'[1]2нед'!K290</f>
        <v>л</v>
      </c>
      <c r="M42" s="23" t="str">
        <f>'[1]2нед'!L290</f>
        <v>Теория чисел</v>
      </c>
      <c r="N42" s="21" t="str">
        <f>'[1]2нед'!O290</f>
        <v>Овчинникова М.В.</v>
      </c>
      <c r="O42" s="22" t="str">
        <f>'[1]2нед'!P290</f>
        <v>доцент, канд. наук</v>
      </c>
      <c r="P42" s="55" t="str">
        <f>HYPERLINK(VLOOKUP(M42,$R$12:$S$180,2,FALSE))</f>
        <v>https://max.ru/join/pcqQ76hVH1VM62gdvJpdTUt6hv6a-FL0jPDOixrw4dg</v>
      </c>
    </row>
    <row r="43" spans="1:16" ht="18.399999999999999" hidden="1" customHeight="1" thickBot="1" x14ac:dyDescent="0.25">
      <c r="A43" s="83"/>
      <c r="B43" s="86"/>
      <c r="C43" s="15"/>
      <c r="D43" s="24">
        <f>'[1]1нед'!K291</f>
        <v>0</v>
      </c>
      <c r="E43" s="25">
        <f>'[1]1нед'!L291</f>
        <v>0</v>
      </c>
      <c r="F43" s="26">
        <f>'[1]1нед'!O291</f>
        <v>0</v>
      </c>
      <c r="G43" s="27" t="str">
        <f>'[1]1нед'!P291</f>
        <v/>
      </c>
      <c r="H43" s="58" t="str">
        <f>HYPERLINK(VLOOKUP(E43,$R$12:$S$180,2,FALSE))</f>
        <v/>
      </c>
      <c r="I43" s="72"/>
      <c r="J43" s="89"/>
      <c r="K43" s="15"/>
      <c r="L43" s="24">
        <f>'[1]2нед'!K291</f>
        <v>0</v>
      </c>
      <c r="M43" s="25">
        <f>'[1]2нед'!L291</f>
        <v>0</v>
      </c>
      <c r="N43" s="26">
        <f>'[1]2нед'!O291</f>
        <v>0</v>
      </c>
      <c r="O43" s="27" t="str">
        <f>'[1]2нед'!P291</f>
        <v/>
      </c>
      <c r="P43" s="58" t="str">
        <f>HYPERLINK(VLOOKUP(M43,$R$12:$S$180,2,FALSE))</f>
        <v/>
      </c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'[1]1нед'!K292</f>
        <v>0</v>
      </c>
      <c r="E44" s="19">
        <f>'[1]1нед'!L292</f>
        <v>0</v>
      </c>
      <c r="F44" s="17">
        <f>'[1]1нед'!O292</f>
        <v>0</v>
      </c>
      <c r="G44" s="18" t="str">
        <f>'[1]1нед'!P292</f>
        <v/>
      </c>
      <c r="H44" s="56" t="str">
        <f>HYPERLINK(VLOOKUP(E44,$R$12:$S$180,2,FALSE))</f>
        <v/>
      </c>
      <c r="I44" s="70">
        <v>46276</v>
      </c>
      <c r="J44" s="87" t="s">
        <v>28</v>
      </c>
      <c r="K44" s="29" t="s">
        <v>18</v>
      </c>
      <c r="L44" s="16">
        <f>'[1]2нед'!K292</f>
        <v>0</v>
      </c>
      <c r="M44" s="19">
        <f>'[1]2нед'!L292</f>
        <v>0</v>
      </c>
      <c r="N44" s="17">
        <f>'[1]2нед'!O292</f>
        <v>0</v>
      </c>
      <c r="O44" s="18" t="str">
        <f>'[1]2нед'!P292</f>
        <v/>
      </c>
      <c r="P44" s="56" t="str">
        <f>HYPERLINK(VLOOKUP(M44,$R$12:$S$180,2,FALSE))</f>
        <v/>
      </c>
    </row>
    <row r="45" spans="1:16" ht="31.5" x14ac:dyDescent="0.2">
      <c r="A45" s="82"/>
      <c r="B45" s="85"/>
      <c r="C45" s="14" t="s">
        <v>19</v>
      </c>
      <c r="D45" s="20">
        <f>'[1]1нед'!K293</f>
        <v>0</v>
      </c>
      <c r="E45" s="23">
        <f>'[1]1нед'!L293</f>
        <v>0</v>
      </c>
      <c r="F45" s="21">
        <f>'[1]1нед'!O293</f>
        <v>0</v>
      </c>
      <c r="G45" s="22" t="str">
        <f>'[1]1нед'!P293</f>
        <v/>
      </c>
      <c r="H45" s="57" t="str">
        <f>HYPERLINK(VLOOKUP(E45,$R$12:$S$180,2,FALSE))</f>
        <v/>
      </c>
      <c r="I45" s="71"/>
      <c r="J45" s="88"/>
      <c r="K45" s="14" t="s">
        <v>19</v>
      </c>
      <c r="L45" s="20">
        <f>'[1]2нед'!K293</f>
        <v>0</v>
      </c>
      <c r="M45" s="23">
        <f>'[1]2нед'!L293</f>
        <v>0</v>
      </c>
      <c r="N45" s="21">
        <f>'[1]2нед'!O293</f>
        <v>0</v>
      </c>
      <c r="O45" s="22" t="str">
        <f>'[1]2нед'!P293</f>
        <v/>
      </c>
      <c r="P45" s="57" t="str">
        <f>HYPERLINK(VLOOKUP(M45,$R$12:$S$180,2,FALSE))</f>
        <v/>
      </c>
    </row>
    <row r="46" spans="1:16" ht="31.5" x14ac:dyDescent="0.2">
      <c r="A46" s="82"/>
      <c r="B46" s="85"/>
      <c r="C46" s="14" t="s">
        <v>20</v>
      </c>
      <c r="D46" s="20">
        <f>'[1]1нед'!K294</f>
        <v>0</v>
      </c>
      <c r="E46" s="23">
        <f>'[1]1нед'!L294</f>
        <v>0</v>
      </c>
      <c r="F46" s="21">
        <f>'[1]1нед'!O294</f>
        <v>0</v>
      </c>
      <c r="G46" s="22" t="str">
        <f>'[1]1нед'!P294</f>
        <v/>
      </c>
      <c r="H46" s="57" t="str">
        <f>HYPERLINK(VLOOKUP(E46,$R$12:$S$180,2,FALSE))</f>
        <v/>
      </c>
      <c r="I46" s="71"/>
      <c r="J46" s="88"/>
      <c r="K46" s="14" t="s">
        <v>20</v>
      </c>
      <c r="L46" s="20">
        <f>'[1]2нед'!K294</f>
        <v>0</v>
      </c>
      <c r="M46" s="23">
        <f>'[1]2нед'!L294</f>
        <v>0</v>
      </c>
      <c r="N46" s="21">
        <f>'[1]2нед'!O294</f>
        <v>0</v>
      </c>
      <c r="O46" s="22" t="str">
        <f>'[1]2нед'!P294</f>
        <v/>
      </c>
      <c r="P46" s="57" t="str">
        <f>HYPERLINK(VLOOKUP(M46,$R$12:$S$180,2,FALSE))</f>
        <v/>
      </c>
    </row>
    <row r="47" spans="1:16" ht="31.5" x14ac:dyDescent="0.2">
      <c r="A47" s="82"/>
      <c r="B47" s="85"/>
      <c r="C47" s="14" t="s">
        <v>21</v>
      </c>
      <c r="D47" s="20">
        <f>'[1]1нед'!K295</f>
        <v>0</v>
      </c>
      <c r="E47" s="23">
        <f>'[1]1нед'!L295</f>
        <v>0</v>
      </c>
      <c r="F47" s="21">
        <f>'[1]1нед'!O295</f>
        <v>0</v>
      </c>
      <c r="G47" s="22" t="str">
        <f>'[1]1нед'!P295</f>
        <v/>
      </c>
      <c r="H47" s="57" t="str">
        <f>HYPERLINK(VLOOKUP(E47,$R$12:$S$180,2,FALSE))</f>
        <v/>
      </c>
      <c r="I47" s="71"/>
      <c r="J47" s="88"/>
      <c r="K47" s="14" t="s">
        <v>21</v>
      </c>
      <c r="L47" s="20">
        <f>'[1]2нед'!K295</f>
        <v>0</v>
      </c>
      <c r="M47" s="23">
        <f>'[1]2нед'!L295</f>
        <v>0</v>
      </c>
      <c r="N47" s="21">
        <f>'[1]2нед'!O295</f>
        <v>0</v>
      </c>
      <c r="O47" s="22" t="str">
        <f>'[1]2нед'!P295</f>
        <v/>
      </c>
      <c r="P47" s="57" t="str">
        <f>HYPERLINK(VLOOKUP(M47,$R$12:$S$180,2,FALSE))</f>
        <v/>
      </c>
    </row>
    <row r="48" spans="1:16" ht="31.5" x14ac:dyDescent="0.2">
      <c r="A48" s="82"/>
      <c r="B48" s="85"/>
      <c r="C48" s="14" t="s">
        <v>22</v>
      </c>
      <c r="D48" s="20">
        <f>'[1]1нед'!K296</f>
        <v>0</v>
      </c>
      <c r="E48" s="23">
        <f>'[1]1нед'!L296</f>
        <v>0</v>
      </c>
      <c r="F48" s="21">
        <f>'[1]1нед'!O296</f>
        <v>0</v>
      </c>
      <c r="G48" s="22" t="str">
        <f>'[1]1нед'!P296</f>
        <v/>
      </c>
      <c r="H48" s="57" t="str">
        <f>HYPERLINK(VLOOKUP(E48,$R$12:$S$180,2,FALSE))</f>
        <v/>
      </c>
      <c r="I48" s="71"/>
      <c r="J48" s="88"/>
      <c r="K48" s="14" t="s">
        <v>22</v>
      </c>
      <c r="L48" s="20">
        <f>'[1]2нед'!K296</f>
        <v>0</v>
      </c>
      <c r="M48" s="23">
        <f>'[1]2нед'!L296</f>
        <v>0</v>
      </c>
      <c r="N48" s="21">
        <f>'[1]2нед'!O296</f>
        <v>0</v>
      </c>
      <c r="O48" s="22" t="str">
        <f>'[1]2нед'!P296</f>
        <v/>
      </c>
      <c r="P48" s="57" t="str">
        <f>HYPERLINK(VLOOKUP(M48,$R$12:$S$180,2,FALSE))</f>
        <v/>
      </c>
    </row>
    <row r="49" spans="1:16" ht="31.5" x14ac:dyDescent="0.2">
      <c r="A49" s="82"/>
      <c r="B49" s="85"/>
      <c r="C49" s="14" t="s">
        <v>23</v>
      </c>
      <c r="D49" s="20">
        <f>'[1]1нед'!K297</f>
        <v>0</v>
      </c>
      <c r="E49" s="23">
        <f>'[1]1нед'!L297</f>
        <v>0</v>
      </c>
      <c r="F49" s="21">
        <f>'[1]1нед'!O297</f>
        <v>0</v>
      </c>
      <c r="G49" s="22" t="str">
        <f>'[1]1нед'!P297</f>
        <v/>
      </c>
      <c r="H49" s="57" t="str">
        <f>HYPERLINK(VLOOKUP(E49,$R$12:$S$180,2,FALSE))</f>
        <v/>
      </c>
      <c r="I49" s="71"/>
      <c r="J49" s="88"/>
      <c r="K49" s="14" t="s">
        <v>23</v>
      </c>
      <c r="L49" s="20">
        <f>'[1]2нед'!K297</f>
        <v>0</v>
      </c>
      <c r="M49" s="23">
        <f>'[1]2нед'!L297</f>
        <v>0</v>
      </c>
      <c r="N49" s="21">
        <f>'[1]2нед'!O297</f>
        <v>0</v>
      </c>
      <c r="O49" s="22" t="str">
        <f>'[1]2нед'!P297</f>
        <v/>
      </c>
      <c r="P49" s="57" t="str">
        <f>HYPERLINK(VLOOKUP(M49,$R$12:$S$180,2,FALSE))</f>
        <v/>
      </c>
    </row>
    <row r="50" spans="1:16" ht="32.25" thickBot="1" x14ac:dyDescent="0.25">
      <c r="A50" s="82"/>
      <c r="B50" s="85"/>
      <c r="C50" s="14" t="s">
        <v>24</v>
      </c>
      <c r="D50" s="20">
        <f>'[1]1нед'!K298</f>
        <v>0</v>
      </c>
      <c r="E50" s="23">
        <f>'[1]1нед'!L298</f>
        <v>0</v>
      </c>
      <c r="F50" s="21">
        <f>'[1]1нед'!O298</f>
        <v>0</v>
      </c>
      <c r="G50" s="22" t="str">
        <f>'[1]1нед'!P298</f>
        <v/>
      </c>
      <c r="H50" s="57" t="str">
        <f>HYPERLINK(VLOOKUP(E50,$R$12:$S$180,2,FALSE))</f>
        <v/>
      </c>
      <c r="I50" s="71"/>
      <c r="J50" s="88"/>
      <c r="K50" s="14" t="s">
        <v>24</v>
      </c>
      <c r="L50" s="20">
        <f>'[1]2нед'!K298</f>
        <v>0</v>
      </c>
      <c r="M50" s="23">
        <f>'[1]2нед'!L298</f>
        <v>0</v>
      </c>
      <c r="N50" s="21">
        <f>'[1]2нед'!O298</f>
        <v>0</v>
      </c>
      <c r="O50" s="22" t="str">
        <f>'[1]2нед'!P298</f>
        <v/>
      </c>
      <c r="P50" s="57" t="str">
        <f>HYPERLINK(VLOOKUP(M50,$R$12:$S$180,2,FALSE))</f>
        <v/>
      </c>
    </row>
    <row r="51" spans="1:16" ht="18.399999999999999" hidden="1" customHeight="1" thickBot="1" x14ac:dyDescent="0.25">
      <c r="A51" s="83"/>
      <c r="B51" s="86"/>
      <c r="C51" s="15"/>
      <c r="D51" s="24">
        <f>'[1]1нед'!K299</f>
        <v>0</v>
      </c>
      <c r="E51" s="25">
        <f>'[1]1нед'!L299</f>
        <v>0</v>
      </c>
      <c r="F51" s="26">
        <f>'[1]1нед'!O299</f>
        <v>0</v>
      </c>
      <c r="G51" s="27" t="str">
        <f>'[1]1нед'!P299</f>
        <v/>
      </c>
      <c r="H51" s="58" t="str">
        <f>HYPERLINK(VLOOKUP(E51,$R$12:$S$180,2,FALSE))</f>
        <v/>
      </c>
      <c r="I51" s="72"/>
      <c r="J51" s="89"/>
      <c r="K51" s="15"/>
      <c r="L51" s="24">
        <f>'[1]2нед'!K299</f>
        <v>0</v>
      </c>
      <c r="M51" s="25">
        <f>'[1]2нед'!L299</f>
        <v>0</v>
      </c>
      <c r="N51" s="26">
        <f>'[1]2нед'!O299</f>
        <v>0</v>
      </c>
      <c r="O51" s="27" t="str">
        <f>'[1]2нед'!P299</f>
        <v/>
      </c>
      <c r="P51" s="58" t="str">
        <f>HYPERLINK(VLOOKUP(M51,$R$12:$S$180,2,FALSE))</f>
        <v/>
      </c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'[1]1нед'!K300</f>
        <v>0</v>
      </c>
      <c r="E52" s="19">
        <f>'[1]1нед'!L300</f>
        <v>0</v>
      </c>
      <c r="F52" s="17">
        <f>'[1]1нед'!O300</f>
        <v>0</v>
      </c>
      <c r="G52" s="18" t="str">
        <f>'[1]1нед'!P300</f>
        <v/>
      </c>
      <c r="H52" s="56" t="str">
        <f>HYPERLINK(VLOOKUP(E52,$R$12:$S$180,2,FALSE))</f>
        <v/>
      </c>
      <c r="I52" s="70">
        <v>46277</v>
      </c>
      <c r="J52" s="87" t="s">
        <v>29</v>
      </c>
      <c r="K52" s="29" t="s">
        <v>18</v>
      </c>
      <c r="L52" s="16">
        <f>'[1]2нед'!K300</f>
        <v>0</v>
      </c>
      <c r="M52" s="19">
        <f>'[1]2нед'!L300</f>
        <v>0</v>
      </c>
      <c r="N52" s="17">
        <f>'[1]2нед'!O300</f>
        <v>0</v>
      </c>
      <c r="O52" s="18" t="str">
        <f>'[1]2нед'!P300</f>
        <v/>
      </c>
      <c r="P52" s="56" t="str">
        <f>HYPERLINK(VLOOKUP(M52,$R$12:$S$180,2,FALSE))</f>
        <v/>
      </c>
    </row>
    <row r="53" spans="1:16" ht="31.5" x14ac:dyDescent="0.2">
      <c r="A53" s="82"/>
      <c r="B53" s="85"/>
      <c r="C53" s="14" t="s">
        <v>19</v>
      </c>
      <c r="D53" s="20">
        <f>'[1]1нед'!K301</f>
        <v>0</v>
      </c>
      <c r="E53" s="23">
        <f>'[1]1нед'!L301</f>
        <v>0</v>
      </c>
      <c r="F53" s="21">
        <f>'[1]1нед'!O301</f>
        <v>0</v>
      </c>
      <c r="G53" s="22" t="str">
        <f>'[1]1нед'!P301</f>
        <v/>
      </c>
      <c r="H53" s="57" t="str">
        <f>HYPERLINK(VLOOKUP(E53,$R$12:$S$180,2,FALSE))</f>
        <v/>
      </c>
      <c r="I53" s="71"/>
      <c r="J53" s="88"/>
      <c r="K53" s="14" t="s">
        <v>19</v>
      </c>
      <c r="L53" s="20">
        <f>'[1]2нед'!K301</f>
        <v>0</v>
      </c>
      <c r="M53" s="23">
        <f>'[1]2нед'!L301</f>
        <v>0</v>
      </c>
      <c r="N53" s="21">
        <f>'[1]2нед'!O301</f>
        <v>0</v>
      </c>
      <c r="O53" s="22" t="str">
        <f>'[1]2нед'!P301</f>
        <v/>
      </c>
      <c r="P53" s="57" t="str">
        <f>HYPERLINK(VLOOKUP(M53,$R$12:$S$180,2,FALSE))</f>
        <v/>
      </c>
    </row>
    <row r="54" spans="1:16" ht="31.5" x14ac:dyDescent="0.2">
      <c r="A54" s="82"/>
      <c r="B54" s="85"/>
      <c r="C54" s="14" t="s">
        <v>20</v>
      </c>
      <c r="D54" s="20">
        <f>'[1]1нед'!K302</f>
        <v>0</v>
      </c>
      <c r="E54" s="23">
        <f>'[1]1нед'!L302</f>
        <v>0</v>
      </c>
      <c r="F54" s="21">
        <f>'[1]1нед'!O302</f>
        <v>0</v>
      </c>
      <c r="G54" s="22" t="str">
        <f>'[1]1нед'!P302</f>
        <v/>
      </c>
      <c r="H54" s="57" t="str">
        <f>HYPERLINK(VLOOKUP(E54,$R$12:$S$180,2,FALSE))</f>
        <v/>
      </c>
      <c r="I54" s="71"/>
      <c r="J54" s="88"/>
      <c r="K54" s="14" t="s">
        <v>20</v>
      </c>
      <c r="L54" s="20">
        <f>'[1]2нед'!K302</f>
        <v>0</v>
      </c>
      <c r="M54" s="23">
        <f>'[1]2нед'!L302</f>
        <v>0</v>
      </c>
      <c r="N54" s="21">
        <f>'[1]2нед'!O302</f>
        <v>0</v>
      </c>
      <c r="O54" s="22" t="str">
        <f>'[1]2нед'!P302</f>
        <v/>
      </c>
      <c r="P54" s="57" t="str">
        <f>HYPERLINK(VLOOKUP(M54,$R$12:$S$180,2,FALSE))</f>
        <v/>
      </c>
    </row>
    <row r="55" spans="1:16" ht="31.5" x14ac:dyDescent="0.2">
      <c r="A55" s="82"/>
      <c r="B55" s="85"/>
      <c r="C55" s="14" t="s">
        <v>21</v>
      </c>
      <c r="D55" s="20">
        <f>'[1]1нед'!K303</f>
        <v>0</v>
      </c>
      <c r="E55" s="23">
        <f>'[1]1нед'!L303</f>
        <v>0</v>
      </c>
      <c r="F55" s="21">
        <f>'[1]1нед'!O303</f>
        <v>0</v>
      </c>
      <c r="G55" s="22" t="str">
        <f>'[1]1нед'!P303</f>
        <v/>
      </c>
      <c r="H55" s="57" t="str">
        <f>HYPERLINK(VLOOKUP(E55,$R$12:$S$180,2,FALSE))</f>
        <v/>
      </c>
      <c r="I55" s="71"/>
      <c r="J55" s="88"/>
      <c r="K55" s="14" t="s">
        <v>21</v>
      </c>
      <c r="L55" s="20">
        <f>'[1]2нед'!K303</f>
        <v>0</v>
      </c>
      <c r="M55" s="23">
        <f>'[1]2нед'!L303</f>
        <v>0</v>
      </c>
      <c r="N55" s="21">
        <f>'[1]2нед'!O303</f>
        <v>0</v>
      </c>
      <c r="O55" s="22" t="str">
        <f>'[1]2нед'!P303</f>
        <v/>
      </c>
      <c r="P55" s="57" t="str">
        <f>HYPERLINK(VLOOKUP(M55,$R$12:$S$180,2,FALSE))</f>
        <v/>
      </c>
    </row>
    <row r="56" spans="1:16" ht="31.5" x14ac:dyDescent="0.2">
      <c r="A56" s="82"/>
      <c r="B56" s="85"/>
      <c r="C56" s="14" t="s">
        <v>22</v>
      </c>
      <c r="D56" s="20">
        <f>'[1]1нед'!K304</f>
        <v>0</v>
      </c>
      <c r="E56" s="23">
        <f>'[1]1нед'!L304</f>
        <v>0</v>
      </c>
      <c r="F56" s="21">
        <f>'[1]1нед'!O304</f>
        <v>0</v>
      </c>
      <c r="G56" s="22" t="str">
        <f>'[1]1нед'!P304</f>
        <v/>
      </c>
      <c r="H56" s="57" t="str">
        <f>HYPERLINK(VLOOKUP(E56,$R$12:$S$180,2,FALSE))</f>
        <v/>
      </c>
      <c r="I56" s="71"/>
      <c r="J56" s="88"/>
      <c r="K56" s="14" t="s">
        <v>22</v>
      </c>
      <c r="L56" s="20">
        <f>'[1]2нед'!K304</f>
        <v>0</v>
      </c>
      <c r="M56" s="23">
        <f>'[1]2нед'!L304</f>
        <v>0</v>
      </c>
      <c r="N56" s="21">
        <f>'[1]2нед'!O304</f>
        <v>0</v>
      </c>
      <c r="O56" s="22" t="str">
        <f>'[1]2нед'!P304</f>
        <v/>
      </c>
      <c r="P56" s="57" t="str">
        <f>HYPERLINK(VLOOKUP(M56,$R$12:$S$180,2,FALSE))</f>
        <v/>
      </c>
    </row>
    <row r="57" spans="1:16" ht="31.5" x14ac:dyDescent="0.2">
      <c r="A57" s="82"/>
      <c r="B57" s="85"/>
      <c r="C57" s="14" t="s">
        <v>23</v>
      </c>
      <c r="D57" s="20">
        <f>'[1]1нед'!K305</f>
        <v>0</v>
      </c>
      <c r="E57" s="23">
        <f>'[1]1нед'!L305</f>
        <v>0</v>
      </c>
      <c r="F57" s="21">
        <f>'[1]1нед'!O305</f>
        <v>0</v>
      </c>
      <c r="G57" s="22" t="str">
        <f>'[1]1нед'!P305</f>
        <v/>
      </c>
      <c r="H57" s="57" t="str">
        <f>HYPERLINK(VLOOKUP(E57,$R$12:$S$180,2,FALSE))</f>
        <v/>
      </c>
      <c r="I57" s="71"/>
      <c r="J57" s="88"/>
      <c r="K57" s="14" t="s">
        <v>23</v>
      </c>
      <c r="L57" s="20">
        <f>'[1]2нед'!K305</f>
        <v>0</v>
      </c>
      <c r="M57" s="23">
        <f>'[1]2нед'!L305</f>
        <v>0</v>
      </c>
      <c r="N57" s="21">
        <f>'[1]2нед'!O305</f>
        <v>0</v>
      </c>
      <c r="O57" s="22" t="str">
        <f>'[1]2нед'!P305</f>
        <v/>
      </c>
      <c r="P57" s="57" t="str">
        <f>HYPERLINK(VLOOKUP(M57,$R$12:$S$180,2,FALSE))</f>
        <v/>
      </c>
    </row>
    <row r="58" spans="1:16" ht="32.25" thickBot="1" x14ac:dyDescent="0.25">
      <c r="A58" s="82"/>
      <c r="B58" s="85"/>
      <c r="C58" s="14" t="s">
        <v>24</v>
      </c>
      <c r="D58" s="20">
        <f>'[1]1нед'!K306</f>
        <v>0</v>
      </c>
      <c r="E58" s="23">
        <f>'[1]1нед'!L306</f>
        <v>0</v>
      </c>
      <c r="F58" s="21">
        <f>'[1]1нед'!O306</f>
        <v>0</v>
      </c>
      <c r="G58" s="22" t="str">
        <f>'[1]1нед'!P306</f>
        <v/>
      </c>
      <c r="H58" s="57" t="str">
        <f>HYPERLINK(VLOOKUP(E58,$R$12:$S$180,2,FALSE))</f>
        <v/>
      </c>
      <c r="I58" s="71"/>
      <c r="J58" s="88"/>
      <c r="K58" s="14" t="s">
        <v>24</v>
      </c>
      <c r="L58" s="20">
        <f>'[1]2нед'!K306</f>
        <v>0</v>
      </c>
      <c r="M58" s="23">
        <f>'[1]2нед'!L306</f>
        <v>0</v>
      </c>
      <c r="N58" s="21">
        <f>'[1]2нед'!O306</f>
        <v>0</v>
      </c>
      <c r="O58" s="22" t="str">
        <f>'[1]2нед'!P306</f>
        <v/>
      </c>
      <c r="P58" s="57" t="str">
        <f>HYPERLINK(VLOOKUP(M58,$R$12:$S$180,2,FALSE))</f>
        <v/>
      </c>
    </row>
    <row r="59" spans="1:16" ht="19.149999999999999" hidden="1" customHeight="1" thickTop="1" thickBot="1" x14ac:dyDescent="0.25">
      <c r="A59" s="83"/>
      <c r="B59" s="86"/>
      <c r="C59" s="15"/>
      <c r="D59" s="16">
        <f>'[1]1нед'!K59</f>
        <v>0</v>
      </c>
      <c r="E59" s="19">
        <f>'[1]1нед'!L59</f>
        <v>0</v>
      </c>
      <c r="F59" s="17">
        <f>'[1]1нед'!O59</f>
        <v>0</v>
      </c>
      <c r="G59" s="18" t="str">
        <f>'[1]1нед'!P59</f>
        <v/>
      </c>
      <c r="H59" s="44" t="str">
        <f>HYPERLINK(VLOOKUP(E59,$R$12:$S$180,2,FALSE))</f>
        <v/>
      </c>
      <c r="I59" s="72"/>
      <c r="J59" s="89"/>
      <c r="K59" s="15"/>
      <c r="L59" s="16">
        <f>'[1]2нед'!K307</f>
        <v>0</v>
      </c>
      <c r="M59" s="19">
        <f>'[1]2нед'!L307</f>
        <v>0</v>
      </c>
      <c r="N59" s="17">
        <f>'[1]2нед'!O307</f>
        <v>0</v>
      </c>
      <c r="O59" s="18" t="str">
        <f>'[1]2нед'!P307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44.03.05.Педагогическое образование (с двумя профилями подготовки) (Математика и Экономика)</v>
      </c>
      <c r="F67" s="7"/>
      <c r="G67" s="7"/>
      <c r="H67" s="36"/>
      <c r="I67" s="46"/>
      <c r="J67" s="62" t="str">
        <f>'[1]1нед'!$A$6</f>
        <v>Направление подготовки:</v>
      </c>
      <c r="K67" s="6"/>
      <c r="L67" s="7"/>
      <c r="M67" s="8" t="str">
        <f>E7</f>
        <v>44.03.05.Педагогическое образование (с двумя профилями подготовки) (Математика и Экономика)</v>
      </c>
      <c r="N67" s="7"/>
      <c r="O67" s="7"/>
      <c r="P67" s="36"/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2</v>
      </c>
      <c r="F69" s="62" t="str">
        <f>'[1]1нед'!$L$258</f>
        <v>12-24МЭоз</v>
      </c>
      <c r="G69" s="62"/>
      <c r="H69" s="35"/>
      <c r="I69" s="45"/>
      <c r="J69" s="81" t="s">
        <v>7</v>
      </c>
      <c r="K69" s="81"/>
      <c r="L69" s="81"/>
      <c r="M69" s="62">
        <f>E9</f>
        <v>2</v>
      </c>
      <c r="N69" s="62" t="str">
        <f>'[1]1нед'!$L$258</f>
        <v>12-24МЭоз</v>
      </c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'[1]3нед'!K260</f>
        <v>0</v>
      </c>
      <c r="E72" s="19">
        <f>'[1]3нед'!L260</f>
        <v>0</v>
      </c>
      <c r="F72" s="17">
        <f>'[1]3нед'!O260</f>
        <v>0</v>
      </c>
      <c r="G72" s="18" t="str">
        <f>'[1]3нед'!P260</f>
        <v/>
      </c>
      <c r="H72" s="56" t="str">
        <f>HYPERLINK(VLOOKUP(E72,$R$12:$S$180,2,FALSE))</f>
        <v/>
      </c>
      <c r="I72" s="70">
        <v>46286</v>
      </c>
      <c r="J72" s="87" t="s">
        <v>17</v>
      </c>
      <c r="K72" s="14" t="s">
        <v>18</v>
      </c>
      <c r="L72" s="16">
        <f>'[1]4нед'!K260</f>
        <v>0</v>
      </c>
      <c r="M72" s="19">
        <f>'[1]4нед'!L260</f>
        <v>0</v>
      </c>
      <c r="N72" s="17">
        <f>'[1]4нед'!O260</f>
        <v>0</v>
      </c>
      <c r="O72" s="18" t="str">
        <f>'[1]4нед'!P260</f>
        <v/>
      </c>
      <c r="P72" s="56" t="str">
        <f>HYPERLINK(VLOOKUP(M72,$R$12:$S$180,2,FALSE))</f>
        <v/>
      </c>
    </row>
    <row r="73" spans="1:16" ht="31.5" x14ac:dyDescent="0.2">
      <c r="A73" s="82"/>
      <c r="B73" s="85"/>
      <c r="C73" s="14" t="s">
        <v>73</v>
      </c>
      <c r="D73" s="20">
        <f>'[1]3нед'!K261</f>
        <v>0</v>
      </c>
      <c r="E73" s="23">
        <f>'[1]3нед'!L261</f>
        <v>0</v>
      </c>
      <c r="F73" s="21">
        <f>'[1]3нед'!O261</f>
        <v>0</v>
      </c>
      <c r="G73" s="22" t="str">
        <f>'[1]3нед'!P261</f>
        <v/>
      </c>
      <c r="H73" s="57" t="str">
        <f>HYPERLINK(VLOOKUP(E73,$R$12:$S$180,2,FALSE))</f>
        <v/>
      </c>
      <c r="I73" s="71"/>
      <c r="J73" s="88"/>
      <c r="K73" s="14" t="s">
        <v>73</v>
      </c>
      <c r="L73" s="20">
        <f>'[1]4нед'!K261</f>
        <v>0</v>
      </c>
      <c r="M73" s="23">
        <f>'[1]4нед'!L261</f>
        <v>0</v>
      </c>
      <c r="N73" s="21">
        <f>'[1]4нед'!O261</f>
        <v>0</v>
      </c>
      <c r="O73" s="22" t="str">
        <f>'[1]4нед'!P261</f>
        <v/>
      </c>
      <c r="P73" s="57" t="str">
        <f>HYPERLINK(VLOOKUP(M73,$R$12:$S$180,2,FALSE))</f>
        <v/>
      </c>
    </row>
    <row r="74" spans="1:16" ht="31.5" x14ac:dyDescent="0.2">
      <c r="A74" s="82"/>
      <c r="B74" s="85"/>
      <c r="C74" s="14" t="s">
        <v>74</v>
      </c>
      <c r="D74" s="20">
        <f>'[1]3нед'!K262</f>
        <v>0</v>
      </c>
      <c r="E74" s="23">
        <f>'[1]3нед'!L262</f>
        <v>0</v>
      </c>
      <c r="F74" s="21">
        <f>'[1]3нед'!O262</f>
        <v>0</v>
      </c>
      <c r="G74" s="22" t="str">
        <f>'[1]3нед'!P262</f>
        <v/>
      </c>
      <c r="H74" s="57" t="str">
        <f>HYPERLINK(VLOOKUP(E74,$R$12:$S$180,2,FALSE))</f>
        <v/>
      </c>
      <c r="I74" s="71"/>
      <c r="J74" s="88"/>
      <c r="K74" s="14" t="s">
        <v>74</v>
      </c>
      <c r="L74" s="20">
        <f>'[1]4нед'!K262</f>
        <v>0</v>
      </c>
      <c r="M74" s="23">
        <f>'[1]4нед'!L262</f>
        <v>0</v>
      </c>
      <c r="N74" s="21">
        <f>'[1]4нед'!O262</f>
        <v>0</v>
      </c>
      <c r="O74" s="22" t="str">
        <f>'[1]4нед'!P262</f>
        <v/>
      </c>
      <c r="P74" s="57" t="str">
        <f>HYPERLINK(VLOOKUP(M74,$R$12:$S$180,2,FALSE))</f>
        <v/>
      </c>
    </row>
    <row r="75" spans="1:16" ht="31.5" x14ac:dyDescent="0.2">
      <c r="A75" s="82"/>
      <c r="B75" s="85"/>
      <c r="C75" s="14" t="s">
        <v>21</v>
      </c>
      <c r="D75" s="20">
        <f>'[1]3нед'!K263</f>
        <v>0</v>
      </c>
      <c r="E75" s="23">
        <f>'[1]3нед'!L263</f>
        <v>0</v>
      </c>
      <c r="F75" s="21">
        <f>'[1]3нед'!O263</f>
        <v>0</v>
      </c>
      <c r="G75" s="22" t="str">
        <f>'[1]3нед'!P263</f>
        <v/>
      </c>
      <c r="H75" s="57" t="str">
        <f>HYPERLINK(VLOOKUP(E75,$R$12:$S$180,2,FALSE))</f>
        <v/>
      </c>
      <c r="I75" s="71"/>
      <c r="J75" s="88"/>
      <c r="K75" s="14" t="s">
        <v>21</v>
      </c>
      <c r="L75" s="20">
        <f>'[1]4нед'!K263</f>
        <v>0</v>
      </c>
      <c r="M75" s="23">
        <f>'[1]4нед'!L263</f>
        <v>0</v>
      </c>
      <c r="N75" s="21">
        <f>'[1]4нед'!O263</f>
        <v>0</v>
      </c>
      <c r="O75" s="22" t="str">
        <f>'[1]4нед'!P263</f>
        <v/>
      </c>
      <c r="P75" s="57" t="str">
        <f>HYPERLINK(VLOOKUP(M75,$R$12:$S$180,2,FALSE))</f>
        <v/>
      </c>
    </row>
    <row r="76" spans="1:16" ht="31.5" x14ac:dyDescent="0.2">
      <c r="A76" s="82"/>
      <c r="B76" s="85"/>
      <c r="C76" s="14" t="s">
        <v>22</v>
      </c>
      <c r="D76" s="20">
        <f>'[1]3нед'!K264</f>
        <v>0</v>
      </c>
      <c r="E76" s="23">
        <f>'[1]3нед'!L264</f>
        <v>0</v>
      </c>
      <c r="F76" s="21">
        <f>'[1]3нед'!O264</f>
        <v>0</v>
      </c>
      <c r="G76" s="22" t="str">
        <f>'[1]3нед'!P264</f>
        <v/>
      </c>
      <c r="H76" s="57" t="str">
        <f>HYPERLINK(VLOOKUP(E76,$R$12:$S$180,2,FALSE))</f>
        <v/>
      </c>
      <c r="I76" s="71"/>
      <c r="J76" s="88"/>
      <c r="K76" s="14" t="s">
        <v>22</v>
      </c>
      <c r="L76" s="20">
        <f>'[1]4нед'!K264</f>
        <v>0</v>
      </c>
      <c r="M76" s="23">
        <f>'[1]4нед'!L264</f>
        <v>0</v>
      </c>
      <c r="N76" s="21">
        <f>'[1]4нед'!O264</f>
        <v>0</v>
      </c>
      <c r="O76" s="22" t="str">
        <f>'[1]4нед'!P264</f>
        <v/>
      </c>
      <c r="P76" s="57" t="str">
        <f>HYPERLINK(VLOOKUP(M76,$R$12:$S$180,2,FALSE))</f>
        <v/>
      </c>
    </row>
    <row r="77" spans="1:16" ht="56.25" x14ac:dyDescent="0.2">
      <c r="A77" s="82"/>
      <c r="B77" s="85"/>
      <c r="C77" s="14" t="s">
        <v>23</v>
      </c>
      <c r="D77" s="20" t="str">
        <f>'[1]3нед'!K265</f>
        <v>л</v>
      </c>
      <c r="E77" s="23" t="str">
        <f>'[1]3нед'!L265</f>
        <v>Технология и организация воспитательных практик (классное руководство)</v>
      </c>
      <c r="F77" s="21" t="str">
        <f>'[1]3нед'!O265</f>
        <v>Макарчук Н.В.</v>
      </c>
      <c r="G77" s="22" t="str">
        <f>'[1]3нед'!P265</f>
        <v>преподаватель</v>
      </c>
      <c r="H77" s="55" t="str">
        <f>HYPERLINK(VLOOKUP(E77,$R$12:$S$180,2,FALSE))</f>
        <v>https://max.ru/join/6P4CDIXdiW5socNdup_FdA5kKEfDh7JWkzXGBNPsMNM</v>
      </c>
      <c r="I77" s="71"/>
      <c r="J77" s="88"/>
      <c r="K77" s="14" t="s">
        <v>23</v>
      </c>
      <c r="L77" s="20" t="str">
        <f>'[1]4нед'!K265</f>
        <v>пр</v>
      </c>
      <c r="M77" s="23" t="str">
        <f>'[1]4нед'!L265</f>
        <v xml:space="preserve"> Методы исследовательской/проектной деятельности</v>
      </c>
      <c r="N77" s="21" t="str">
        <f>'[1]4нед'!O265</f>
        <v>Казанцев Ю.А.</v>
      </c>
      <c r="O77" s="22" t="str">
        <f>'[1]4нед'!P265</f>
        <v>ст. преподаватель</v>
      </c>
      <c r="P77" s="55" t="str">
        <f>HYPERLINK(VLOOKUP(M77,$R$12:$S$180,2,FALSE))</f>
        <v>https://max.ru/join/vVDI4UrM3eCAidVGjy4YDG7oZq_cJEJtK2NywT5ISAk</v>
      </c>
    </row>
    <row r="78" spans="1:16" ht="32.25" thickBot="1" x14ac:dyDescent="0.25">
      <c r="A78" s="82"/>
      <c r="B78" s="85"/>
      <c r="C78" s="14" t="s">
        <v>24</v>
      </c>
      <c r="D78" s="20">
        <f>'[1]3нед'!K266</f>
        <v>0</v>
      </c>
      <c r="E78" s="23">
        <f>'[1]3нед'!L266</f>
        <v>0</v>
      </c>
      <c r="F78" s="21">
        <f>'[1]3нед'!O266</f>
        <v>0</v>
      </c>
      <c r="G78" s="22" t="str">
        <f>'[1]3нед'!P266</f>
        <v/>
      </c>
      <c r="H78" s="55" t="str">
        <f>HYPERLINK(VLOOKUP(E78,$R$12:$S$180,2,FALSE))</f>
        <v/>
      </c>
      <c r="I78" s="71"/>
      <c r="J78" s="88"/>
      <c r="K78" s="14" t="s">
        <v>24</v>
      </c>
      <c r="L78" s="20" t="str">
        <f>'[1]4нед'!K266</f>
        <v>пр</v>
      </c>
      <c r="M78" s="23" t="str">
        <f>'[1]4нед'!L266</f>
        <v xml:space="preserve"> Основы военной подготовки</v>
      </c>
      <c r="N78" s="21" t="str">
        <f>'[1]4нед'!O266</f>
        <v>Кулак А.Ф.</v>
      </c>
      <c r="O78" s="22" t="str">
        <f>'[1]4нед'!P266</f>
        <v>преподаватель</v>
      </c>
      <c r="P78" s="55" t="str">
        <f>HYPERLINK(VLOOKUP(M78,$R$12:$S$180,2,FALSE))</f>
        <v>https://max.ru/join/VKkXfhUzxKeyFQk25Ym4SroS_8HJFubEzr_pkrxHHAs</v>
      </c>
    </row>
    <row r="79" spans="1:16" ht="18.399999999999999" hidden="1" customHeight="1" thickBot="1" x14ac:dyDescent="0.25">
      <c r="A79" s="83"/>
      <c r="B79" s="86"/>
      <c r="C79" s="15"/>
      <c r="D79" s="24">
        <f>'[1]3нед'!K267</f>
        <v>0</v>
      </c>
      <c r="E79" s="25">
        <f>'[1]3нед'!L267</f>
        <v>0</v>
      </c>
      <c r="F79" s="26">
        <f>'[1]3нед'!O267</f>
        <v>0</v>
      </c>
      <c r="G79" s="27" t="str">
        <f>'[1]3нед'!P267</f>
        <v/>
      </c>
      <c r="H79" s="58" t="str">
        <f>HYPERLINK(VLOOKUP(E79,$R$12:$S$180,2,FALSE))</f>
        <v/>
      </c>
      <c r="I79" s="72"/>
      <c r="J79" s="89"/>
      <c r="K79" s="15"/>
      <c r="L79" s="24">
        <f>'[1]4нед'!K267</f>
        <v>0</v>
      </c>
      <c r="M79" s="25">
        <f>'[1]4нед'!L267</f>
        <v>0</v>
      </c>
      <c r="N79" s="26">
        <f>'[1]4нед'!O267</f>
        <v>0</v>
      </c>
      <c r="O79" s="27" t="str">
        <f>'[1]4нед'!P267</f>
        <v/>
      </c>
      <c r="P79" s="58" t="str">
        <f>HYPERLINK(VLOOKUP(M79,$R$12:$S$180,2,FALSE))</f>
        <v/>
      </c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'[1]3нед'!K268</f>
        <v>0</v>
      </c>
      <c r="E80" s="19">
        <f>'[1]3нед'!L268</f>
        <v>0</v>
      </c>
      <c r="F80" s="17">
        <f>'[1]3нед'!O268</f>
        <v>0</v>
      </c>
      <c r="G80" s="18" t="str">
        <f>'[1]3нед'!P268</f>
        <v/>
      </c>
      <c r="H80" s="56" t="str">
        <f>HYPERLINK(VLOOKUP(E80,$R$12:$S$180,2,FALSE))</f>
        <v/>
      </c>
      <c r="I80" s="70">
        <v>46287</v>
      </c>
      <c r="J80" s="87" t="s">
        <v>25</v>
      </c>
      <c r="K80" s="29" t="s">
        <v>18</v>
      </c>
      <c r="L80" s="16">
        <f>'[1]4нед'!K268</f>
        <v>0</v>
      </c>
      <c r="M80" s="19">
        <f>'[1]4нед'!L268</f>
        <v>0</v>
      </c>
      <c r="N80" s="17">
        <f>'[1]4нед'!O268</f>
        <v>0</v>
      </c>
      <c r="O80" s="18" t="str">
        <f>'[1]4нед'!P268</f>
        <v/>
      </c>
      <c r="P80" s="56" t="str">
        <f>HYPERLINK(VLOOKUP(M80,$R$12:$S$180,2,FALSE))</f>
        <v/>
      </c>
    </row>
    <row r="81" spans="1:16" ht="31.5" x14ac:dyDescent="0.2">
      <c r="A81" s="82"/>
      <c r="B81" s="85"/>
      <c r="C81" s="14" t="s">
        <v>73</v>
      </c>
      <c r="D81" s="20">
        <f>'[1]3нед'!K269</f>
        <v>0</v>
      </c>
      <c r="E81" s="23">
        <f>'[1]3нед'!L269</f>
        <v>0</v>
      </c>
      <c r="F81" s="21">
        <f>'[1]3нед'!O269</f>
        <v>0</v>
      </c>
      <c r="G81" s="22" t="str">
        <f>'[1]3нед'!P269</f>
        <v/>
      </c>
      <c r="H81" s="57" t="str">
        <f>HYPERLINK(VLOOKUP(E81,$R$12:$S$180,2,FALSE))</f>
        <v/>
      </c>
      <c r="I81" s="71"/>
      <c r="J81" s="88"/>
      <c r="K81" s="14" t="s">
        <v>73</v>
      </c>
      <c r="L81" s="20">
        <f>'[1]4нед'!K269</f>
        <v>0</v>
      </c>
      <c r="M81" s="23">
        <f>'[1]4нед'!L269</f>
        <v>0</v>
      </c>
      <c r="N81" s="21">
        <f>'[1]4нед'!O269</f>
        <v>0</v>
      </c>
      <c r="O81" s="22" t="str">
        <f>'[1]4нед'!P269</f>
        <v/>
      </c>
      <c r="P81" s="57" t="str">
        <f>HYPERLINK(VLOOKUP(M81,$R$12:$S$180,2,FALSE))</f>
        <v/>
      </c>
    </row>
    <row r="82" spans="1:16" ht="31.5" x14ac:dyDescent="0.2">
      <c r="A82" s="82"/>
      <c r="B82" s="85"/>
      <c r="C82" s="14" t="s">
        <v>74</v>
      </c>
      <c r="D82" s="20">
        <f>'[1]3нед'!K270</f>
        <v>0</v>
      </c>
      <c r="E82" s="23">
        <f>'[1]3нед'!L270</f>
        <v>0</v>
      </c>
      <c r="F82" s="21">
        <f>'[1]3нед'!O270</f>
        <v>0</v>
      </c>
      <c r="G82" s="22" t="str">
        <f>'[1]3нед'!P270</f>
        <v/>
      </c>
      <c r="H82" s="57" t="str">
        <f>HYPERLINK(VLOOKUP(E82,$R$12:$S$180,2,FALSE))</f>
        <v/>
      </c>
      <c r="I82" s="71"/>
      <c r="J82" s="88"/>
      <c r="K82" s="14" t="s">
        <v>74</v>
      </c>
      <c r="L82" s="20">
        <f>'[1]4нед'!K270</f>
        <v>0</v>
      </c>
      <c r="M82" s="23">
        <f>'[1]4нед'!L270</f>
        <v>0</v>
      </c>
      <c r="N82" s="21">
        <f>'[1]4нед'!O270</f>
        <v>0</v>
      </c>
      <c r="O82" s="22" t="str">
        <f>'[1]4нед'!P270</f>
        <v/>
      </c>
      <c r="P82" s="57" t="str">
        <f>HYPERLINK(VLOOKUP(M82,$R$12:$S$180,2,FALSE))</f>
        <v/>
      </c>
    </row>
    <row r="83" spans="1:16" ht="31.5" x14ac:dyDescent="0.2">
      <c r="A83" s="82"/>
      <c r="B83" s="85"/>
      <c r="C83" s="14" t="s">
        <v>21</v>
      </c>
      <c r="D83" s="20">
        <f>'[1]3нед'!K271</f>
        <v>0</v>
      </c>
      <c r="E83" s="23">
        <f>'[1]3нед'!L271</f>
        <v>0</v>
      </c>
      <c r="F83" s="21">
        <f>'[1]3нед'!O271</f>
        <v>0</v>
      </c>
      <c r="G83" s="22" t="str">
        <f>'[1]3нед'!P271</f>
        <v/>
      </c>
      <c r="H83" s="57" t="str">
        <f>HYPERLINK(VLOOKUP(E83,$R$12:$S$180,2,FALSE))</f>
        <v/>
      </c>
      <c r="I83" s="71"/>
      <c r="J83" s="88"/>
      <c r="K83" s="14" t="s">
        <v>21</v>
      </c>
      <c r="L83" s="20">
        <f>'[1]4нед'!K271</f>
        <v>0</v>
      </c>
      <c r="M83" s="23">
        <f>'[1]4нед'!L271</f>
        <v>0</v>
      </c>
      <c r="N83" s="21">
        <f>'[1]4нед'!O271</f>
        <v>0</v>
      </c>
      <c r="O83" s="22" t="str">
        <f>'[1]4нед'!P271</f>
        <v/>
      </c>
      <c r="P83" s="57" t="str">
        <f>HYPERLINK(VLOOKUP(M83,$R$12:$S$180,2,FALSE))</f>
        <v/>
      </c>
    </row>
    <row r="84" spans="1:16" ht="31.5" x14ac:dyDescent="0.2">
      <c r="A84" s="82"/>
      <c r="B84" s="85"/>
      <c r="C84" s="14" t="s">
        <v>22</v>
      </c>
      <c r="D84" s="20">
        <f>'[1]3нед'!K272</f>
        <v>0</v>
      </c>
      <c r="E84" s="23">
        <f>'[1]3нед'!L272</f>
        <v>0</v>
      </c>
      <c r="F84" s="21">
        <f>'[1]3нед'!O272</f>
        <v>0</v>
      </c>
      <c r="G84" s="22" t="str">
        <f>'[1]3нед'!P272</f>
        <v/>
      </c>
      <c r="H84" s="57" t="str">
        <f>HYPERLINK(VLOOKUP(E84,$R$12:$S$180,2,FALSE))</f>
        <v/>
      </c>
      <c r="I84" s="71"/>
      <c r="J84" s="88"/>
      <c r="K84" s="14" t="s">
        <v>22</v>
      </c>
      <c r="L84" s="20">
        <f>'[1]4нед'!K272</f>
        <v>0</v>
      </c>
      <c r="M84" s="23">
        <f>'[1]4нед'!L272</f>
        <v>0</v>
      </c>
      <c r="N84" s="21">
        <f>'[1]4нед'!O272</f>
        <v>0</v>
      </c>
      <c r="O84" s="22" t="str">
        <f>'[1]4нед'!P272</f>
        <v/>
      </c>
      <c r="P84" s="57" t="str">
        <f>HYPERLINK(VLOOKUP(M84,$R$12:$S$180,2,FALSE))</f>
        <v/>
      </c>
    </row>
    <row r="85" spans="1:16" ht="56.25" x14ac:dyDescent="0.2">
      <c r="A85" s="82"/>
      <c r="B85" s="85"/>
      <c r="C85" s="14" t="s">
        <v>23</v>
      </c>
      <c r="D85" s="20" t="str">
        <f>'[1]3нед'!K273</f>
        <v>л</v>
      </c>
      <c r="E85" s="23" t="str">
        <f>'[1]3нед'!L273</f>
        <v>Основы государственной политики в сфере межэтнических и межконфессиональных отношений</v>
      </c>
      <c r="F85" s="21" t="str">
        <f>'[1]3нед'!O273</f>
        <v>Бекиров С.Н.</v>
      </c>
      <c r="G85" s="22" t="str">
        <f>'[1]3нед'!P273</f>
        <v>доцент, канд. наук</v>
      </c>
      <c r="H85" s="57" t="str">
        <f>HYPERLINK(VLOOKUP(E85,$R$12:$S$180,2,FALSE))</f>
        <v>https://max.ru/join/Okan5Ed5VxVxXuMyIaDwQXtM9Y66v263YO3R7j43k14</v>
      </c>
      <c r="I85" s="71"/>
      <c r="J85" s="88"/>
      <c r="K85" s="14" t="s">
        <v>23</v>
      </c>
      <c r="L85" s="20" t="str">
        <f>'[1]4нед'!K273</f>
        <v>пр</v>
      </c>
      <c r="M85" s="23" t="str">
        <f>'[1]4нед'!L273</f>
        <v>Теория вероятностей и математическая статистика</v>
      </c>
      <c r="N85" s="21" t="str">
        <f>'[1]4нед'!O273</f>
        <v>Блыщик Н.О.</v>
      </c>
      <c r="O85" s="22" t="str">
        <f>'[1]4нед'!P273</f>
        <v>ст. преподаватель</v>
      </c>
      <c r="P85" s="57" t="str">
        <f>HYPERLINK(VLOOKUP(M85,$R$12:$S$180,2,FALSE))</f>
        <v>https://max.ru/join/pcqQ76hVH1VM62gdvJpdTUt6hv6a-FL0jPDOixrw4dg</v>
      </c>
    </row>
    <row r="86" spans="1:16" ht="57" thickBot="1" x14ac:dyDescent="0.25">
      <c r="A86" s="82"/>
      <c r="B86" s="85"/>
      <c r="C86" s="14" t="s">
        <v>24</v>
      </c>
      <c r="D86" s="20" t="str">
        <f>'[1]3нед'!K274</f>
        <v>л</v>
      </c>
      <c r="E86" s="23" t="str">
        <f>'[1]3нед'!L274</f>
        <v>Педагогика</v>
      </c>
      <c r="F86" s="21" t="str">
        <f>'[1]3нед'!O274</f>
        <v>Кочегурная М.Ю.</v>
      </c>
      <c r="G86" s="22" t="str">
        <f>'[1]3нед'!P274</f>
        <v>доцент</v>
      </c>
      <c r="H86" s="57" t="str">
        <f>HYPERLINK(VLOOKUP(E86,$R$12:$S$180,2,FALSE))</f>
        <v>https://max.ru/join/v5Bjqd2wcIy4RnbDXh61Rk5L54rh3fI1wPxGBjBk2rc</v>
      </c>
      <c r="I86" s="71"/>
      <c r="J86" s="88"/>
      <c r="K86" s="14" t="s">
        <v>24</v>
      </c>
      <c r="L86" s="20" t="str">
        <f>'[1]4нед'!K274</f>
        <v>пр</v>
      </c>
      <c r="M86" s="23" t="str">
        <f>'[1]4нед'!L274</f>
        <v xml:space="preserve"> Основы государственной политики в сфере межэтнических и межконфессиональных отношений</v>
      </c>
      <c r="N86" s="21" t="str">
        <f>'[1]4нед'!O274</f>
        <v>Бекиров С.Н.</v>
      </c>
      <c r="O86" s="22" t="str">
        <f>'[1]4нед'!P274</f>
        <v>доцент, канд. наук</v>
      </c>
      <c r="P86" s="57" t="str">
        <f>HYPERLINK(VLOOKUP(M86,$R$12:$S$180,2,FALSE))</f>
        <v>https://max.ru/join/vVDI4UrM3eCAidVGjy4YDG7oZq_cJEJtK2NywT5ISAk</v>
      </c>
    </row>
    <row r="87" spans="1:16" ht="18.399999999999999" hidden="1" customHeight="1" thickBot="1" x14ac:dyDescent="0.25">
      <c r="A87" s="83"/>
      <c r="B87" s="86"/>
      <c r="C87" s="15"/>
      <c r="D87" s="24">
        <f>'[1]3нед'!K275</f>
        <v>0</v>
      </c>
      <c r="E87" s="25">
        <f>'[1]3нед'!L275</f>
        <v>0</v>
      </c>
      <c r="F87" s="26">
        <f>'[1]3нед'!O275</f>
        <v>0</v>
      </c>
      <c r="G87" s="27" t="str">
        <f>'[1]3нед'!P275</f>
        <v/>
      </c>
      <c r="H87" s="58" t="str">
        <f>HYPERLINK(VLOOKUP(E87,$R$12:$S$180,2,FALSE))</f>
        <v/>
      </c>
      <c r="I87" s="72"/>
      <c r="J87" s="89"/>
      <c r="K87" s="15"/>
      <c r="L87" s="24">
        <f>'[1]4нед'!K275</f>
        <v>0</v>
      </c>
      <c r="M87" s="25">
        <f>'[1]4нед'!L275</f>
        <v>0</v>
      </c>
      <c r="N87" s="26">
        <f>'[1]4нед'!O275</f>
        <v>0</v>
      </c>
      <c r="O87" s="27" t="str">
        <f>'[1]4нед'!P275</f>
        <v/>
      </c>
      <c r="P87" s="58" t="str">
        <f>HYPERLINK(VLOOKUP(M87,$R$12:$S$180,2,FALSE))</f>
        <v/>
      </c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'[1]3нед'!K276</f>
        <v>0</v>
      </c>
      <c r="E88" s="19">
        <f>'[1]3нед'!L276</f>
        <v>0</v>
      </c>
      <c r="F88" s="17">
        <f>'[1]3нед'!O276</f>
        <v>0</v>
      </c>
      <c r="G88" s="18" t="str">
        <f>'[1]3нед'!P276</f>
        <v/>
      </c>
      <c r="H88" s="56" t="str">
        <f>HYPERLINK(VLOOKUP(E88,$R$12:$S$180,2,FALSE))</f>
        <v/>
      </c>
      <c r="I88" s="70">
        <v>46288</v>
      </c>
      <c r="J88" s="73" t="s">
        <v>26</v>
      </c>
      <c r="K88" s="29" t="s">
        <v>18</v>
      </c>
      <c r="L88" s="16">
        <f>'[1]4нед'!K276</f>
        <v>0</v>
      </c>
      <c r="M88" s="19">
        <f>'[1]4нед'!L276</f>
        <v>0</v>
      </c>
      <c r="N88" s="17">
        <f>'[1]4нед'!O276</f>
        <v>0</v>
      </c>
      <c r="O88" s="18" t="str">
        <f>'[1]4нед'!P276</f>
        <v/>
      </c>
      <c r="P88" s="56" t="str">
        <f>HYPERLINK(VLOOKUP(M88,$R$12:$S$180,2,FALSE))</f>
        <v/>
      </c>
    </row>
    <row r="89" spans="1:16" ht="31.5" x14ac:dyDescent="0.2">
      <c r="A89" s="82"/>
      <c r="B89" s="68"/>
      <c r="C89" s="14" t="s">
        <v>73</v>
      </c>
      <c r="D89" s="20">
        <f>'[1]3нед'!K277</f>
        <v>0</v>
      </c>
      <c r="E89" s="23">
        <f>'[1]3нед'!L277</f>
        <v>0</v>
      </c>
      <c r="F89" s="21">
        <f>'[1]3нед'!O277</f>
        <v>0</v>
      </c>
      <c r="G89" s="22" t="str">
        <f>'[1]3нед'!P277</f>
        <v/>
      </c>
      <c r="H89" s="57" t="str">
        <f>HYPERLINK(VLOOKUP(E89,$R$12:$S$180,2,FALSE))</f>
        <v/>
      </c>
      <c r="I89" s="71"/>
      <c r="J89" s="74"/>
      <c r="K89" s="14" t="s">
        <v>73</v>
      </c>
      <c r="L89" s="20">
        <f>'[1]4нед'!K277</f>
        <v>0</v>
      </c>
      <c r="M89" s="23">
        <f>'[1]4нед'!L277</f>
        <v>0</v>
      </c>
      <c r="N89" s="21">
        <f>'[1]4нед'!O277</f>
        <v>0</v>
      </c>
      <c r="O89" s="22" t="str">
        <f>'[1]4нед'!P277</f>
        <v/>
      </c>
      <c r="P89" s="57" t="str">
        <f>HYPERLINK(VLOOKUP(M89,$R$12:$S$180,2,FALSE))</f>
        <v/>
      </c>
    </row>
    <row r="90" spans="1:16" ht="31.5" x14ac:dyDescent="0.2">
      <c r="A90" s="82"/>
      <c r="B90" s="68"/>
      <c r="C90" s="14" t="s">
        <v>74</v>
      </c>
      <c r="D90" s="20">
        <f>'[1]3нед'!K278</f>
        <v>0</v>
      </c>
      <c r="E90" s="23">
        <f>'[1]3нед'!L278</f>
        <v>0</v>
      </c>
      <c r="F90" s="21">
        <f>'[1]3нед'!O278</f>
        <v>0</v>
      </c>
      <c r="G90" s="22" t="str">
        <f>'[1]3нед'!P278</f>
        <v/>
      </c>
      <c r="H90" s="57" t="str">
        <f>HYPERLINK(VLOOKUP(E90,$R$12:$S$180,2,FALSE))</f>
        <v/>
      </c>
      <c r="I90" s="71"/>
      <c r="J90" s="74"/>
      <c r="K90" s="14" t="s">
        <v>74</v>
      </c>
      <c r="L90" s="20">
        <f>'[1]4нед'!K278</f>
        <v>0</v>
      </c>
      <c r="M90" s="23">
        <f>'[1]4нед'!L278</f>
        <v>0</v>
      </c>
      <c r="N90" s="21">
        <f>'[1]4нед'!O278</f>
        <v>0</v>
      </c>
      <c r="O90" s="22" t="str">
        <f>'[1]4нед'!P278</f>
        <v/>
      </c>
      <c r="P90" s="57" t="str">
        <f>HYPERLINK(VLOOKUP(M90,$R$12:$S$180,2,FALSE))</f>
        <v/>
      </c>
    </row>
    <row r="91" spans="1:16" ht="31.5" x14ac:dyDescent="0.2">
      <c r="A91" s="82"/>
      <c r="B91" s="68"/>
      <c r="C91" s="14" t="s">
        <v>21</v>
      </c>
      <c r="D91" s="20">
        <f>'[1]3нед'!K279</f>
        <v>0</v>
      </c>
      <c r="E91" s="23">
        <f>'[1]3нед'!L279</f>
        <v>0</v>
      </c>
      <c r="F91" s="21">
        <f>'[1]3нед'!O279</f>
        <v>0</v>
      </c>
      <c r="G91" s="22" t="str">
        <f>'[1]3нед'!P279</f>
        <v/>
      </c>
      <c r="H91" s="57" t="str">
        <f>HYPERLINK(VLOOKUP(E91,$R$12:$S$180,2,FALSE))</f>
        <v/>
      </c>
      <c r="I91" s="71"/>
      <c r="J91" s="74"/>
      <c r="K91" s="14" t="s">
        <v>21</v>
      </c>
      <c r="L91" s="20">
        <f>'[1]4нед'!K279</f>
        <v>0</v>
      </c>
      <c r="M91" s="23">
        <f>'[1]4нед'!L279</f>
        <v>0</v>
      </c>
      <c r="N91" s="21">
        <f>'[1]4нед'!O279</f>
        <v>0</v>
      </c>
      <c r="O91" s="22" t="str">
        <f>'[1]4нед'!P279</f>
        <v/>
      </c>
      <c r="P91" s="57" t="str">
        <f>HYPERLINK(VLOOKUP(M91,$R$12:$S$180,2,FALSE))</f>
        <v/>
      </c>
    </row>
    <row r="92" spans="1:16" ht="31.5" x14ac:dyDescent="0.2">
      <c r="A92" s="82"/>
      <c r="B92" s="68"/>
      <c r="C92" s="14" t="s">
        <v>22</v>
      </c>
      <c r="D92" s="20">
        <f>'[1]3нед'!K280</f>
        <v>0</v>
      </c>
      <c r="E92" s="23">
        <f>'[1]3нед'!L280</f>
        <v>0</v>
      </c>
      <c r="F92" s="21">
        <f>'[1]3нед'!O280</f>
        <v>0</v>
      </c>
      <c r="G92" s="22" t="str">
        <f>'[1]3нед'!P280</f>
        <v/>
      </c>
      <c r="H92" s="57" t="str">
        <f>HYPERLINK(VLOOKUP(E92,$R$12:$S$180,2,FALSE))</f>
        <v/>
      </c>
      <c r="I92" s="71"/>
      <c r="J92" s="74"/>
      <c r="K92" s="14" t="s">
        <v>22</v>
      </c>
      <c r="L92" s="20">
        <f>'[1]4нед'!K280</f>
        <v>0</v>
      </c>
      <c r="M92" s="23">
        <f>'[1]4нед'!L280</f>
        <v>0</v>
      </c>
      <c r="N92" s="21">
        <f>'[1]4нед'!O280</f>
        <v>0</v>
      </c>
      <c r="O92" s="22" t="str">
        <f>'[1]4нед'!P280</f>
        <v/>
      </c>
      <c r="P92" s="57" t="str">
        <f>HYPERLINK(VLOOKUP(M92,$R$12:$S$180,2,FALSE))</f>
        <v/>
      </c>
    </row>
    <row r="93" spans="1:16" ht="37.5" x14ac:dyDescent="0.2">
      <c r="A93" s="82"/>
      <c r="B93" s="68"/>
      <c r="C93" s="14" t="s">
        <v>23</v>
      </c>
      <c r="D93" s="20" t="str">
        <f>'[1]3нед'!K281</f>
        <v>л</v>
      </c>
      <c r="E93" s="23" t="str">
        <f>'[1]3нед'!L281</f>
        <v>Методы исследовательской/проектной деятельности</v>
      </c>
      <c r="F93" s="21" t="str">
        <f>'[1]3нед'!O281</f>
        <v>Казанцев Ю.А.</v>
      </c>
      <c r="G93" s="22" t="str">
        <f>'[1]3нед'!P281</f>
        <v>ст. преподаватель</v>
      </c>
      <c r="H93" s="55" t="str">
        <f>HYPERLINK(VLOOKUP(E93,$R$12:$S$180,2,FALSE))</f>
        <v>https://max.ru/join/15pEPVrIDANjN-ex11uXS0z2QQcAQkpN7qeJUhIOK40</v>
      </c>
      <c r="I93" s="71"/>
      <c r="J93" s="74"/>
      <c r="K93" s="14" t="s">
        <v>23</v>
      </c>
      <c r="L93" s="20">
        <f>'[1]4нед'!K281</f>
        <v>0</v>
      </c>
      <c r="M93" s="23">
        <f>'[1]4нед'!L281</f>
        <v>0</v>
      </c>
      <c r="N93" s="21">
        <f>'[1]4нед'!O281</f>
        <v>0</v>
      </c>
      <c r="O93" s="22" t="str">
        <f>'[1]4нед'!P281</f>
        <v/>
      </c>
      <c r="P93" s="55" t="str">
        <f>HYPERLINK(VLOOKUP(M93,$R$12:$S$180,2,FALSE))</f>
        <v/>
      </c>
    </row>
    <row r="94" spans="1:16" ht="32.25" thickBot="1" x14ac:dyDescent="0.25">
      <c r="A94" s="82"/>
      <c r="B94" s="68"/>
      <c r="C94" s="14" t="s">
        <v>24</v>
      </c>
      <c r="D94" s="20" t="str">
        <f>'[1]3нед'!K282</f>
        <v>л</v>
      </c>
      <c r="E94" s="23" t="str">
        <f>'[1]3нед'!L282</f>
        <v>Основы военной подготовки</v>
      </c>
      <c r="F94" s="21" t="str">
        <f>'[1]3нед'!O282</f>
        <v>Кулак А.Ф.</v>
      </c>
      <c r="G94" s="22" t="str">
        <f>'[1]3нед'!P282</f>
        <v>преподаватель</v>
      </c>
      <c r="H94" s="55" t="str">
        <f>HYPERLINK(VLOOKUP(E94,$R$12:$S$180,2,FALSE))</f>
        <v>https://max.ru/join/xVfUag6N_YqTK2FYY9dw1yr1OX0njFL0kEBUFOsnrKU</v>
      </c>
      <c r="I94" s="71"/>
      <c r="J94" s="74"/>
      <c r="K94" s="14" t="s">
        <v>24</v>
      </c>
      <c r="L94" s="20" t="str">
        <f>'[1]4нед'!K282</f>
        <v>пр</v>
      </c>
      <c r="M94" s="23" t="str">
        <f>'[1]4нед'!L282</f>
        <v xml:space="preserve"> Педагогика</v>
      </c>
      <c r="N94" s="21" t="str">
        <f>'[1]4нед'!O282</f>
        <v>Кобзева Е.В.</v>
      </c>
      <c r="O94" s="22" t="str">
        <f>'[1]4нед'!P282</f>
        <v>преподаватель</v>
      </c>
      <c r="P94" s="55" t="str">
        <f>HYPERLINK(VLOOKUP(M94,$R$12:$S$180,2,FALSE))</f>
        <v>https://max.ru/join/vVDI4UrM3eCAidVGjy4YDG7oZq_cJEJtK2NywT5ISAk</v>
      </c>
    </row>
    <row r="95" spans="1:16" ht="18.399999999999999" hidden="1" customHeight="1" thickBot="1" x14ac:dyDescent="0.25">
      <c r="A95" s="83"/>
      <c r="B95" s="69"/>
      <c r="C95" s="15"/>
      <c r="D95" s="24">
        <f>'[1]3нед'!K283</f>
        <v>0</v>
      </c>
      <c r="E95" s="25">
        <f>'[1]3нед'!L283</f>
        <v>0</v>
      </c>
      <c r="F95" s="26">
        <f>'[1]3нед'!O283</f>
        <v>0</v>
      </c>
      <c r="G95" s="27" t="str">
        <f>'[1]3нед'!P283</f>
        <v/>
      </c>
      <c r="H95" s="58" t="str">
        <f>HYPERLINK(VLOOKUP(E95,$R$12:$S$180,2,FALSE))</f>
        <v/>
      </c>
      <c r="I95" s="72"/>
      <c r="J95" s="75"/>
      <c r="K95" s="15"/>
      <c r="L95" s="24">
        <f>'[1]4нед'!K283</f>
        <v>0</v>
      </c>
      <c r="M95" s="25">
        <f>'[1]4нед'!L283</f>
        <v>0</v>
      </c>
      <c r="N95" s="26">
        <f>'[1]4нед'!O283</f>
        <v>0</v>
      </c>
      <c r="O95" s="27" t="str">
        <f>'[1]4нед'!P283</f>
        <v/>
      </c>
      <c r="P95" s="58" t="str">
        <f>HYPERLINK(VLOOKUP(M95,$R$12:$S$180,2,FALSE))</f>
        <v/>
      </c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'[1]3нед'!K284</f>
        <v>0</v>
      </c>
      <c r="E96" s="19">
        <f>'[1]3нед'!L284</f>
        <v>0</v>
      </c>
      <c r="F96" s="17">
        <f>'[1]3нед'!O284</f>
        <v>0</v>
      </c>
      <c r="G96" s="18" t="str">
        <f>'[1]3нед'!P284</f>
        <v/>
      </c>
      <c r="H96" s="56" t="str">
        <f>HYPERLINK(VLOOKUP(E96,$R$12:$S$180,2,FALSE))</f>
        <v/>
      </c>
      <c r="I96" s="70">
        <v>46289</v>
      </c>
      <c r="J96" s="87" t="s">
        <v>27</v>
      </c>
      <c r="K96" s="29" t="s">
        <v>18</v>
      </c>
      <c r="L96" s="16">
        <f>'[1]4нед'!K284</f>
        <v>0</v>
      </c>
      <c r="M96" s="19">
        <f>'[1]4нед'!L284</f>
        <v>0</v>
      </c>
      <c r="N96" s="17">
        <f>'[1]4нед'!O284</f>
        <v>0</v>
      </c>
      <c r="O96" s="18" t="str">
        <f>'[1]4нед'!P284</f>
        <v/>
      </c>
      <c r="P96" s="56" t="str">
        <f>HYPERLINK(VLOOKUP(M96,$R$12:$S$180,2,FALSE))</f>
        <v/>
      </c>
    </row>
    <row r="97" spans="1:16" ht="31.5" x14ac:dyDescent="0.2">
      <c r="A97" s="82"/>
      <c r="B97" s="85"/>
      <c r="C97" s="14" t="s">
        <v>73</v>
      </c>
      <c r="D97" s="20">
        <f>'[1]3нед'!K285</f>
        <v>0</v>
      </c>
      <c r="E97" s="23">
        <f>'[1]3нед'!L285</f>
        <v>0</v>
      </c>
      <c r="F97" s="21">
        <f>'[1]3нед'!O285</f>
        <v>0</v>
      </c>
      <c r="G97" s="22" t="str">
        <f>'[1]3нед'!P285</f>
        <v/>
      </c>
      <c r="H97" s="57" t="str">
        <f>HYPERLINK(VLOOKUP(E97,$R$12:$S$180,2,FALSE))</f>
        <v/>
      </c>
      <c r="I97" s="71"/>
      <c r="J97" s="88"/>
      <c r="K97" s="14" t="s">
        <v>73</v>
      </c>
      <c r="L97" s="20">
        <f>'[1]4нед'!K285</f>
        <v>0</v>
      </c>
      <c r="M97" s="23">
        <f>'[1]4нед'!L285</f>
        <v>0</v>
      </c>
      <c r="N97" s="21">
        <f>'[1]4нед'!O285</f>
        <v>0</v>
      </c>
      <c r="O97" s="22" t="str">
        <f>'[1]4нед'!P285</f>
        <v/>
      </c>
      <c r="P97" s="57" t="str">
        <f>HYPERLINK(VLOOKUP(M97,$R$12:$S$180,2,FALSE))</f>
        <v/>
      </c>
    </row>
    <row r="98" spans="1:16" ht="31.5" x14ac:dyDescent="0.2">
      <c r="A98" s="82"/>
      <c r="B98" s="85"/>
      <c r="C98" s="14" t="s">
        <v>74</v>
      </c>
      <c r="D98" s="20">
        <f>'[1]3нед'!K286</f>
        <v>0</v>
      </c>
      <c r="E98" s="23">
        <f>'[1]3нед'!L286</f>
        <v>0</v>
      </c>
      <c r="F98" s="21">
        <f>'[1]3нед'!O286</f>
        <v>0</v>
      </c>
      <c r="G98" s="22" t="str">
        <f>'[1]3нед'!P286</f>
        <v/>
      </c>
      <c r="H98" s="57" t="str">
        <f>HYPERLINK(VLOOKUP(E98,$R$12:$S$180,2,FALSE))</f>
        <v/>
      </c>
      <c r="I98" s="71"/>
      <c r="J98" s="88"/>
      <c r="K98" s="14" t="s">
        <v>74</v>
      </c>
      <c r="L98" s="20">
        <f>'[1]4нед'!K286</f>
        <v>0</v>
      </c>
      <c r="M98" s="23">
        <f>'[1]4нед'!L286</f>
        <v>0</v>
      </c>
      <c r="N98" s="21">
        <f>'[1]4нед'!O286</f>
        <v>0</v>
      </c>
      <c r="O98" s="22" t="str">
        <f>'[1]4нед'!P286</f>
        <v/>
      </c>
      <c r="P98" s="57" t="str">
        <f>HYPERLINK(VLOOKUP(M98,$R$12:$S$180,2,FALSE))</f>
        <v/>
      </c>
    </row>
    <row r="99" spans="1:16" ht="31.5" x14ac:dyDescent="0.2">
      <c r="A99" s="82"/>
      <c r="B99" s="85"/>
      <c r="C99" s="14" t="s">
        <v>21</v>
      </c>
      <c r="D99" s="20">
        <f>'[1]3нед'!K287</f>
        <v>0</v>
      </c>
      <c r="E99" s="23">
        <f>'[1]3нед'!L287</f>
        <v>0</v>
      </c>
      <c r="F99" s="21">
        <f>'[1]3нед'!O287</f>
        <v>0</v>
      </c>
      <c r="G99" s="22" t="str">
        <f>'[1]3нед'!P287</f>
        <v/>
      </c>
      <c r="H99" s="57" t="str">
        <f>HYPERLINK(VLOOKUP(E99,$R$12:$S$180,2,FALSE))</f>
        <v/>
      </c>
      <c r="I99" s="71"/>
      <c r="J99" s="88"/>
      <c r="K99" s="14" t="s">
        <v>21</v>
      </c>
      <c r="L99" s="20">
        <f>'[1]4нед'!K287</f>
        <v>0</v>
      </c>
      <c r="M99" s="23">
        <f>'[1]4нед'!L287</f>
        <v>0</v>
      </c>
      <c r="N99" s="21">
        <f>'[1]4нед'!O287</f>
        <v>0</v>
      </c>
      <c r="O99" s="22" t="str">
        <f>'[1]4нед'!P287</f>
        <v/>
      </c>
      <c r="P99" s="57" t="str">
        <f>HYPERLINK(VLOOKUP(M99,$R$12:$S$180,2,FALSE))</f>
        <v/>
      </c>
    </row>
    <row r="100" spans="1:16" ht="31.5" x14ac:dyDescent="0.2">
      <c r="A100" s="82"/>
      <c r="B100" s="85"/>
      <c r="C100" s="14" t="s">
        <v>22</v>
      </c>
      <c r="D100" s="20">
        <f>'[1]3нед'!K288</f>
        <v>0</v>
      </c>
      <c r="E100" s="23">
        <f>'[1]3нед'!L288</f>
        <v>0</v>
      </c>
      <c r="F100" s="21">
        <f>'[1]3нед'!O288</f>
        <v>0</v>
      </c>
      <c r="G100" s="22" t="str">
        <f>'[1]3нед'!P288</f>
        <v/>
      </c>
      <c r="H100" s="57" t="str">
        <f>HYPERLINK(VLOOKUP(E100,$R$12:$S$180,2,FALSE))</f>
        <v/>
      </c>
      <c r="I100" s="71"/>
      <c r="J100" s="88"/>
      <c r="K100" s="14" t="s">
        <v>22</v>
      </c>
      <c r="L100" s="20">
        <f>'[1]4нед'!K288</f>
        <v>0</v>
      </c>
      <c r="M100" s="23">
        <f>'[1]4нед'!L288</f>
        <v>0</v>
      </c>
      <c r="N100" s="21">
        <f>'[1]4нед'!O288</f>
        <v>0</v>
      </c>
      <c r="O100" s="22" t="str">
        <f>'[1]4нед'!P288</f>
        <v/>
      </c>
      <c r="P100" s="57" t="str">
        <f>HYPERLINK(VLOOKUP(M100,$R$12:$S$180,2,FALSE))</f>
        <v/>
      </c>
    </row>
    <row r="101" spans="1:16" ht="56.25" x14ac:dyDescent="0.2">
      <c r="A101" s="82"/>
      <c r="B101" s="85"/>
      <c r="C101" s="14" t="s">
        <v>23</v>
      </c>
      <c r="D101" s="20" t="str">
        <f>'[1]3нед'!K289</f>
        <v>л</v>
      </c>
      <c r="E101" s="23" t="str">
        <f>'[1]3нед'!L289</f>
        <v>Психолого-педагогические основы обучения
математике</v>
      </c>
      <c r="F101" s="21" t="str">
        <f>'[1]3нед'!O289</f>
        <v>Казанцев Ю.А.</v>
      </c>
      <c r="G101" s="22" t="str">
        <f>'[1]3нед'!P289</f>
        <v>ст. преподаватель</v>
      </c>
      <c r="H101" s="55" t="str">
        <f>HYPERLINK(VLOOKUP(E101,$R$12:$S$180,2,FALSE))</f>
        <v>https://max.ru/join/pcqQ76hVH1VM62gdvJpdTUt6hv6a-FL0jPDOixrw4dg</v>
      </c>
      <c r="I101" s="71"/>
      <c r="J101" s="88"/>
      <c r="K101" s="14" t="s">
        <v>23</v>
      </c>
      <c r="L101" s="20" t="str">
        <f>'[1]4нед'!K289</f>
        <v>пр</v>
      </c>
      <c r="M101" s="23" t="str">
        <f>'[1]4нед'!L289</f>
        <v>Дискретная математика</v>
      </c>
      <c r="N101" s="21" t="str">
        <f>'[1]4нед'!O289</f>
        <v>Казанцев Ю.А.</v>
      </c>
      <c r="O101" s="22" t="str">
        <f>'[1]4нед'!P289</f>
        <v>ст. преподаватель</v>
      </c>
      <c r="P101" s="55" t="str">
        <f>HYPERLINK(VLOOKUP(M101,$R$12:$S$180,2,FALSE))</f>
        <v>https://max.ru/join/pcqQ76hVH1VM62gdvJpdTUt6hv6a-FL0jPDOixrw4dg</v>
      </c>
    </row>
    <row r="102" spans="1:16" ht="32.25" thickBot="1" x14ac:dyDescent="0.25">
      <c r="A102" s="82"/>
      <c r="B102" s="85"/>
      <c r="C102" s="14" t="s">
        <v>24</v>
      </c>
      <c r="D102" s="20">
        <f>'[1]3нед'!K290</f>
        <v>0</v>
      </c>
      <c r="E102" s="23">
        <f>'[1]3нед'!L290</f>
        <v>0</v>
      </c>
      <c r="F102" s="21">
        <f>'[1]3нед'!O290</f>
        <v>0</v>
      </c>
      <c r="G102" s="22" t="str">
        <f>'[1]3нед'!P290</f>
        <v/>
      </c>
      <c r="H102" s="55" t="str">
        <f>HYPERLINK(VLOOKUP(E102,$R$12:$S$180,2,FALSE))</f>
        <v/>
      </c>
      <c r="I102" s="71"/>
      <c r="J102" s="88"/>
      <c r="K102" s="14" t="s">
        <v>24</v>
      </c>
      <c r="L102" s="20" t="str">
        <f>'[1]4нед'!K290</f>
        <v>пр</v>
      </c>
      <c r="M102" s="23" t="str">
        <f>'[1]4нед'!L290</f>
        <v>Теория чисел</v>
      </c>
      <c r="N102" s="21" t="str">
        <f>'[1]4нед'!O290</f>
        <v>Овчинникова М.В.</v>
      </c>
      <c r="O102" s="22" t="str">
        <f>'[1]4нед'!P290</f>
        <v>доцент, канд. наук</v>
      </c>
      <c r="P102" s="55" t="str">
        <f>HYPERLINK(VLOOKUP(M102,$R$12:$S$180,2,FALSE))</f>
        <v>https://max.ru/join/pcqQ76hVH1VM62gdvJpdTUt6hv6a-FL0jPDOixrw4dg</v>
      </c>
    </row>
    <row r="103" spans="1:16" ht="18.399999999999999" hidden="1" customHeight="1" thickBot="1" x14ac:dyDescent="0.25">
      <c r="A103" s="83"/>
      <c r="B103" s="86"/>
      <c r="C103" s="15"/>
      <c r="D103" s="24">
        <f>'[1]3нед'!K291</f>
        <v>0</v>
      </c>
      <c r="E103" s="25">
        <f>'[1]3нед'!L291</f>
        <v>0</v>
      </c>
      <c r="F103" s="26">
        <f>'[1]3нед'!O291</f>
        <v>0</v>
      </c>
      <c r="G103" s="27" t="str">
        <f>'[1]3нед'!P291</f>
        <v/>
      </c>
      <c r="H103" s="58" t="str">
        <f>HYPERLINK(VLOOKUP(E103,$R$12:$S$180,2,FALSE))</f>
        <v/>
      </c>
      <c r="I103" s="72"/>
      <c r="J103" s="89"/>
      <c r="K103" s="15"/>
      <c r="L103" s="24">
        <f>'[1]4нед'!K291</f>
        <v>0</v>
      </c>
      <c r="M103" s="25">
        <f>'[1]4нед'!L291</f>
        <v>0</v>
      </c>
      <c r="N103" s="26">
        <f>'[1]4нед'!O291</f>
        <v>0</v>
      </c>
      <c r="O103" s="27" t="str">
        <f>'[1]4нед'!P291</f>
        <v/>
      </c>
      <c r="P103" s="58" t="str">
        <f>HYPERLINK(VLOOKUP(M103,$R$12:$S$180,2,FALSE))</f>
        <v/>
      </c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'[1]3нед'!K292</f>
        <v>0</v>
      </c>
      <c r="E104" s="19">
        <f>'[1]3нед'!L292</f>
        <v>0</v>
      </c>
      <c r="F104" s="17">
        <f>'[1]3нед'!O292</f>
        <v>0</v>
      </c>
      <c r="G104" s="18" t="str">
        <f>'[1]3нед'!P292</f>
        <v/>
      </c>
      <c r="H104" s="56" t="str">
        <f>HYPERLINK(VLOOKUP(E104,$R$12:$S$180,2,FALSE))</f>
        <v/>
      </c>
      <c r="I104" s="70">
        <v>46290</v>
      </c>
      <c r="J104" s="87" t="s">
        <v>28</v>
      </c>
      <c r="K104" s="29" t="s">
        <v>18</v>
      </c>
      <c r="L104" s="16">
        <f>'[1]4нед'!K292</f>
        <v>0</v>
      </c>
      <c r="M104" s="19">
        <f>'[1]4нед'!L292</f>
        <v>0</v>
      </c>
      <c r="N104" s="17">
        <f>'[1]4нед'!O292</f>
        <v>0</v>
      </c>
      <c r="O104" s="18" t="str">
        <f>'[1]4нед'!P292</f>
        <v/>
      </c>
      <c r="P104" s="56" t="str">
        <f>HYPERLINK(VLOOKUP(M104,$R$12:$S$180,2,FALSE))</f>
        <v/>
      </c>
    </row>
    <row r="105" spans="1:16" ht="31.5" x14ac:dyDescent="0.2">
      <c r="A105" s="82"/>
      <c r="B105" s="85"/>
      <c r="C105" s="14" t="s">
        <v>73</v>
      </c>
      <c r="D105" s="20">
        <f>'[1]3нед'!K293</f>
        <v>0</v>
      </c>
      <c r="E105" s="23">
        <f>'[1]3нед'!L293</f>
        <v>0</v>
      </c>
      <c r="F105" s="21">
        <f>'[1]3нед'!O293</f>
        <v>0</v>
      </c>
      <c r="G105" s="22" t="str">
        <f>'[1]3нед'!P293</f>
        <v/>
      </c>
      <c r="H105" s="57" t="str">
        <f>HYPERLINK(VLOOKUP(E105,$R$12:$S$180,2,FALSE))</f>
        <v/>
      </c>
      <c r="I105" s="71"/>
      <c r="J105" s="88"/>
      <c r="K105" s="14" t="s">
        <v>73</v>
      </c>
      <c r="L105" s="20">
        <f>'[1]4нед'!K293</f>
        <v>0</v>
      </c>
      <c r="M105" s="23">
        <f>'[1]4нед'!L293</f>
        <v>0</v>
      </c>
      <c r="N105" s="21">
        <f>'[1]4нед'!O293</f>
        <v>0</v>
      </c>
      <c r="O105" s="22" t="str">
        <f>'[1]4нед'!P293</f>
        <v/>
      </c>
      <c r="P105" s="57" t="str">
        <f>HYPERLINK(VLOOKUP(M105,$R$12:$S$180,2,FALSE))</f>
        <v/>
      </c>
    </row>
    <row r="106" spans="1:16" ht="31.5" x14ac:dyDescent="0.2">
      <c r="A106" s="82"/>
      <c r="B106" s="85"/>
      <c r="C106" s="14" t="s">
        <v>74</v>
      </c>
      <c r="D106" s="20">
        <f>'[1]3нед'!K294</f>
        <v>0</v>
      </c>
      <c r="E106" s="23">
        <f>'[1]3нед'!L294</f>
        <v>0</v>
      </c>
      <c r="F106" s="21">
        <f>'[1]3нед'!O294</f>
        <v>0</v>
      </c>
      <c r="G106" s="22" t="str">
        <f>'[1]3нед'!P294</f>
        <v/>
      </c>
      <c r="H106" s="57" t="str">
        <f>HYPERLINK(VLOOKUP(E106,$R$12:$S$180,2,FALSE))</f>
        <v/>
      </c>
      <c r="I106" s="71"/>
      <c r="J106" s="88"/>
      <c r="K106" s="14" t="s">
        <v>74</v>
      </c>
      <c r="L106" s="20">
        <f>'[1]4нед'!K294</f>
        <v>0</v>
      </c>
      <c r="M106" s="23">
        <f>'[1]4нед'!L294</f>
        <v>0</v>
      </c>
      <c r="N106" s="21">
        <f>'[1]4нед'!O294</f>
        <v>0</v>
      </c>
      <c r="O106" s="22" t="str">
        <f>'[1]4нед'!P294</f>
        <v/>
      </c>
      <c r="P106" s="57" t="str">
        <f>HYPERLINK(VLOOKUP(M106,$R$12:$S$180,2,FALSE))</f>
        <v/>
      </c>
    </row>
    <row r="107" spans="1:16" ht="31.5" x14ac:dyDescent="0.2">
      <c r="A107" s="82"/>
      <c r="B107" s="85"/>
      <c r="C107" s="14" t="s">
        <v>21</v>
      </c>
      <c r="D107" s="20">
        <f>'[1]3нед'!K295</f>
        <v>0</v>
      </c>
      <c r="E107" s="23">
        <f>'[1]3нед'!L295</f>
        <v>0</v>
      </c>
      <c r="F107" s="21">
        <f>'[1]3нед'!O295</f>
        <v>0</v>
      </c>
      <c r="G107" s="22" t="str">
        <f>'[1]3нед'!P295</f>
        <v/>
      </c>
      <c r="H107" s="57" t="str">
        <f>HYPERLINK(VLOOKUP(E107,$R$12:$S$180,2,FALSE))</f>
        <v/>
      </c>
      <c r="I107" s="71"/>
      <c r="J107" s="88"/>
      <c r="K107" s="14" t="s">
        <v>21</v>
      </c>
      <c r="L107" s="20">
        <f>'[1]4нед'!K295</f>
        <v>0</v>
      </c>
      <c r="M107" s="23">
        <f>'[1]4нед'!L295</f>
        <v>0</v>
      </c>
      <c r="N107" s="21">
        <f>'[1]4нед'!O295</f>
        <v>0</v>
      </c>
      <c r="O107" s="22" t="str">
        <f>'[1]4нед'!P295</f>
        <v/>
      </c>
      <c r="P107" s="57" t="str">
        <f>HYPERLINK(VLOOKUP(M107,$R$12:$S$180,2,FALSE))</f>
        <v/>
      </c>
    </row>
    <row r="108" spans="1:16" ht="31.5" x14ac:dyDescent="0.2">
      <c r="A108" s="82"/>
      <c r="B108" s="85"/>
      <c r="C108" s="14" t="s">
        <v>22</v>
      </c>
      <c r="D108" s="20">
        <f>'[1]3нед'!K296</f>
        <v>0</v>
      </c>
      <c r="E108" s="23">
        <f>'[1]3нед'!L296</f>
        <v>0</v>
      </c>
      <c r="F108" s="21">
        <f>'[1]3нед'!O296</f>
        <v>0</v>
      </c>
      <c r="G108" s="22" t="str">
        <f>'[1]3нед'!P296</f>
        <v/>
      </c>
      <c r="H108" s="57" t="str">
        <f>HYPERLINK(VLOOKUP(E108,$R$12:$S$180,2,FALSE))</f>
        <v/>
      </c>
      <c r="I108" s="71"/>
      <c r="J108" s="88"/>
      <c r="K108" s="14" t="s">
        <v>22</v>
      </c>
      <c r="L108" s="20">
        <f>'[1]4нед'!K296</f>
        <v>0</v>
      </c>
      <c r="M108" s="23">
        <f>'[1]4нед'!L296</f>
        <v>0</v>
      </c>
      <c r="N108" s="21">
        <f>'[1]4нед'!O296</f>
        <v>0</v>
      </c>
      <c r="O108" s="22" t="str">
        <f>'[1]4нед'!P296</f>
        <v/>
      </c>
      <c r="P108" s="57" t="str">
        <f>HYPERLINK(VLOOKUP(M108,$R$12:$S$180,2,FALSE))</f>
        <v/>
      </c>
    </row>
    <row r="109" spans="1:16" ht="56.25" x14ac:dyDescent="0.2">
      <c r="A109" s="82"/>
      <c r="B109" s="85"/>
      <c r="C109" s="14" t="s">
        <v>23</v>
      </c>
      <c r="D109" s="20">
        <f>'[1]3нед'!K297</f>
        <v>0</v>
      </c>
      <c r="E109" s="23">
        <f>'[1]3нед'!L297</f>
        <v>0</v>
      </c>
      <c r="F109" s="21">
        <f>'[1]3нед'!O297</f>
        <v>0</v>
      </c>
      <c r="G109" s="22" t="str">
        <f>'[1]3нед'!P297</f>
        <v/>
      </c>
      <c r="H109" s="57" t="str">
        <f>HYPERLINK(VLOOKUP(E109,$R$12:$S$180,2,FALSE))</f>
        <v/>
      </c>
      <c r="I109" s="71"/>
      <c r="J109" s="88"/>
      <c r="K109" s="14" t="s">
        <v>23</v>
      </c>
      <c r="L109" s="20" t="str">
        <f>'[1]4нед'!K297</f>
        <v>пр</v>
      </c>
      <c r="M109" s="23" t="str">
        <f>'[1]4нед'!L297</f>
        <v xml:space="preserve"> Технология и организация воспитательных практик (классное руководство)</v>
      </c>
      <c r="N109" s="21" t="str">
        <f>'[1]4нед'!O297</f>
        <v>Макарчук Н.В.</v>
      </c>
      <c r="O109" s="22" t="str">
        <f>'[1]4нед'!P297</f>
        <v>преподаватель</v>
      </c>
      <c r="P109" s="57" t="str">
        <f>HYPERLINK(VLOOKUP(M109,$R$12:$S$180,2,FALSE))</f>
        <v>https://max.ru/join/vVDI4UrM3eCAidVGjy4YDG7oZq_cJEJtK2NywT5ISAk</v>
      </c>
    </row>
    <row r="110" spans="1:16" ht="32.25" thickBot="1" x14ac:dyDescent="0.25">
      <c r="A110" s="82"/>
      <c r="B110" s="85"/>
      <c r="C110" s="14" t="s">
        <v>24</v>
      </c>
      <c r="D110" s="20">
        <f>'[1]3нед'!K298</f>
        <v>0</v>
      </c>
      <c r="E110" s="23">
        <f>'[1]3нед'!L298</f>
        <v>0</v>
      </c>
      <c r="F110" s="21">
        <f>'[1]3нед'!O298</f>
        <v>0</v>
      </c>
      <c r="G110" s="22" t="str">
        <f>'[1]3нед'!P298</f>
        <v/>
      </c>
      <c r="H110" s="57" t="str">
        <f>HYPERLINK(VLOOKUP(E110,$R$12:$S$180,2,FALSE))</f>
        <v/>
      </c>
      <c r="I110" s="71"/>
      <c r="J110" s="88"/>
      <c r="K110" s="14" t="s">
        <v>24</v>
      </c>
      <c r="L110" s="20">
        <f>'[1]4нед'!K298</f>
        <v>0</v>
      </c>
      <c r="M110" s="23">
        <f>'[1]4нед'!L298</f>
        <v>0</v>
      </c>
      <c r="N110" s="21">
        <f>'[1]4нед'!O298</f>
        <v>0</v>
      </c>
      <c r="O110" s="22" t="str">
        <f>'[1]4нед'!P298</f>
        <v/>
      </c>
      <c r="P110" s="57" t="str">
        <f>HYPERLINK(VLOOKUP(M110,$R$12:$S$180,2,FALSE))</f>
        <v/>
      </c>
    </row>
    <row r="111" spans="1:16" ht="18.399999999999999" hidden="1" customHeight="1" thickBot="1" x14ac:dyDescent="0.25">
      <c r="A111" s="83"/>
      <c r="B111" s="86"/>
      <c r="C111" s="15"/>
      <c r="D111" s="24">
        <f>'[1]3нед'!K299</f>
        <v>0</v>
      </c>
      <c r="E111" s="25">
        <f>'[1]3нед'!L299</f>
        <v>0</v>
      </c>
      <c r="F111" s="26">
        <f>'[1]3нед'!O299</f>
        <v>0</v>
      </c>
      <c r="G111" s="27" t="str">
        <f>'[1]3нед'!P299</f>
        <v/>
      </c>
      <c r="H111" s="58" t="str">
        <f>HYPERLINK(VLOOKUP(E111,$R$12:$S$180,2,FALSE))</f>
        <v/>
      </c>
      <c r="I111" s="72"/>
      <c r="J111" s="89"/>
      <c r="K111" s="15"/>
      <c r="L111" s="24">
        <f>'[1]4нед'!K299</f>
        <v>0</v>
      </c>
      <c r="M111" s="25">
        <f>'[1]4нед'!L299</f>
        <v>0</v>
      </c>
      <c r="N111" s="26">
        <f>'[1]4нед'!O299</f>
        <v>0</v>
      </c>
      <c r="O111" s="27" t="str">
        <f>'[1]4нед'!P299</f>
        <v/>
      </c>
      <c r="P111" s="58" t="str">
        <f>HYPERLINK(VLOOKUP(M111,$R$12:$S$180,2,FALSE))</f>
        <v/>
      </c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'[1]3нед'!K300</f>
        <v>0</v>
      </c>
      <c r="E112" s="19">
        <f>'[1]3нед'!L300</f>
        <v>0</v>
      </c>
      <c r="F112" s="17">
        <f>'[1]3нед'!O300</f>
        <v>0</v>
      </c>
      <c r="G112" s="18" t="str">
        <f>'[1]3нед'!P300</f>
        <v/>
      </c>
      <c r="H112" s="56" t="str">
        <f>HYPERLINK(VLOOKUP(E112,$R$12:$S$180,2,FALSE))</f>
        <v/>
      </c>
      <c r="I112" s="70">
        <v>46291</v>
      </c>
      <c r="J112" s="87" t="s">
        <v>29</v>
      </c>
      <c r="K112" s="29" t="s">
        <v>18</v>
      </c>
      <c r="L112" s="16">
        <f>'[1]4нед'!K300</f>
        <v>0</v>
      </c>
      <c r="M112" s="19">
        <f>'[1]4нед'!L300</f>
        <v>0</v>
      </c>
      <c r="N112" s="17">
        <f>'[1]4нед'!O300</f>
        <v>0</v>
      </c>
      <c r="O112" s="18" t="str">
        <f>'[1]4нед'!P300</f>
        <v/>
      </c>
      <c r="P112" s="56" t="str">
        <f>HYPERLINK(VLOOKUP(M112,$R$12:$S$180,2,FALSE))</f>
        <v/>
      </c>
    </row>
    <row r="113" spans="1:16" ht="31.5" x14ac:dyDescent="0.2">
      <c r="A113" s="82"/>
      <c r="B113" s="85"/>
      <c r="C113" s="14" t="s">
        <v>73</v>
      </c>
      <c r="D113" s="20">
        <f>'[1]3нед'!K301</f>
        <v>0</v>
      </c>
      <c r="E113" s="23">
        <f>'[1]3нед'!L301</f>
        <v>0</v>
      </c>
      <c r="F113" s="21">
        <f>'[1]3нед'!O301</f>
        <v>0</v>
      </c>
      <c r="G113" s="22" t="str">
        <f>'[1]3нед'!P301</f>
        <v/>
      </c>
      <c r="H113" s="57" t="str">
        <f>HYPERLINK(VLOOKUP(E113,$R$12:$S$180,2,FALSE))</f>
        <v/>
      </c>
      <c r="I113" s="71"/>
      <c r="J113" s="88"/>
      <c r="K113" s="14" t="s">
        <v>73</v>
      </c>
      <c r="L113" s="20">
        <f>'[1]4нед'!K301</f>
        <v>0</v>
      </c>
      <c r="M113" s="23">
        <f>'[1]4нед'!L301</f>
        <v>0</v>
      </c>
      <c r="N113" s="21">
        <f>'[1]4нед'!O301</f>
        <v>0</v>
      </c>
      <c r="O113" s="22" t="str">
        <f>'[1]4нед'!P301</f>
        <v/>
      </c>
      <c r="P113" s="57" t="str">
        <f>HYPERLINK(VLOOKUP(M113,$R$12:$S$180,2,FALSE))</f>
        <v/>
      </c>
    </row>
    <row r="114" spans="1:16" ht="31.5" x14ac:dyDescent="0.2">
      <c r="A114" s="82"/>
      <c r="B114" s="85"/>
      <c r="C114" s="14" t="s">
        <v>74</v>
      </c>
      <c r="D114" s="20">
        <f>'[1]3нед'!K302</f>
        <v>0</v>
      </c>
      <c r="E114" s="23">
        <f>'[1]3нед'!L302</f>
        <v>0</v>
      </c>
      <c r="F114" s="21">
        <f>'[1]3нед'!O302</f>
        <v>0</v>
      </c>
      <c r="G114" s="22" t="str">
        <f>'[1]3нед'!P302</f>
        <v/>
      </c>
      <c r="H114" s="57" t="str">
        <f>HYPERLINK(VLOOKUP(E114,$R$12:$S$180,2,FALSE))</f>
        <v/>
      </c>
      <c r="I114" s="71"/>
      <c r="J114" s="88"/>
      <c r="K114" s="14" t="s">
        <v>74</v>
      </c>
      <c r="L114" s="20">
        <f>'[1]4нед'!K302</f>
        <v>0</v>
      </c>
      <c r="M114" s="23">
        <f>'[1]4нед'!L302</f>
        <v>0</v>
      </c>
      <c r="N114" s="21">
        <f>'[1]4нед'!O302</f>
        <v>0</v>
      </c>
      <c r="O114" s="22" t="str">
        <f>'[1]4нед'!P302</f>
        <v/>
      </c>
      <c r="P114" s="57" t="str">
        <f>HYPERLINK(VLOOKUP(M114,$R$12:$S$180,2,FALSE))</f>
        <v/>
      </c>
    </row>
    <row r="115" spans="1:16" ht="31.5" x14ac:dyDescent="0.2">
      <c r="A115" s="82"/>
      <c r="B115" s="85"/>
      <c r="C115" s="14" t="s">
        <v>21</v>
      </c>
      <c r="D115" s="20">
        <f>'[1]3нед'!K303</f>
        <v>0</v>
      </c>
      <c r="E115" s="23">
        <f>'[1]3нед'!L303</f>
        <v>0</v>
      </c>
      <c r="F115" s="21">
        <f>'[1]3нед'!O303</f>
        <v>0</v>
      </c>
      <c r="G115" s="22" t="str">
        <f>'[1]3нед'!P303</f>
        <v/>
      </c>
      <c r="H115" s="57" t="str">
        <f>HYPERLINK(VLOOKUP(E115,$R$12:$S$180,2,FALSE))</f>
        <v/>
      </c>
      <c r="I115" s="71"/>
      <c r="J115" s="88"/>
      <c r="K115" s="14" t="s">
        <v>21</v>
      </c>
      <c r="L115" s="20">
        <f>'[1]4нед'!K303</f>
        <v>0</v>
      </c>
      <c r="M115" s="23">
        <f>'[1]4нед'!L303</f>
        <v>0</v>
      </c>
      <c r="N115" s="21">
        <f>'[1]4нед'!O303</f>
        <v>0</v>
      </c>
      <c r="O115" s="22" t="str">
        <f>'[1]4нед'!P303</f>
        <v/>
      </c>
      <c r="P115" s="57" t="str">
        <f>HYPERLINK(VLOOKUP(M115,$R$12:$S$180,2,FALSE))</f>
        <v/>
      </c>
    </row>
    <row r="116" spans="1:16" ht="31.5" x14ac:dyDescent="0.2">
      <c r="A116" s="82"/>
      <c r="B116" s="85"/>
      <c r="C116" s="14" t="s">
        <v>22</v>
      </c>
      <c r="D116" s="20">
        <f>'[1]3нед'!K304</f>
        <v>0</v>
      </c>
      <c r="E116" s="23">
        <f>'[1]3нед'!L304</f>
        <v>0</v>
      </c>
      <c r="F116" s="21">
        <f>'[1]3нед'!O304</f>
        <v>0</v>
      </c>
      <c r="G116" s="22" t="str">
        <f>'[1]3нед'!P304</f>
        <v/>
      </c>
      <c r="H116" s="57" t="str">
        <f>HYPERLINK(VLOOKUP(E116,$R$12:$S$180,2,FALSE))</f>
        <v/>
      </c>
      <c r="I116" s="71"/>
      <c r="J116" s="88"/>
      <c r="K116" s="14" t="s">
        <v>22</v>
      </c>
      <c r="L116" s="20">
        <f>'[1]4нед'!K304</f>
        <v>0</v>
      </c>
      <c r="M116" s="23">
        <f>'[1]4нед'!L304</f>
        <v>0</v>
      </c>
      <c r="N116" s="21">
        <f>'[1]4нед'!O304</f>
        <v>0</v>
      </c>
      <c r="O116" s="22" t="str">
        <f>'[1]4нед'!P304</f>
        <v/>
      </c>
      <c r="P116" s="57" t="str">
        <f>HYPERLINK(VLOOKUP(M116,$R$12:$S$180,2,FALSE))</f>
        <v/>
      </c>
    </row>
    <row r="117" spans="1:16" ht="31.5" x14ac:dyDescent="0.2">
      <c r="A117" s="82"/>
      <c r="B117" s="85"/>
      <c r="C117" s="14" t="s">
        <v>23</v>
      </c>
      <c r="D117" s="20">
        <f>'[1]3нед'!K305</f>
        <v>0</v>
      </c>
      <c r="E117" s="23">
        <f>'[1]3нед'!L305</f>
        <v>0</v>
      </c>
      <c r="F117" s="21">
        <f>'[1]3нед'!O305</f>
        <v>0</v>
      </c>
      <c r="G117" s="22" t="str">
        <f>'[1]3нед'!P305</f>
        <v/>
      </c>
      <c r="H117" s="57" t="str">
        <f>HYPERLINK(VLOOKUP(E117,$R$12:$S$180,2,FALSE))</f>
        <v/>
      </c>
      <c r="I117" s="71"/>
      <c r="J117" s="88"/>
      <c r="K117" s="14" t="s">
        <v>23</v>
      </c>
      <c r="L117" s="20">
        <f>'[1]4нед'!K305</f>
        <v>0</v>
      </c>
      <c r="M117" s="23">
        <f>'[1]4нед'!L305</f>
        <v>0</v>
      </c>
      <c r="N117" s="21">
        <f>'[1]4нед'!O305</f>
        <v>0</v>
      </c>
      <c r="O117" s="22" t="str">
        <f>'[1]4нед'!P305</f>
        <v/>
      </c>
      <c r="P117" s="57" t="str">
        <f>HYPERLINK(VLOOKUP(M117,$R$12:$S$180,2,FALSE))</f>
        <v/>
      </c>
    </row>
    <row r="118" spans="1:16" ht="32.25" thickBot="1" x14ac:dyDescent="0.25">
      <c r="A118" s="82"/>
      <c r="B118" s="85"/>
      <c r="C118" s="14" t="s">
        <v>24</v>
      </c>
      <c r="D118" s="20">
        <f>'[1]3нед'!K306</f>
        <v>0</v>
      </c>
      <c r="E118" s="23">
        <f>'[1]3нед'!L306</f>
        <v>0</v>
      </c>
      <c r="F118" s="21">
        <f>'[1]3нед'!O306</f>
        <v>0</v>
      </c>
      <c r="G118" s="22" t="str">
        <f>'[1]3нед'!P306</f>
        <v/>
      </c>
      <c r="H118" s="57" t="str">
        <f>HYPERLINK(VLOOKUP(E118,$R$12:$S$180,2,FALSE))</f>
        <v/>
      </c>
      <c r="I118" s="71"/>
      <c r="J118" s="88"/>
      <c r="K118" s="14" t="s">
        <v>24</v>
      </c>
      <c r="L118" s="20">
        <f>'[1]4нед'!K306</f>
        <v>0</v>
      </c>
      <c r="M118" s="23">
        <f>'[1]4нед'!L306</f>
        <v>0</v>
      </c>
      <c r="N118" s="21">
        <f>'[1]4нед'!O306</f>
        <v>0</v>
      </c>
      <c r="O118" s="22" t="str">
        <f>'[1]4нед'!P306</f>
        <v/>
      </c>
      <c r="P118" s="57" t="str">
        <f>HYPERLINK(VLOOKUP(M118,$R$12:$S$180,2,FALSE))</f>
        <v/>
      </c>
    </row>
    <row r="119" spans="1:16" ht="19.149999999999999" hidden="1" customHeight="1" thickTop="1" thickBot="1" x14ac:dyDescent="0.25">
      <c r="A119" s="83"/>
      <c r="B119" s="86"/>
      <c r="C119" s="15"/>
      <c r="D119" s="16">
        <f>'[1]3нед'!K59</f>
        <v>0</v>
      </c>
      <c r="E119" s="19">
        <f>'[1]3нед'!L59</f>
        <v>0</v>
      </c>
      <c r="F119" s="17">
        <f>'[1]3нед'!O59</f>
        <v>0</v>
      </c>
      <c r="G119" s="18" t="str">
        <f>'[1]3нед'!P59</f>
        <v/>
      </c>
      <c r="H119" s="39"/>
      <c r="I119" s="72"/>
      <c r="J119" s="89"/>
      <c r="K119" s="15"/>
      <c r="L119" s="24">
        <f>'[1]4нед'!K59</f>
        <v>0</v>
      </c>
      <c r="M119" s="25">
        <f>'[1]4нед'!L59</f>
        <v>0</v>
      </c>
      <c r="N119" s="26">
        <f>'[1]4нед'!O59</f>
        <v>0</v>
      </c>
      <c r="O119" s="27" t="str">
        <f>'[1]4нед'!P59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44.03.05.Педагогическое образование (с двумя профилями подготовки) (Математика и Экономика)</v>
      </c>
      <c r="F127" s="7"/>
      <c r="G127" s="7"/>
      <c r="H127" s="36"/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44.03.05.Педагогическое образование (с двумя профилями подготовки) (Математика и Экономика)</v>
      </c>
      <c r="N127" s="7"/>
      <c r="O127" s="7"/>
      <c r="P127" s="36"/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2</v>
      </c>
      <c r="F129" s="62" t="str">
        <f>'[1]1нед'!$L$258</f>
        <v>12-24МЭоз</v>
      </c>
      <c r="G129" s="62"/>
      <c r="H129" s="35"/>
      <c r="I129" s="45"/>
      <c r="J129" s="81" t="s">
        <v>7</v>
      </c>
      <c r="K129" s="81"/>
      <c r="L129" s="81"/>
      <c r="M129" s="62">
        <f>E9</f>
        <v>2</v>
      </c>
      <c r="N129" s="62" t="str">
        <f>'[1]1нед'!$L$258</f>
        <v>12-24МЭоз</v>
      </c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2.25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'[3]5нед'!K260</f>
        <v>0</v>
      </c>
      <c r="E132" s="19">
        <f>'[3]5нед'!L260</f>
        <v>0</v>
      </c>
      <c r="F132" s="17">
        <f>'[3]5нед'!O260</f>
        <v>0</v>
      </c>
      <c r="G132" s="18" t="str">
        <f>'[3]5нед'!P260</f>
        <v/>
      </c>
      <c r="H132" s="56" t="str">
        <f>HYPERLINK(VLOOKUP(E132,$R$12:$S$180,2,FALSE))</f>
        <v/>
      </c>
      <c r="I132" s="70">
        <v>46300</v>
      </c>
      <c r="J132" s="87" t="s">
        <v>17</v>
      </c>
      <c r="K132" s="14" t="s">
        <v>18</v>
      </c>
      <c r="L132" s="16">
        <f>'[3]6нед'!K260</f>
        <v>0</v>
      </c>
      <c r="M132" s="19">
        <f>'[3]6нед'!L260</f>
        <v>0</v>
      </c>
      <c r="N132" s="17">
        <f>'[3]6нед'!O260</f>
        <v>0</v>
      </c>
      <c r="O132" s="18" t="str">
        <f>'[3]6нед'!P260</f>
        <v/>
      </c>
      <c r="P132" s="56" t="str">
        <f>HYPERLINK(VLOOKUP(M132,$R$12:$S$180,2,FALSE))</f>
        <v/>
      </c>
    </row>
    <row r="133" spans="1:16" ht="31.5" x14ac:dyDescent="0.2">
      <c r="A133" s="82"/>
      <c r="B133" s="85"/>
      <c r="C133" s="14" t="s">
        <v>73</v>
      </c>
      <c r="D133" s="20">
        <f>'[3]5нед'!K261</f>
        <v>0</v>
      </c>
      <c r="E133" s="23">
        <f>'[3]5нед'!L261</f>
        <v>0</v>
      </c>
      <c r="F133" s="21">
        <f>'[3]5нед'!O261</f>
        <v>0</v>
      </c>
      <c r="G133" s="22" t="str">
        <f>'[3]5нед'!P261</f>
        <v/>
      </c>
      <c r="H133" s="57" t="str">
        <f>HYPERLINK(VLOOKUP(E133,$R$12:$S$180,2,FALSE))</f>
        <v/>
      </c>
      <c r="I133" s="71"/>
      <c r="J133" s="88"/>
      <c r="K133" s="14" t="s">
        <v>73</v>
      </c>
      <c r="L133" s="20">
        <f>'[3]6нед'!K261</f>
        <v>0</v>
      </c>
      <c r="M133" s="23">
        <f>'[3]6нед'!L261</f>
        <v>0</v>
      </c>
      <c r="N133" s="21">
        <f>'[3]6нед'!O261</f>
        <v>0</v>
      </c>
      <c r="O133" s="22" t="str">
        <f>'[3]6нед'!P261</f>
        <v/>
      </c>
      <c r="P133" s="57" t="str">
        <f>HYPERLINK(VLOOKUP(M133,$R$12:$S$180,2,FALSE))</f>
        <v/>
      </c>
    </row>
    <row r="134" spans="1:16" ht="31.5" x14ac:dyDescent="0.2">
      <c r="A134" s="82"/>
      <c r="B134" s="85"/>
      <c r="C134" s="14" t="s">
        <v>74</v>
      </c>
      <c r="D134" s="20">
        <f>'[3]5нед'!K262</f>
        <v>0</v>
      </c>
      <c r="E134" s="23">
        <f>'[3]5нед'!L262</f>
        <v>0</v>
      </c>
      <c r="F134" s="21">
        <f>'[3]5нед'!O262</f>
        <v>0</v>
      </c>
      <c r="G134" s="22" t="str">
        <f>'[3]5нед'!P262</f>
        <v/>
      </c>
      <c r="H134" s="57" t="str">
        <f>HYPERLINK(VLOOKUP(E134,$R$12:$S$180,2,FALSE))</f>
        <v/>
      </c>
      <c r="I134" s="71"/>
      <c r="J134" s="88"/>
      <c r="K134" s="14" t="s">
        <v>74</v>
      </c>
      <c r="L134" s="20">
        <f>'[3]6нед'!K262</f>
        <v>0</v>
      </c>
      <c r="M134" s="23">
        <f>'[3]6нед'!L262</f>
        <v>0</v>
      </c>
      <c r="N134" s="21">
        <f>'[3]6нед'!O262</f>
        <v>0</v>
      </c>
      <c r="O134" s="22" t="str">
        <f>'[3]6нед'!P262</f>
        <v/>
      </c>
      <c r="P134" s="57" t="str">
        <f>HYPERLINK(VLOOKUP(M134,$R$12:$S$180,2,FALSE))</f>
        <v/>
      </c>
    </row>
    <row r="135" spans="1:16" ht="31.5" x14ac:dyDescent="0.2">
      <c r="A135" s="82"/>
      <c r="B135" s="85"/>
      <c r="C135" s="14" t="s">
        <v>21</v>
      </c>
      <c r="D135" s="20">
        <f>'[3]5нед'!K263</f>
        <v>0</v>
      </c>
      <c r="E135" s="23">
        <f>'[3]5нед'!L263</f>
        <v>0</v>
      </c>
      <c r="F135" s="21">
        <f>'[3]5нед'!O263</f>
        <v>0</v>
      </c>
      <c r="G135" s="22" t="str">
        <f>'[3]5нед'!P263</f>
        <v/>
      </c>
      <c r="H135" s="57" t="str">
        <f>HYPERLINK(VLOOKUP(E135,$R$12:$S$180,2,FALSE))</f>
        <v/>
      </c>
      <c r="I135" s="71"/>
      <c r="J135" s="88"/>
      <c r="K135" s="14" t="s">
        <v>21</v>
      </c>
      <c r="L135" s="20">
        <f>'[3]6нед'!K263</f>
        <v>0</v>
      </c>
      <c r="M135" s="23">
        <f>'[3]6нед'!L263</f>
        <v>0</v>
      </c>
      <c r="N135" s="21">
        <f>'[3]6нед'!O263</f>
        <v>0</v>
      </c>
      <c r="O135" s="22" t="str">
        <f>'[3]6нед'!P263</f>
        <v/>
      </c>
      <c r="P135" s="57" t="str">
        <f>HYPERLINK(VLOOKUP(M135,$R$12:$S$180,2,FALSE))</f>
        <v/>
      </c>
    </row>
    <row r="136" spans="1:16" ht="31.5" x14ac:dyDescent="0.2">
      <c r="A136" s="82"/>
      <c r="B136" s="85"/>
      <c r="C136" s="14" t="s">
        <v>22</v>
      </c>
      <c r="D136" s="20">
        <f>'[3]5нед'!K264</f>
        <v>0</v>
      </c>
      <c r="E136" s="23">
        <f>'[3]5нед'!L264</f>
        <v>0</v>
      </c>
      <c r="F136" s="21">
        <f>'[3]5нед'!O264</f>
        <v>0</v>
      </c>
      <c r="G136" s="22" t="str">
        <f>'[3]5нед'!P264</f>
        <v/>
      </c>
      <c r="H136" s="57" t="str">
        <f>HYPERLINK(VLOOKUP(E136,$R$12:$S$180,2,FALSE))</f>
        <v/>
      </c>
      <c r="I136" s="71"/>
      <c r="J136" s="88"/>
      <c r="K136" s="14" t="s">
        <v>22</v>
      </c>
      <c r="L136" s="20">
        <f>'[3]6нед'!K264</f>
        <v>0</v>
      </c>
      <c r="M136" s="23">
        <f>'[3]6нед'!L264</f>
        <v>0</v>
      </c>
      <c r="N136" s="21">
        <f>'[3]6нед'!O264</f>
        <v>0</v>
      </c>
      <c r="O136" s="22" t="str">
        <f>'[3]6нед'!P264</f>
        <v/>
      </c>
      <c r="P136" s="57" t="str">
        <f>HYPERLINK(VLOOKUP(M136,$R$12:$S$180,2,FALSE))</f>
        <v/>
      </c>
    </row>
    <row r="137" spans="1:16" ht="56.25" x14ac:dyDescent="0.2">
      <c r="A137" s="82"/>
      <c r="B137" s="85"/>
      <c r="C137" s="14" t="s">
        <v>23</v>
      </c>
      <c r="D137" s="20" t="str">
        <f>'[3]5нед'!K265</f>
        <v>л</v>
      </c>
      <c r="E137" s="23" t="str">
        <f>'[3]5нед'!L265</f>
        <v>Технология и организация воспитательных практик (классное руководство)</v>
      </c>
      <c r="F137" s="21" t="str">
        <f>'[3]5нед'!O265</f>
        <v>Макарчук Н.В.</v>
      </c>
      <c r="G137" s="22" t="str">
        <f>'[3]5нед'!P265</f>
        <v>преподаватель</v>
      </c>
      <c r="H137" s="55" t="str">
        <f>HYPERLINK(VLOOKUP(E137,$R$12:$S$180,2,FALSE))</f>
        <v>https://max.ru/join/6P4CDIXdiW5socNdup_FdA5kKEfDh7JWkzXGBNPsMNM</v>
      </c>
      <c r="I137" s="71"/>
      <c r="J137" s="88"/>
      <c r="K137" s="14" t="s">
        <v>23</v>
      </c>
      <c r="L137" s="20" t="str">
        <f>'[3]6нед'!K265</f>
        <v>пр</v>
      </c>
      <c r="M137" s="23" t="str">
        <f>'[3]6нед'!L265</f>
        <v xml:space="preserve"> Методы исследовательской/проектной деятельности</v>
      </c>
      <c r="N137" s="21" t="str">
        <f>'[3]6нед'!O265</f>
        <v>Казанцев Ю.А.</v>
      </c>
      <c r="O137" s="22" t="str">
        <f>'[3]6нед'!P265</f>
        <v>ст. преподаватель</v>
      </c>
      <c r="P137" s="55" t="str">
        <f>HYPERLINK(VLOOKUP(M137,$R$12:$S$180,2,FALSE))</f>
        <v>https://max.ru/join/vVDI4UrM3eCAidVGjy4YDG7oZq_cJEJtK2NywT5ISAk</v>
      </c>
    </row>
    <row r="138" spans="1:16" ht="32.25" thickBot="1" x14ac:dyDescent="0.25">
      <c r="A138" s="82"/>
      <c r="B138" s="85"/>
      <c r="C138" s="14" t="s">
        <v>24</v>
      </c>
      <c r="D138" s="20">
        <f>'[3]5нед'!K266</f>
        <v>0</v>
      </c>
      <c r="E138" s="23">
        <f>'[3]5нед'!L266</f>
        <v>0</v>
      </c>
      <c r="F138" s="21">
        <f>'[3]5нед'!O266</f>
        <v>0</v>
      </c>
      <c r="G138" s="22" t="str">
        <f>'[3]5нед'!P266</f>
        <v/>
      </c>
      <c r="H138" s="55" t="str">
        <f>HYPERLINK(VLOOKUP(E138,$R$12:$S$180,2,FALSE))</f>
        <v/>
      </c>
      <c r="I138" s="71"/>
      <c r="J138" s="88"/>
      <c r="K138" s="14" t="s">
        <v>24</v>
      </c>
      <c r="L138" s="20" t="str">
        <f>'[3]6нед'!K266</f>
        <v>пр</v>
      </c>
      <c r="M138" s="23" t="str">
        <f>'[3]6нед'!L266</f>
        <v xml:space="preserve"> Основы военной подготовки</v>
      </c>
      <c r="N138" s="21" t="str">
        <f>'[3]6нед'!O266</f>
        <v>Кулак А.Ф.</v>
      </c>
      <c r="O138" s="22" t="str">
        <f>'[3]6нед'!P266</f>
        <v>преподаватель</v>
      </c>
      <c r="P138" s="55" t="str">
        <f>HYPERLINK(VLOOKUP(M138,$R$12:$S$180,2,FALSE))</f>
        <v>https://max.ru/join/VKkXfhUzxKeyFQk25Ym4SroS_8HJFubEzr_pkrxHHAs</v>
      </c>
    </row>
    <row r="139" spans="1:16" ht="18.399999999999999" hidden="1" customHeight="1" thickBot="1" x14ac:dyDescent="0.25">
      <c r="A139" s="83"/>
      <c r="B139" s="86"/>
      <c r="C139" s="15"/>
      <c r="D139" s="24">
        <f>'[3]5нед'!K267</f>
        <v>0</v>
      </c>
      <c r="E139" s="25">
        <f>'[3]5нед'!L267</f>
        <v>0</v>
      </c>
      <c r="F139" s="26">
        <f>'[3]5нед'!O267</f>
        <v>0</v>
      </c>
      <c r="G139" s="27" t="str">
        <f>'[3]5нед'!P267</f>
        <v/>
      </c>
      <c r="H139" s="58" t="str">
        <f>HYPERLINK(VLOOKUP(E139,$R$12:$S$180,2,FALSE))</f>
        <v/>
      </c>
      <c r="I139" s="72"/>
      <c r="J139" s="89"/>
      <c r="K139" s="15"/>
      <c r="L139" s="24">
        <f>'[3]6нед'!K267</f>
        <v>0</v>
      </c>
      <c r="M139" s="25">
        <f>'[3]6нед'!L267</f>
        <v>0</v>
      </c>
      <c r="N139" s="26">
        <f>'[3]6нед'!O267</f>
        <v>0</v>
      </c>
      <c r="O139" s="27" t="str">
        <f>'[3]6нед'!P267</f>
        <v/>
      </c>
      <c r="P139" s="58" t="str">
        <f>HYPERLINK(VLOOKUP(M139,$R$12:$S$180,2,FALSE))</f>
        <v/>
      </c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'[3]5нед'!K268</f>
        <v>0</v>
      </c>
      <c r="E140" s="19">
        <f>'[3]5нед'!L268</f>
        <v>0</v>
      </c>
      <c r="F140" s="17">
        <f>'[3]5нед'!O268</f>
        <v>0</v>
      </c>
      <c r="G140" s="18" t="str">
        <f>'[3]5нед'!P268</f>
        <v/>
      </c>
      <c r="H140" s="56" t="str">
        <f>HYPERLINK(VLOOKUP(E140,$R$12:$S$180,2,FALSE))</f>
        <v/>
      </c>
      <c r="I140" s="70">
        <v>46301</v>
      </c>
      <c r="J140" s="87" t="s">
        <v>25</v>
      </c>
      <c r="K140" s="29" t="s">
        <v>18</v>
      </c>
      <c r="L140" s="16">
        <f>'[3]6нед'!K268</f>
        <v>0</v>
      </c>
      <c r="M140" s="19">
        <f>'[3]6нед'!L268</f>
        <v>0</v>
      </c>
      <c r="N140" s="17">
        <f>'[3]6нед'!O268</f>
        <v>0</v>
      </c>
      <c r="O140" s="18" t="str">
        <f>'[3]6нед'!P268</f>
        <v/>
      </c>
      <c r="P140" s="56" t="str">
        <f>HYPERLINK(VLOOKUP(M140,$R$12:$S$180,2,FALSE))</f>
        <v/>
      </c>
    </row>
    <row r="141" spans="1:16" ht="31.5" x14ac:dyDescent="0.2">
      <c r="A141" s="82"/>
      <c r="B141" s="85"/>
      <c r="C141" s="14" t="s">
        <v>73</v>
      </c>
      <c r="D141" s="20">
        <f>'[3]5нед'!K269</f>
        <v>0</v>
      </c>
      <c r="E141" s="23">
        <f>'[3]5нед'!L269</f>
        <v>0</v>
      </c>
      <c r="F141" s="21">
        <f>'[3]5нед'!O269</f>
        <v>0</v>
      </c>
      <c r="G141" s="22" t="str">
        <f>'[3]5нед'!P269</f>
        <v/>
      </c>
      <c r="H141" s="57" t="str">
        <f>HYPERLINK(VLOOKUP(E141,$R$12:$S$180,2,FALSE))</f>
        <v/>
      </c>
      <c r="I141" s="71"/>
      <c r="J141" s="88"/>
      <c r="K141" s="14" t="s">
        <v>73</v>
      </c>
      <c r="L141" s="20">
        <f>'[3]6нед'!K269</f>
        <v>0</v>
      </c>
      <c r="M141" s="23">
        <f>'[3]6нед'!L269</f>
        <v>0</v>
      </c>
      <c r="N141" s="21">
        <f>'[3]6нед'!O269</f>
        <v>0</v>
      </c>
      <c r="O141" s="22" t="str">
        <f>'[3]6нед'!P269</f>
        <v/>
      </c>
      <c r="P141" s="57" t="str">
        <f>HYPERLINK(VLOOKUP(M141,$R$12:$S$180,2,FALSE))</f>
        <v/>
      </c>
    </row>
    <row r="142" spans="1:16" ht="31.5" x14ac:dyDescent="0.2">
      <c r="A142" s="82"/>
      <c r="B142" s="85"/>
      <c r="C142" s="14" t="s">
        <v>74</v>
      </c>
      <c r="D142" s="20">
        <f>'[3]5нед'!K270</f>
        <v>0</v>
      </c>
      <c r="E142" s="23">
        <f>'[3]5нед'!L270</f>
        <v>0</v>
      </c>
      <c r="F142" s="21">
        <f>'[3]5нед'!O270</f>
        <v>0</v>
      </c>
      <c r="G142" s="22" t="str">
        <f>'[3]5нед'!P270</f>
        <v/>
      </c>
      <c r="H142" s="57" t="str">
        <f>HYPERLINK(VLOOKUP(E142,$R$12:$S$180,2,FALSE))</f>
        <v/>
      </c>
      <c r="I142" s="71"/>
      <c r="J142" s="88"/>
      <c r="K142" s="14" t="s">
        <v>74</v>
      </c>
      <c r="L142" s="20">
        <f>'[3]6нед'!K270</f>
        <v>0</v>
      </c>
      <c r="M142" s="23">
        <f>'[3]6нед'!L270</f>
        <v>0</v>
      </c>
      <c r="N142" s="21">
        <f>'[3]6нед'!O270</f>
        <v>0</v>
      </c>
      <c r="O142" s="22" t="str">
        <f>'[3]6нед'!P270</f>
        <v/>
      </c>
      <c r="P142" s="57" t="str">
        <f>HYPERLINK(VLOOKUP(M142,$R$12:$S$180,2,FALSE))</f>
        <v/>
      </c>
    </row>
    <row r="143" spans="1:16" ht="31.5" x14ac:dyDescent="0.2">
      <c r="A143" s="82"/>
      <c r="B143" s="85"/>
      <c r="C143" s="14" t="s">
        <v>21</v>
      </c>
      <c r="D143" s="20">
        <f>'[3]5нед'!K271</f>
        <v>0</v>
      </c>
      <c r="E143" s="23">
        <f>'[3]5нед'!L271</f>
        <v>0</v>
      </c>
      <c r="F143" s="21">
        <f>'[3]5нед'!O271</f>
        <v>0</v>
      </c>
      <c r="G143" s="22" t="str">
        <f>'[3]5нед'!P271</f>
        <v/>
      </c>
      <c r="H143" s="57" t="str">
        <f>HYPERLINK(VLOOKUP(E143,$R$12:$S$180,2,FALSE))</f>
        <v/>
      </c>
      <c r="I143" s="71"/>
      <c r="J143" s="88"/>
      <c r="K143" s="14" t="s">
        <v>21</v>
      </c>
      <c r="L143" s="20">
        <f>'[3]6нед'!K271</f>
        <v>0</v>
      </c>
      <c r="M143" s="23">
        <f>'[3]6нед'!L271</f>
        <v>0</v>
      </c>
      <c r="N143" s="21">
        <f>'[3]6нед'!O271</f>
        <v>0</v>
      </c>
      <c r="O143" s="22" t="str">
        <f>'[3]6нед'!P271</f>
        <v/>
      </c>
      <c r="P143" s="57" t="str">
        <f>HYPERLINK(VLOOKUP(M143,$R$12:$S$180,2,FALSE))</f>
        <v/>
      </c>
    </row>
    <row r="144" spans="1:16" ht="31.5" x14ac:dyDescent="0.2">
      <c r="A144" s="82"/>
      <c r="B144" s="85"/>
      <c r="C144" s="14" t="s">
        <v>22</v>
      </c>
      <c r="D144" s="20">
        <f>'[3]5нед'!K272</f>
        <v>0</v>
      </c>
      <c r="E144" s="23">
        <f>'[3]5нед'!L272</f>
        <v>0</v>
      </c>
      <c r="F144" s="21">
        <f>'[3]5нед'!O272</f>
        <v>0</v>
      </c>
      <c r="G144" s="22" t="str">
        <f>'[3]5нед'!P272</f>
        <v/>
      </c>
      <c r="H144" s="57" t="str">
        <f>HYPERLINK(VLOOKUP(E144,$R$12:$S$180,2,FALSE))</f>
        <v/>
      </c>
      <c r="I144" s="71"/>
      <c r="J144" s="88"/>
      <c r="K144" s="14" t="s">
        <v>22</v>
      </c>
      <c r="L144" s="20">
        <f>'[3]6нед'!K272</f>
        <v>0</v>
      </c>
      <c r="M144" s="23">
        <f>'[3]6нед'!L272</f>
        <v>0</v>
      </c>
      <c r="N144" s="21">
        <f>'[3]6нед'!O272</f>
        <v>0</v>
      </c>
      <c r="O144" s="22" t="str">
        <f>'[3]6нед'!P272</f>
        <v/>
      </c>
      <c r="P144" s="57" t="str">
        <f>HYPERLINK(VLOOKUP(M144,$R$12:$S$180,2,FALSE))</f>
        <v/>
      </c>
    </row>
    <row r="145" spans="1:16" ht="56.25" x14ac:dyDescent="0.2">
      <c r="A145" s="82"/>
      <c r="B145" s="85"/>
      <c r="C145" s="14" t="s">
        <v>23</v>
      </c>
      <c r="D145" s="20" t="str">
        <f>'[3]5нед'!K273</f>
        <v>л</v>
      </c>
      <c r="E145" s="23" t="str">
        <f>'[3]5нед'!L273</f>
        <v>Основы государственной политики в сфере межэтнических и межконфессиональных отношений</v>
      </c>
      <c r="F145" s="21" t="str">
        <f>'[3]5нед'!O273</f>
        <v>Бекиров С.Н.</v>
      </c>
      <c r="G145" s="22" t="str">
        <f>'[3]5нед'!P273</f>
        <v>доцент, канд. наук</v>
      </c>
      <c r="H145" s="57" t="str">
        <f>HYPERLINK(VLOOKUP(E145,$R$12:$S$180,2,FALSE))</f>
        <v>https://max.ru/join/Okan5Ed5VxVxXuMyIaDwQXtM9Y66v263YO3R7j43k14</v>
      </c>
      <c r="I145" s="71"/>
      <c r="J145" s="88"/>
      <c r="K145" s="14" t="s">
        <v>23</v>
      </c>
      <c r="L145" s="20" t="str">
        <f>'[3]6нед'!K273</f>
        <v>пр</v>
      </c>
      <c r="M145" s="23" t="str">
        <f>'[3]6нед'!L273</f>
        <v>Психолого-педагогические основы обучения
математике</v>
      </c>
      <c r="N145" s="21" t="str">
        <f>'[3]6нед'!O273</f>
        <v>Казанцев Ю.А.</v>
      </c>
      <c r="O145" s="22" t="str">
        <f>'[3]6нед'!P273</f>
        <v>ст. преподаватель</v>
      </c>
      <c r="P145" s="57" t="str">
        <f>HYPERLINK(VLOOKUP(M145,$R$12:$S$180,2,FALSE))</f>
        <v>https://max.ru/join/pcqQ76hVH1VM62gdvJpdTUt6hv6a-FL0jPDOixrw4dg</v>
      </c>
    </row>
    <row r="146" spans="1:16" ht="57" thickBot="1" x14ac:dyDescent="0.25">
      <c r="A146" s="82"/>
      <c r="B146" s="85"/>
      <c r="C146" s="14" t="s">
        <v>24</v>
      </c>
      <c r="D146" s="20" t="str">
        <f>'[3]5нед'!K274</f>
        <v>л</v>
      </c>
      <c r="E146" s="23" t="str">
        <f>'[3]5нед'!L274</f>
        <v>Педагогика</v>
      </c>
      <c r="F146" s="21" t="str">
        <f>'[3]5нед'!O274</f>
        <v>Кочегурная М.Ю.</v>
      </c>
      <c r="G146" s="22" t="str">
        <f>'[3]5нед'!P274</f>
        <v>доцент</v>
      </c>
      <c r="H146" s="57" t="str">
        <f>HYPERLINK(VLOOKUP(E146,$R$12:$S$180,2,FALSE))</f>
        <v>https://max.ru/join/v5Bjqd2wcIy4RnbDXh61Rk5L54rh3fI1wPxGBjBk2rc</v>
      </c>
      <c r="I146" s="71"/>
      <c r="J146" s="88"/>
      <c r="K146" s="14" t="s">
        <v>24</v>
      </c>
      <c r="L146" s="20" t="str">
        <f>'[3]6нед'!K274</f>
        <v>пр</v>
      </c>
      <c r="M146" s="23" t="str">
        <f>'[3]6нед'!L274</f>
        <v xml:space="preserve"> Основы государственной политики в сфере межэтнических и межконфессиональных отношений</v>
      </c>
      <c r="N146" s="21" t="str">
        <f>'[3]6нед'!O274</f>
        <v>Бекиров С.Н.</v>
      </c>
      <c r="O146" s="22" t="str">
        <f>'[3]6нед'!P274</f>
        <v>доцент, канд. наук</v>
      </c>
      <c r="P146" s="57" t="str">
        <f>HYPERLINK(VLOOKUP(M146,$R$12:$S$180,2,FALSE))</f>
        <v>https://max.ru/join/vVDI4UrM3eCAidVGjy4YDG7oZq_cJEJtK2NywT5ISAk</v>
      </c>
    </row>
    <row r="147" spans="1:16" ht="18.399999999999999" hidden="1" customHeight="1" thickBot="1" x14ac:dyDescent="0.25">
      <c r="A147" s="83"/>
      <c r="B147" s="86"/>
      <c r="C147" s="15"/>
      <c r="D147" s="24">
        <f>'[3]5нед'!K275</f>
        <v>0</v>
      </c>
      <c r="E147" s="25">
        <f>'[3]5нед'!L275</f>
        <v>0</v>
      </c>
      <c r="F147" s="26">
        <f>'[3]5нед'!O275</f>
        <v>0</v>
      </c>
      <c r="G147" s="27" t="str">
        <f>'[3]5нед'!P275</f>
        <v/>
      </c>
      <c r="H147" s="58" t="str">
        <f>HYPERLINK(VLOOKUP(E147,$R$12:$S$180,2,FALSE))</f>
        <v/>
      </c>
      <c r="I147" s="72"/>
      <c r="J147" s="89"/>
      <c r="K147" s="15"/>
      <c r="L147" s="24">
        <f>'[3]6нед'!K275</f>
        <v>0</v>
      </c>
      <c r="M147" s="25">
        <f>'[3]6нед'!L275</f>
        <v>0</v>
      </c>
      <c r="N147" s="26">
        <f>'[3]6нед'!O275</f>
        <v>0</v>
      </c>
      <c r="O147" s="27" t="str">
        <f>'[3]6нед'!P275</f>
        <v/>
      </c>
      <c r="P147" s="58" t="str">
        <f>HYPERLINK(VLOOKUP(M147,$R$12:$S$180,2,FALSE))</f>
        <v/>
      </c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'[3]5нед'!K276</f>
        <v>0</v>
      </c>
      <c r="E148" s="19">
        <f>'[3]5нед'!L276</f>
        <v>0</v>
      </c>
      <c r="F148" s="17">
        <f>'[3]5нед'!O276</f>
        <v>0</v>
      </c>
      <c r="G148" s="18" t="str">
        <f>'[3]5нед'!P276</f>
        <v/>
      </c>
      <c r="H148" s="56" t="str">
        <f>HYPERLINK(VLOOKUP(E148,$R$12:$S$180,2,FALSE))</f>
        <v/>
      </c>
      <c r="I148" s="70">
        <v>46302</v>
      </c>
      <c r="J148" s="73" t="s">
        <v>26</v>
      </c>
      <c r="K148" s="29" t="s">
        <v>18</v>
      </c>
      <c r="L148" s="16">
        <f>'[3]6нед'!K276</f>
        <v>0</v>
      </c>
      <c r="M148" s="19">
        <f>'[3]6нед'!L276</f>
        <v>0</v>
      </c>
      <c r="N148" s="17">
        <f>'[3]6нед'!O276</f>
        <v>0</v>
      </c>
      <c r="O148" s="18" t="str">
        <f>'[3]6нед'!P276</f>
        <v/>
      </c>
      <c r="P148" s="56" t="str">
        <f>HYPERLINK(VLOOKUP(M148,$R$12:$S$180,2,FALSE))</f>
        <v/>
      </c>
    </row>
    <row r="149" spans="1:16" ht="31.5" x14ac:dyDescent="0.2">
      <c r="A149" s="82"/>
      <c r="B149" s="68"/>
      <c r="C149" s="14" t="s">
        <v>73</v>
      </c>
      <c r="D149" s="20">
        <f>'[3]5нед'!K277</f>
        <v>0</v>
      </c>
      <c r="E149" s="23">
        <f>'[3]5нед'!L277</f>
        <v>0</v>
      </c>
      <c r="F149" s="21">
        <f>'[3]5нед'!O277</f>
        <v>0</v>
      </c>
      <c r="G149" s="22" t="str">
        <f>'[3]5нед'!P277</f>
        <v/>
      </c>
      <c r="H149" s="57" t="str">
        <f>HYPERLINK(VLOOKUP(E149,$R$12:$S$180,2,FALSE))</f>
        <v/>
      </c>
      <c r="I149" s="71"/>
      <c r="J149" s="74"/>
      <c r="K149" s="14" t="s">
        <v>73</v>
      </c>
      <c r="L149" s="20">
        <f>'[3]6нед'!K277</f>
        <v>0</v>
      </c>
      <c r="M149" s="23">
        <f>'[3]6нед'!L277</f>
        <v>0</v>
      </c>
      <c r="N149" s="21">
        <f>'[3]6нед'!O277</f>
        <v>0</v>
      </c>
      <c r="O149" s="22" t="str">
        <f>'[3]6нед'!P277</f>
        <v/>
      </c>
      <c r="P149" s="57" t="str">
        <f>HYPERLINK(VLOOKUP(M149,$R$12:$S$180,2,FALSE))</f>
        <v/>
      </c>
    </row>
    <row r="150" spans="1:16" ht="31.5" x14ac:dyDescent="0.2">
      <c r="A150" s="82"/>
      <c r="B150" s="68"/>
      <c r="C150" s="14" t="s">
        <v>74</v>
      </c>
      <c r="D150" s="20">
        <f>'[3]5нед'!K278</f>
        <v>0</v>
      </c>
      <c r="E150" s="23">
        <f>'[3]5нед'!L278</f>
        <v>0</v>
      </c>
      <c r="F150" s="21">
        <f>'[3]5нед'!O278</f>
        <v>0</v>
      </c>
      <c r="G150" s="22" t="str">
        <f>'[3]5нед'!P278</f>
        <v/>
      </c>
      <c r="H150" s="57" t="str">
        <f>HYPERLINK(VLOOKUP(E150,$R$12:$S$180,2,FALSE))</f>
        <v/>
      </c>
      <c r="I150" s="71"/>
      <c r="J150" s="74"/>
      <c r="K150" s="14" t="s">
        <v>74</v>
      </c>
      <c r="L150" s="20">
        <f>'[3]6нед'!K278</f>
        <v>0</v>
      </c>
      <c r="M150" s="23">
        <f>'[3]6нед'!L278</f>
        <v>0</v>
      </c>
      <c r="N150" s="21">
        <f>'[3]6нед'!O278</f>
        <v>0</v>
      </c>
      <c r="O150" s="22" t="str">
        <f>'[3]6нед'!P278</f>
        <v/>
      </c>
      <c r="P150" s="57" t="str">
        <f>HYPERLINK(VLOOKUP(M150,$R$12:$S$180,2,FALSE))</f>
        <v/>
      </c>
    </row>
    <row r="151" spans="1:16" ht="31.5" x14ac:dyDescent="0.2">
      <c r="A151" s="82"/>
      <c r="B151" s="68"/>
      <c r="C151" s="14" t="s">
        <v>21</v>
      </c>
      <c r="D151" s="20">
        <f>'[3]5нед'!K279</f>
        <v>0</v>
      </c>
      <c r="E151" s="23">
        <f>'[3]5нед'!L279</f>
        <v>0</v>
      </c>
      <c r="F151" s="21">
        <f>'[3]5нед'!O279</f>
        <v>0</v>
      </c>
      <c r="G151" s="22" t="str">
        <f>'[3]5нед'!P279</f>
        <v/>
      </c>
      <c r="H151" s="57" t="str">
        <f>HYPERLINK(VLOOKUP(E151,$R$12:$S$180,2,FALSE))</f>
        <v/>
      </c>
      <c r="I151" s="71"/>
      <c r="J151" s="74"/>
      <c r="K151" s="14" t="s">
        <v>21</v>
      </c>
      <c r="L151" s="20">
        <f>'[3]6нед'!K279</f>
        <v>0</v>
      </c>
      <c r="M151" s="23">
        <f>'[3]6нед'!L279</f>
        <v>0</v>
      </c>
      <c r="N151" s="21">
        <f>'[3]6нед'!O279</f>
        <v>0</v>
      </c>
      <c r="O151" s="22" t="str">
        <f>'[3]6нед'!P279</f>
        <v/>
      </c>
      <c r="P151" s="57" t="str">
        <f>HYPERLINK(VLOOKUP(M151,$R$12:$S$180,2,FALSE))</f>
        <v/>
      </c>
    </row>
    <row r="152" spans="1:16" ht="31.5" x14ac:dyDescent="0.2">
      <c r="A152" s="82"/>
      <c r="B152" s="68"/>
      <c r="C152" s="14" t="s">
        <v>22</v>
      </c>
      <c r="D152" s="20">
        <f>'[3]5нед'!K280</f>
        <v>0</v>
      </c>
      <c r="E152" s="23">
        <f>'[3]5нед'!L280</f>
        <v>0</v>
      </c>
      <c r="F152" s="21">
        <f>'[3]5нед'!O280</f>
        <v>0</v>
      </c>
      <c r="G152" s="22" t="str">
        <f>'[3]5нед'!P280</f>
        <v/>
      </c>
      <c r="H152" s="57" t="str">
        <f>HYPERLINK(VLOOKUP(E152,$R$12:$S$180,2,FALSE))</f>
        <v/>
      </c>
      <c r="I152" s="71"/>
      <c r="J152" s="74"/>
      <c r="K152" s="14" t="s">
        <v>22</v>
      </c>
      <c r="L152" s="20">
        <f>'[3]6нед'!K280</f>
        <v>0</v>
      </c>
      <c r="M152" s="23">
        <f>'[3]6нед'!L280</f>
        <v>0</v>
      </c>
      <c r="N152" s="21">
        <f>'[3]6нед'!O280</f>
        <v>0</v>
      </c>
      <c r="O152" s="22" t="str">
        <f>'[3]6нед'!P280</f>
        <v/>
      </c>
      <c r="P152" s="57" t="str">
        <f>HYPERLINK(VLOOKUP(M152,$R$12:$S$180,2,FALSE))</f>
        <v/>
      </c>
    </row>
    <row r="153" spans="1:16" ht="31.5" x14ac:dyDescent="0.2">
      <c r="A153" s="82"/>
      <c r="B153" s="68"/>
      <c r="C153" s="14" t="s">
        <v>23</v>
      </c>
      <c r="D153" s="20">
        <f>'[3]5нед'!K281</f>
        <v>0</v>
      </c>
      <c r="E153" s="23">
        <f>'[3]5нед'!L281</f>
        <v>0</v>
      </c>
      <c r="F153" s="21">
        <f>'[3]5нед'!O281</f>
        <v>0</v>
      </c>
      <c r="G153" s="22" t="str">
        <f>'[3]5нед'!P281</f>
        <v/>
      </c>
      <c r="H153" s="55" t="str">
        <f>HYPERLINK(VLOOKUP(E153,$R$12:$S$180,2,FALSE))</f>
        <v/>
      </c>
      <c r="I153" s="71"/>
      <c r="J153" s="74"/>
      <c r="K153" s="14" t="s">
        <v>23</v>
      </c>
      <c r="L153" s="20">
        <f>'[3]6нед'!K281</f>
        <v>0</v>
      </c>
      <c r="M153" s="23">
        <f>'[3]6нед'!L281</f>
        <v>0</v>
      </c>
      <c r="N153" s="21">
        <f>'[3]6нед'!O281</f>
        <v>0</v>
      </c>
      <c r="O153" s="22" t="str">
        <f>'[3]6нед'!P281</f>
        <v/>
      </c>
      <c r="P153" s="55" t="str">
        <f>HYPERLINK(VLOOKUP(M153,$R$12:$S$180,2,FALSE))</f>
        <v/>
      </c>
    </row>
    <row r="154" spans="1:16" ht="32.25" thickBot="1" x14ac:dyDescent="0.25">
      <c r="A154" s="82"/>
      <c r="B154" s="68"/>
      <c r="C154" s="14" t="s">
        <v>24</v>
      </c>
      <c r="D154" s="20">
        <f>'[3]5нед'!K282</f>
        <v>0</v>
      </c>
      <c r="E154" s="23">
        <f>'[3]5нед'!L282</f>
        <v>0</v>
      </c>
      <c r="F154" s="21">
        <f>'[3]5нед'!O282</f>
        <v>0</v>
      </c>
      <c r="G154" s="22" t="str">
        <f>'[3]5нед'!P282</f>
        <v/>
      </c>
      <c r="H154" s="55" t="str">
        <f>HYPERLINK(VLOOKUP(E154,$R$12:$S$180,2,FALSE))</f>
        <v/>
      </c>
      <c r="I154" s="71"/>
      <c r="J154" s="74"/>
      <c r="K154" s="14" t="s">
        <v>24</v>
      </c>
      <c r="L154" s="20" t="str">
        <f>'[3]6нед'!K282</f>
        <v>пр</v>
      </c>
      <c r="M154" s="23" t="str">
        <f>'[3]6нед'!L282</f>
        <v xml:space="preserve"> Педагогика</v>
      </c>
      <c r="N154" s="21" t="str">
        <f>'[3]6нед'!O282</f>
        <v>Кобзева Е.В.</v>
      </c>
      <c r="O154" s="22" t="str">
        <f>'[3]6нед'!P282</f>
        <v>преподаватель</v>
      </c>
      <c r="P154" s="55" t="str">
        <f>HYPERLINK(VLOOKUP(M154,$R$12:$S$180,2,FALSE))</f>
        <v>https://max.ru/join/vVDI4UrM3eCAidVGjy4YDG7oZq_cJEJtK2NywT5ISAk</v>
      </c>
    </row>
    <row r="155" spans="1:16" ht="18.399999999999999" hidden="1" customHeight="1" thickBot="1" x14ac:dyDescent="0.25">
      <c r="A155" s="83"/>
      <c r="B155" s="69"/>
      <c r="C155" s="15"/>
      <c r="D155" s="24">
        <f>'[3]5нед'!K283</f>
        <v>0</v>
      </c>
      <c r="E155" s="25">
        <f>'[3]5нед'!L283</f>
        <v>0</v>
      </c>
      <c r="F155" s="26">
        <f>'[3]5нед'!O283</f>
        <v>0</v>
      </c>
      <c r="G155" s="27" t="str">
        <f>'[3]5нед'!P283</f>
        <v/>
      </c>
      <c r="H155" s="58" t="str">
        <f>HYPERLINK(VLOOKUP(E155,$R$12:$S$180,2,FALSE))</f>
        <v/>
      </c>
      <c r="I155" s="72"/>
      <c r="J155" s="75"/>
      <c r="K155" s="15"/>
      <c r="L155" s="24">
        <f>'[3]6нед'!K283</f>
        <v>0</v>
      </c>
      <c r="M155" s="25">
        <f>'[3]6нед'!L283</f>
        <v>0</v>
      </c>
      <c r="N155" s="26">
        <f>'[3]6нед'!O283</f>
        <v>0</v>
      </c>
      <c r="O155" s="27" t="str">
        <f>'[3]6нед'!P283</f>
        <v/>
      </c>
      <c r="P155" s="58" t="str">
        <f>HYPERLINK(VLOOKUP(M155,$R$12:$S$180,2,FALSE))</f>
        <v/>
      </c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'[3]5нед'!K284</f>
        <v>0</v>
      </c>
      <c r="E156" s="19">
        <f>'[3]5нед'!L284</f>
        <v>0</v>
      </c>
      <c r="F156" s="17">
        <f>'[3]5нед'!O284</f>
        <v>0</v>
      </c>
      <c r="G156" s="18" t="str">
        <f>'[3]5нед'!P284</f>
        <v/>
      </c>
      <c r="H156" s="56" t="str">
        <f>HYPERLINK(VLOOKUP(E156,$R$12:$S$180,2,FALSE))</f>
        <v/>
      </c>
      <c r="I156" s="70">
        <v>46303</v>
      </c>
      <c r="J156" s="87" t="s">
        <v>27</v>
      </c>
      <c r="K156" s="29" t="s">
        <v>18</v>
      </c>
      <c r="L156" s="16">
        <f>'[3]6нед'!K284</f>
        <v>0</v>
      </c>
      <c r="M156" s="19">
        <f>'[3]6нед'!L284</f>
        <v>0</v>
      </c>
      <c r="N156" s="17">
        <f>'[3]6нед'!O284</f>
        <v>0</v>
      </c>
      <c r="O156" s="18" t="str">
        <f>'[3]6нед'!P284</f>
        <v/>
      </c>
      <c r="P156" s="56" t="str">
        <f>HYPERLINK(VLOOKUP(M156,$R$12:$S$180,2,FALSE))</f>
        <v/>
      </c>
    </row>
    <row r="157" spans="1:16" ht="31.5" x14ac:dyDescent="0.2">
      <c r="A157" s="82"/>
      <c r="B157" s="85"/>
      <c r="C157" s="14" t="s">
        <v>73</v>
      </c>
      <c r="D157" s="20">
        <f>'[3]5нед'!K285</f>
        <v>0</v>
      </c>
      <c r="E157" s="23">
        <f>'[3]5нед'!L285</f>
        <v>0</v>
      </c>
      <c r="F157" s="21">
        <f>'[3]5нед'!O285</f>
        <v>0</v>
      </c>
      <c r="G157" s="22" t="str">
        <f>'[3]5нед'!P285</f>
        <v/>
      </c>
      <c r="H157" s="57" t="str">
        <f>HYPERLINK(VLOOKUP(E157,$R$12:$S$180,2,FALSE))</f>
        <v/>
      </c>
      <c r="I157" s="71"/>
      <c r="J157" s="88"/>
      <c r="K157" s="14" t="s">
        <v>73</v>
      </c>
      <c r="L157" s="20">
        <f>'[3]6нед'!K285</f>
        <v>0</v>
      </c>
      <c r="M157" s="23">
        <f>'[3]6нед'!L285</f>
        <v>0</v>
      </c>
      <c r="N157" s="21">
        <f>'[3]6нед'!O285</f>
        <v>0</v>
      </c>
      <c r="O157" s="22" t="str">
        <f>'[3]6нед'!P285</f>
        <v/>
      </c>
      <c r="P157" s="57" t="str">
        <f>HYPERLINK(VLOOKUP(M157,$R$12:$S$180,2,FALSE))</f>
        <v/>
      </c>
    </row>
    <row r="158" spans="1:16" ht="31.5" x14ac:dyDescent="0.2">
      <c r="A158" s="82"/>
      <c r="B158" s="85"/>
      <c r="C158" s="14" t="s">
        <v>74</v>
      </c>
      <c r="D158" s="20">
        <f>'[3]5нед'!K286</f>
        <v>0</v>
      </c>
      <c r="E158" s="23">
        <f>'[3]5нед'!L286</f>
        <v>0</v>
      </c>
      <c r="F158" s="21">
        <f>'[3]5нед'!O286</f>
        <v>0</v>
      </c>
      <c r="G158" s="22" t="str">
        <f>'[3]5нед'!P286</f>
        <v/>
      </c>
      <c r="H158" s="57" t="str">
        <f>HYPERLINK(VLOOKUP(E158,$R$12:$S$180,2,FALSE))</f>
        <v/>
      </c>
      <c r="I158" s="71"/>
      <c r="J158" s="88"/>
      <c r="K158" s="14" t="s">
        <v>74</v>
      </c>
      <c r="L158" s="20">
        <f>'[3]6нед'!K286</f>
        <v>0</v>
      </c>
      <c r="M158" s="23">
        <f>'[3]6нед'!L286</f>
        <v>0</v>
      </c>
      <c r="N158" s="21">
        <f>'[3]6нед'!O286</f>
        <v>0</v>
      </c>
      <c r="O158" s="22" t="str">
        <f>'[3]6нед'!P286</f>
        <v/>
      </c>
      <c r="P158" s="57" t="str">
        <f>HYPERLINK(VLOOKUP(M158,$R$12:$S$180,2,FALSE))</f>
        <v/>
      </c>
    </row>
    <row r="159" spans="1:16" ht="31.5" x14ac:dyDescent="0.2">
      <c r="A159" s="82"/>
      <c r="B159" s="85"/>
      <c r="C159" s="14" t="s">
        <v>21</v>
      </c>
      <c r="D159" s="20">
        <f>'[3]5нед'!K287</f>
        <v>0</v>
      </c>
      <c r="E159" s="23">
        <f>'[3]5нед'!L287</f>
        <v>0</v>
      </c>
      <c r="F159" s="21">
        <f>'[3]5нед'!O287</f>
        <v>0</v>
      </c>
      <c r="G159" s="22" t="str">
        <f>'[3]5нед'!P287</f>
        <v/>
      </c>
      <c r="H159" s="57" t="str">
        <f>HYPERLINK(VLOOKUP(E159,$R$12:$S$180,2,FALSE))</f>
        <v/>
      </c>
      <c r="I159" s="71"/>
      <c r="J159" s="88"/>
      <c r="K159" s="14" t="s">
        <v>21</v>
      </c>
      <c r="L159" s="20">
        <f>'[3]6нед'!K287</f>
        <v>0</v>
      </c>
      <c r="M159" s="23">
        <f>'[3]6нед'!L287</f>
        <v>0</v>
      </c>
      <c r="N159" s="21">
        <f>'[3]6нед'!O287</f>
        <v>0</v>
      </c>
      <c r="O159" s="22" t="str">
        <f>'[3]6нед'!P287</f>
        <v/>
      </c>
      <c r="P159" s="57" t="str">
        <f>HYPERLINK(VLOOKUP(M159,$R$12:$S$180,2,FALSE))</f>
        <v/>
      </c>
    </row>
    <row r="160" spans="1:16" ht="31.5" x14ac:dyDescent="0.2">
      <c r="A160" s="82"/>
      <c r="B160" s="85"/>
      <c r="C160" s="14" t="s">
        <v>22</v>
      </c>
      <c r="D160" s="20">
        <f>'[3]5нед'!K288</f>
        <v>0</v>
      </c>
      <c r="E160" s="23">
        <f>'[3]5нед'!L288</f>
        <v>0</v>
      </c>
      <c r="F160" s="21">
        <f>'[3]5нед'!O288</f>
        <v>0</v>
      </c>
      <c r="G160" s="22" t="str">
        <f>'[3]5нед'!P288</f>
        <v/>
      </c>
      <c r="H160" s="57" t="str">
        <f>HYPERLINK(VLOOKUP(E160,$R$12:$S$180,2,FALSE))</f>
        <v/>
      </c>
      <c r="I160" s="71"/>
      <c r="J160" s="88"/>
      <c r="K160" s="14" t="s">
        <v>22</v>
      </c>
      <c r="L160" s="20">
        <f>'[3]6нед'!K288</f>
        <v>0</v>
      </c>
      <c r="M160" s="23">
        <f>'[3]6нед'!L288</f>
        <v>0</v>
      </c>
      <c r="N160" s="21">
        <f>'[3]6нед'!O288</f>
        <v>0</v>
      </c>
      <c r="O160" s="22" t="str">
        <f>'[3]6нед'!P288</f>
        <v/>
      </c>
      <c r="P160" s="57" t="str">
        <f>HYPERLINK(VLOOKUP(M160,$R$12:$S$180,2,FALSE))</f>
        <v/>
      </c>
    </row>
    <row r="161" spans="1:16" ht="31.5" x14ac:dyDescent="0.2">
      <c r="A161" s="82"/>
      <c r="B161" s="85"/>
      <c r="C161" s="14" t="s">
        <v>23</v>
      </c>
      <c r="D161" s="20">
        <f>'[3]5нед'!K289</f>
        <v>0</v>
      </c>
      <c r="E161" s="23">
        <f>'[3]5нед'!L289</f>
        <v>0</v>
      </c>
      <c r="F161" s="21">
        <f>'[3]5нед'!O289</f>
        <v>0</v>
      </c>
      <c r="G161" s="22" t="str">
        <f>'[3]5нед'!P289</f>
        <v/>
      </c>
      <c r="H161" s="55" t="str">
        <f>HYPERLINK(VLOOKUP(E161,$R$12:$S$180,2,FALSE))</f>
        <v/>
      </c>
      <c r="I161" s="71"/>
      <c r="J161" s="88"/>
      <c r="K161" s="14" t="s">
        <v>23</v>
      </c>
      <c r="L161" s="20" t="str">
        <f>'[3]6нед'!K289</f>
        <v>пр</v>
      </c>
      <c r="M161" s="23" t="str">
        <f>'[3]6нед'!L289</f>
        <v>Дискретная математика</v>
      </c>
      <c r="N161" s="21" t="str">
        <f>'[3]6нед'!O289</f>
        <v>Казанцев Ю.А.</v>
      </c>
      <c r="O161" s="22" t="str">
        <f>'[3]6нед'!P289</f>
        <v>ст. преподаватель</v>
      </c>
      <c r="P161" s="55" t="str">
        <f>HYPERLINK(VLOOKUP(M161,$R$12:$S$180,2,FALSE))</f>
        <v>https://max.ru/join/pcqQ76hVH1VM62gdvJpdTUt6hv6a-FL0jPDOixrw4dg</v>
      </c>
    </row>
    <row r="162" spans="1:16" ht="57" thickBot="1" x14ac:dyDescent="0.25">
      <c r="A162" s="82"/>
      <c r="B162" s="85"/>
      <c r="C162" s="14" t="s">
        <v>24</v>
      </c>
      <c r="D162" s="20" t="str">
        <f>'[3]5нед'!K290</f>
        <v>пр</v>
      </c>
      <c r="E162" s="23" t="str">
        <f>'[3]5нед'!L290</f>
        <v>Математическая логика и теория алгоритмов</v>
      </c>
      <c r="F162" s="21" t="str">
        <f>'[3]5нед'!O290</f>
        <v>Казанцев Ю.А.</v>
      </c>
      <c r="G162" s="22" t="str">
        <f>'[3]5нед'!P290</f>
        <v>ст. преподаватель</v>
      </c>
      <c r="H162" s="55" t="str">
        <f>HYPERLINK(VLOOKUP(E162,$R$12:$S$180,2,FALSE))</f>
        <v>https://max.ru/join/pcqQ76hVH1VM62gdvJpdTUt6hv6a-FL0jPDOixrw4dg</v>
      </c>
      <c r="I162" s="71"/>
      <c r="J162" s="88"/>
      <c r="K162" s="14" t="s">
        <v>24</v>
      </c>
      <c r="L162" s="20" t="str">
        <f>'[3]6нед'!K290</f>
        <v>пр</v>
      </c>
      <c r="M162" s="23" t="str">
        <f>'[3]6нед'!L290</f>
        <v xml:space="preserve"> Основы государственной политики в сфере межэтнических и межконфессиональных отношений</v>
      </c>
      <c r="N162" s="21" t="str">
        <f>'[3]6нед'!O290</f>
        <v>Бекиров С.Н.</v>
      </c>
      <c r="O162" s="22" t="str">
        <f>'[3]6нед'!P290</f>
        <v>доцент, канд. наук</v>
      </c>
      <c r="P162" s="55" t="str">
        <f>HYPERLINK(VLOOKUP(M162,$R$12:$S$180,2,FALSE))</f>
        <v>https://max.ru/join/vVDI4UrM3eCAidVGjy4YDG7oZq_cJEJtK2NywT5ISAk</v>
      </c>
    </row>
    <row r="163" spans="1:16" ht="18.399999999999999" hidden="1" customHeight="1" thickBot="1" x14ac:dyDescent="0.25">
      <c r="A163" s="83"/>
      <c r="B163" s="86"/>
      <c r="C163" s="15"/>
      <c r="D163" s="24">
        <f>'[3]5нед'!K291</f>
        <v>0</v>
      </c>
      <c r="E163" s="25">
        <f>'[3]5нед'!L291</f>
        <v>0</v>
      </c>
      <c r="F163" s="26">
        <f>'[3]5нед'!O291</f>
        <v>0</v>
      </c>
      <c r="G163" s="27" t="str">
        <f>'[3]5нед'!P291</f>
        <v/>
      </c>
      <c r="H163" s="58" t="str">
        <f>HYPERLINK(VLOOKUP(E163,$R$12:$S$180,2,FALSE))</f>
        <v/>
      </c>
      <c r="I163" s="72"/>
      <c r="J163" s="89"/>
      <c r="K163" s="15"/>
      <c r="L163" s="24">
        <f>'[3]6нед'!K291</f>
        <v>0</v>
      </c>
      <c r="M163" s="25">
        <f>'[3]6нед'!L291</f>
        <v>0</v>
      </c>
      <c r="N163" s="26">
        <f>'[3]6нед'!O291</f>
        <v>0</v>
      </c>
      <c r="O163" s="27" t="str">
        <f>'[3]6нед'!P291</f>
        <v/>
      </c>
      <c r="P163" s="58" t="str">
        <f>HYPERLINK(VLOOKUP(M163,$R$12:$S$180,2,FALSE))</f>
        <v/>
      </c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'[3]5нед'!K292</f>
        <v>0</v>
      </c>
      <c r="E164" s="19">
        <f>'[3]5нед'!L292</f>
        <v>0</v>
      </c>
      <c r="F164" s="17">
        <f>'[3]5нед'!O292</f>
        <v>0</v>
      </c>
      <c r="G164" s="18" t="str">
        <f>'[3]5нед'!P292</f>
        <v/>
      </c>
      <c r="H164" s="56" t="str">
        <f>HYPERLINK(VLOOKUP(E164,$R$12:$S$180,2,FALSE))</f>
        <v/>
      </c>
      <c r="I164" s="70">
        <v>46304</v>
      </c>
      <c r="J164" s="87" t="s">
        <v>28</v>
      </c>
      <c r="K164" s="29" t="s">
        <v>18</v>
      </c>
      <c r="L164" s="16">
        <f>'[3]6нед'!K292</f>
        <v>0</v>
      </c>
      <c r="M164" s="19">
        <f>'[3]6нед'!L292</f>
        <v>0</v>
      </c>
      <c r="N164" s="17">
        <f>'[3]6нед'!O292</f>
        <v>0</v>
      </c>
      <c r="O164" s="18" t="str">
        <f>'[3]6нед'!P292</f>
        <v/>
      </c>
      <c r="P164" s="56" t="str">
        <f>HYPERLINK(VLOOKUP(M164,$R$12:$S$180,2,FALSE))</f>
        <v/>
      </c>
    </row>
    <row r="165" spans="1:16" ht="31.5" x14ac:dyDescent="0.2">
      <c r="A165" s="82"/>
      <c r="B165" s="85"/>
      <c r="C165" s="14" t="s">
        <v>73</v>
      </c>
      <c r="D165" s="20">
        <f>'[3]5нед'!K293</f>
        <v>0</v>
      </c>
      <c r="E165" s="23">
        <f>'[3]5нед'!L293</f>
        <v>0</v>
      </c>
      <c r="F165" s="21">
        <f>'[3]5нед'!O293</f>
        <v>0</v>
      </c>
      <c r="G165" s="22" t="str">
        <f>'[3]5нед'!P293</f>
        <v/>
      </c>
      <c r="H165" s="57" t="str">
        <f>HYPERLINK(VLOOKUP(E165,$R$12:$S$180,2,FALSE))</f>
        <v/>
      </c>
      <c r="I165" s="71"/>
      <c r="J165" s="88"/>
      <c r="K165" s="14" t="s">
        <v>73</v>
      </c>
      <c r="L165" s="20">
        <f>'[3]6нед'!K293</f>
        <v>0</v>
      </c>
      <c r="M165" s="23">
        <f>'[3]6нед'!L293</f>
        <v>0</v>
      </c>
      <c r="N165" s="21">
        <f>'[3]6нед'!O293</f>
        <v>0</v>
      </c>
      <c r="O165" s="22" t="str">
        <f>'[3]6нед'!P293</f>
        <v/>
      </c>
      <c r="P165" s="57" t="str">
        <f>HYPERLINK(VLOOKUP(M165,$R$12:$S$180,2,FALSE))</f>
        <v/>
      </c>
    </row>
    <row r="166" spans="1:16" ht="31.5" x14ac:dyDescent="0.2">
      <c r="A166" s="82"/>
      <c r="B166" s="85"/>
      <c r="C166" s="14" t="s">
        <v>74</v>
      </c>
      <c r="D166" s="20">
        <f>'[3]5нед'!K294</f>
        <v>0</v>
      </c>
      <c r="E166" s="23">
        <f>'[3]5нед'!L294</f>
        <v>0</v>
      </c>
      <c r="F166" s="21">
        <f>'[3]5нед'!O294</f>
        <v>0</v>
      </c>
      <c r="G166" s="22" t="str">
        <f>'[3]5нед'!P294</f>
        <v/>
      </c>
      <c r="H166" s="57" t="str">
        <f>HYPERLINK(VLOOKUP(E166,$R$12:$S$180,2,FALSE))</f>
        <v/>
      </c>
      <c r="I166" s="71"/>
      <c r="J166" s="88"/>
      <c r="K166" s="14" t="s">
        <v>74</v>
      </c>
      <c r="L166" s="20">
        <f>'[3]6нед'!K294</f>
        <v>0</v>
      </c>
      <c r="M166" s="23">
        <f>'[3]6нед'!L294</f>
        <v>0</v>
      </c>
      <c r="N166" s="21">
        <f>'[3]6нед'!O294</f>
        <v>0</v>
      </c>
      <c r="O166" s="22" t="str">
        <f>'[3]6нед'!P294</f>
        <v/>
      </c>
      <c r="P166" s="57" t="str">
        <f>HYPERLINK(VLOOKUP(M166,$R$12:$S$180,2,FALSE))</f>
        <v/>
      </c>
    </row>
    <row r="167" spans="1:16" ht="31.5" x14ac:dyDescent="0.2">
      <c r="A167" s="82"/>
      <c r="B167" s="85"/>
      <c r="C167" s="14" t="s">
        <v>21</v>
      </c>
      <c r="D167" s="20">
        <f>'[3]5нед'!K295</f>
        <v>0</v>
      </c>
      <c r="E167" s="23">
        <f>'[3]5нед'!L295</f>
        <v>0</v>
      </c>
      <c r="F167" s="21">
        <f>'[3]5нед'!O295</f>
        <v>0</v>
      </c>
      <c r="G167" s="22" t="str">
        <f>'[3]5нед'!P295</f>
        <v/>
      </c>
      <c r="H167" s="57" t="str">
        <f>HYPERLINK(VLOOKUP(E167,$R$12:$S$180,2,FALSE))</f>
        <v/>
      </c>
      <c r="I167" s="71"/>
      <c r="J167" s="88"/>
      <c r="K167" s="14" t="s">
        <v>21</v>
      </c>
      <c r="L167" s="20">
        <f>'[3]6нед'!K295</f>
        <v>0</v>
      </c>
      <c r="M167" s="23">
        <f>'[3]6нед'!L295</f>
        <v>0</v>
      </c>
      <c r="N167" s="21">
        <f>'[3]6нед'!O295</f>
        <v>0</v>
      </c>
      <c r="O167" s="22" t="str">
        <f>'[3]6нед'!P295</f>
        <v/>
      </c>
      <c r="P167" s="57" t="str">
        <f>HYPERLINK(VLOOKUP(M167,$R$12:$S$180,2,FALSE))</f>
        <v/>
      </c>
    </row>
    <row r="168" spans="1:16" ht="31.5" x14ac:dyDescent="0.2">
      <c r="A168" s="82"/>
      <c r="B168" s="85"/>
      <c r="C168" s="14" t="s">
        <v>22</v>
      </c>
      <c r="D168" s="20">
        <f>'[3]5нед'!K296</f>
        <v>0</v>
      </c>
      <c r="E168" s="23">
        <f>'[3]5нед'!L296</f>
        <v>0</v>
      </c>
      <c r="F168" s="21">
        <f>'[3]5нед'!O296</f>
        <v>0</v>
      </c>
      <c r="G168" s="22" t="str">
        <f>'[3]5нед'!P296</f>
        <v/>
      </c>
      <c r="H168" s="57" t="str">
        <f>HYPERLINK(VLOOKUP(E168,$R$12:$S$180,2,FALSE))</f>
        <v/>
      </c>
      <c r="I168" s="71"/>
      <c r="J168" s="88"/>
      <c r="K168" s="14" t="s">
        <v>22</v>
      </c>
      <c r="L168" s="20">
        <f>'[3]6нед'!K296</f>
        <v>0</v>
      </c>
      <c r="M168" s="23">
        <f>'[3]6нед'!L296</f>
        <v>0</v>
      </c>
      <c r="N168" s="21">
        <f>'[3]6нед'!O296</f>
        <v>0</v>
      </c>
      <c r="O168" s="22" t="str">
        <f>'[3]6нед'!P296</f>
        <v/>
      </c>
      <c r="P168" s="57" t="str">
        <f>HYPERLINK(VLOOKUP(M168,$R$12:$S$180,2,FALSE))</f>
        <v/>
      </c>
    </row>
    <row r="169" spans="1:16" ht="56.25" x14ac:dyDescent="0.2">
      <c r="A169" s="82"/>
      <c r="B169" s="85"/>
      <c r="C169" s="14" t="s">
        <v>23</v>
      </c>
      <c r="D169" s="20">
        <f>'[3]5нед'!K297</f>
        <v>0</v>
      </c>
      <c r="E169" s="23">
        <f>'[3]5нед'!L297</f>
        <v>0</v>
      </c>
      <c r="F169" s="21">
        <f>'[3]5нед'!O297</f>
        <v>0</v>
      </c>
      <c r="G169" s="22" t="str">
        <f>'[3]5нед'!P297</f>
        <v/>
      </c>
      <c r="H169" s="57" t="str">
        <f>HYPERLINK(VLOOKUP(E169,$R$12:$S$180,2,FALSE))</f>
        <v/>
      </c>
      <c r="I169" s="71"/>
      <c r="J169" s="88"/>
      <c r="K169" s="14" t="s">
        <v>23</v>
      </c>
      <c r="L169" s="20" t="str">
        <f>'[3]6нед'!K297</f>
        <v>пр</v>
      </c>
      <c r="M169" s="23" t="str">
        <f>'[3]6нед'!L297</f>
        <v xml:space="preserve"> Технология и организация воспитательных практик (классное руководство)</v>
      </c>
      <c r="N169" s="21" t="str">
        <f>'[3]6нед'!O297</f>
        <v>Макарчук Н.В.</v>
      </c>
      <c r="O169" s="22" t="str">
        <f>'[3]6нед'!P297</f>
        <v>преподаватель</v>
      </c>
      <c r="P169" s="57" t="str">
        <f>HYPERLINK(VLOOKUP(M169,$R$12:$S$180,2,FALSE))</f>
        <v>https://max.ru/join/vVDI4UrM3eCAidVGjy4YDG7oZq_cJEJtK2NywT5ISAk</v>
      </c>
    </row>
    <row r="170" spans="1:16" ht="32.25" thickBot="1" x14ac:dyDescent="0.25">
      <c r="A170" s="82"/>
      <c r="B170" s="85"/>
      <c r="C170" s="14" t="s">
        <v>24</v>
      </c>
      <c r="D170" s="20">
        <f>'[3]5нед'!K298</f>
        <v>0</v>
      </c>
      <c r="E170" s="23">
        <f>'[3]5нед'!L298</f>
        <v>0</v>
      </c>
      <c r="F170" s="21">
        <f>'[3]5нед'!O298</f>
        <v>0</v>
      </c>
      <c r="G170" s="22" t="str">
        <f>'[3]5нед'!P298</f>
        <v/>
      </c>
      <c r="H170" s="57" t="str">
        <f>HYPERLINK(VLOOKUP(E170,$R$12:$S$180,2,FALSE))</f>
        <v/>
      </c>
      <c r="I170" s="71"/>
      <c r="J170" s="88"/>
      <c r="K170" s="14" t="s">
        <v>24</v>
      </c>
      <c r="L170" s="20">
        <f>'[3]6нед'!K298</f>
        <v>0</v>
      </c>
      <c r="M170" s="23">
        <f>'[3]6нед'!L298</f>
        <v>0</v>
      </c>
      <c r="N170" s="21">
        <f>'[3]6нед'!O298</f>
        <v>0</v>
      </c>
      <c r="O170" s="22" t="str">
        <f>'[3]6нед'!P298</f>
        <v/>
      </c>
      <c r="P170" s="57" t="str">
        <f>HYPERLINK(VLOOKUP(M170,$R$12:$S$180,2,FALSE))</f>
        <v/>
      </c>
    </row>
    <row r="171" spans="1:16" ht="18.399999999999999" hidden="1" customHeight="1" thickBot="1" x14ac:dyDescent="0.25">
      <c r="A171" s="83"/>
      <c r="B171" s="86"/>
      <c r="C171" s="15"/>
      <c r="D171" s="24">
        <f>'[3]5нед'!K299</f>
        <v>0</v>
      </c>
      <c r="E171" s="25">
        <f>'[3]5нед'!L299</f>
        <v>0</v>
      </c>
      <c r="F171" s="26">
        <f>'[3]5нед'!O299</f>
        <v>0</v>
      </c>
      <c r="G171" s="27" t="str">
        <f>'[3]5нед'!P299</f>
        <v/>
      </c>
      <c r="H171" s="58" t="str">
        <f>HYPERLINK(VLOOKUP(E171,$R$12:$S$180,2,FALSE))</f>
        <v/>
      </c>
      <c r="I171" s="72"/>
      <c r="J171" s="89"/>
      <c r="K171" s="15"/>
      <c r="L171" s="24">
        <f>'[3]6нед'!K299</f>
        <v>0</v>
      </c>
      <c r="M171" s="25">
        <f>'[3]6нед'!L299</f>
        <v>0</v>
      </c>
      <c r="N171" s="26">
        <f>'[3]6нед'!O299</f>
        <v>0</v>
      </c>
      <c r="O171" s="27" t="str">
        <f>'[3]6нед'!P299</f>
        <v/>
      </c>
      <c r="P171" s="58" t="str">
        <f>HYPERLINK(VLOOKUP(M171,$R$12:$S$180,2,FALSE))</f>
        <v/>
      </c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'[3]5нед'!K300</f>
        <v>0</v>
      </c>
      <c r="E172" s="19">
        <f>'[3]5нед'!L300</f>
        <v>0</v>
      </c>
      <c r="F172" s="17">
        <f>'[3]5нед'!O300</f>
        <v>0</v>
      </c>
      <c r="G172" s="18" t="str">
        <f>'[3]5нед'!P300</f>
        <v/>
      </c>
      <c r="H172" s="56" t="str">
        <f>HYPERLINK(VLOOKUP(E172,$R$12:$S$180,2,FALSE))</f>
        <v/>
      </c>
      <c r="I172" s="70">
        <v>46305</v>
      </c>
      <c r="J172" s="87" t="s">
        <v>29</v>
      </c>
      <c r="K172" s="29" t="s">
        <v>18</v>
      </c>
      <c r="L172" s="16">
        <f>'[3]6нед'!K300</f>
        <v>0</v>
      </c>
      <c r="M172" s="19">
        <f>'[3]6нед'!L300</f>
        <v>0</v>
      </c>
      <c r="N172" s="17">
        <f>'[3]6нед'!O300</f>
        <v>0</v>
      </c>
      <c r="O172" s="18" t="str">
        <f>'[3]6нед'!P300</f>
        <v/>
      </c>
      <c r="P172" s="56" t="str">
        <f>HYPERLINK(VLOOKUP(M172,$R$12:$S$180,2,FALSE))</f>
        <v/>
      </c>
    </row>
    <row r="173" spans="1:16" ht="31.5" x14ac:dyDescent="0.2">
      <c r="A173" s="82"/>
      <c r="B173" s="85"/>
      <c r="C173" s="14" t="s">
        <v>73</v>
      </c>
      <c r="D173" s="20">
        <f>'[3]5нед'!K301</f>
        <v>0</v>
      </c>
      <c r="E173" s="23">
        <f>'[3]5нед'!L301</f>
        <v>0</v>
      </c>
      <c r="F173" s="21">
        <f>'[3]5нед'!O301</f>
        <v>0</v>
      </c>
      <c r="G173" s="22" t="str">
        <f>'[3]5нед'!P301</f>
        <v/>
      </c>
      <c r="H173" s="57" t="str">
        <f>HYPERLINK(VLOOKUP(E173,$R$12:$S$180,2,FALSE))</f>
        <v/>
      </c>
      <c r="I173" s="71"/>
      <c r="J173" s="88"/>
      <c r="K173" s="14" t="s">
        <v>73</v>
      </c>
      <c r="L173" s="20">
        <f>'[3]6нед'!K301</f>
        <v>0</v>
      </c>
      <c r="M173" s="23">
        <f>'[3]6нед'!L301</f>
        <v>0</v>
      </c>
      <c r="N173" s="21">
        <f>'[3]6нед'!O301</f>
        <v>0</v>
      </c>
      <c r="O173" s="22" t="str">
        <f>'[3]6нед'!P301</f>
        <v/>
      </c>
      <c r="P173" s="57" t="str">
        <f>HYPERLINK(VLOOKUP(M173,$R$12:$S$180,2,FALSE))</f>
        <v/>
      </c>
    </row>
    <row r="174" spans="1:16" ht="31.5" x14ac:dyDescent="0.2">
      <c r="A174" s="82"/>
      <c r="B174" s="85"/>
      <c r="C174" s="14" t="s">
        <v>74</v>
      </c>
      <c r="D174" s="20">
        <f>'[3]5нед'!K302</f>
        <v>0</v>
      </c>
      <c r="E174" s="23">
        <f>'[3]5нед'!L302</f>
        <v>0</v>
      </c>
      <c r="F174" s="21">
        <f>'[3]5нед'!O302</f>
        <v>0</v>
      </c>
      <c r="G174" s="22" t="str">
        <f>'[3]5нед'!P302</f>
        <v/>
      </c>
      <c r="H174" s="57" t="str">
        <f>HYPERLINK(VLOOKUP(E174,$R$12:$S$180,2,FALSE))</f>
        <v/>
      </c>
      <c r="I174" s="71"/>
      <c r="J174" s="88"/>
      <c r="K174" s="14" t="s">
        <v>74</v>
      </c>
      <c r="L174" s="20">
        <f>'[3]6нед'!K302</f>
        <v>0</v>
      </c>
      <c r="M174" s="23">
        <f>'[3]6нед'!L302</f>
        <v>0</v>
      </c>
      <c r="N174" s="21">
        <f>'[3]6нед'!O302</f>
        <v>0</v>
      </c>
      <c r="O174" s="22" t="str">
        <f>'[3]6нед'!P302</f>
        <v/>
      </c>
      <c r="P174" s="57" t="str">
        <f>HYPERLINK(VLOOKUP(M174,$R$12:$S$180,2,FALSE))</f>
        <v/>
      </c>
    </row>
    <row r="175" spans="1:16" ht="31.5" x14ac:dyDescent="0.2">
      <c r="A175" s="82"/>
      <c r="B175" s="85"/>
      <c r="C175" s="14" t="s">
        <v>21</v>
      </c>
      <c r="D175" s="20">
        <f>'[3]5нед'!K303</f>
        <v>0</v>
      </c>
      <c r="E175" s="23">
        <f>'[3]5нед'!L303</f>
        <v>0</v>
      </c>
      <c r="F175" s="21">
        <f>'[3]5нед'!O303</f>
        <v>0</v>
      </c>
      <c r="G175" s="22" t="str">
        <f>'[3]5нед'!P303</f>
        <v/>
      </c>
      <c r="H175" s="57" t="str">
        <f>HYPERLINK(VLOOKUP(E175,$R$12:$S$180,2,FALSE))</f>
        <v/>
      </c>
      <c r="I175" s="71"/>
      <c r="J175" s="88"/>
      <c r="K175" s="14" t="s">
        <v>21</v>
      </c>
      <c r="L175" s="20">
        <f>'[3]6нед'!K303</f>
        <v>0</v>
      </c>
      <c r="M175" s="23">
        <f>'[3]6нед'!L303</f>
        <v>0</v>
      </c>
      <c r="N175" s="21">
        <f>'[3]6нед'!O303</f>
        <v>0</v>
      </c>
      <c r="O175" s="22" t="str">
        <f>'[3]6нед'!P303</f>
        <v/>
      </c>
      <c r="P175" s="57" t="str">
        <f>HYPERLINK(VLOOKUP(M175,$R$12:$S$180,2,FALSE))</f>
        <v/>
      </c>
    </row>
    <row r="176" spans="1:16" ht="31.5" x14ac:dyDescent="0.2">
      <c r="A176" s="82"/>
      <c r="B176" s="85"/>
      <c r="C176" s="14" t="s">
        <v>22</v>
      </c>
      <c r="D176" s="20">
        <f>'[3]5нед'!K304</f>
        <v>0</v>
      </c>
      <c r="E176" s="23">
        <f>'[3]5нед'!L304</f>
        <v>0</v>
      </c>
      <c r="F176" s="21">
        <f>'[3]5нед'!O304</f>
        <v>0</v>
      </c>
      <c r="G176" s="22" t="str">
        <f>'[3]5нед'!P304</f>
        <v/>
      </c>
      <c r="H176" s="57" t="str">
        <f>HYPERLINK(VLOOKUP(E176,$R$12:$S$180,2,FALSE))</f>
        <v/>
      </c>
      <c r="I176" s="71"/>
      <c r="J176" s="88"/>
      <c r="K176" s="14" t="s">
        <v>22</v>
      </c>
      <c r="L176" s="20">
        <f>'[3]6нед'!K304</f>
        <v>0</v>
      </c>
      <c r="M176" s="23">
        <f>'[3]6нед'!L304</f>
        <v>0</v>
      </c>
      <c r="N176" s="21">
        <f>'[3]6нед'!O304</f>
        <v>0</v>
      </c>
      <c r="O176" s="22" t="str">
        <f>'[3]6нед'!P304</f>
        <v/>
      </c>
      <c r="P176" s="57" t="str">
        <f>HYPERLINK(VLOOKUP(M176,$R$12:$S$180,2,FALSE))</f>
        <v/>
      </c>
    </row>
    <row r="177" spans="1:16" ht="31.5" x14ac:dyDescent="0.2">
      <c r="A177" s="82"/>
      <c r="B177" s="85"/>
      <c r="C177" s="14" t="s">
        <v>23</v>
      </c>
      <c r="D177" s="20">
        <f>'[3]5нед'!K305</f>
        <v>0</v>
      </c>
      <c r="E177" s="23">
        <f>'[3]5нед'!L305</f>
        <v>0</v>
      </c>
      <c r="F177" s="21">
        <f>'[3]5нед'!O305</f>
        <v>0</v>
      </c>
      <c r="G177" s="22" t="str">
        <f>'[3]5нед'!P305</f>
        <v/>
      </c>
      <c r="H177" s="57" t="str">
        <f>HYPERLINK(VLOOKUP(E177,$R$12:$S$180,2,FALSE))</f>
        <v/>
      </c>
      <c r="I177" s="71"/>
      <c r="J177" s="88"/>
      <c r="K177" s="14" t="s">
        <v>23</v>
      </c>
      <c r="L177" s="20">
        <f>'[3]6нед'!K305</f>
        <v>0</v>
      </c>
      <c r="M177" s="23">
        <f>'[3]6нед'!L305</f>
        <v>0</v>
      </c>
      <c r="N177" s="21">
        <f>'[3]6нед'!O305</f>
        <v>0</v>
      </c>
      <c r="O177" s="22" t="str">
        <f>'[3]6нед'!P305</f>
        <v/>
      </c>
      <c r="P177" s="57" t="str">
        <f>HYPERLINK(VLOOKUP(M177,$R$12:$S$180,2,FALSE))</f>
        <v/>
      </c>
    </row>
    <row r="178" spans="1:16" ht="32.25" thickBot="1" x14ac:dyDescent="0.25">
      <c r="A178" s="82"/>
      <c r="B178" s="85"/>
      <c r="C178" s="14" t="s">
        <v>24</v>
      </c>
      <c r="D178" s="20">
        <f>'[3]5нед'!K306</f>
        <v>0</v>
      </c>
      <c r="E178" s="23">
        <f>'[3]5нед'!L306</f>
        <v>0</v>
      </c>
      <c r="F178" s="21">
        <f>'[3]5нед'!O306</f>
        <v>0</v>
      </c>
      <c r="G178" s="22" t="str">
        <f>'[3]5нед'!P306</f>
        <v/>
      </c>
      <c r="H178" s="57" t="str">
        <f>HYPERLINK(VLOOKUP(E178,$R$12:$S$180,2,FALSE))</f>
        <v/>
      </c>
      <c r="I178" s="71"/>
      <c r="J178" s="88"/>
      <c r="K178" s="14" t="s">
        <v>24</v>
      </c>
      <c r="L178" s="20">
        <f>'[3]6нед'!K306</f>
        <v>0</v>
      </c>
      <c r="M178" s="23">
        <f>'[3]6нед'!L306</f>
        <v>0</v>
      </c>
      <c r="N178" s="21">
        <f>'[3]6нед'!O306</f>
        <v>0</v>
      </c>
      <c r="O178" s="22" t="str">
        <f>'[3]6нед'!P306</f>
        <v/>
      </c>
      <c r="P178" s="57" t="str">
        <f>HYPERLINK(VLOOKUP(M178,$R$12:$S$180,2,FALSE))</f>
        <v/>
      </c>
    </row>
    <row r="179" spans="1:16" ht="19.149999999999999" hidden="1" customHeight="1" thickTop="1" thickBot="1" x14ac:dyDescent="0.25">
      <c r="A179" s="83"/>
      <c r="B179" s="86"/>
      <c r="C179" s="15"/>
      <c r="D179" s="16">
        <f>'[3]5нед'!K307</f>
        <v>0</v>
      </c>
      <c r="E179" s="19">
        <f>'[3]5нед'!L307</f>
        <v>0</v>
      </c>
      <c r="F179" s="17">
        <f>'[3]5нед'!O307</f>
        <v>0</v>
      </c>
      <c r="G179" s="18" t="str">
        <f>'[3]5нед'!P307</f>
        <v/>
      </c>
      <c r="H179" s="39"/>
      <c r="I179" s="72"/>
      <c r="J179" s="89"/>
      <c r="K179" s="15"/>
      <c r="L179" s="24">
        <f>'[3]6нед'!K59</f>
        <v>0</v>
      </c>
      <c r="M179" s="25">
        <f>'[3]6нед'!L59</f>
        <v>0</v>
      </c>
      <c r="N179" s="26">
        <f>'[3]6нед'!O59</f>
        <v>0</v>
      </c>
      <c r="O179" s="27" t="str">
        <f>'[3]6нед'!P59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</sheetData>
  <mergeCells count="114">
    <mergeCell ref="A172:A179"/>
    <mergeCell ref="B172:B179"/>
    <mergeCell ref="I172:I179"/>
    <mergeCell ref="J172:J179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A36:A43"/>
    <mergeCell ref="B36:B43"/>
    <mergeCell ref="I36:I43"/>
    <mergeCell ref="J36:J43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88:A95"/>
    <mergeCell ref="B88:B95"/>
    <mergeCell ref="B6:H6"/>
    <mergeCell ref="J6:P6"/>
    <mergeCell ref="B8:D8"/>
    <mergeCell ref="E8:H8"/>
    <mergeCell ref="J8:L8"/>
    <mergeCell ref="M8:P8"/>
    <mergeCell ref="N11:O11"/>
    <mergeCell ref="A12:A19"/>
    <mergeCell ref="B12:B19"/>
    <mergeCell ref="I12:I19"/>
    <mergeCell ref="J12:J19"/>
    <mergeCell ref="B9:D9"/>
    <mergeCell ref="J9:L9"/>
    <mergeCell ref="B10:D10"/>
    <mergeCell ref="J10:L10"/>
    <mergeCell ref="A11:B11"/>
    <mergeCell ref="F11:G11"/>
    <mergeCell ref="I11:J11"/>
    <mergeCell ref="A20:A27"/>
    <mergeCell ref="B20:B27"/>
    <mergeCell ref="I20:I27"/>
    <mergeCell ref="J20:J27"/>
    <mergeCell ref="A44:A51"/>
    <mergeCell ref="B44:B51"/>
    <mergeCell ref="I44:I51"/>
    <mergeCell ref="J44:J51"/>
    <mergeCell ref="A52:A59"/>
    <mergeCell ref="B52:B59"/>
    <mergeCell ref="I52:I59"/>
    <mergeCell ref="J52:J59"/>
    <mergeCell ref="A28:A35"/>
    <mergeCell ref="B28:B35"/>
    <mergeCell ref="I28:I35"/>
    <mergeCell ref="J28:J35"/>
  </mergeCells>
  <conditionalFormatting sqref="G59">
    <cfRule type="cellIs" dxfId="19" priority="132" operator="equal">
      <formula>"0. ,0, "</formula>
    </cfRule>
  </conditionalFormatting>
  <conditionalFormatting sqref="G59">
    <cfRule type="cellIs" dxfId="18" priority="131" operator="equal">
      <formula>"0. 0,0, ауд. 0, 0"</formula>
    </cfRule>
  </conditionalFormatting>
  <conditionalFormatting sqref="G59">
    <cfRule type="cellIs" dxfId="17" priority="130" operator="equal">
      <formula>"0. 0 0, ауд. 0, 0"</formula>
    </cfRule>
  </conditionalFormatting>
  <conditionalFormatting sqref="G59">
    <cfRule type="cellIs" dxfId="16" priority="129" operator="equal">
      <formula>"0. ,0, "</formula>
    </cfRule>
  </conditionalFormatting>
  <conditionalFormatting sqref="G59">
    <cfRule type="cellIs" dxfId="15" priority="128" operator="equal">
      <formula>"0. 0,0, ауд. 0, 0"</formula>
    </cfRule>
  </conditionalFormatting>
  <conditionalFormatting sqref="G59">
    <cfRule type="cellIs" dxfId="14" priority="127" operator="equal">
      <formula>"0. 0 0, ауд. 0, 0"</formula>
    </cfRule>
  </conditionalFormatting>
  <conditionalFormatting sqref="G59">
    <cfRule type="cellIs" dxfId="13" priority="126" operator="equal">
      <formula>"0. ,0, "</formula>
    </cfRule>
  </conditionalFormatting>
  <conditionalFormatting sqref="G59">
    <cfRule type="cellIs" dxfId="12" priority="125" operator="equal">
      <formula>"0. 0,0, ауд. 0, 0"</formula>
    </cfRule>
  </conditionalFormatting>
  <conditionalFormatting sqref="G59">
    <cfRule type="cellIs" dxfId="11" priority="124" operator="equal">
      <formula>"0. 0 0, ауд. 0, 0"</formula>
    </cfRule>
  </conditionalFormatting>
  <conditionalFormatting sqref="G59">
    <cfRule type="cellIs" dxfId="10" priority="122" operator="equal">
      <formula>"0. 0 0, ауд. 0,"</formula>
    </cfRule>
    <cfRule type="colorScale" priority="123">
      <colorScale>
        <cfvo type="min"/>
        <cfvo type="max"/>
        <color rgb="FFFF7128"/>
        <color rgb="FFFFEF9C"/>
      </colorScale>
    </cfRule>
  </conditionalFormatting>
  <conditionalFormatting sqref="G119">
    <cfRule type="cellIs" dxfId="9" priority="121" operator="equal">
      <formula>"0. ,0, "</formula>
    </cfRule>
  </conditionalFormatting>
  <conditionalFormatting sqref="G119">
    <cfRule type="cellIs" dxfId="8" priority="120" operator="equal">
      <formula>"0. 0,0, ауд. 0, 0"</formula>
    </cfRule>
  </conditionalFormatting>
  <conditionalFormatting sqref="G119">
    <cfRule type="cellIs" dxfId="7" priority="119" operator="equal">
      <formula>"0. 0 0, ауд. 0, 0"</formula>
    </cfRule>
  </conditionalFormatting>
  <conditionalFormatting sqref="G119">
    <cfRule type="cellIs" dxfId="6" priority="118" operator="equal">
      <formula>"0. ,0, "</formula>
    </cfRule>
  </conditionalFormatting>
  <conditionalFormatting sqref="G119">
    <cfRule type="cellIs" dxfId="5" priority="117" operator="equal">
      <formula>"0. 0,0, ауд. 0, 0"</formula>
    </cfRule>
  </conditionalFormatting>
  <conditionalFormatting sqref="G119">
    <cfRule type="cellIs" dxfId="4" priority="116" operator="equal">
      <formula>"0. 0 0, ауд. 0, 0"</formula>
    </cfRule>
  </conditionalFormatting>
  <conditionalFormatting sqref="G119">
    <cfRule type="cellIs" dxfId="3" priority="115" operator="equal">
      <formula>"0. ,0, "</formula>
    </cfRule>
  </conditionalFormatting>
  <conditionalFormatting sqref="G119">
    <cfRule type="cellIs" dxfId="2" priority="114" operator="equal">
      <formula>"0. 0,0, ауд. 0, 0"</formula>
    </cfRule>
  </conditionalFormatting>
  <conditionalFormatting sqref="G119">
    <cfRule type="cellIs" dxfId="1" priority="113" operator="equal">
      <formula>"0. 0 0, ауд. 0, 0"</formula>
    </cfRule>
  </conditionalFormatting>
  <conditionalFormatting sqref="G119">
    <cfRule type="cellIs" dxfId="0" priority="111" operator="equal">
      <formula>"0. 0 0, ауд. 0,"</formula>
    </cfRule>
    <cfRule type="colorScale" priority="112">
      <colorScale>
        <cfvo type="min"/>
        <cfvo type="max"/>
        <color rgb="FFFF7128"/>
        <color rgb="FFFFEF9C"/>
      </colorScale>
    </cfRule>
  </conditionalFormatting>
  <hyperlinks>
    <hyperlink ref="S25" r:id="rId1" xr:uid="{3D6FCABB-62D8-4DD7-AA43-4630C808CEDD}"/>
    <hyperlink ref="S12" r:id="rId2" xr:uid="{7502347A-8960-4023-B3B6-C8E66D509ECB}"/>
    <hyperlink ref="S14" r:id="rId3" xr:uid="{07ECAE53-AB75-48AA-A3A8-784ED5CD172F}"/>
    <hyperlink ref="S13" r:id="rId4" xr:uid="{7C93AA42-4E03-4F3C-9BD6-8DAFFED10EEB}"/>
    <hyperlink ref="S15" r:id="rId5" xr:uid="{781EDAD2-A5A4-4312-BC82-5F577ED8B3E3}"/>
    <hyperlink ref="S24" r:id="rId6" xr:uid="{106AC548-D155-4C1F-BC8A-A5BB04DD500E}"/>
    <hyperlink ref="S26" r:id="rId7" xr:uid="{81E0AECE-658C-471E-AC5D-701379D97E9A}"/>
    <hyperlink ref="S27" r:id="rId8" xr:uid="{4E74BAA5-646E-433B-91FD-FD44A834AEEB}"/>
    <hyperlink ref="S28" r:id="rId9" xr:uid="{C0AE5FD2-DFFB-49BC-A88A-3278C8CB2206}"/>
    <hyperlink ref="S21" r:id="rId10" xr:uid="{669ABA24-743A-4312-8104-B801F1F92D95}"/>
    <hyperlink ref="S16" r:id="rId11" xr:uid="{F0FF2523-FD8C-413A-8F58-EEF0B9E631B1}"/>
    <hyperlink ref="S17:S20" r:id="rId12" display="https://max.ru/join/pcqQ76hVH1VM62gdvJpdTUt6hv6a-FL0jPDOixrw4dg" xr:uid="{5DD6BFD0-3263-44C3-835B-B51A6C52938E}"/>
    <hyperlink ref="S22:S23" r:id="rId13" display="https://max.ru/join/pcqQ76hVH1VM62gdvJpdTUt6hv6a-FL0jPDOixrw4dg" xr:uid="{6BCD3413-3F67-44FE-8E86-F2CE9E293CD6}"/>
  </hyperlinks>
  <pageMargins left="0.70866141732283472" right="0.70866141732283472" top="0.74803149606299213" bottom="0.74803149606299213" header="0.31496062992125984" footer="0.31496062992125984"/>
  <pageSetup paperSize="9" scale="34" orientation="portrait" r:id="rId14"/>
  <rowBreaks count="2" manualBreakCount="2">
    <brk id="60" max="16383" man="1"/>
    <brk id="120" max="15" man="1"/>
  </rowBreaks>
  <colBreaks count="1" manualBreakCount="1">
    <brk id="8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BC693-FB87-4A49-922D-6A31554FD409}">
  <dimension ref="A1:P540"/>
  <sheetViews>
    <sheetView view="pageBreakPreview" zoomScale="50" zoomScaleNormal="55" zoomScaleSheetLayoutView="50" workbookViewId="0">
      <selection activeCell="I1" sqref="I1"/>
    </sheetView>
  </sheetViews>
  <sheetFormatPr defaultRowHeight="12.75" x14ac:dyDescent="0.2"/>
  <cols>
    <col min="1" max="1" width="5.85546875" customWidth="1"/>
    <col min="2" max="2" width="4.140625" customWidth="1"/>
    <col min="3" max="3" width="13.5703125" customWidth="1"/>
    <col min="4" max="4" width="11.85546875" customWidth="1"/>
    <col min="5" max="5" width="51.5703125" customWidth="1"/>
    <col min="6" max="6" width="28" customWidth="1"/>
    <col min="7" max="7" width="30" customWidth="1"/>
    <col min="8" max="8" width="72.28515625" style="42" customWidth="1"/>
    <col min="9" max="9" width="5.85546875" customWidth="1"/>
    <col min="10" max="10" width="4.140625" customWidth="1"/>
    <col min="11" max="11" width="13.5703125" customWidth="1"/>
    <col min="12" max="12" width="11.85546875" customWidth="1"/>
    <col min="13" max="13" width="51.5703125" customWidth="1"/>
    <col min="14" max="14" width="30.85546875" customWidth="1"/>
    <col min="15" max="15" width="29.28515625" customWidth="1"/>
    <col min="16" max="16" width="71.42578125" style="42" customWidth="1"/>
  </cols>
  <sheetData>
    <row r="1" spans="1:16" ht="15.75" x14ac:dyDescent="0.25">
      <c r="A1" s="45"/>
      <c r="B1" s="1"/>
      <c r="C1" s="2"/>
      <c r="D1" s="3"/>
      <c r="E1" s="3"/>
      <c r="F1" s="3"/>
      <c r="G1" s="3"/>
      <c r="H1" s="4" t="s">
        <v>0</v>
      </c>
      <c r="I1" s="45"/>
      <c r="J1" s="1"/>
      <c r="K1" s="2"/>
      <c r="L1" s="3"/>
      <c r="M1" s="3"/>
      <c r="N1" s="3"/>
      <c r="O1" s="3"/>
      <c r="P1" s="4" t="s">
        <v>0</v>
      </c>
    </row>
    <row r="2" spans="1:16" ht="15.75" x14ac:dyDescent="0.25">
      <c r="A2" s="45"/>
      <c r="B2" s="1"/>
      <c r="C2" s="2"/>
      <c r="D2" s="3"/>
      <c r="E2" s="3"/>
      <c r="F2" s="3"/>
      <c r="G2" s="3"/>
      <c r="H2" s="4" t="s">
        <v>1</v>
      </c>
      <c r="I2" s="45"/>
      <c r="J2" s="1"/>
      <c r="K2" s="2"/>
      <c r="L2" s="3"/>
      <c r="M2" s="3"/>
      <c r="N2" s="3"/>
      <c r="O2" s="3"/>
      <c r="P2" s="4" t="s">
        <v>1</v>
      </c>
    </row>
    <row r="3" spans="1:16" ht="15.75" x14ac:dyDescent="0.25">
      <c r="A3" s="45"/>
      <c r="B3" s="1"/>
      <c r="C3" s="2"/>
      <c r="D3" s="3"/>
      <c r="E3" s="3"/>
      <c r="F3" s="3"/>
      <c r="G3" s="3"/>
      <c r="H3" s="4" t="s">
        <v>2</v>
      </c>
      <c r="I3" s="45"/>
      <c r="J3" s="1"/>
      <c r="K3" s="2"/>
      <c r="L3" s="3"/>
      <c r="M3" s="3"/>
      <c r="N3" s="3"/>
      <c r="O3" s="3"/>
      <c r="P3" s="4" t="s">
        <v>2</v>
      </c>
    </row>
    <row r="4" spans="1:16" ht="15.75" x14ac:dyDescent="0.25">
      <c r="A4" s="45"/>
      <c r="B4" s="1"/>
      <c r="C4" s="2"/>
      <c r="D4" s="3"/>
      <c r="E4" s="3"/>
      <c r="F4" s="3"/>
      <c r="G4" s="3"/>
      <c r="H4" s="4" t="s">
        <v>3</v>
      </c>
      <c r="I4" s="45"/>
      <c r="J4" s="1"/>
      <c r="K4" s="2"/>
      <c r="L4" s="3"/>
      <c r="M4" s="3"/>
      <c r="N4" s="3"/>
      <c r="O4" s="3"/>
      <c r="P4" s="4" t="s">
        <v>3</v>
      </c>
    </row>
    <row r="5" spans="1:16" ht="15.75" x14ac:dyDescent="0.25">
      <c r="A5" s="45"/>
      <c r="B5" s="5"/>
      <c r="C5" s="2"/>
      <c r="D5" s="3"/>
      <c r="E5" s="3"/>
      <c r="F5" s="3"/>
      <c r="G5" s="3"/>
      <c r="H5" s="3"/>
      <c r="I5" s="45"/>
      <c r="J5" s="5"/>
      <c r="K5" s="2"/>
      <c r="L5" s="3"/>
      <c r="M5" s="3"/>
      <c r="N5" s="3"/>
      <c r="O5" s="3"/>
      <c r="P5" s="3"/>
    </row>
    <row r="6" spans="1:16" ht="15.75" x14ac:dyDescent="0.25">
      <c r="A6" s="45"/>
      <c r="B6" s="90" t="s">
        <v>4</v>
      </c>
      <c r="C6" s="90"/>
      <c r="D6" s="90"/>
      <c r="E6" s="90"/>
      <c r="F6" s="90"/>
      <c r="G6" s="90"/>
      <c r="H6" s="90"/>
      <c r="I6" s="45"/>
      <c r="J6" s="90" t="s">
        <v>4</v>
      </c>
      <c r="K6" s="90"/>
      <c r="L6" s="90"/>
      <c r="M6" s="90"/>
      <c r="N6" s="90"/>
      <c r="O6" s="90"/>
      <c r="P6" s="90"/>
    </row>
    <row r="7" spans="1:16" ht="15.75" x14ac:dyDescent="0.2">
      <c r="A7" s="46"/>
      <c r="B7" s="62" t="str">
        <f>'[1]1нед'!$A$6</f>
        <v>Направление подготовки:</v>
      </c>
      <c r="C7" s="6"/>
      <c r="D7" s="7"/>
      <c r="E7" s="8" t="str">
        <f>'[1]1нед'!$T$254</f>
        <v>09.03.04Программная инженерия (Программно-информационные системы)</v>
      </c>
      <c r="F7" s="7"/>
      <c r="G7" s="7"/>
      <c r="H7" s="36" t="str">
        <f>'[1]1нед'!$T$258</f>
        <v>12-26ПИ1з</v>
      </c>
      <c r="I7" s="46"/>
      <c r="J7" s="62" t="str">
        <f>'[1]1нед'!$A$6</f>
        <v>Направление подготовки:</v>
      </c>
      <c r="K7" s="6"/>
      <c r="L7" s="7"/>
      <c r="M7" s="8" t="str">
        <f>E7</f>
        <v>09.03.04Программная инженерия (Программно-информационные системы)</v>
      </c>
      <c r="N7" s="7"/>
      <c r="O7" s="7"/>
      <c r="P7" s="36" t="str">
        <f>H7</f>
        <v>12-26ПИ1з</v>
      </c>
    </row>
    <row r="8" spans="1:16" ht="15.75" x14ac:dyDescent="0.25">
      <c r="A8" s="45"/>
      <c r="B8" s="81" t="s">
        <v>5</v>
      </c>
      <c r="C8" s="81"/>
      <c r="D8" s="81"/>
      <c r="E8" s="81" t="s">
        <v>52</v>
      </c>
      <c r="F8" s="81"/>
      <c r="G8" s="81"/>
      <c r="H8" s="81"/>
      <c r="I8" s="45"/>
      <c r="J8" s="81" t="s">
        <v>5</v>
      </c>
      <c r="K8" s="81"/>
      <c r="L8" s="81"/>
      <c r="M8" s="81" t="str">
        <f t="shared" ref="M8" si="0">E8</f>
        <v>очно-заочная</v>
      </c>
      <c r="N8" s="81"/>
      <c r="O8" s="81"/>
      <c r="P8" s="81"/>
    </row>
    <row r="9" spans="1:16" ht="15.75" x14ac:dyDescent="0.25">
      <c r="A9" s="45"/>
      <c r="B9" s="81" t="s">
        <v>7</v>
      </c>
      <c r="C9" s="81"/>
      <c r="D9" s="81"/>
      <c r="E9" s="62">
        <v>3</v>
      </c>
      <c r="F9" s="62"/>
      <c r="G9" s="62"/>
      <c r="H9" s="35"/>
      <c r="I9" s="45"/>
      <c r="J9" s="81" t="s">
        <v>7</v>
      </c>
      <c r="K9" s="81"/>
      <c r="L9" s="81"/>
      <c r="M9" s="62">
        <f>E9</f>
        <v>3</v>
      </c>
      <c r="N9" s="62"/>
      <c r="O9" s="62"/>
      <c r="P9" s="35"/>
    </row>
    <row r="10" spans="1:16" ht="16.5" thickBot="1" x14ac:dyDescent="0.3">
      <c r="A10" s="45"/>
      <c r="B10" s="93" t="s">
        <v>8</v>
      </c>
      <c r="C10" s="93"/>
      <c r="D10" s="93"/>
      <c r="E10" s="63">
        <v>1</v>
      </c>
      <c r="F10" s="63"/>
      <c r="G10" s="63"/>
      <c r="H10" s="37"/>
      <c r="I10" s="45"/>
      <c r="J10" s="78" t="s">
        <v>8</v>
      </c>
      <c r="K10" s="78"/>
      <c r="L10" s="78"/>
      <c r="M10" s="63">
        <f>E10+1</f>
        <v>2</v>
      </c>
      <c r="N10" s="63"/>
      <c r="O10" s="63"/>
      <c r="P10" s="37"/>
    </row>
    <row r="11" spans="1:16" ht="46.5" customHeight="1" thickTop="1" thickBot="1" x14ac:dyDescent="0.25">
      <c r="A11" s="79" t="s">
        <v>9</v>
      </c>
      <c r="B11" s="80"/>
      <c r="C11" s="10" t="s">
        <v>10</v>
      </c>
      <c r="D11" s="11" t="s">
        <v>11</v>
      </c>
      <c r="E11" s="12" t="s">
        <v>12</v>
      </c>
      <c r="F11" s="91" t="s">
        <v>13</v>
      </c>
      <c r="G11" s="92"/>
      <c r="H11" s="13" t="s">
        <v>14</v>
      </c>
      <c r="I11" s="79" t="s">
        <v>9</v>
      </c>
      <c r="J11" s="80"/>
      <c r="K11" s="10" t="s">
        <v>10</v>
      </c>
      <c r="L11" s="11" t="s">
        <v>11</v>
      </c>
      <c r="M11" s="12" t="s">
        <v>12</v>
      </c>
      <c r="N11" s="91" t="s">
        <v>13</v>
      </c>
      <c r="O11" s="92"/>
      <c r="P11" s="13" t="s">
        <v>14</v>
      </c>
    </row>
    <row r="12" spans="1:16" ht="35.1" customHeight="1" thickTop="1" x14ac:dyDescent="0.2">
      <c r="A12" s="70">
        <v>46265</v>
      </c>
      <c r="B12" s="84" t="s">
        <v>17</v>
      </c>
      <c r="C12" s="14" t="s">
        <v>18</v>
      </c>
      <c r="D12" s="16">
        <f>'[1]1нед'!S260</f>
        <v>0</v>
      </c>
      <c r="E12" s="19">
        <f>'[1]1нед'!T260</f>
        <v>0</v>
      </c>
      <c r="F12" s="17">
        <f>'[1]1нед'!W260</f>
        <v>0</v>
      </c>
      <c r="G12" s="18" t="str">
        <f>'[1]1нед'!X260</f>
        <v/>
      </c>
      <c r="H12" s="40"/>
      <c r="I12" s="70">
        <v>46272</v>
      </c>
      <c r="J12" s="87" t="s">
        <v>17</v>
      </c>
      <c r="K12" s="14" t="s">
        <v>18</v>
      </c>
      <c r="L12" s="16">
        <f>'[1]2нед'!S260</f>
        <v>0</v>
      </c>
      <c r="M12" s="19">
        <f>'[1]2нед'!T260</f>
        <v>0</v>
      </c>
      <c r="N12" s="17">
        <f>'[1]2нед'!W260</f>
        <v>0</v>
      </c>
      <c r="O12" s="18" t="str">
        <f>'[1]2нед'!X260</f>
        <v/>
      </c>
      <c r="P12" s="40"/>
    </row>
    <row r="13" spans="1:16" ht="31.5" x14ac:dyDescent="0.2">
      <c r="A13" s="82"/>
      <c r="B13" s="85"/>
      <c r="C13" s="14" t="s">
        <v>19</v>
      </c>
      <c r="D13" s="20">
        <f>'[1]1нед'!S261</f>
        <v>0</v>
      </c>
      <c r="E13" s="23">
        <f>'[1]1нед'!T261</f>
        <v>0</v>
      </c>
      <c r="F13" s="21">
        <f>'[1]1нед'!W261</f>
        <v>0</v>
      </c>
      <c r="G13" s="22" t="str">
        <f>'[1]1нед'!X261</f>
        <v/>
      </c>
      <c r="H13" s="38"/>
      <c r="I13" s="71"/>
      <c r="J13" s="88"/>
      <c r="K13" s="14" t="s">
        <v>19</v>
      </c>
      <c r="L13" s="20">
        <f>'[1]2нед'!S261</f>
        <v>0</v>
      </c>
      <c r="M13" s="23">
        <f>'[1]2нед'!T261</f>
        <v>0</v>
      </c>
      <c r="N13" s="21">
        <f>'[1]2нед'!W261</f>
        <v>0</v>
      </c>
      <c r="O13" s="22" t="str">
        <f>'[1]2нед'!X261</f>
        <v/>
      </c>
      <c r="P13" s="38"/>
    </row>
    <row r="14" spans="1:16" ht="31.5" x14ac:dyDescent="0.2">
      <c r="A14" s="82"/>
      <c r="B14" s="85"/>
      <c r="C14" s="14" t="s">
        <v>20</v>
      </c>
      <c r="D14" s="20">
        <f>'[1]1нед'!S262</f>
        <v>0</v>
      </c>
      <c r="E14" s="23">
        <f>'[1]1нед'!T262</f>
        <v>0</v>
      </c>
      <c r="F14" s="21">
        <f>'[1]1нед'!W262</f>
        <v>0</v>
      </c>
      <c r="G14" s="22" t="str">
        <f>'[1]1нед'!X262</f>
        <v/>
      </c>
      <c r="H14" s="38"/>
      <c r="I14" s="71"/>
      <c r="J14" s="88"/>
      <c r="K14" s="14" t="s">
        <v>20</v>
      </c>
      <c r="L14" s="20">
        <f>'[1]2нед'!S262</f>
        <v>0</v>
      </c>
      <c r="M14" s="23">
        <f>'[1]2нед'!T262</f>
        <v>0</v>
      </c>
      <c r="N14" s="21">
        <f>'[1]2нед'!W262</f>
        <v>0</v>
      </c>
      <c r="O14" s="22" t="str">
        <f>'[1]2нед'!X262</f>
        <v/>
      </c>
      <c r="P14" s="38"/>
    </row>
    <row r="15" spans="1:16" ht="31.5" x14ac:dyDescent="0.2">
      <c r="A15" s="82"/>
      <c r="B15" s="85"/>
      <c r="C15" s="14" t="s">
        <v>21</v>
      </c>
      <c r="D15" s="20">
        <f>'[1]1нед'!S263</f>
        <v>0</v>
      </c>
      <c r="E15" s="23">
        <f>'[1]1нед'!T263</f>
        <v>0</v>
      </c>
      <c r="F15" s="21">
        <f>'[1]1нед'!W263</f>
        <v>0</v>
      </c>
      <c r="G15" s="22" t="str">
        <f>'[1]1нед'!X263</f>
        <v/>
      </c>
      <c r="H15" s="38"/>
      <c r="I15" s="71"/>
      <c r="J15" s="88"/>
      <c r="K15" s="14" t="s">
        <v>21</v>
      </c>
      <c r="L15" s="20">
        <f>'[1]2нед'!S263</f>
        <v>0</v>
      </c>
      <c r="M15" s="23">
        <f>'[1]2нед'!T263</f>
        <v>0</v>
      </c>
      <c r="N15" s="21">
        <f>'[1]2нед'!W263</f>
        <v>0</v>
      </c>
      <c r="O15" s="22" t="str">
        <f>'[1]2нед'!X263</f>
        <v/>
      </c>
      <c r="P15" s="38"/>
    </row>
    <row r="16" spans="1:16" ht="31.5" x14ac:dyDescent="0.2">
      <c r="A16" s="82"/>
      <c r="B16" s="85"/>
      <c r="C16" s="14" t="s">
        <v>22</v>
      </c>
      <c r="D16" s="20">
        <f>'[1]1нед'!S264</f>
        <v>0</v>
      </c>
      <c r="E16" s="23">
        <f>'[1]1нед'!T264</f>
        <v>0</v>
      </c>
      <c r="F16" s="21">
        <f>'[1]1нед'!W264</f>
        <v>0</v>
      </c>
      <c r="G16" s="22" t="str">
        <f>'[1]1нед'!X264</f>
        <v/>
      </c>
      <c r="H16" s="38"/>
      <c r="I16" s="71"/>
      <c r="J16" s="88"/>
      <c r="K16" s="14" t="s">
        <v>22</v>
      </c>
      <c r="L16" s="20">
        <f>'[1]2нед'!S264</f>
        <v>0</v>
      </c>
      <c r="M16" s="23">
        <f>'[1]2нед'!T264</f>
        <v>0</v>
      </c>
      <c r="N16" s="21">
        <f>'[1]2нед'!W264</f>
        <v>0</v>
      </c>
      <c r="O16" s="22" t="str">
        <f>'[1]2нед'!X264</f>
        <v/>
      </c>
      <c r="P16" s="38"/>
    </row>
    <row r="17" spans="1:16" ht="31.5" x14ac:dyDescent="0.2">
      <c r="A17" s="82"/>
      <c r="B17" s="85"/>
      <c r="C17" s="14" t="s">
        <v>23</v>
      </c>
      <c r="D17" s="20">
        <f>'[1]1нед'!S265</f>
        <v>0</v>
      </c>
      <c r="E17" s="23">
        <f>'[1]1нед'!T265</f>
        <v>0</v>
      </c>
      <c r="F17" s="21">
        <f>'[1]1нед'!W265</f>
        <v>0</v>
      </c>
      <c r="G17" s="22" t="str">
        <f>'[1]1нед'!X265</f>
        <v/>
      </c>
      <c r="H17" s="38"/>
      <c r="I17" s="71"/>
      <c r="J17" s="88"/>
      <c r="K17" s="14" t="s">
        <v>23</v>
      </c>
      <c r="L17" s="20">
        <f>'[1]2нед'!S265</f>
        <v>0</v>
      </c>
      <c r="M17" s="23">
        <f>'[1]2нед'!T265</f>
        <v>0</v>
      </c>
      <c r="N17" s="21">
        <f>'[1]2нед'!W265</f>
        <v>0</v>
      </c>
      <c r="O17" s="22" t="str">
        <f>'[1]2нед'!X265</f>
        <v/>
      </c>
      <c r="P17" s="38"/>
    </row>
    <row r="18" spans="1:16" ht="32.25" thickBot="1" x14ac:dyDescent="0.25">
      <c r="A18" s="82"/>
      <c r="B18" s="85"/>
      <c r="C18" s="14" t="s">
        <v>24</v>
      </c>
      <c r="D18" s="20">
        <f>'[1]1нед'!S266</f>
        <v>0</v>
      </c>
      <c r="E18" s="23">
        <f>'[1]1нед'!T266</f>
        <v>0</v>
      </c>
      <c r="F18" s="21">
        <f>'[1]1нед'!W266</f>
        <v>0</v>
      </c>
      <c r="G18" s="22" t="str">
        <f>'[1]1нед'!X266</f>
        <v/>
      </c>
      <c r="H18" s="38"/>
      <c r="I18" s="71"/>
      <c r="J18" s="88"/>
      <c r="K18" s="14" t="s">
        <v>24</v>
      </c>
      <c r="L18" s="20">
        <f>'[1]2нед'!S266</f>
        <v>0</v>
      </c>
      <c r="M18" s="23">
        <f>'[1]2нед'!T266</f>
        <v>0</v>
      </c>
      <c r="N18" s="21">
        <f>'[1]2нед'!W266</f>
        <v>0</v>
      </c>
      <c r="O18" s="22" t="str">
        <f>'[1]2нед'!X266</f>
        <v/>
      </c>
      <c r="P18" s="38"/>
    </row>
    <row r="19" spans="1:16" ht="18.399999999999999" hidden="1" customHeight="1" thickBot="1" x14ac:dyDescent="0.25">
      <c r="A19" s="83"/>
      <c r="B19" s="86"/>
      <c r="C19" s="15"/>
      <c r="D19" s="24">
        <f>'[1]1нед'!S267</f>
        <v>0</v>
      </c>
      <c r="E19" s="25">
        <f>'[1]1нед'!T267</f>
        <v>0</v>
      </c>
      <c r="F19" s="26">
        <f>'[1]1нед'!W267</f>
        <v>0</v>
      </c>
      <c r="G19" s="27" t="str">
        <f>'[1]1нед'!X267</f>
        <v/>
      </c>
      <c r="H19" s="39"/>
      <c r="I19" s="72"/>
      <c r="J19" s="89"/>
      <c r="K19" s="15"/>
      <c r="L19" s="24">
        <f>'[1]2нед'!S267</f>
        <v>0</v>
      </c>
      <c r="M19" s="25">
        <f>'[1]2нед'!T267</f>
        <v>0</v>
      </c>
      <c r="N19" s="26">
        <f>'[1]2нед'!W267</f>
        <v>0</v>
      </c>
      <c r="O19" s="27" t="str">
        <f>'[1]2нед'!X267</f>
        <v/>
      </c>
      <c r="P19" s="39"/>
    </row>
    <row r="20" spans="1:16" ht="32.25" customHeight="1" thickTop="1" x14ac:dyDescent="0.2">
      <c r="A20" s="70">
        <v>46266</v>
      </c>
      <c r="B20" s="84" t="s">
        <v>25</v>
      </c>
      <c r="C20" s="29" t="s">
        <v>18</v>
      </c>
      <c r="D20" s="16">
        <f>'[1]1нед'!S268</f>
        <v>0</v>
      </c>
      <c r="E20" s="19">
        <f>'[1]1нед'!T268</f>
        <v>0</v>
      </c>
      <c r="F20" s="17">
        <f>'[1]1нед'!W268</f>
        <v>0</v>
      </c>
      <c r="G20" s="18" t="str">
        <f>'[1]1нед'!X268</f>
        <v/>
      </c>
      <c r="H20" s="40"/>
      <c r="I20" s="70">
        <v>46273</v>
      </c>
      <c r="J20" s="87" t="s">
        <v>25</v>
      </c>
      <c r="K20" s="29" t="s">
        <v>18</v>
      </c>
      <c r="L20" s="16">
        <f>'[1]2нед'!S268</f>
        <v>0</v>
      </c>
      <c r="M20" s="19">
        <f>'[1]2нед'!T268</f>
        <v>0</v>
      </c>
      <c r="N20" s="17">
        <f>'[1]2нед'!W268</f>
        <v>0</v>
      </c>
      <c r="O20" s="18" t="str">
        <f>'[1]2нед'!X268</f>
        <v/>
      </c>
      <c r="P20" s="40"/>
    </row>
    <row r="21" spans="1:16" ht="31.5" x14ac:dyDescent="0.2">
      <c r="A21" s="82"/>
      <c r="B21" s="85"/>
      <c r="C21" s="14" t="s">
        <v>19</v>
      </c>
      <c r="D21" s="20">
        <f>'[1]1нед'!S269</f>
        <v>0</v>
      </c>
      <c r="E21" s="23">
        <f>'[1]1нед'!T269</f>
        <v>0</v>
      </c>
      <c r="F21" s="21">
        <f>'[1]1нед'!W269</f>
        <v>0</v>
      </c>
      <c r="G21" s="22" t="str">
        <f>'[1]1нед'!X269</f>
        <v/>
      </c>
      <c r="H21" s="38"/>
      <c r="I21" s="71"/>
      <c r="J21" s="88"/>
      <c r="K21" s="14" t="s">
        <v>19</v>
      </c>
      <c r="L21" s="20">
        <f>'[1]2нед'!S269</f>
        <v>0</v>
      </c>
      <c r="M21" s="23">
        <f>'[1]2нед'!T269</f>
        <v>0</v>
      </c>
      <c r="N21" s="21">
        <f>'[1]2нед'!W269</f>
        <v>0</v>
      </c>
      <c r="O21" s="22" t="str">
        <f>'[1]2нед'!X269</f>
        <v/>
      </c>
      <c r="P21" s="38"/>
    </row>
    <row r="22" spans="1:16" ht="31.5" x14ac:dyDescent="0.2">
      <c r="A22" s="82"/>
      <c r="B22" s="85"/>
      <c r="C22" s="14" t="s">
        <v>20</v>
      </c>
      <c r="D22" s="20">
        <f>'[1]1нед'!S270</f>
        <v>0</v>
      </c>
      <c r="E22" s="23">
        <f>'[1]1нед'!T270</f>
        <v>0</v>
      </c>
      <c r="F22" s="21">
        <f>'[1]1нед'!W270</f>
        <v>0</v>
      </c>
      <c r="G22" s="22" t="str">
        <f>'[1]1нед'!X270</f>
        <v/>
      </c>
      <c r="H22" s="38"/>
      <c r="I22" s="71"/>
      <c r="J22" s="88"/>
      <c r="K22" s="14" t="s">
        <v>20</v>
      </c>
      <c r="L22" s="20">
        <f>'[1]2нед'!S270</f>
        <v>0</v>
      </c>
      <c r="M22" s="23">
        <f>'[1]2нед'!T270</f>
        <v>0</v>
      </c>
      <c r="N22" s="21">
        <f>'[1]2нед'!W270</f>
        <v>0</v>
      </c>
      <c r="O22" s="22" t="str">
        <f>'[1]2нед'!X270</f>
        <v/>
      </c>
      <c r="P22" s="38"/>
    </row>
    <row r="23" spans="1:16" ht="31.5" x14ac:dyDescent="0.2">
      <c r="A23" s="82"/>
      <c r="B23" s="85"/>
      <c r="C23" s="14" t="s">
        <v>21</v>
      </c>
      <c r="D23" s="20">
        <f>'[1]1нед'!S271</f>
        <v>0</v>
      </c>
      <c r="E23" s="23">
        <f>'[1]1нед'!T271</f>
        <v>0</v>
      </c>
      <c r="F23" s="21">
        <f>'[1]1нед'!W271</f>
        <v>0</v>
      </c>
      <c r="G23" s="22" t="str">
        <f>'[1]1нед'!X271</f>
        <v/>
      </c>
      <c r="H23" s="38"/>
      <c r="I23" s="71"/>
      <c r="J23" s="88"/>
      <c r="K23" s="14" t="s">
        <v>21</v>
      </c>
      <c r="L23" s="20">
        <f>'[1]2нед'!S271</f>
        <v>0</v>
      </c>
      <c r="M23" s="23">
        <f>'[1]2нед'!T271</f>
        <v>0</v>
      </c>
      <c r="N23" s="21">
        <f>'[1]2нед'!W271</f>
        <v>0</v>
      </c>
      <c r="O23" s="22" t="str">
        <f>'[1]2нед'!X271</f>
        <v/>
      </c>
      <c r="P23" s="38"/>
    </row>
    <row r="24" spans="1:16" ht="31.5" x14ac:dyDescent="0.2">
      <c r="A24" s="82"/>
      <c r="B24" s="85"/>
      <c r="C24" s="14" t="s">
        <v>22</v>
      </c>
      <c r="D24" s="20">
        <f>'[1]1нед'!S272</f>
        <v>0</v>
      </c>
      <c r="E24" s="23">
        <f>'[1]1нед'!T272</f>
        <v>0</v>
      </c>
      <c r="F24" s="21">
        <f>'[1]1нед'!W272</f>
        <v>0</v>
      </c>
      <c r="G24" s="22" t="str">
        <f>'[1]1нед'!X272</f>
        <v/>
      </c>
      <c r="H24" s="38"/>
      <c r="I24" s="71"/>
      <c r="J24" s="88"/>
      <c r="K24" s="14" t="s">
        <v>22</v>
      </c>
      <c r="L24" s="20">
        <f>'[1]2нед'!S272</f>
        <v>0</v>
      </c>
      <c r="M24" s="23">
        <f>'[1]2нед'!T272</f>
        <v>0</v>
      </c>
      <c r="N24" s="21">
        <f>'[1]2нед'!W272</f>
        <v>0</v>
      </c>
      <c r="O24" s="22" t="str">
        <f>'[1]2нед'!X272</f>
        <v/>
      </c>
      <c r="P24" s="38"/>
    </row>
    <row r="25" spans="1:16" ht="31.5" x14ac:dyDescent="0.2">
      <c r="A25" s="82"/>
      <c r="B25" s="85"/>
      <c r="C25" s="14" t="s">
        <v>23</v>
      </c>
      <c r="D25" s="20">
        <f>'[1]1нед'!S273</f>
        <v>0</v>
      </c>
      <c r="E25" s="23">
        <f>'[1]1нед'!T273</f>
        <v>0</v>
      </c>
      <c r="F25" s="21">
        <f>'[1]1нед'!W273</f>
        <v>0</v>
      </c>
      <c r="G25" s="22" t="str">
        <f>'[1]1нед'!X273</f>
        <v/>
      </c>
      <c r="H25" s="34"/>
      <c r="I25" s="71"/>
      <c r="J25" s="88"/>
      <c r="K25" s="14" t="s">
        <v>23</v>
      </c>
      <c r="L25" s="20">
        <f>'[1]2нед'!S273</f>
        <v>0</v>
      </c>
      <c r="M25" s="23">
        <f>'[1]2нед'!T273</f>
        <v>0</v>
      </c>
      <c r="N25" s="21">
        <f>'[1]2нед'!W273</f>
        <v>0</v>
      </c>
      <c r="O25" s="22" t="str">
        <f>'[1]2нед'!X273</f>
        <v/>
      </c>
      <c r="P25" s="34"/>
    </row>
    <row r="26" spans="1:16" ht="32.25" thickBot="1" x14ac:dyDescent="0.25">
      <c r="A26" s="82"/>
      <c r="B26" s="85"/>
      <c r="C26" s="14" t="s">
        <v>24</v>
      </c>
      <c r="D26" s="20">
        <f>'[1]1нед'!S274</f>
        <v>0</v>
      </c>
      <c r="E26" s="23">
        <f>'[1]1нед'!T274</f>
        <v>0</v>
      </c>
      <c r="F26" s="21">
        <f>'[1]1нед'!W274</f>
        <v>0</v>
      </c>
      <c r="G26" s="22" t="str">
        <f>'[1]1нед'!X274</f>
        <v/>
      </c>
      <c r="H26" s="34"/>
      <c r="I26" s="71"/>
      <c r="J26" s="88"/>
      <c r="K26" s="14" t="s">
        <v>24</v>
      </c>
      <c r="L26" s="20">
        <f>'[1]2нед'!S274</f>
        <v>0</v>
      </c>
      <c r="M26" s="23">
        <f>'[1]2нед'!T274</f>
        <v>0</v>
      </c>
      <c r="N26" s="21">
        <f>'[1]2нед'!W274</f>
        <v>0</v>
      </c>
      <c r="O26" s="22" t="str">
        <f>'[1]2нед'!X274</f>
        <v/>
      </c>
      <c r="P26" s="34"/>
    </row>
    <row r="27" spans="1:16" ht="18.399999999999999" hidden="1" customHeight="1" thickBot="1" x14ac:dyDescent="0.25">
      <c r="A27" s="83"/>
      <c r="B27" s="86"/>
      <c r="C27" s="15"/>
      <c r="D27" s="24">
        <f>'[1]1нед'!S275</f>
        <v>0</v>
      </c>
      <c r="E27" s="25">
        <f>'[1]1нед'!T275</f>
        <v>0</v>
      </c>
      <c r="F27" s="26">
        <f>'[1]1нед'!W275</f>
        <v>0</v>
      </c>
      <c r="G27" s="27" t="str">
        <f>'[1]1нед'!X275</f>
        <v/>
      </c>
      <c r="H27" s="39"/>
      <c r="I27" s="72"/>
      <c r="J27" s="89"/>
      <c r="K27" s="15"/>
      <c r="L27" s="24">
        <f>'[1]2нед'!S275</f>
        <v>0</v>
      </c>
      <c r="M27" s="25">
        <f>'[1]2нед'!T275</f>
        <v>0</v>
      </c>
      <c r="N27" s="26">
        <f>'[1]2нед'!W275</f>
        <v>0</v>
      </c>
      <c r="O27" s="27" t="str">
        <f>'[1]2нед'!X275</f>
        <v/>
      </c>
      <c r="P27" s="39"/>
    </row>
    <row r="28" spans="1:16" ht="48" customHeight="1" thickTop="1" x14ac:dyDescent="0.2">
      <c r="A28" s="70">
        <v>46267</v>
      </c>
      <c r="B28" s="67" t="s">
        <v>26</v>
      </c>
      <c r="C28" s="29" t="s">
        <v>18</v>
      </c>
      <c r="D28" s="16">
        <f>'[1]1нед'!S276</f>
        <v>0</v>
      </c>
      <c r="E28" s="19">
        <f>'[1]1нед'!T276</f>
        <v>0</v>
      </c>
      <c r="F28" s="17">
        <f>'[1]1нед'!W276</f>
        <v>0</v>
      </c>
      <c r="G28" s="18" t="str">
        <f>'[1]1нед'!X276</f>
        <v/>
      </c>
      <c r="H28" s="40"/>
      <c r="I28" s="70">
        <v>46274</v>
      </c>
      <c r="J28" s="73" t="s">
        <v>26</v>
      </c>
      <c r="K28" s="29" t="s">
        <v>18</v>
      </c>
      <c r="L28" s="16">
        <f>'[1]2нед'!S276</f>
        <v>0</v>
      </c>
      <c r="M28" s="19">
        <f>'[1]2нед'!T276</f>
        <v>0</v>
      </c>
      <c r="N28" s="17">
        <f>'[1]2нед'!W276</f>
        <v>0</v>
      </c>
      <c r="O28" s="18" t="str">
        <f>'[1]2нед'!X276</f>
        <v/>
      </c>
      <c r="P28" s="40"/>
    </row>
    <row r="29" spans="1:16" ht="31.5" x14ac:dyDescent="0.2">
      <c r="A29" s="82"/>
      <c r="B29" s="68"/>
      <c r="C29" s="14" t="s">
        <v>19</v>
      </c>
      <c r="D29" s="20">
        <f>'[1]1нед'!S277</f>
        <v>0</v>
      </c>
      <c r="E29" s="23">
        <f>'[1]1нед'!T277</f>
        <v>0</v>
      </c>
      <c r="F29" s="21">
        <f>'[1]1нед'!W277</f>
        <v>0</v>
      </c>
      <c r="G29" s="22" t="str">
        <f>'[1]1нед'!X277</f>
        <v/>
      </c>
      <c r="H29" s="38"/>
      <c r="I29" s="71"/>
      <c r="J29" s="74"/>
      <c r="K29" s="14" t="s">
        <v>19</v>
      </c>
      <c r="L29" s="20">
        <f>'[1]2нед'!S277</f>
        <v>0</v>
      </c>
      <c r="M29" s="23">
        <f>'[1]2нед'!T277</f>
        <v>0</v>
      </c>
      <c r="N29" s="21">
        <f>'[1]2нед'!W277</f>
        <v>0</v>
      </c>
      <c r="O29" s="22" t="str">
        <f>'[1]2нед'!X277</f>
        <v/>
      </c>
      <c r="P29" s="38"/>
    </row>
    <row r="30" spans="1:16" ht="31.5" x14ac:dyDescent="0.2">
      <c r="A30" s="82"/>
      <c r="B30" s="68"/>
      <c r="C30" s="14" t="s">
        <v>20</v>
      </c>
      <c r="D30" s="20">
        <f>'[1]1нед'!S278</f>
        <v>0</v>
      </c>
      <c r="E30" s="23">
        <f>'[1]1нед'!T278</f>
        <v>0</v>
      </c>
      <c r="F30" s="21">
        <f>'[1]1нед'!W278</f>
        <v>0</v>
      </c>
      <c r="G30" s="22" t="str">
        <f>'[1]1нед'!X278</f>
        <v/>
      </c>
      <c r="H30" s="38"/>
      <c r="I30" s="71"/>
      <c r="J30" s="74"/>
      <c r="K30" s="14" t="s">
        <v>20</v>
      </c>
      <c r="L30" s="20">
        <f>'[1]2нед'!S278</f>
        <v>0</v>
      </c>
      <c r="M30" s="23">
        <f>'[1]2нед'!T278</f>
        <v>0</v>
      </c>
      <c r="N30" s="21">
        <f>'[1]2нед'!W278</f>
        <v>0</v>
      </c>
      <c r="O30" s="22" t="str">
        <f>'[1]2нед'!X278</f>
        <v/>
      </c>
      <c r="P30" s="38"/>
    </row>
    <row r="31" spans="1:16" ht="31.5" x14ac:dyDescent="0.2">
      <c r="A31" s="82"/>
      <c r="B31" s="68"/>
      <c r="C31" s="14" t="s">
        <v>21</v>
      </c>
      <c r="D31" s="20">
        <f>'[1]1нед'!S279</f>
        <v>0</v>
      </c>
      <c r="E31" s="23">
        <f>'[1]1нед'!T279</f>
        <v>0</v>
      </c>
      <c r="F31" s="21">
        <f>'[1]1нед'!W279</f>
        <v>0</v>
      </c>
      <c r="G31" s="22" t="str">
        <f>'[1]1нед'!X279</f>
        <v/>
      </c>
      <c r="H31" s="38"/>
      <c r="I31" s="71"/>
      <c r="J31" s="74"/>
      <c r="K31" s="14" t="s">
        <v>21</v>
      </c>
      <c r="L31" s="20">
        <f>'[1]2нед'!S279</f>
        <v>0</v>
      </c>
      <c r="M31" s="23">
        <f>'[1]2нед'!T279</f>
        <v>0</v>
      </c>
      <c r="N31" s="21">
        <f>'[1]2нед'!W279</f>
        <v>0</v>
      </c>
      <c r="O31" s="22" t="str">
        <f>'[1]2нед'!X279</f>
        <v/>
      </c>
      <c r="P31" s="38"/>
    </row>
    <row r="32" spans="1:16" ht="31.5" x14ac:dyDescent="0.2">
      <c r="A32" s="82"/>
      <c r="B32" s="68"/>
      <c r="C32" s="14" t="s">
        <v>22</v>
      </c>
      <c r="D32" s="20">
        <f>'[1]1нед'!S280</f>
        <v>0</v>
      </c>
      <c r="E32" s="23">
        <f>'[1]1нед'!T280</f>
        <v>0</v>
      </c>
      <c r="F32" s="21">
        <f>'[1]1нед'!W280</f>
        <v>0</v>
      </c>
      <c r="G32" s="22" t="str">
        <f>'[1]1нед'!X280</f>
        <v/>
      </c>
      <c r="H32" s="38"/>
      <c r="I32" s="71"/>
      <c r="J32" s="74"/>
      <c r="K32" s="14" t="s">
        <v>22</v>
      </c>
      <c r="L32" s="20">
        <f>'[1]2нед'!S280</f>
        <v>0</v>
      </c>
      <c r="M32" s="23">
        <f>'[1]2нед'!T280</f>
        <v>0</v>
      </c>
      <c r="N32" s="21">
        <f>'[1]2нед'!W280</f>
        <v>0</v>
      </c>
      <c r="O32" s="22" t="str">
        <f>'[1]2нед'!X280</f>
        <v/>
      </c>
      <c r="P32" s="38"/>
    </row>
    <row r="33" spans="1:16" ht="31.5" x14ac:dyDescent="0.2">
      <c r="A33" s="82"/>
      <c r="B33" s="68"/>
      <c r="C33" s="14" t="s">
        <v>23</v>
      </c>
      <c r="D33" s="20">
        <f>'[1]1нед'!S281</f>
        <v>0</v>
      </c>
      <c r="E33" s="23">
        <f>'[1]1нед'!T281</f>
        <v>0</v>
      </c>
      <c r="F33" s="21">
        <f>'[1]1нед'!W281</f>
        <v>0</v>
      </c>
      <c r="G33" s="22" t="str">
        <f>'[1]1нед'!X281</f>
        <v/>
      </c>
      <c r="H33" s="34"/>
      <c r="I33" s="71"/>
      <c r="J33" s="74"/>
      <c r="K33" s="14" t="s">
        <v>23</v>
      </c>
      <c r="L33" s="20">
        <f>'[1]2нед'!S281</f>
        <v>0</v>
      </c>
      <c r="M33" s="23">
        <f>'[1]2нед'!T281</f>
        <v>0</v>
      </c>
      <c r="N33" s="21">
        <f>'[1]2нед'!W281</f>
        <v>0</v>
      </c>
      <c r="O33" s="22" t="str">
        <f>'[1]2нед'!X281</f>
        <v/>
      </c>
      <c r="P33" s="34"/>
    </row>
    <row r="34" spans="1:16" ht="32.25" thickBot="1" x14ac:dyDescent="0.25">
      <c r="A34" s="82"/>
      <c r="B34" s="68"/>
      <c r="C34" s="14" t="s">
        <v>24</v>
      </c>
      <c r="D34" s="20">
        <f>'[1]1нед'!S282</f>
        <v>0</v>
      </c>
      <c r="E34" s="23">
        <f>'[1]1нед'!T282</f>
        <v>0</v>
      </c>
      <c r="F34" s="21">
        <f>'[1]1нед'!W282</f>
        <v>0</v>
      </c>
      <c r="G34" s="22" t="str">
        <f>'[1]1нед'!X282</f>
        <v/>
      </c>
      <c r="H34" s="34"/>
      <c r="I34" s="71"/>
      <c r="J34" s="74"/>
      <c r="K34" s="14" t="s">
        <v>24</v>
      </c>
      <c r="L34" s="20">
        <f>'[1]2нед'!S282</f>
        <v>0</v>
      </c>
      <c r="M34" s="23">
        <f>'[1]2нед'!T282</f>
        <v>0</v>
      </c>
      <c r="N34" s="21">
        <f>'[1]2нед'!W282</f>
        <v>0</v>
      </c>
      <c r="O34" s="22" t="str">
        <f>'[1]2нед'!X282</f>
        <v/>
      </c>
      <c r="P34" s="34"/>
    </row>
    <row r="35" spans="1:16" ht="18.399999999999999" hidden="1" customHeight="1" thickBot="1" x14ac:dyDescent="0.25">
      <c r="A35" s="83"/>
      <c r="B35" s="69"/>
      <c r="C35" s="15"/>
      <c r="D35" s="24">
        <f>'[1]1нед'!S283</f>
        <v>0</v>
      </c>
      <c r="E35" s="25">
        <f>'[1]1нед'!T283</f>
        <v>0</v>
      </c>
      <c r="F35" s="26">
        <f>'[1]1нед'!W283</f>
        <v>0</v>
      </c>
      <c r="G35" s="27" t="str">
        <f>'[1]1нед'!X283</f>
        <v/>
      </c>
      <c r="H35" s="39"/>
      <c r="I35" s="72"/>
      <c r="J35" s="75"/>
      <c r="K35" s="15"/>
      <c r="L35" s="24">
        <f>'[1]2нед'!S283</f>
        <v>0</v>
      </c>
      <c r="M35" s="25">
        <f>'[1]2нед'!T283</f>
        <v>0</v>
      </c>
      <c r="N35" s="26">
        <f>'[1]2нед'!W283</f>
        <v>0</v>
      </c>
      <c r="O35" s="27" t="str">
        <f>'[1]2нед'!X283</f>
        <v/>
      </c>
      <c r="P35" s="39"/>
    </row>
    <row r="36" spans="1:16" ht="48" customHeight="1" thickTop="1" x14ac:dyDescent="0.2">
      <c r="A36" s="70">
        <v>46268</v>
      </c>
      <c r="B36" s="84" t="s">
        <v>27</v>
      </c>
      <c r="C36" s="29" t="s">
        <v>18</v>
      </c>
      <c r="D36" s="16">
        <f>'[1]1нед'!S284</f>
        <v>0</v>
      </c>
      <c r="E36" s="19">
        <f>'[1]1нед'!T284</f>
        <v>0</v>
      </c>
      <c r="F36" s="17">
        <f>'[1]1нед'!W284</f>
        <v>0</v>
      </c>
      <c r="G36" s="18" t="str">
        <f>'[1]1нед'!X284</f>
        <v/>
      </c>
      <c r="H36" s="40"/>
      <c r="I36" s="70">
        <v>46275</v>
      </c>
      <c r="J36" s="87" t="s">
        <v>27</v>
      </c>
      <c r="K36" s="29" t="s">
        <v>18</v>
      </c>
      <c r="L36" s="16">
        <f>'[1]2нед'!S284</f>
        <v>0</v>
      </c>
      <c r="M36" s="19">
        <f>'[1]2нед'!T284</f>
        <v>0</v>
      </c>
      <c r="N36" s="17">
        <f>'[1]2нед'!W284</f>
        <v>0</v>
      </c>
      <c r="O36" s="18" t="str">
        <f>'[1]2нед'!X284</f>
        <v/>
      </c>
      <c r="P36" s="40"/>
    </row>
    <row r="37" spans="1:16" ht="31.5" x14ac:dyDescent="0.2">
      <c r="A37" s="82"/>
      <c r="B37" s="85"/>
      <c r="C37" s="14" t="s">
        <v>19</v>
      </c>
      <c r="D37" s="20">
        <f>'[1]1нед'!S285</f>
        <v>0</v>
      </c>
      <c r="E37" s="23">
        <f>'[1]1нед'!T285</f>
        <v>0</v>
      </c>
      <c r="F37" s="21">
        <f>'[1]1нед'!W285</f>
        <v>0</v>
      </c>
      <c r="G37" s="22" t="str">
        <f>'[1]1нед'!X285</f>
        <v/>
      </c>
      <c r="H37" s="38"/>
      <c r="I37" s="71"/>
      <c r="J37" s="88"/>
      <c r="K37" s="14" t="s">
        <v>19</v>
      </c>
      <c r="L37" s="20">
        <f>'[1]2нед'!S285</f>
        <v>0</v>
      </c>
      <c r="M37" s="23">
        <f>'[1]2нед'!T285</f>
        <v>0</v>
      </c>
      <c r="N37" s="21">
        <f>'[1]2нед'!W285</f>
        <v>0</v>
      </c>
      <c r="O37" s="22" t="str">
        <f>'[1]2нед'!X285</f>
        <v/>
      </c>
      <c r="P37" s="38"/>
    </row>
    <row r="38" spans="1:16" ht="31.5" x14ac:dyDescent="0.2">
      <c r="A38" s="82"/>
      <c r="B38" s="85"/>
      <c r="C38" s="14" t="s">
        <v>20</v>
      </c>
      <c r="D38" s="20">
        <f>'[1]1нед'!S286</f>
        <v>0</v>
      </c>
      <c r="E38" s="23">
        <f>'[1]1нед'!T286</f>
        <v>0</v>
      </c>
      <c r="F38" s="21">
        <f>'[1]1нед'!W286</f>
        <v>0</v>
      </c>
      <c r="G38" s="22" t="str">
        <f>'[1]1нед'!X286</f>
        <v/>
      </c>
      <c r="H38" s="38"/>
      <c r="I38" s="71"/>
      <c r="J38" s="88"/>
      <c r="K38" s="14" t="s">
        <v>20</v>
      </c>
      <c r="L38" s="20">
        <f>'[1]2нед'!S286</f>
        <v>0</v>
      </c>
      <c r="M38" s="23">
        <f>'[1]2нед'!T286</f>
        <v>0</v>
      </c>
      <c r="N38" s="21">
        <f>'[1]2нед'!W286</f>
        <v>0</v>
      </c>
      <c r="O38" s="22" t="str">
        <f>'[1]2нед'!X286</f>
        <v/>
      </c>
      <c r="P38" s="38"/>
    </row>
    <row r="39" spans="1:16" ht="31.5" x14ac:dyDescent="0.2">
      <c r="A39" s="82"/>
      <c r="B39" s="85"/>
      <c r="C39" s="14" t="s">
        <v>21</v>
      </c>
      <c r="D39" s="20">
        <f>'[1]1нед'!S287</f>
        <v>0</v>
      </c>
      <c r="E39" s="23">
        <f>'[1]1нед'!T287</f>
        <v>0</v>
      </c>
      <c r="F39" s="21">
        <f>'[1]1нед'!W287</f>
        <v>0</v>
      </c>
      <c r="G39" s="22" t="str">
        <f>'[1]1нед'!X287</f>
        <v/>
      </c>
      <c r="H39" s="38"/>
      <c r="I39" s="71"/>
      <c r="J39" s="88"/>
      <c r="K39" s="14" t="s">
        <v>21</v>
      </c>
      <c r="L39" s="20">
        <f>'[1]2нед'!S287</f>
        <v>0</v>
      </c>
      <c r="M39" s="23">
        <f>'[1]2нед'!T287</f>
        <v>0</v>
      </c>
      <c r="N39" s="21">
        <f>'[1]2нед'!W287</f>
        <v>0</v>
      </c>
      <c r="O39" s="22" t="str">
        <f>'[1]2нед'!X287</f>
        <v/>
      </c>
      <c r="P39" s="38"/>
    </row>
    <row r="40" spans="1:16" ht="31.5" x14ac:dyDescent="0.2">
      <c r="A40" s="82"/>
      <c r="B40" s="85"/>
      <c r="C40" s="14" t="s">
        <v>22</v>
      </c>
      <c r="D40" s="20">
        <f>'[1]1нед'!S288</f>
        <v>0</v>
      </c>
      <c r="E40" s="23">
        <f>'[1]1нед'!T288</f>
        <v>0</v>
      </c>
      <c r="F40" s="21">
        <f>'[1]1нед'!W288</f>
        <v>0</v>
      </c>
      <c r="G40" s="22" t="str">
        <f>'[1]1нед'!X288</f>
        <v/>
      </c>
      <c r="H40" s="38"/>
      <c r="I40" s="71"/>
      <c r="J40" s="88"/>
      <c r="K40" s="14" t="s">
        <v>22</v>
      </c>
      <c r="L40" s="20">
        <f>'[1]2нед'!S288</f>
        <v>0</v>
      </c>
      <c r="M40" s="23">
        <f>'[1]2нед'!T288</f>
        <v>0</v>
      </c>
      <c r="N40" s="21">
        <f>'[1]2нед'!W288</f>
        <v>0</v>
      </c>
      <c r="O40" s="22" t="str">
        <f>'[1]2нед'!X288</f>
        <v/>
      </c>
      <c r="P40" s="38"/>
    </row>
    <row r="41" spans="1:16" ht="31.5" x14ac:dyDescent="0.2">
      <c r="A41" s="82"/>
      <c r="B41" s="85"/>
      <c r="C41" s="14" t="s">
        <v>23</v>
      </c>
      <c r="D41" s="20">
        <f>'[1]1нед'!S289</f>
        <v>0</v>
      </c>
      <c r="E41" s="23">
        <f>'[1]1нед'!T289</f>
        <v>0</v>
      </c>
      <c r="F41" s="21">
        <f>'[1]1нед'!W289</f>
        <v>0</v>
      </c>
      <c r="G41" s="22" t="str">
        <f>'[1]1нед'!X289</f>
        <v/>
      </c>
      <c r="H41" s="34"/>
      <c r="I41" s="71"/>
      <c r="J41" s="88"/>
      <c r="K41" s="14" t="s">
        <v>23</v>
      </c>
      <c r="L41" s="20">
        <f>'[1]2нед'!S289</f>
        <v>0</v>
      </c>
      <c r="M41" s="23">
        <f>'[1]2нед'!T289</f>
        <v>0</v>
      </c>
      <c r="N41" s="21">
        <f>'[1]2нед'!W289</f>
        <v>0</v>
      </c>
      <c r="O41" s="22" t="str">
        <f>'[1]2нед'!X289</f>
        <v/>
      </c>
      <c r="P41" s="34"/>
    </row>
    <row r="42" spans="1:16" ht="32.25" thickBot="1" x14ac:dyDescent="0.25">
      <c r="A42" s="82"/>
      <c r="B42" s="85"/>
      <c r="C42" s="14" t="s">
        <v>24</v>
      </c>
      <c r="D42" s="20">
        <f>'[1]1нед'!S290</f>
        <v>0</v>
      </c>
      <c r="E42" s="23">
        <f>'[1]1нед'!T290</f>
        <v>0</v>
      </c>
      <c r="F42" s="21">
        <f>'[1]1нед'!W290</f>
        <v>0</v>
      </c>
      <c r="G42" s="22" t="str">
        <f>'[1]1нед'!X290</f>
        <v/>
      </c>
      <c r="H42" s="34"/>
      <c r="I42" s="71"/>
      <c r="J42" s="88"/>
      <c r="K42" s="14" t="s">
        <v>24</v>
      </c>
      <c r="L42" s="20">
        <f>'[1]2нед'!S290</f>
        <v>0</v>
      </c>
      <c r="M42" s="23">
        <f>'[1]2нед'!T290</f>
        <v>0</v>
      </c>
      <c r="N42" s="21">
        <f>'[1]2нед'!W290</f>
        <v>0</v>
      </c>
      <c r="O42" s="22" t="str">
        <f>'[1]2нед'!X290</f>
        <v/>
      </c>
      <c r="P42" s="34"/>
    </row>
    <row r="43" spans="1:16" ht="18.399999999999999" hidden="1" customHeight="1" thickBot="1" x14ac:dyDescent="0.25">
      <c r="A43" s="83"/>
      <c r="B43" s="86"/>
      <c r="C43" s="15"/>
      <c r="D43" s="24">
        <f>'[1]1нед'!S291</f>
        <v>0</v>
      </c>
      <c r="E43" s="25">
        <f>'[1]1нед'!T291</f>
        <v>0</v>
      </c>
      <c r="F43" s="26">
        <f>'[1]1нед'!W291</f>
        <v>0</v>
      </c>
      <c r="G43" s="27" t="str">
        <f>'[1]1нед'!X291</f>
        <v/>
      </c>
      <c r="H43" s="39"/>
      <c r="I43" s="72"/>
      <c r="J43" s="89"/>
      <c r="K43" s="15"/>
      <c r="L43" s="24">
        <f>'[1]2нед'!S291</f>
        <v>0</v>
      </c>
      <c r="M43" s="25">
        <f>'[1]2нед'!T291</f>
        <v>0</v>
      </c>
      <c r="N43" s="26">
        <f>'[1]2нед'!W291</f>
        <v>0</v>
      </c>
      <c r="O43" s="27" t="str">
        <f>'[1]2нед'!X291</f>
        <v/>
      </c>
      <c r="P43" s="39"/>
    </row>
    <row r="44" spans="1:16" ht="48" customHeight="1" thickTop="1" x14ac:dyDescent="0.2">
      <c r="A44" s="70">
        <v>46269</v>
      </c>
      <c r="B44" s="84" t="s">
        <v>28</v>
      </c>
      <c r="C44" s="29" t="s">
        <v>18</v>
      </c>
      <c r="D44" s="16">
        <f>'[1]1нед'!S292</f>
        <v>0</v>
      </c>
      <c r="E44" s="19">
        <f>'[1]1нед'!T292</f>
        <v>0</v>
      </c>
      <c r="F44" s="17">
        <f>'[1]1нед'!W292</f>
        <v>0</v>
      </c>
      <c r="G44" s="18" t="str">
        <f>'[1]1нед'!X292</f>
        <v/>
      </c>
      <c r="H44" s="40"/>
      <c r="I44" s="70">
        <v>46276</v>
      </c>
      <c r="J44" s="87" t="s">
        <v>28</v>
      </c>
      <c r="K44" s="29" t="s">
        <v>18</v>
      </c>
      <c r="L44" s="16">
        <f>'[1]2нед'!S292</f>
        <v>0</v>
      </c>
      <c r="M44" s="19">
        <f>'[1]2нед'!T292</f>
        <v>0</v>
      </c>
      <c r="N44" s="17">
        <f>'[1]2нед'!W292</f>
        <v>0</v>
      </c>
      <c r="O44" s="18" t="str">
        <f>'[1]2нед'!X292</f>
        <v/>
      </c>
      <c r="P44" s="40"/>
    </row>
    <row r="45" spans="1:16" ht="31.5" x14ac:dyDescent="0.2">
      <c r="A45" s="82"/>
      <c r="B45" s="85"/>
      <c r="C45" s="14" t="s">
        <v>19</v>
      </c>
      <c r="D45" s="20">
        <f>'[1]1нед'!S293</f>
        <v>0</v>
      </c>
      <c r="E45" s="23">
        <f>'[1]1нед'!T293</f>
        <v>0</v>
      </c>
      <c r="F45" s="21">
        <f>'[1]1нед'!W293</f>
        <v>0</v>
      </c>
      <c r="G45" s="22" t="str">
        <f>'[1]1нед'!X293</f>
        <v/>
      </c>
      <c r="H45" s="38"/>
      <c r="I45" s="71"/>
      <c r="J45" s="88"/>
      <c r="K45" s="14" t="s">
        <v>19</v>
      </c>
      <c r="L45" s="20">
        <f>'[1]2нед'!S293</f>
        <v>0</v>
      </c>
      <c r="M45" s="23">
        <f>'[1]2нед'!T293</f>
        <v>0</v>
      </c>
      <c r="N45" s="21">
        <f>'[1]2нед'!W293</f>
        <v>0</v>
      </c>
      <c r="O45" s="22" t="str">
        <f>'[1]2нед'!X293</f>
        <v/>
      </c>
      <c r="P45" s="38"/>
    </row>
    <row r="46" spans="1:16" ht="31.5" x14ac:dyDescent="0.2">
      <c r="A46" s="82"/>
      <c r="B46" s="85"/>
      <c r="C46" s="14" t="s">
        <v>20</v>
      </c>
      <c r="D46" s="20">
        <f>'[1]1нед'!S294</f>
        <v>0</v>
      </c>
      <c r="E46" s="23">
        <f>'[1]1нед'!T294</f>
        <v>0</v>
      </c>
      <c r="F46" s="21">
        <f>'[1]1нед'!W294</f>
        <v>0</v>
      </c>
      <c r="G46" s="22" t="str">
        <f>'[1]1нед'!X294</f>
        <v/>
      </c>
      <c r="H46" s="38"/>
      <c r="I46" s="71"/>
      <c r="J46" s="88"/>
      <c r="K46" s="14" t="s">
        <v>20</v>
      </c>
      <c r="L46" s="20">
        <f>'[1]2нед'!S294</f>
        <v>0</v>
      </c>
      <c r="M46" s="23">
        <f>'[1]2нед'!T294</f>
        <v>0</v>
      </c>
      <c r="N46" s="21">
        <f>'[1]2нед'!W294</f>
        <v>0</v>
      </c>
      <c r="O46" s="22" t="str">
        <f>'[1]2нед'!X294</f>
        <v/>
      </c>
      <c r="P46" s="38"/>
    </row>
    <row r="47" spans="1:16" ht="31.5" x14ac:dyDescent="0.2">
      <c r="A47" s="82"/>
      <c r="B47" s="85"/>
      <c r="C47" s="14" t="s">
        <v>21</v>
      </c>
      <c r="D47" s="20">
        <f>'[1]1нед'!S295</f>
        <v>0</v>
      </c>
      <c r="E47" s="23">
        <f>'[1]1нед'!T295</f>
        <v>0</v>
      </c>
      <c r="F47" s="21">
        <f>'[1]1нед'!W295</f>
        <v>0</v>
      </c>
      <c r="G47" s="22" t="str">
        <f>'[1]1нед'!X295</f>
        <v/>
      </c>
      <c r="H47" s="38"/>
      <c r="I47" s="71"/>
      <c r="J47" s="88"/>
      <c r="K47" s="14" t="s">
        <v>21</v>
      </c>
      <c r="L47" s="20">
        <f>'[1]2нед'!S295</f>
        <v>0</v>
      </c>
      <c r="M47" s="23">
        <f>'[1]2нед'!T295</f>
        <v>0</v>
      </c>
      <c r="N47" s="21">
        <f>'[1]2нед'!W295</f>
        <v>0</v>
      </c>
      <c r="O47" s="22" t="str">
        <f>'[1]2нед'!X295</f>
        <v/>
      </c>
      <c r="P47" s="38"/>
    </row>
    <row r="48" spans="1:16" ht="31.5" x14ac:dyDescent="0.2">
      <c r="A48" s="82"/>
      <c r="B48" s="85"/>
      <c r="C48" s="14" t="s">
        <v>22</v>
      </c>
      <c r="D48" s="20">
        <f>'[1]1нед'!S296</f>
        <v>0</v>
      </c>
      <c r="E48" s="23">
        <f>'[1]1нед'!T296</f>
        <v>0</v>
      </c>
      <c r="F48" s="21">
        <f>'[1]1нед'!W296</f>
        <v>0</v>
      </c>
      <c r="G48" s="22" t="str">
        <f>'[1]1нед'!X296</f>
        <v/>
      </c>
      <c r="H48" s="38"/>
      <c r="I48" s="71"/>
      <c r="J48" s="88"/>
      <c r="K48" s="14" t="s">
        <v>22</v>
      </c>
      <c r="L48" s="20">
        <f>'[1]2нед'!S296</f>
        <v>0</v>
      </c>
      <c r="M48" s="23">
        <f>'[1]2нед'!T296</f>
        <v>0</v>
      </c>
      <c r="N48" s="21">
        <f>'[1]2нед'!W296</f>
        <v>0</v>
      </c>
      <c r="O48" s="22" t="str">
        <f>'[1]2нед'!X296</f>
        <v/>
      </c>
      <c r="P48" s="38"/>
    </row>
    <row r="49" spans="1:16" ht="31.5" x14ac:dyDescent="0.2">
      <c r="A49" s="82"/>
      <c r="B49" s="85"/>
      <c r="C49" s="14" t="s">
        <v>23</v>
      </c>
      <c r="D49" s="20">
        <f>'[1]1нед'!S297</f>
        <v>0</v>
      </c>
      <c r="E49" s="23">
        <f>'[1]1нед'!T297</f>
        <v>0</v>
      </c>
      <c r="F49" s="21">
        <f>'[1]1нед'!W297</f>
        <v>0</v>
      </c>
      <c r="G49" s="22" t="str">
        <f>'[1]1нед'!X297</f>
        <v/>
      </c>
      <c r="H49" s="38"/>
      <c r="I49" s="71"/>
      <c r="J49" s="88"/>
      <c r="K49" s="14" t="s">
        <v>23</v>
      </c>
      <c r="L49" s="20">
        <f>'[1]2нед'!S297</f>
        <v>0</v>
      </c>
      <c r="M49" s="23">
        <f>'[1]2нед'!T297</f>
        <v>0</v>
      </c>
      <c r="N49" s="21">
        <f>'[1]2нед'!W297</f>
        <v>0</v>
      </c>
      <c r="O49" s="22" t="str">
        <f>'[1]2нед'!X297</f>
        <v/>
      </c>
      <c r="P49" s="38"/>
    </row>
    <row r="50" spans="1:16" ht="32.25" thickBot="1" x14ac:dyDescent="0.25">
      <c r="A50" s="82"/>
      <c r="B50" s="85"/>
      <c r="C50" s="14" t="s">
        <v>24</v>
      </c>
      <c r="D50" s="20">
        <f>'[1]1нед'!S298</f>
        <v>0</v>
      </c>
      <c r="E50" s="23">
        <f>'[1]1нед'!T298</f>
        <v>0</v>
      </c>
      <c r="F50" s="21">
        <f>'[1]1нед'!W298</f>
        <v>0</v>
      </c>
      <c r="G50" s="22" t="str">
        <f>'[1]1нед'!X298</f>
        <v/>
      </c>
      <c r="H50" s="38"/>
      <c r="I50" s="71"/>
      <c r="J50" s="88"/>
      <c r="K50" s="14" t="s">
        <v>24</v>
      </c>
      <c r="L50" s="20">
        <f>'[1]2нед'!S298</f>
        <v>0</v>
      </c>
      <c r="M50" s="23">
        <f>'[1]2нед'!T298</f>
        <v>0</v>
      </c>
      <c r="N50" s="21">
        <f>'[1]2нед'!W298</f>
        <v>0</v>
      </c>
      <c r="O50" s="22" t="str">
        <f>'[1]2нед'!X298</f>
        <v/>
      </c>
      <c r="P50" s="38"/>
    </row>
    <row r="51" spans="1:16" ht="18.399999999999999" hidden="1" customHeight="1" thickBot="1" x14ac:dyDescent="0.25">
      <c r="A51" s="83"/>
      <c r="B51" s="86"/>
      <c r="C51" s="15"/>
      <c r="D51" s="24">
        <f>'[1]1нед'!S299</f>
        <v>0</v>
      </c>
      <c r="E51" s="25">
        <f>'[1]1нед'!T299</f>
        <v>0</v>
      </c>
      <c r="F51" s="26">
        <f>'[1]1нед'!W299</f>
        <v>0</v>
      </c>
      <c r="G51" s="27" t="str">
        <f>'[1]1нед'!X299</f>
        <v/>
      </c>
      <c r="H51" s="39"/>
      <c r="I51" s="72"/>
      <c r="J51" s="89"/>
      <c r="K51" s="15"/>
      <c r="L51" s="24">
        <f>'[1]2нед'!S299</f>
        <v>0</v>
      </c>
      <c r="M51" s="25">
        <f>'[1]2нед'!T299</f>
        <v>0</v>
      </c>
      <c r="N51" s="26">
        <f>'[1]2нед'!W299</f>
        <v>0</v>
      </c>
      <c r="O51" s="27" t="str">
        <f>'[1]2нед'!X299</f>
        <v/>
      </c>
      <c r="P51" s="39"/>
    </row>
    <row r="52" spans="1:16" ht="48" customHeight="1" thickTop="1" x14ac:dyDescent="0.2">
      <c r="A52" s="70">
        <v>46270</v>
      </c>
      <c r="B52" s="84" t="s">
        <v>29</v>
      </c>
      <c r="C52" s="29" t="s">
        <v>18</v>
      </c>
      <c r="D52" s="16">
        <f>'[1]1нед'!S300</f>
        <v>0</v>
      </c>
      <c r="E52" s="19">
        <f>'[1]1нед'!T300</f>
        <v>0</v>
      </c>
      <c r="F52" s="17">
        <f>'[1]1нед'!W300</f>
        <v>0</v>
      </c>
      <c r="G52" s="18" t="str">
        <f>'[1]1нед'!X300</f>
        <v/>
      </c>
      <c r="H52" s="40"/>
      <c r="I52" s="70">
        <v>46277</v>
      </c>
      <c r="J52" s="87" t="s">
        <v>29</v>
      </c>
      <c r="K52" s="29" t="s">
        <v>18</v>
      </c>
      <c r="L52" s="16">
        <f>'[1]2нед'!S300</f>
        <v>0</v>
      </c>
      <c r="M52" s="19">
        <f>'[1]2нед'!T300</f>
        <v>0</v>
      </c>
      <c r="N52" s="17">
        <f>'[1]2нед'!W300</f>
        <v>0</v>
      </c>
      <c r="O52" s="18" t="str">
        <f>'[1]2нед'!X300</f>
        <v/>
      </c>
      <c r="P52" s="40"/>
    </row>
    <row r="53" spans="1:16" ht="31.5" x14ac:dyDescent="0.2">
      <c r="A53" s="82"/>
      <c r="B53" s="85"/>
      <c r="C53" s="14" t="s">
        <v>19</v>
      </c>
      <c r="D53" s="20">
        <f>'[1]1нед'!S301</f>
        <v>0</v>
      </c>
      <c r="E53" s="23">
        <f>'[1]1нед'!T301</f>
        <v>0</v>
      </c>
      <c r="F53" s="21">
        <f>'[1]1нед'!W301</f>
        <v>0</v>
      </c>
      <c r="G53" s="22" t="str">
        <f>'[1]1нед'!X301</f>
        <v/>
      </c>
      <c r="H53" s="38"/>
      <c r="I53" s="71"/>
      <c r="J53" s="88"/>
      <c r="K53" s="14" t="s">
        <v>19</v>
      </c>
      <c r="L53" s="20">
        <f>'[1]2нед'!S301</f>
        <v>0</v>
      </c>
      <c r="M53" s="23">
        <f>'[1]2нед'!T301</f>
        <v>0</v>
      </c>
      <c r="N53" s="21">
        <f>'[1]2нед'!W301</f>
        <v>0</v>
      </c>
      <c r="O53" s="22" t="str">
        <f>'[1]2нед'!X301</f>
        <v/>
      </c>
      <c r="P53" s="38"/>
    </row>
    <row r="54" spans="1:16" ht="31.5" x14ac:dyDescent="0.2">
      <c r="A54" s="82"/>
      <c r="B54" s="85"/>
      <c r="C54" s="14" t="s">
        <v>20</v>
      </c>
      <c r="D54" s="20">
        <f>'[1]1нед'!S302</f>
        <v>0</v>
      </c>
      <c r="E54" s="23">
        <f>'[1]1нед'!T302</f>
        <v>0</v>
      </c>
      <c r="F54" s="21">
        <f>'[1]1нед'!W302</f>
        <v>0</v>
      </c>
      <c r="G54" s="22" t="str">
        <f>'[1]1нед'!X302</f>
        <v/>
      </c>
      <c r="H54" s="43"/>
      <c r="I54" s="71"/>
      <c r="J54" s="88"/>
      <c r="K54" s="14" t="s">
        <v>20</v>
      </c>
      <c r="L54" s="20">
        <f>'[1]2нед'!S302</f>
        <v>0</v>
      </c>
      <c r="M54" s="23">
        <f>'[1]2нед'!T302</f>
        <v>0</v>
      </c>
      <c r="N54" s="21">
        <f>'[1]2нед'!W302</f>
        <v>0</v>
      </c>
      <c r="O54" s="22" t="str">
        <f>'[1]2нед'!X302</f>
        <v/>
      </c>
      <c r="P54" s="43"/>
    </row>
    <row r="55" spans="1:16" ht="31.5" x14ac:dyDescent="0.2">
      <c r="A55" s="82"/>
      <c r="B55" s="85"/>
      <c r="C55" s="14" t="s">
        <v>21</v>
      </c>
      <c r="D55" s="20">
        <f>'[1]1нед'!S303</f>
        <v>0</v>
      </c>
      <c r="E55" s="23">
        <f>'[1]1нед'!T303</f>
        <v>0</v>
      </c>
      <c r="F55" s="21">
        <f>'[1]1нед'!W303</f>
        <v>0</v>
      </c>
      <c r="G55" s="22" t="str">
        <f>'[1]1нед'!X303</f>
        <v/>
      </c>
      <c r="H55" s="38"/>
      <c r="I55" s="71"/>
      <c r="J55" s="88"/>
      <c r="K55" s="14" t="s">
        <v>21</v>
      </c>
      <c r="L55" s="20">
        <f>'[1]2нед'!S303</f>
        <v>0</v>
      </c>
      <c r="M55" s="23">
        <f>'[1]2нед'!T303</f>
        <v>0</v>
      </c>
      <c r="N55" s="21">
        <f>'[1]2нед'!W303</f>
        <v>0</v>
      </c>
      <c r="O55" s="22" t="str">
        <f>'[1]2нед'!X303</f>
        <v/>
      </c>
      <c r="P55" s="38"/>
    </row>
    <row r="56" spans="1:16" ht="31.5" x14ac:dyDescent="0.2">
      <c r="A56" s="82"/>
      <c r="B56" s="85"/>
      <c r="C56" s="14" t="s">
        <v>22</v>
      </c>
      <c r="D56" s="20">
        <f>'[1]1нед'!S304</f>
        <v>0</v>
      </c>
      <c r="E56" s="23">
        <f>'[1]1нед'!T304</f>
        <v>0</v>
      </c>
      <c r="F56" s="21">
        <f>'[1]1нед'!W304</f>
        <v>0</v>
      </c>
      <c r="G56" s="22" t="str">
        <f>'[1]1нед'!X304</f>
        <v/>
      </c>
      <c r="H56" s="38"/>
      <c r="I56" s="71"/>
      <c r="J56" s="88"/>
      <c r="K56" s="14" t="s">
        <v>22</v>
      </c>
      <c r="L56" s="20">
        <f>'[1]2нед'!S304</f>
        <v>0</v>
      </c>
      <c r="M56" s="23">
        <f>'[1]2нед'!T304</f>
        <v>0</v>
      </c>
      <c r="N56" s="21">
        <f>'[1]2нед'!W304</f>
        <v>0</v>
      </c>
      <c r="O56" s="22" t="str">
        <f>'[1]2нед'!X304</f>
        <v/>
      </c>
      <c r="P56" s="38"/>
    </row>
    <row r="57" spans="1:16" ht="31.5" x14ac:dyDescent="0.2">
      <c r="A57" s="82"/>
      <c r="B57" s="85"/>
      <c r="C57" s="14" t="s">
        <v>23</v>
      </c>
      <c r="D57" s="20">
        <f>'[1]1нед'!S305</f>
        <v>0</v>
      </c>
      <c r="E57" s="23">
        <f>'[1]1нед'!T305</f>
        <v>0</v>
      </c>
      <c r="F57" s="21">
        <f>'[1]1нед'!W305</f>
        <v>0</v>
      </c>
      <c r="G57" s="22" t="str">
        <f>'[1]1нед'!X305</f>
        <v/>
      </c>
      <c r="H57" s="38"/>
      <c r="I57" s="71"/>
      <c r="J57" s="88"/>
      <c r="K57" s="14" t="s">
        <v>23</v>
      </c>
      <c r="L57" s="20">
        <f>'[1]2нед'!S305</f>
        <v>0</v>
      </c>
      <c r="M57" s="23">
        <f>'[1]2нед'!T305</f>
        <v>0</v>
      </c>
      <c r="N57" s="21">
        <f>'[1]2нед'!W305</f>
        <v>0</v>
      </c>
      <c r="O57" s="22" t="str">
        <f>'[1]2нед'!X305</f>
        <v/>
      </c>
      <c r="P57" s="38"/>
    </row>
    <row r="58" spans="1:16" ht="32.25" thickBot="1" x14ac:dyDescent="0.25">
      <c r="A58" s="82"/>
      <c r="B58" s="85"/>
      <c r="C58" s="14" t="s">
        <v>24</v>
      </c>
      <c r="D58" s="20">
        <f>'[1]1нед'!S306</f>
        <v>0</v>
      </c>
      <c r="E58" s="23">
        <f>'[1]1нед'!T306</f>
        <v>0</v>
      </c>
      <c r="F58" s="21">
        <f>'[1]1нед'!W306</f>
        <v>0</v>
      </c>
      <c r="G58" s="22" t="str">
        <f>'[1]1нед'!X306</f>
        <v/>
      </c>
      <c r="H58" s="38"/>
      <c r="I58" s="71"/>
      <c r="J58" s="88"/>
      <c r="K58" s="14" t="s">
        <v>24</v>
      </c>
      <c r="L58" s="20">
        <f>'[1]2нед'!S306</f>
        <v>0</v>
      </c>
      <c r="M58" s="23">
        <f>'[1]2нед'!T306</f>
        <v>0</v>
      </c>
      <c r="N58" s="21">
        <f>'[1]2нед'!W306</f>
        <v>0</v>
      </c>
      <c r="O58" s="22" t="str">
        <f>'[1]2нед'!X306</f>
        <v/>
      </c>
      <c r="P58" s="38"/>
    </row>
    <row r="59" spans="1:16" ht="18.399999999999999" hidden="1" customHeight="1" thickBot="1" x14ac:dyDescent="0.25">
      <c r="A59" s="83"/>
      <c r="B59" s="86"/>
      <c r="C59" s="15"/>
      <c r="D59" s="24">
        <f>'[1]1нед'!S59</f>
        <v>0</v>
      </c>
      <c r="E59" s="25">
        <f>'[1]1нед'!T59</f>
        <v>0</v>
      </c>
      <c r="F59" s="26">
        <f>'[1]1нед'!W59</f>
        <v>0</v>
      </c>
      <c r="G59" s="27" t="str">
        <f>'[1]1нед'!X59</f>
        <v/>
      </c>
      <c r="H59" s="39"/>
      <c r="I59" s="72"/>
      <c r="J59" s="89"/>
      <c r="K59" s="15"/>
      <c r="L59" s="24">
        <f>'[1]2нед'!S59</f>
        <v>0</v>
      </c>
      <c r="M59" s="25">
        <f>'[1]2нед'!T59</f>
        <v>0</v>
      </c>
      <c r="N59" s="26">
        <f>'[1]2нед'!W59</f>
        <v>0</v>
      </c>
      <c r="O59" s="27" t="str">
        <f>'[1]2нед'!X59</f>
        <v/>
      </c>
      <c r="P59" s="39"/>
    </row>
    <row r="60" spans="1:16" ht="39" customHeight="1" thickTop="1" x14ac:dyDescent="0.2">
      <c r="A60" s="47"/>
      <c r="B60" s="30"/>
      <c r="C60" s="31"/>
      <c r="D60" s="32"/>
      <c r="E60" s="32" t="s">
        <v>30</v>
      </c>
      <c r="F60" s="32"/>
      <c r="G60" s="33" t="s">
        <v>31</v>
      </c>
      <c r="H60" s="41"/>
      <c r="I60" s="47"/>
      <c r="J60" s="30"/>
      <c r="K60" s="31"/>
      <c r="L60" s="32"/>
      <c r="M60" s="32" t="s">
        <v>30</v>
      </c>
      <c r="N60" s="32"/>
      <c r="O60" s="33" t="s">
        <v>31</v>
      </c>
      <c r="P60" s="41"/>
    </row>
    <row r="61" spans="1:16" ht="15.75" x14ac:dyDescent="0.25">
      <c r="A61" s="45"/>
      <c r="B61" s="1"/>
      <c r="C61" s="2"/>
      <c r="D61" s="3"/>
      <c r="E61" s="3"/>
      <c r="F61" s="3"/>
      <c r="G61" s="3"/>
      <c r="H61" s="4" t="s">
        <v>0</v>
      </c>
      <c r="I61" s="45"/>
      <c r="J61" s="1"/>
      <c r="K61" s="2"/>
      <c r="L61" s="3"/>
      <c r="M61" s="3"/>
      <c r="N61" s="3"/>
      <c r="O61" s="3"/>
      <c r="P61" s="4" t="s">
        <v>0</v>
      </c>
    </row>
    <row r="62" spans="1:16" ht="15.75" x14ac:dyDescent="0.25">
      <c r="A62" s="45"/>
      <c r="B62" s="1"/>
      <c r="C62" s="2"/>
      <c r="D62" s="3"/>
      <c r="E62" s="3"/>
      <c r="F62" s="3"/>
      <c r="G62" s="3"/>
      <c r="H62" s="4" t="s">
        <v>1</v>
      </c>
      <c r="I62" s="45"/>
      <c r="J62" s="1"/>
      <c r="K62" s="2"/>
      <c r="L62" s="3"/>
      <c r="M62" s="3"/>
      <c r="N62" s="3"/>
      <c r="O62" s="3"/>
      <c r="P62" s="4" t="s">
        <v>1</v>
      </c>
    </row>
    <row r="63" spans="1:16" ht="15.75" x14ac:dyDescent="0.25">
      <c r="A63" s="45"/>
      <c r="B63" s="1"/>
      <c r="C63" s="2"/>
      <c r="D63" s="3"/>
      <c r="E63" s="3"/>
      <c r="F63" s="3"/>
      <c r="G63" s="3"/>
      <c r="H63" s="4" t="s">
        <v>2</v>
      </c>
      <c r="I63" s="45"/>
      <c r="J63" s="1"/>
      <c r="K63" s="2"/>
      <c r="L63" s="3"/>
      <c r="M63" s="3"/>
      <c r="N63" s="3"/>
      <c r="O63" s="3"/>
      <c r="P63" s="4" t="s">
        <v>2</v>
      </c>
    </row>
    <row r="64" spans="1:16" ht="15.75" x14ac:dyDescent="0.25">
      <c r="A64" s="45"/>
      <c r="B64" s="1"/>
      <c r="C64" s="2"/>
      <c r="D64" s="3"/>
      <c r="E64" s="3"/>
      <c r="F64" s="3"/>
      <c r="G64" s="3"/>
      <c r="H64" s="4" t="s">
        <v>3</v>
      </c>
      <c r="I64" s="45"/>
      <c r="J64" s="1"/>
      <c r="K64" s="2"/>
      <c r="L64" s="3"/>
      <c r="M64" s="3"/>
      <c r="N64" s="3"/>
      <c r="O64" s="3"/>
      <c r="P64" s="4" t="s">
        <v>3</v>
      </c>
    </row>
    <row r="65" spans="1:16" ht="15.75" x14ac:dyDescent="0.25">
      <c r="A65" s="45"/>
      <c r="B65" s="5"/>
      <c r="C65" s="2"/>
      <c r="D65" s="3"/>
      <c r="E65" s="3"/>
      <c r="F65" s="3"/>
      <c r="G65" s="3"/>
      <c r="H65" s="3"/>
      <c r="I65" s="45"/>
      <c r="J65" s="5"/>
      <c r="K65" s="2"/>
      <c r="L65" s="3"/>
      <c r="M65" s="3"/>
      <c r="N65" s="3"/>
      <c r="O65" s="3"/>
      <c r="P65" s="3"/>
    </row>
    <row r="66" spans="1:16" ht="15.75" x14ac:dyDescent="0.25">
      <c r="A66" s="45"/>
      <c r="B66" s="90" t="s">
        <v>4</v>
      </c>
      <c r="C66" s="90"/>
      <c r="D66" s="90"/>
      <c r="E66" s="90"/>
      <c r="F66" s="90"/>
      <c r="G66" s="90"/>
      <c r="H66" s="90"/>
      <c r="I66" s="45"/>
      <c r="J66" s="90" t="s">
        <v>4</v>
      </c>
      <c r="K66" s="90"/>
      <c r="L66" s="90"/>
      <c r="M66" s="90"/>
      <c r="N66" s="90"/>
      <c r="O66" s="90"/>
      <c r="P66" s="90"/>
    </row>
    <row r="67" spans="1:16" ht="15.75" x14ac:dyDescent="0.2">
      <c r="A67" s="46"/>
      <c r="B67" s="62" t="str">
        <f>'[1]1нед'!$A$6</f>
        <v>Направление подготовки:</v>
      </c>
      <c r="C67" s="6"/>
      <c r="D67" s="7"/>
      <c r="E67" s="8" t="str">
        <f>E7</f>
        <v>09.03.04Программная инженерия (Программно-информационные системы)</v>
      </c>
      <c r="F67" s="7"/>
      <c r="G67" s="7"/>
      <c r="H67" s="36" t="str">
        <f>H7</f>
        <v>12-26ПИ1з</v>
      </c>
      <c r="I67" s="46"/>
      <c r="J67" s="62" t="str">
        <f>'[1]1нед'!$A$6</f>
        <v>Направление подготовки:</v>
      </c>
      <c r="K67" s="6"/>
      <c r="L67" s="7"/>
      <c r="M67" s="8" t="str">
        <f>E7</f>
        <v>09.03.04Программная инженерия (Программно-информационные системы)</v>
      </c>
      <c r="N67" s="7"/>
      <c r="O67" s="7"/>
      <c r="P67" s="36" t="str">
        <f>H7</f>
        <v>12-26ПИ1з</v>
      </c>
    </row>
    <row r="68" spans="1:16" ht="15.75" x14ac:dyDescent="0.25">
      <c r="A68" s="45"/>
      <c r="B68" s="81" t="s">
        <v>5</v>
      </c>
      <c r="C68" s="81"/>
      <c r="D68" s="81"/>
      <c r="E68" s="81" t="str">
        <f>E8</f>
        <v>очно-заочная</v>
      </c>
      <c r="F68" s="81"/>
      <c r="G68" s="81"/>
      <c r="H68" s="81"/>
      <c r="I68" s="45"/>
      <c r="J68" s="81" t="s">
        <v>5</v>
      </c>
      <c r="K68" s="81"/>
      <c r="L68" s="81"/>
      <c r="M68" s="81" t="str">
        <f>E8</f>
        <v>очно-заочная</v>
      </c>
      <c r="N68" s="81"/>
      <c r="O68" s="81"/>
      <c r="P68" s="81"/>
    </row>
    <row r="69" spans="1:16" ht="15.75" x14ac:dyDescent="0.25">
      <c r="A69" s="45"/>
      <c r="B69" s="81" t="s">
        <v>7</v>
      </c>
      <c r="C69" s="81"/>
      <c r="D69" s="81"/>
      <c r="E69" s="62">
        <f>E9</f>
        <v>3</v>
      </c>
      <c r="F69" s="62"/>
      <c r="G69" s="62"/>
      <c r="H69" s="35"/>
      <c r="I69" s="45"/>
      <c r="J69" s="81" t="s">
        <v>7</v>
      </c>
      <c r="K69" s="81"/>
      <c r="L69" s="81"/>
      <c r="M69" s="62">
        <f>E9</f>
        <v>3</v>
      </c>
      <c r="N69" s="62"/>
      <c r="O69" s="62"/>
      <c r="P69" s="35"/>
    </row>
    <row r="70" spans="1:16" ht="16.5" thickBot="1" x14ac:dyDescent="0.3">
      <c r="A70" s="45"/>
      <c r="B70" s="93" t="s">
        <v>8</v>
      </c>
      <c r="C70" s="93"/>
      <c r="D70" s="93"/>
      <c r="E70" s="63">
        <f>M10+1</f>
        <v>3</v>
      </c>
      <c r="F70" s="63"/>
      <c r="G70" s="63"/>
      <c r="H70" s="37"/>
      <c r="I70" s="45"/>
      <c r="J70" s="93" t="s">
        <v>8</v>
      </c>
      <c r="K70" s="93"/>
      <c r="L70" s="93"/>
      <c r="M70" s="63">
        <f>E70+1</f>
        <v>4</v>
      </c>
      <c r="N70" s="63"/>
      <c r="O70" s="63"/>
      <c r="P70" s="37"/>
    </row>
    <row r="71" spans="1:16" ht="46.5" customHeight="1" thickTop="1" thickBot="1" x14ac:dyDescent="0.25">
      <c r="A71" s="79" t="s">
        <v>9</v>
      </c>
      <c r="B71" s="80"/>
      <c r="C71" s="10" t="s">
        <v>10</v>
      </c>
      <c r="D71" s="11" t="s">
        <v>11</v>
      </c>
      <c r="E71" s="12" t="s">
        <v>12</v>
      </c>
      <c r="F71" s="91" t="s">
        <v>13</v>
      </c>
      <c r="G71" s="92"/>
      <c r="H71" s="13" t="s">
        <v>14</v>
      </c>
      <c r="I71" s="79" t="s">
        <v>9</v>
      </c>
      <c r="J71" s="80"/>
      <c r="K71" s="10" t="s">
        <v>10</v>
      </c>
      <c r="L71" s="11" t="s">
        <v>11</v>
      </c>
      <c r="M71" s="12" t="s">
        <v>12</v>
      </c>
      <c r="N71" s="91" t="s">
        <v>13</v>
      </c>
      <c r="O71" s="92"/>
      <c r="P71" s="13" t="s">
        <v>14</v>
      </c>
    </row>
    <row r="72" spans="1:16" ht="32.25" customHeight="1" thickTop="1" x14ac:dyDescent="0.2">
      <c r="A72" s="70">
        <v>46279</v>
      </c>
      <c r="B72" s="84" t="s">
        <v>17</v>
      </c>
      <c r="C72" s="14" t="s">
        <v>18</v>
      </c>
      <c r="D72" s="16">
        <f>'[1]3нед'!S260</f>
        <v>0</v>
      </c>
      <c r="E72" s="19">
        <f>'[1]3нед'!T260</f>
        <v>0</v>
      </c>
      <c r="F72" s="17">
        <f>'[1]3нед'!W260</f>
        <v>0</v>
      </c>
      <c r="G72" s="18" t="str">
        <f>'[1]3нед'!X260</f>
        <v/>
      </c>
      <c r="H72" s="40"/>
      <c r="I72" s="70">
        <v>46286</v>
      </c>
      <c r="J72" s="87" t="s">
        <v>17</v>
      </c>
      <c r="K72" s="14" t="s">
        <v>18</v>
      </c>
      <c r="L72" s="16">
        <f>'[1]4нед'!S260</f>
        <v>0</v>
      </c>
      <c r="M72" s="19">
        <f>'[1]4нед'!T260</f>
        <v>0</v>
      </c>
      <c r="N72" s="17">
        <f>'[1]4нед'!W260</f>
        <v>0</v>
      </c>
      <c r="O72" s="18" t="str">
        <f>'[1]4нед'!X260</f>
        <v/>
      </c>
      <c r="P72" s="40"/>
    </row>
    <row r="73" spans="1:16" ht="31.5" x14ac:dyDescent="0.2">
      <c r="A73" s="82"/>
      <c r="B73" s="85"/>
      <c r="C73" s="14" t="s">
        <v>19</v>
      </c>
      <c r="D73" s="20">
        <f>'[1]3нед'!S261</f>
        <v>0</v>
      </c>
      <c r="E73" s="23">
        <f>'[1]3нед'!T261</f>
        <v>0</v>
      </c>
      <c r="F73" s="21">
        <f>'[1]3нед'!W261</f>
        <v>0</v>
      </c>
      <c r="G73" s="22" t="str">
        <f>'[1]3нед'!X261</f>
        <v/>
      </c>
      <c r="H73" s="38"/>
      <c r="I73" s="71"/>
      <c r="J73" s="88"/>
      <c r="K73" s="14" t="s">
        <v>19</v>
      </c>
      <c r="L73" s="20">
        <f>'[1]4нед'!S261</f>
        <v>0</v>
      </c>
      <c r="M73" s="23">
        <f>'[1]4нед'!T261</f>
        <v>0</v>
      </c>
      <c r="N73" s="21">
        <f>'[1]4нед'!W261</f>
        <v>0</v>
      </c>
      <c r="O73" s="22" t="str">
        <f>'[1]4нед'!X261</f>
        <v/>
      </c>
      <c r="P73" s="38"/>
    </row>
    <row r="74" spans="1:16" ht="31.5" x14ac:dyDescent="0.2">
      <c r="A74" s="82"/>
      <c r="B74" s="85"/>
      <c r="C74" s="14" t="s">
        <v>20</v>
      </c>
      <c r="D74" s="20">
        <f>'[1]3нед'!S262</f>
        <v>0</v>
      </c>
      <c r="E74" s="23">
        <f>'[1]3нед'!T262</f>
        <v>0</v>
      </c>
      <c r="F74" s="21">
        <f>'[1]3нед'!W262</f>
        <v>0</v>
      </c>
      <c r="G74" s="22" t="str">
        <f>'[1]3нед'!X262</f>
        <v/>
      </c>
      <c r="H74" s="38"/>
      <c r="I74" s="71"/>
      <c r="J74" s="88"/>
      <c r="K74" s="14" t="s">
        <v>20</v>
      </c>
      <c r="L74" s="20">
        <f>'[1]4нед'!S262</f>
        <v>0</v>
      </c>
      <c r="M74" s="23">
        <f>'[1]4нед'!T262</f>
        <v>0</v>
      </c>
      <c r="N74" s="21">
        <f>'[1]4нед'!W262</f>
        <v>0</v>
      </c>
      <c r="O74" s="22" t="str">
        <f>'[1]4нед'!X262</f>
        <v/>
      </c>
      <c r="P74" s="38"/>
    </row>
    <row r="75" spans="1:16" ht="31.5" x14ac:dyDescent="0.2">
      <c r="A75" s="82"/>
      <c r="B75" s="85"/>
      <c r="C75" s="14" t="s">
        <v>21</v>
      </c>
      <c r="D75" s="20">
        <f>'[1]3нед'!S263</f>
        <v>0</v>
      </c>
      <c r="E75" s="23">
        <f>'[1]3нед'!T263</f>
        <v>0</v>
      </c>
      <c r="F75" s="21">
        <f>'[1]3нед'!W263</f>
        <v>0</v>
      </c>
      <c r="G75" s="22" t="str">
        <f>'[1]3нед'!X263</f>
        <v/>
      </c>
      <c r="H75" s="38"/>
      <c r="I75" s="71"/>
      <c r="J75" s="88"/>
      <c r="K75" s="14" t="s">
        <v>21</v>
      </c>
      <c r="L75" s="20">
        <f>'[1]4нед'!S263</f>
        <v>0</v>
      </c>
      <c r="M75" s="23">
        <f>'[1]4нед'!T263</f>
        <v>0</v>
      </c>
      <c r="N75" s="21">
        <f>'[1]4нед'!W263</f>
        <v>0</v>
      </c>
      <c r="O75" s="22" t="str">
        <f>'[1]4нед'!X263</f>
        <v/>
      </c>
      <c r="P75" s="38"/>
    </row>
    <row r="76" spans="1:16" ht="31.5" x14ac:dyDescent="0.2">
      <c r="A76" s="82"/>
      <c r="B76" s="85"/>
      <c r="C76" s="14" t="s">
        <v>22</v>
      </c>
      <c r="D76" s="20">
        <f>'[1]3нед'!S264</f>
        <v>0</v>
      </c>
      <c r="E76" s="23">
        <f>'[1]3нед'!T264</f>
        <v>0</v>
      </c>
      <c r="F76" s="21">
        <f>'[1]3нед'!W264</f>
        <v>0</v>
      </c>
      <c r="G76" s="22" t="str">
        <f>'[1]3нед'!X264</f>
        <v/>
      </c>
      <c r="H76" s="38"/>
      <c r="I76" s="71"/>
      <c r="J76" s="88"/>
      <c r="K76" s="14" t="s">
        <v>22</v>
      </c>
      <c r="L76" s="20">
        <f>'[1]4нед'!S264</f>
        <v>0</v>
      </c>
      <c r="M76" s="23">
        <f>'[1]4нед'!T264</f>
        <v>0</v>
      </c>
      <c r="N76" s="21">
        <f>'[1]4нед'!W264</f>
        <v>0</v>
      </c>
      <c r="O76" s="22" t="str">
        <f>'[1]4нед'!X264</f>
        <v/>
      </c>
      <c r="P76" s="38"/>
    </row>
    <row r="77" spans="1:16" ht="31.5" x14ac:dyDescent="0.2">
      <c r="A77" s="82"/>
      <c r="B77" s="85"/>
      <c r="C77" s="14" t="s">
        <v>23</v>
      </c>
      <c r="D77" s="20">
        <f>'[1]3нед'!S265</f>
        <v>0</v>
      </c>
      <c r="E77" s="23">
        <f>'[1]3нед'!T265</f>
        <v>0</v>
      </c>
      <c r="F77" s="21">
        <f>'[1]3нед'!W265</f>
        <v>0</v>
      </c>
      <c r="G77" s="22" t="str">
        <f>'[1]3нед'!X265</f>
        <v/>
      </c>
      <c r="H77" s="38"/>
      <c r="I77" s="71"/>
      <c r="J77" s="88"/>
      <c r="K77" s="14" t="s">
        <v>23</v>
      </c>
      <c r="L77" s="20">
        <f>'[1]4нед'!S265</f>
        <v>0</v>
      </c>
      <c r="M77" s="23">
        <f>'[1]4нед'!T265</f>
        <v>0</v>
      </c>
      <c r="N77" s="21">
        <f>'[1]4нед'!W265</f>
        <v>0</v>
      </c>
      <c r="O77" s="22" t="str">
        <f>'[1]4нед'!X265</f>
        <v/>
      </c>
      <c r="P77" s="38"/>
    </row>
    <row r="78" spans="1:16" ht="32.25" thickBot="1" x14ac:dyDescent="0.25">
      <c r="A78" s="82"/>
      <c r="B78" s="85"/>
      <c r="C78" s="14" t="s">
        <v>24</v>
      </c>
      <c r="D78" s="20">
        <f>'[1]3нед'!S266</f>
        <v>0</v>
      </c>
      <c r="E78" s="23">
        <f>'[1]3нед'!T266</f>
        <v>0</v>
      </c>
      <c r="F78" s="21">
        <f>'[1]3нед'!W266</f>
        <v>0</v>
      </c>
      <c r="G78" s="22" t="str">
        <f>'[1]3нед'!X266</f>
        <v/>
      </c>
      <c r="H78" s="38"/>
      <c r="I78" s="71"/>
      <c r="J78" s="88"/>
      <c r="K78" s="14" t="s">
        <v>24</v>
      </c>
      <c r="L78" s="20">
        <f>'[1]4нед'!S266</f>
        <v>0</v>
      </c>
      <c r="M78" s="23">
        <f>'[1]4нед'!T266</f>
        <v>0</v>
      </c>
      <c r="N78" s="21">
        <f>'[1]4нед'!W266</f>
        <v>0</v>
      </c>
      <c r="O78" s="22" t="str">
        <f>'[1]4нед'!X266</f>
        <v/>
      </c>
      <c r="P78" s="38"/>
    </row>
    <row r="79" spans="1:16" ht="18.399999999999999" hidden="1" customHeight="1" thickBot="1" x14ac:dyDescent="0.25">
      <c r="A79" s="83"/>
      <c r="B79" s="86"/>
      <c r="C79" s="15"/>
      <c r="D79" s="24">
        <f>'[1]3нед'!S267</f>
        <v>0</v>
      </c>
      <c r="E79" s="25">
        <f>'[1]3нед'!T267</f>
        <v>0</v>
      </c>
      <c r="F79" s="26">
        <f>'[1]3нед'!W267</f>
        <v>0</v>
      </c>
      <c r="G79" s="27" t="str">
        <f>'[1]3нед'!X267</f>
        <v/>
      </c>
      <c r="H79" s="39"/>
      <c r="I79" s="72"/>
      <c r="J79" s="89"/>
      <c r="K79" s="15"/>
      <c r="L79" s="24">
        <f>'[1]4нед'!S267</f>
        <v>0</v>
      </c>
      <c r="M79" s="25">
        <f>'[1]4нед'!T267</f>
        <v>0</v>
      </c>
      <c r="N79" s="26">
        <f>'[1]4нед'!W267</f>
        <v>0</v>
      </c>
      <c r="O79" s="27" t="str">
        <f>'[1]4нед'!X267</f>
        <v/>
      </c>
      <c r="P79" s="39"/>
    </row>
    <row r="80" spans="1:16" ht="32.25" customHeight="1" thickTop="1" x14ac:dyDescent="0.2">
      <c r="A80" s="70">
        <v>46280</v>
      </c>
      <c r="B80" s="84" t="s">
        <v>25</v>
      </c>
      <c r="C80" s="29" t="s">
        <v>18</v>
      </c>
      <c r="D80" s="16">
        <f>'[1]3нед'!S268</f>
        <v>0</v>
      </c>
      <c r="E80" s="19">
        <f>'[1]3нед'!T268</f>
        <v>0</v>
      </c>
      <c r="F80" s="17">
        <f>'[1]3нед'!W268</f>
        <v>0</v>
      </c>
      <c r="G80" s="18" t="str">
        <f>'[1]3нед'!X268</f>
        <v/>
      </c>
      <c r="H80" s="40"/>
      <c r="I80" s="70">
        <v>46287</v>
      </c>
      <c r="J80" s="87" t="s">
        <v>25</v>
      </c>
      <c r="K80" s="29" t="s">
        <v>18</v>
      </c>
      <c r="L80" s="16">
        <f>'[1]4нед'!S268</f>
        <v>0</v>
      </c>
      <c r="M80" s="19">
        <f>'[1]4нед'!T268</f>
        <v>0</v>
      </c>
      <c r="N80" s="17">
        <f>'[1]4нед'!W268</f>
        <v>0</v>
      </c>
      <c r="O80" s="18" t="str">
        <f>'[1]4нед'!X268</f>
        <v/>
      </c>
      <c r="P80" s="40"/>
    </row>
    <row r="81" spans="1:16" ht="31.5" x14ac:dyDescent="0.2">
      <c r="A81" s="82"/>
      <c r="B81" s="85"/>
      <c r="C81" s="14" t="s">
        <v>19</v>
      </c>
      <c r="D81" s="20">
        <f>'[1]3нед'!S269</f>
        <v>0</v>
      </c>
      <c r="E81" s="23">
        <f>'[1]3нед'!T269</f>
        <v>0</v>
      </c>
      <c r="F81" s="21">
        <f>'[1]3нед'!W269</f>
        <v>0</v>
      </c>
      <c r="G81" s="22" t="str">
        <f>'[1]3нед'!X269</f>
        <v/>
      </c>
      <c r="H81" s="38"/>
      <c r="I81" s="71"/>
      <c r="J81" s="88"/>
      <c r="K81" s="14" t="s">
        <v>19</v>
      </c>
      <c r="L81" s="20">
        <f>'[1]4нед'!S269</f>
        <v>0</v>
      </c>
      <c r="M81" s="23">
        <f>'[1]4нед'!T269</f>
        <v>0</v>
      </c>
      <c r="N81" s="21">
        <f>'[1]4нед'!W269</f>
        <v>0</v>
      </c>
      <c r="O81" s="22" t="str">
        <f>'[1]4нед'!X269</f>
        <v/>
      </c>
      <c r="P81" s="38"/>
    </row>
    <row r="82" spans="1:16" ht="31.5" x14ac:dyDescent="0.2">
      <c r="A82" s="82"/>
      <c r="B82" s="85"/>
      <c r="C82" s="14" t="s">
        <v>20</v>
      </c>
      <c r="D82" s="20">
        <f>'[1]3нед'!S270</f>
        <v>0</v>
      </c>
      <c r="E82" s="23">
        <f>'[1]3нед'!T270</f>
        <v>0</v>
      </c>
      <c r="F82" s="21">
        <f>'[1]3нед'!W270</f>
        <v>0</v>
      </c>
      <c r="G82" s="22" t="str">
        <f>'[1]3нед'!X270</f>
        <v/>
      </c>
      <c r="H82" s="38"/>
      <c r="I82" s="71"/>
      <c r="J82" s="88"/>
      <c r="K82" s="14" t="s">
        <v>20</v>
      </c>
      <c r="L82" s="20">
        <f>'[1]4нед'!S270</f>
        <v>0</v>
      </c>
      <c r="M82" s="23">
        <f>'[1]4нед'!T270</f>
        <v>0</v>
      </c>
      <c r="N82" s="21">
        <f>'[1]4нед'!W270</f>
        <v>0</v>
      </c>
      <c r="O82" s="22" t="str">
        <f>'[1]4нед'!X270</f>
        <v/>
      </c>
      <c r="P82" s="38"/>
    </row>
    <row r="83" spans="1:16" ht="31.5" x14ac:dyDescent="0.2">
      <c r="A83" s="82"/>
      <c r="B83" s="85"/>
      <c r="C83" s="14" t="s">
        <v>21</v>
      </c>
      <c r="D83" s="20">
        <f>'[1]3нед'!S271</f>
        <v>0</v>
      </c>
      <c r="E83" s="23">
        <f>'[1]3нед'!T271</f>
        <v>0</v>
      </c>
      <c r="F83" s="21">
        <f>'[1]3нед'!W271</f>
        <v>0</v>
      </c>
      <c r="G83" s="22" t="str">
        <f>'[1]3нед'!X271</f>
        <v/>
      </c>
      <c r="H83" s="38"/>
      <c r="I83" s="71"/>
      <c r="J83" s="88"/>
      <c r="K83" s="14" t="s">
        <v>21</v>
      </c>
      <c r="L83" s="20">
        <f>'[1]4нед'!S271</f>
        <v>0</v>
      </c>
      <c r="M83" s="23">
        <f>'[1]4нед'!T271</f>
        <v>0</v>
      </c>
      <c r="N83" s="21">
        <f>'[1]4нед'!W271</f>
        <v>0</v>
      </c>
      <c r="O83" s="22" t="str">
        <f>'[1]4нед'!X271</f>
        <v/>
      </c>
      <c r="P83" s="38"/>
    </row>
    <row r="84" spans="1:16" ht="31.5" x14ac:dyDescent="0.2">
      <c r="A84" s="82"/>
      <c r="B84" s="85"/>
      <c r="C84" s="14" t="s">
        <v>22</v>
      </c>
      <c r="D84" s="20">
        <f>'[1]3нед'!S272</f>
        <v>0</v>
      </c>
      <c r="E84" s="23">
        <f>'[1]3нед'!T272</f>
        <v>0</v>
      </c>
      <c r="F84" s="21">
        <f>'[1]3нед'!W272</f>
        <v>0</v>
      </c>
      <c r="G84" s="22" t="str">
        <f>'[1]3нед'!X272</f>
        <v/>
      </c>
      <c r="H84" s="38"/>
      <c r="I84" s="71"/>
      <c r="J84" s="88"/>
      <c r="K84" s="14" t="s">
        <v>22</v>
      </c>
      <c r="L84" s="20">
        <f>'[1]4нед'!S272</f>
        <v>0</v>
      </c>
      <c r="M84" s="23">
        <f>'[1]4нед'!T272</f>
        <v>0</v>
      </c>
      <c r="N84" s="21">
        <f>'[1]4нед'!W272</f>
        <v>0</v>
      </c>
      <c r="O84" s="22" t="str">
        <f>'[1]4нед'!X272</f>
        <v/>
      </c>
      <c r="P84" s="38"/>
    </row>
    <row r="85" spans="1:16" ht="31.5" x14ac:dyDescent="0.2">
      <c r="A85" s="82"/>
      <c r="B85" s="85"/>
      <c r="C85" s="14" t="s">
        <v>23</v>
      </c>
      <c r="D85" s="20">
        <f>'[1]3нед'!S273</f>
        <v>0</v>
      </c>
      <c r="E85" s="23">
        <f>'[1]3нед'!T273</f>
        <v>0</v>
      </c>
      <c r="F85" s="21">
        <f>'[1]3нед'!W273</f>
        <v>0</v>
      </c>
      <c r="G85" s="22" t="str">
        <f>'[1]3нед'!X273</f>
        <v/>
      </c>
      <c r="H85" s="34"/>
      <c r="I85" s="71"/>
      <c r="J85" s="88"/>
      <c r="K85" s="14" t="s">
        <v>23</v>
      </c>
      <c r="L85" s="20">
        <f>'[1]4нед'!S273</f>
        <v>0</v>
      </c>
      <c r="M85" s="23">
        <f>'[1]4нед'!T273</f>
        <v>0</v>
      </c>
      <c r="N85" s="21">
        <f>'[1]4нед'!W273</f>
        <v>0</v>
      </c>
      <c r="O85" s="22" t="str">
        <f>'[1]4нед'!X273</f>
        <v/>
      </c>
      <c r="P85" s="34"/>
    </row>
    <row r="86" spans="1:16" ht="32.25" thickBot="1" x14ac:dyDescent="0.25">
      <c r="A86" s="82"/>
      <c r="B86" s="85"/>
      <c r="C86" s="14" t="s">
        <v>24</v>
      </c>
      <c r="D86" s="20">
        <f>'[1]3нед'!S274</f>
        <v>0</v>
      </c>
      <c r="E86" s="23">
        <f>'[1]3нед'!T274</f>
        <v>0</v>
      </c>
      <c r="F86" s="21">
        <f>'[1]3нед'!W274</f>
        <v>0</v>
      </c>
      <c r="G86" s="22" t="str">
        <f>'[1]3нед'!X274</f>
        <v/>
      </c>
      <c r="H86" s="34"/>
      <c r="I86" s="71"/>
      <c r="J86" s="88"/>
      <c r="K86" s="14" t="s">
        <v>24</v>
      </c>
      <c r="L86" s="20">
        <f>'[1]4нед'!S274</f>
        <v>0</v>
      </c>
      <c r="M86" s="23">
        <f>'[1]4нед'!T274</f>
        <v>0</v>
      </c>
      <c r="N86" s="21">
        <f>'[1]4нед'!W274</f>
        <v>0</v>
      </c>
      <c r="O86" s="22" t="str">
        <f>'[1]4нед'!X274</f>
        <v/>
      </c>
      <c r="P86" s="34"/>
    </row>
    <row r="87" spans="1:16" ht="18.399999999999999" hidden="1" customHeight="1" thickBot="1" x14ac:dyDescent="0.25">
      <c r="A87" s="83"/>
      <c r="B87" s="86"/>
      <c r="C87" s="15"/>
      <c r="D87" s="24">
        <f>'[1]3нед'!S275</f>
        <v>0</v>
      </c>
      <c r="E87" s="25">
        <f>'[1]3нед'!T275</f>
        <v>0</v>
      </c>
      <c r="F87" s="26">
        <f>'[1]3нед'!W275</f>
        <v>0</v>
      </c>
      <c r="G87" s="27" t="str">
        <f>'[1]3нед'!X275</f>
        <v/>
      </c>
      <c r="H87" s="39"/>
      <c r="I87" s="72"/>
      <c r="J87" s="89"/>
      <c r="K87" s="15"/>
      <c r="L87" s="24">
        <f>'[1]4нед'!S275</f>
        <v>0</v>
      </c>
      <c r="M87" s="25">
        <f>'[1]4нед'!T275</f>
        <v>0</v>
      </c>
      <c r="N87" s="26">
        <f>'[1]4нед'!W275</f>
        <v>0</v>
      </c>
      <c r="O87" s="27" t="str">
        <f>'[1]4нед'!X275</f>
        <v/>
      </c>
      <c r="P87" s="39"/>
    </row>
    <row r="88" spans="1:16" ht="48" customHeight="1" thickTop="1" x14ac:dyDescent="0.2">
      <c r="A88" s="70">
        <v>46281</v>
      </c>
      <c r="B88" s="67" t="s">
        <v>26</v>
      </c>
      <c r="C88" s="29" t="s">
        <v>18</v>
      </c>
      <c r="D88" s="16">
        <f>'[1]3нед'!S276</f>
        <v>0</v>
      </c>
      <c r="E88" s="19">
        <f>'[1]3нед'!T276</f>
        <v>0</v>
      </c>
      <c r="F88" s="17">
        <f>'[1]3нед'!W276</f>
        <v>0</v>
      </c>
      <c r="G88" s="18" t="str">
        <f>'[1]3нед'!X276</f>
        <v/>
      </c>
      <c r="H88" s="40"/>
      <c r="I88" s="70">
        <v>46288</v>
      </c>
      <c r="J88" s="73" t="s">
        <v>26</v>
      </c>
      <c r="K88" s="29" t="s">
        <v>18</v>
      </c>
      <c r="L88" s="16">
        <f>'[1]4нед'!S276</f>
        <v>0</v>
      </c>
      <c r="M88" s="19">
        <f>'[1]4нед'!T276</f>
        <v>0</v>
      </c>
      <c r="N88" s="17">
        <f>'[1]4нед'!W276</f>
        <v>0</v>
      </c>
      <c r="O88" s="18" t="str">
        <f>'[1]4нед'!X276</f>
        <v/>
      </c>
      <c r="P88" s="40"/>
    </row>
    <row r="89" spans="1:16" ht="31.5" x14ac:dyDescent="0.2">
      <c r="A89" s="82"/>
      <c r="B89" s="68"/>
      <c r="C89" s="14" t="s">
        <v>19</v>
      </c>
      <c r="D89" s="20">
        <f>'[1]3нед'!S277</f>
        <v>0</v>
      </c>
      <c r="E89" s="23">
        <f>'[1]3нед'!T277</f>
        <v>0</v>
      </c>
      <c r="F89" s="21">
        <f>'[1]3нед'!W277</f>
        <v>0</v>
      </c>
      <c r="G89" s="22" t="str">
        <f>'[1]3нед'!X277</f>
        <v/>
      </c>
      <c r="H89" s="38"/>
      <c r="I89" s="71"/>
      <c r="J89" s="74"/>
      <c r="K89" s="14" t="s">
        <v>19</v>
      </c>
      <c r="L89" s="20">
        <f>'[1]4нед'!S277</f>
        <v>0</v>
      </c>
      <c r="M89" s="23">
        <f>'[1]4нед'!T277</f>
        <v>0</v>
      </c>
      <c r="N89" s="21">
        <f>'[1]4нед'!W277</f>
        <v>0</v>
      </c>
      <c r="O89" s="22" t="str">
        <f>'[1]4нед'!X277</f>
        <v/>
      </c>
      <c r="P89" s="38"/>
    </row>
    <row r="90" spans="1:16" ht="31.5" x14ac:dyDescent="0.2">
      <c r="A90" s="82"/>
      <c r="B90" s="68"/>
      <c r="C90" s="14" t="s">
        <v>20</v>
      </c>
      <c r="D90" s="20">
        <f>'[1]3нед'!S278</f>
        <v>0</v>
      </c>
      <c r="E90" s="23">
        <f>'[1]3нед'!T278</f>
        <v>0</v>
      </c>
      <c r="F90" s="21">
        <f>'[1]3нед'!W278</f>
        <v>0</v>
      </c>
      <c r="G90" s="22" t="str">
        <f>'[1]3нед'!X278</f>
        <v/>
      </c>
      <c r="H90" s="38"/>
      <c r="I90" s="71"/>
      <c r="J90" s="74"/>
      <c r="K90" s="14" t="s">
        <v>20</v>
      </c>
      <c r="L90" s="20">
        <f>'[1]4нед'!S278</f>
        <v>0</v>
      </c>
      <c r="M90" s="23">
        <f>'[1]4нед'!T278</f>
        <v>0</v>
      </c>
      <c r="N90" s="21">
        <f>'[1]4нед'!W278</f>
        <v>0</v>
      </c>
      <c r="O90" s="22" t="str">
        <f>'[1]4нед'!X278</f>
        <v/>
      </c>
      <c r="P90" s="38"/>
    </row>
    <row r="91" spans="1:16" ht="31.5" x14ac:dyDescent="0.2">
      <c r="A91" s="82"/>
      <c r="B91" s="68"/>
      <c r="C91" s="14" t="s">
        <v>21</v>
      </c>
      <c r="D91" s="20">
        <f>'[1]3нед'!S279</f>
        <v>0</v>
      </c>
      <c r="E91" s="23">
        <f>'[1]3нед'!T279</f>
        <v>0</v>
      </c>
      <c r="F91" s="21">
        <f>'[1]3нед'!W279</f>
        <v>0</v>
      </c>
      <c r="G91" s="22" t="str">
        <f>'[1]3нед'!X279</f>
        <v/>
      </c>
      <c r="H91" s="38"/>
      <c r="I91" s="71"/>
      <c r="J91" s="74"/>
      <c r="K91" s="14" t="s">
        <v>21</v>
      </c>
      <c r="L91" s="20">
        <f>'[1]4нед'!S279</f>
        <v>0</v>
      </c>
      <c r="M91" s="23">
        <f>'[1]4нед'!T279</f>
        <v>0</v>
      </c>
      <c r="N91" s="21">
        <f>'[1]4нед'!W279</f>
        <v>0</v>
      </c>
      <c r="O91" s="22" t="str">
        <f>'[1]4нед'!X279</f>
        <v/>
      </c>
      <c r="P91" s="38"/>
    </row>
    <row r="92" spans="1:16" ht="31.5" x14ac:dyDescent="0.2">
      <c r="A92" s="82"/>
      <c r="B92" s="68"/>
      <c r="C92" s="14" t="s">
        <v>22</v>
      </c>
      <c r="D92" s="20">
        <f>'[1]3нед'!S280</f>
        <v>0</v>
      </c>
      <c r="E92" s="23">
        <f>'[1]3нед'!T280</f>
        <v>0</v>
      </c>
      <c r="F92" s="21">
        <f>'[1]3нед'!W280</f>
        <v>0</v>
      </c>
      <c r="G92" s="22" t="str">
        <f>'[1]3нед'!X280</f>
        <v/>
      </c>
      <c r="H92" s="38"/>
      <c r="I92" s="71"/>
      <c r="J92" s="74"/>
      <c r="K92" s="14" t="s">
        <v>22</v>
      </c>
      <c r="L92" s="20">
        <f>'[1]4нед'!S280</f>
        <v>0</v>
      </c>
      <c r="M92" s="23">
        <f>'[1]4нед'!T280</f>
        <v>0</v>
      </c>
      <c r="N92" s="21">
        <f>'[1]4нед'!W280</f>
        <v>0</v>
      </c>
      <c r="O92" s="22" t="str">
        <f>'[1]4нед'!X280</f>
        <v/>
      </c>
      <c r="P92" s="38"/>
    </row>
    <row r="93" spans="1:16" ht="31.5" x14ac:dyDescent="0.2">
      <c r="A93" s="82"/>
      <c r="B93" s="68"/>
      <c r="C93" s="14" t="s">
        <v>23</v>
      </c>
      <c r="D93" s="20">
        <f>'[1]3нед'!S281</f>
        <v>0</v>
      </c>
      <c r="E93" s="23">
        <f>'[1]3нед'!T281</f>
        <v>0</v>
      </c>
      <c r="F93" s="21">
        <f>'[1]3нед'!W281</f>
        <v>0</v>
      </c>
      <c r="G93" s="22" t="str">
        <f>'[1]3нед'!X281</f>
        <v/>
      </c>
      <c r="H93" s="34"/>
      <c r="I93" s="71"/>
      <c r="J93" s="74"/>
      <c r="K93" s="14" t="s">
        <v>23</v>
      </c>
      <c r="L93" s="20">
        <f>'[1]4нед'!S281</f>
        <v>0</v>
      </c>
      <c r="M93" s="23">
        <f>'[1]4нед'!T281</f>
        <v>0</v>
      </c>
      <c r="N93" s="21">
        <f>'[1]4нед'!W281</f>
        <v>0</v>
      </c>
      <c r="O93" s="22" t="str">
        <f>'[1]4нед'!X281</f>
        <v/>
      </c>
      <c r="P93" s="34"/>
    </row>
    <row r="94" spans="1:16" ht="32.25" thickBot="1" x14ac:dyDescent="0.25">
      <c r="A94" s="82"/>
      <c r="B94" s="68"/>
      <c r="C94" s="14" t="s">
        <v>24</v>
      </c>
      <c r="D94" s="20">
        <f>'[1]3нед'!S282</f>
        <v>0</v>
      </c>
      <c r="E94" s="23">
        <f>'[1]3нед'!T282</f>
        <v>0</v>
      </c>
      <c r="F94" s="21">
        <f>'[1]3нед'!W282</f>
        <v>0</v>
      </c>
      <c r="G94" s="22" t="str">
        <f>'[1]3нед'!X282</f>
        <v/>
      </c>
      <c r="H94" s="34"/>
      <c r="I94" s="71"/>
      <c r="J94" s="74"/>
      <c r="K94" s="14" t="s">
        <v>24</v>
      </c>
      <c r="L94" s="20">
        <f>'[1]4нед'!S282</f>
        <v>0</v>
      </c>
      <c r="M94" s="23">
        <f>'[1]4нед'!T282</f>
        <v>0</v>
      </c>
      <c r="N94" s="21">
        <f>'[1]4нед'!W282</f>
        <v>0</v>
      </c>
      <c r="O94" s="22" t="str">
        <f>'[1]4нед'!X282</f>
        <v/>
      </c>
      <c r="P94" s="34"/>
    </row>
    <row r="95" spans="1:16" ht="18.399999999999999" hidden="1" customHeight="1" thickBot="1" x14ac:dyDescent="0.25">
      <c r="A95" s="83"/>
      <c r="B95" s="69"/>
      <c r="C95" s="15"/>
      <c r="D95" s="24">
        <f>'[1]3нед'!S283</f>
        <v>0</v>
      </c>
      <c r="E95" s="25">
        <f>'[1]3нед'!T283</f>
        <v>0</v>
      </c>
      <c r="F95" s="26">
        <f>'[1]3нед'!W283</f>
        <v>0</v>
      </c>
      <c r="G95" s="27" t="str">
        <f>'[1]3нед'!X283</f>
        <v/>
      </c>
      <c r="H95" s="39"/>
      <c r="I95" s="72"/>
      <c r="J95" s="75"/>
      <c r="K95" s="15"/>
      <c r="L95" s="24">
        <f>'[1]4нед'!S283</f>
        <v>0</v>
      </c>
      <c r="M95" s="25">
        <f>'[1]4нед'!T283</f>
        <v>0</v>
      </c>
      <c r="N95" s="26">
        <f>'[1]4нед'!W283</f>
        <v>0</v>
      </c>
      <c r="O95" s="27" t="str">
        <f>'[1]4нед'!X283</f>
        <v/>
      </c>
      <c r="P95" s="39"/>
    </row>
    <row r="96" spans="1:16" ht="48" customHeight="1" thickTop="1" x14ac:dyDescent="0.2">
      <c r="A96" s="70">
        <v>46282</v>
      </c>
      <c r="B96" s="84" t="s">
        <v>27</v>
      </c>
      <c r="C96" s="29" t="s">
        <v>18</v>
      </c>
      <c r="D96" s="16">
        <f>'[1]3нед'!S284</f>
        <v>0</v>
      </c>
      <c r="E96" s="19">
        <f>'[1]3нед'!T284</f>
        <v>0</v>
      </c>
      <c r="F96" s="17">
        <f>'[1]3нед'!W284</f>
        <v>0</v>
      </c>
      <c r="G96" s="18" t="str">
        <f>'[1]3нед'!X284</f>
        <v/>
      </c>
      <c r="H96" s="40"/>
      <c r="I96" s="70">
        <v>46289</v>
      </c>
      <c r="J96" s="87" t="s">
        <v>27</v>
      </c>
      <c r="K96" s="29" t="s">
        <v>18</v>
      </c>
      <c r="L96" s="16">
        <f>'[1]4нед'!S284</f>
        <v>0</v>
      </c>
      <c r="M96" s="19">
        <f>'[1]4нед'!T284</f>
        <v>0</v>
      </c>
      <c r="N96" s="17">
        <f>'[1]4нед'!W284</f>
        <v>0</v>
      </c>
      <c r="O96" s="18" t="str">
        <f>'[1]4нед'!X284</f>
        <v/>
      </c>
      <c r="P96" s="40"/>
    </row>
    <row r="97" spans="1:16" ht="31.5" x14ac:dyDescent="0.2">
      <c r="A97" s="82"/>
      <c r="B97" s="85"/>
      <c r="C97" s="14" t="s">
        <v>19</v>
      </c>
      <c r="D97" s="20">
        <f>'[1]3нед'!S285</f>
        <v>0</v>
      </c>
      <c r="E97" s="23">
        <f>'[1]3нед'!T285</f>
        <v>0</v>
      </c>
      <c r="F97" s="21">
        <f>'[1]3нед'!W285</f>
        <v>0</v>
      </c>
      <c r="G97" s="22" t="str">
        <f>'[1]3нед'!X285</f>
        <v/>
      </c>
      <c r="H97" s="38"/>
      <c r="I97" s="71"/>
      <c r="J97" s="88"/>
      <c r="K97" s="14" t="s">
        <v>19</v>
      </c>
      <c r="L97" s="20">
        <f>'[1]4нед'!S285</f>
        <v>0</v>
      </c>
      <c r="M97" s="23">
        <f>'[1]4нед'!T285</f>
        <v>0</v>
      </c>
      <c r="N97" s="21">
        <f>'[1]4нед'!W285</f>
        <v>0</v>
      </c>
      <c r="O97" s="22" t="str">
        <f>'[1]4нед'!X285</f>
        <v/>
      </c>
      <c r="P97" s="38"/>
    </row>
    <row r="98" spans="1:16" ht="31.5" x14ac:dyDescent="0.2">
      <c r="A98" s="82"/>
      <c r="B98" s="85"/>
      <c r="C98" s="14" t="s">
        <v>20</v>
      </c>
      <c r="D98" s="20">
        <f>'[1]3нед'!S286</f>
        <v>0</v>
      </c>
      <c r="E98" s="23">
        <f>'[1]3нед'!T286</f>
        <v>0</v>
      </c>
      <c r="F98" s="21">
        <f>'[1]3нед'!W286</f>
        <v>0</v>
      </c>
      <c r="G98" s="22" t="str">
        <f>'[1]3нед'!X286</f>
        <v/>
      </c>
      <c r="H98" s="38"/>
      <c r="I98" s="71"/>
      <c r="J98" s="88"/>
      <c r="K98" s="14" t="s">
        <v>20</v>
      </c>
      <c r="L98" s="20">
        <f>'[1]4нед'!S286</f>
        <v>0</v>
      </c>
      <c r="M98" s="23">
        <f>'[1]4нед'!T286</f>
        <v>0</v>
      </c>
      <c r="N98" s="21">
        <f>'[1]4нед'!W286</f>
        <v>0</v>
      </c>
      <c r="O98" s="22" t="str">
        <f>'[1]4нед'!X286</f>
        <v/>
      </c>
      <c r="P98" s="38"/>
    </row>
    <row r="99" spans="1:16" ht="31.5" x14ac:dyDescent="0.2">
      <c r="A99" s="82"/>
      <c r="B99" s="85"/>
      <c r="C99" s="14" t="s">
        <v>21</v>
      </c>
      <c r="D99" s="20">
        <f>'[1]3нед'!S287</f>
        <v>0</v>
      </c>
      <c r="E99" s="23">
        <f>'[1]3нед'!T287</f>
        <v>0</v>
      </c>
      <c r="F99" s="21">
        <f>'[1]3нед'!W287</f>
        <v>0</v>
      </c>
      <c r="G99" s="22" t="str">
        <f>'[1]3нед'!X287</f>
        <v/>
      </c>
      <c r="H99" s="38"/>
      <c r="I99" s="71"/>
      <c r="J99" s="88"/>
      <c r="K99" s="14" t="s">
        <v>21</v>
      </c>
      <c r="L99" s="20">
        <f>'[1]4нед'!S287</f>
        <v>0</v>
      </c>
      <c r="M99" s="23">
        <f>'[1]4нед'!T287</f>
        <v>0</v>
      </c>
      <c r="N99" s="21">
        <f>'[1]4нед'!W287</f>
        <v>0</v>
      </c>
      <c r="O99" s="22" t="str">
        <f>'[1]4нед'!X287</f>
        <v/>
      </c>
      <c r="P99" s="38"/>
    </row>
    <row r="100" spans="1:16" ht="31.5" x14ac:dyDescent="0.2">
      <c r="A100" s="82"/>
      <c r="B100" s="85"/>
      <c r="C100" s="14" t="s">
        <v>22</v>
      </c>
      <c r="D100" s="20">
        <f>'[1]3нед'!S288</f>
        <v>0</v>
      </c>
      <c r="E100" s="23">
        <f>'[1]3нед'!T288</f>
        <v>0</v>
      </c>
      <c r="F100" s="21">
        <f>'[1]3нед'!W288</f>
        <v>0</v>
      </c>
      <c r="G100" s="22" t="str">
        <f>'[1]3нед'!X288</f>
        <v/>
      </c>
      <c r="H100" s="38"/>
      <c r="I100" s="71"/>
      <c r="J100" s="88"/>
      <c r="K100" s="14" t="s">
        <v>22</v>
      </c>
      <c r="L100" s="20">
        <f>'[1]4нед'!S288</f>
        <v>0</v>
      </c>
      <c r="M100" s="23">
        <f>'[1]4нед'!T288</f>
        <v>0</v>
      </c>
      <c r="N100" s="21">
        <f>'[1]4нед'!W288</f>
        <v>0</v>
      </c>
      <c r="O100" s="22" t="str">
        <f>'[1]4нед'!X288</f>
        <v/>
      </c>
      <c r="P100" s="38"/>
    </row>
    <row r="101" spans="1:16" ht="31.5" x14ac:dyDescent="0.2">
      <c r="A101" s="82"/>
      <c r="B101" s="85"/>
      <c r="C101" s="14" t="s">
        <v>23</v>
      </c>
      <c r="D101" s="20">
        <f>'[1]3нед'!S289</f>
        <v>0</v>
      </c>
      <c r="E101" s="23">
        <f>'[1]3нед'!T289</f>
        <v>0</v>
      </c>
      <c r="F101" s="21">
        <f>'[1]3нед'!W289</f>
        <v>0</v>
      </c>
      <c r="G101" s="22" t="str">
        <f>'[1]3нед'!X289</f>
        <v/>
      </c>
      <c r="H101" s="34"/>
      <c r="I101" s="71"/>
      <c r="J101" s="88"/>
      <c r="K101" s="14" t="s">
        <v>23</v>
      </c>
      <c r="L101" s="20">
        <f>'[1]4нед'!S289</f>
        <v>0</v>
      </c>
      <c r="M101" s="23">
        <f>'[1]4нед'!T289</f>
        <v>0</v>
      </c>
      <c r="N101" s="21">
        <f>'[1]4нед'!W289</f>
        <v>0</v>
      </c>
      <c r="O101" s="22" t="str">
        <f>'[1]4нед'!X289</f>
        <v/>
      </c>
      <c r="P101" s="34"/>
    </row>
    <row r="102" spans="1:16" ht="32.25" thickBot="1" x14ac:dyDescent="0.25">
      <c r="A102" s="82"/>
      <c r="B102" s="85"/>
      <c r="C102" s="14" t="s">
        <v>24</v>
      </c>
      <c r="D102" s="20">
        <f>'[1]3нед'!S290</f>
        <v>0</v>
      </c>
      <c r="E102" s="23">
        <f>'[1]3нед'!T290</f>
        <v>0</v>
      </c>
      <c r="F102" s="21">
        <f>'[1]3нед'!W290</f>
        <v>0</v>
      </c>
      <c r="G102" s="22" t="str">
        <f>'[1]3нед'!X290</f>
        <v/>
      </c>
      <c r="H102" s="34"/>
      <c r="I102" s="71"/>
      <c r="J102" s="88"/>
      <c r="K102" s="14" t="s">
        <v>24</v>
      </c>
      <c r="L102" s="20">
        <f>'[1]4нед'!S290</f>
        <v>0</v>
      </c>
      <c r="M102" s="23">
        <f>'[1]4нед'!T290</f>
        <v>0</v>
      </c>
      <c r="N102" s="21">
        <f>'[1]4нед'!W290</f>
        <v>0</v>
      </c>
      <c r="O102" s="22" t="str">
        <f>'[1]4нед'!X290</f>
        <v/>
      </c>
      <c r="P102" s="34"/>
    </row>
    <row r="103" spans="1:16" ht="18.399999999999999" hidden="1" customHeight="1" thickBot="1" x14ac:dyDescent="0.25">
      <c r="A103" s="83"/>
      <c r="B103" s="86"/>
      <c r="C103" s="15"/>
      <c r="D103" s="24">
        <f>'[1]3нед'!S291</f>
        <v>0</v>
      </c>
      <c r="E103" s="25">
        <f>'[1]3нед'!T291</f>
        <v>0</v>
      </c>
      <c r="F103" s="26">
        <f>'[1]3нед'!W291</f>
        <v>0</v>
      </c>
      <c r="G103" s="27" t="str">
        <f>'[1]3нед'!X291</f>
        <v/>
      </c>
      <c r="H103" s="39"/>
      <c r="I103" s="72"/>
      <c r="J103" s="89"/>
      <c r="K103" s="15"/>
      <c r="L103" s="24">
        <f>'[1]4нед'!S291</f>
        <v>0</v>
      </c>
      <c r="M103" s="25">
        <f>'[1]4нед'!T291</f>
        <v>0</v>
      </c>
      <c r="N103" s="26">
        <f>'[1]4нед'!W291</f>
        <v>0</v>
      </c>
      <c r="O103" s="27" t="str">
        <f>'[1]4нед'!X291</f>
        <v/>
      </c>
      <c r="P103" s="39"/>
    </row>
    <row r="104" spans="1:16" ht="48" customHeight="1" thickTop="1" x14ac:dyDescent="0.2">
      <c r="A104" s="70">
        <v>46283</v>
      </c>
      <c r="B104" s="84" t="s">
        <v>28</v>
      </c>
      <c r="C104" s="29" t="s">
        <v>18</v>
      </c>
      <c r="D104" s="16">
        <f>'[1]3нед'!S292</f>
        <v>0</v>
      </c>
      <c r="E104" s="19">
        <f>'[1]3нед'!T292</f>
        <v>0</v>
      </c>
      <c r="F104" s="17">
        <f>'[1]3нед'!W292</f>
        <v>0</v>
      </c>
      <c r="G104" s="18" t="str">
        <f>'[1]3нед'!X292</f>
        <v/>
      </c>
      <c r="H104" s="40"/>
      <c r="I104" s="70">
        <v>46290</v>
      </c>
      <c r="J104" s="87" t="s">
        <v>28</v>
      </c>
      <c r="K104" s="29" t="s">
        <v>18</v>
      </c>
      <c r="L104" s="16">
        <f>'[1]4нед'!S292</f>
        <v>0</v>
      </c>
      <c r="M104" s="19">
        <f>'[1]4нед'!T292</f>
        <v>0</v>
      </c>
      <c r="N104" s="17">
        <f>'[1]4нед'!W292</f>
        <v>0</v>
      </c>
      <c r="O104" s="18" t="str">
        <f>'[1]4нед'!X292</f>
        <v/>
      </c>
      <c r="P104" s="40"/>
    </row>
    <row r="105" spans="1:16" ht="31.5" x14ac:dyDescent="0.2">
      <c r="A105" s="82"/>
      <c r="B105" s="85"/>
      <c r="C105" s="14" t="s">
        <v>19</v>
      </c>
      <c r="D105" s="20">
        <f>'[1]3нед'!S293</f>
        <v>0</v>
      </c>
      <c r="E105" s="23">
        <f>'[1]3нед'!T293</f>
        <v>0</v>
      </c>
      <c r="F105" s="21">
        <f>'[1]3нед'!W293</f>
        <v>0</v>
      </c>
      <c r="G105" s="22" t="str">
        <f>'[1]3нед'!X293</f>
        <v/>
      </c>
      <c r="H105" s="38"/>
      <c r="I105" s="71"/>
      <c r="J105" s="88"/>
      <c r="K105" s="14" t="s">
        <v>19</v>
      </c>
      <c r="L105" s="20">
        <f>'[1]4нед'!S293</f>
        <v>0</v>
      </c>
      <c r="M105" s="23">
        <f>'[1]4нед'!T293</f>
        <v>0</v>
      </c>
      <c r="N105" s="21">
        <f>'[1]4нед'!W293</f>
        <v>0</v>
      </c>
      <c r="O105" s="22" t="str">
        <f>'[1]4нед'!X293</f>
        <v/>
      </c>
      <c r="P105" s="38"/>
    </row>
    <row r="106" spans="1:16" ht="31.5" x14ac:dyDescent="0.2">
      <c r="A106" s="82"/>
      <c r="B106" s="85"/>
      <c r="C106" s="14" t="s">
        <v>20</v>
      </c>
      <c r="D106" s="20">
        <f>'[1]3нед'!S294</f>
        <v>0</v>
      </c>
      <c r="E106" s="23">
        <f>'[1]3нед'!T294</f>
        <v>0</v>
      </c>
      <c r="F106" s="21">
        <f>'[1]3нед'!W294</f>
        <v>0</v>
      </c>
      <c r="G106" s="22" t="str">
        <f>'[1]3нед'!X294</f>
        <v/>
      </c>
      <c r="H106" s="38"/>
      <c r="I106" s="71"/>
      <c r="J106" s="88"/>
      <c r="K106" s="14" t="s">
        <v>20</v>
      </c>
      <c r="L106" s="20">
        <f>'[1]4нед'!S294</f>
        <v>0</v>
      </c>
      <c r="M106" s="23">
        <f>'[1]4нед'!T294</f>
        <v>0</v>
      </c>
      <c r="N106" s="21">
        <f>'[1]4нед'!W294</f>
        <v>0</v>
      </c>
      <c r="O106" s="22" t="str">
        <f>'[1]4нед'!X294</f>
        <v/>
      </c>
      <c r="P106" s="38"/>
    </row>
    <row r="107" spans="1:16" ht="31.5" x14ac:dyDescent="0.2">
      <c r="A107" s="82"/>
      <c r="B107" s="85"/>
      <c r="C107" s="14" t="s">
        <v>21</v>
      </c>
      <c r="D107" s="20">
        <f>'[1]3нед'!S295</f>
        <v>0</v>
      </c>
      <c r="E107" s="23">
        <f>'[1]3нед'!T295</f>
        <v>0</v>
      </c>
      <c r="F107" s="21">
        <f>'[1]3нед'!W295</f>
        <v>0</v>
      </c>
      <c r="G107" s="22" t="str">
        <f>'[1]3нед'!X295</f>
        <v/>
      </c>
      <c r="H107" s="38"/>
      <c r="I107" s="71"/>
      <c r="J107" s="88"/>
      <c r="K107" s="14" t="s">
        <v>21</v>
      </c>
      <c r="L107" s="20">
        <f>'[1]4нед'!S295</f>
        <v>0</v>
      </c>
      <c r="M107" s="23">
        <f>'[1]4нед'!T295</f>
        <v>0</v>
      </c>
      <c r="N107" s="21">
        <f>'[1]4нед'!W295</f>
        <v>0</v>
      </c>
      <c r="O107" s="22" t="str">
        <f>'[1]4нед'!X295</f>
        <v/>
      </c>
      <c r="P107" s="38"/>
    </row>
    <row r="108" spans="1:16" ht="31.5" x14ac:dyDescent="0.2">
      <c r="A108" s="82"/>
      <c r="B108" s="85"/>
      <c r="C108" s="14" t="s">
        <v>22</v>
      </c>
      <c r="D108" s="20">
        <f>'[1]3нед'!S296</f>
        <v>0</v>
      </c>
      <c r="E108" s="23">
        <f>'[1]3нед'!T296</f>
        <v>0</v>
      </c>
      <c r="F108" s="21">
        <f>'[1]3нед'!W296</f>
        <v>0</v>
      </c>
      <c r="G108" s="22" t="str">
        <f>'[1]3нед'!X296</f>
        <v/>
      </c>
      <c r="H108" s="38"/>
      <c r="I108" s="71"/>
      <c r="J108" s="88"/>
      <c r="K108" s="14" t="s">
        <v>22</v>
      </c>
      <c r="L108" s="20">
        <f>'[1]4нед'!S296</f>
        <v>0</v>
      </c>
      <c r="M108" s="23">
        <f>'[1]4нед'!T296</f>
        <v>0</v>
      </c>
      <c r="N108" s="21">
        <f>'[1]4нед'!W296</f>
        <v>0</v>
      </c>
      <c r="O108" s="22" t="str">
        <f>'[1]4нед'!X296</f>
        <v/>
      </c>
      <c r="P108" s="38"/>
    </row>
    <row r="109" spans="1:16" ht="31.5" x14ac:dyDescent="0.2">
      <c r="A109" s="82"/>
      <c r="B109" s="85"/>
      <c r="C109" s="14" t="s">
        <v>23</v>
      </c>
      <c r="D109" s="20">
        <f>'[1]3нед'!S297</f>
        <v>0</v>
      </c>
      <c r="E109" s="23">
        <f>'[1]3нед'!T297</f>
        <v>0</v>
      </c>
      <c r="F109" s="21">
        <f>'[1]3нед'!W297</f>
        <v>0</v>
      </c>
      <c r="G109" s="22" t="str">
        <f>'[1]3нед'!X297</f>
        <v/>
      </c>
      <c r="H109" s="38"/>
      <c r="I109" s="71"/>
      <c r="J109" s="88"/>
      <c r="K109" s="14" t="s">
        <v>23</v>
      </c>
      <c r="L109" s="20">
        <f>'[1]4нед'!S297</f>
        <v>0</v>
      </c>
      <c r="M109" s="23">
        <f>'[1]4нед'!T297</f>
        <v>0</v>
      </c>
      <c r="N109" s="21">
        <f>'[1]4нед'!W297</f>
        <v>0</v>
      </c>
      <c r="O109" s="22" t="str">
        <f>'[1]4нед'!X297</f>
        <v/>
      </c>
      <c r="P109" s="38"/>
    </row>
    <row r="110" spans="1:16" ht="32.25" thickBot="1" x14ac:dyDescent="0.25">
      <c r="A110" s="82"/>
      <c r="B110" s="85"/>
      <c r="C110" s="14" t="s">
        <v>24</v>
      </c>
      <c r="D110" s="20">
        <f>'[1]3нед'!S298</f>
        <v>0</v>
      </c>
      <c r="E110" s="23">
        <f>'[1]3нед'!T298</f>
        <v>0</v>
      </c>
      <c r="F110" s="21">
        <f>'[1]3нед'!W298</f>
        <v>0</v>
      </c>
      <c r="G110" s="22" t="str">
        <f>'[1]3нед'!X298</f>
        <v/>
      </c>
      <c r="H110" s="38"/>
      <c r="I110" s="71"/>
      <c r="J110" s="88"/>
      <c r="K110" s="14" t="s">
        <v>24</v>
      </c>
      <c r="L110" s="20">
        <f>'[1]4нед'!S298</f>
        <v>0</v>
      </c>
      <c r="M110" s="23">
        <f>'[1]4нед'!T298</f>
        <v>0</v>
      </c>
      <c r="N110" s="21">
        <f>'[1]4нед'!W298</f>
        <v>0</v>
      </c>
      <c r="O110" s="22" t="str">
        <f>'[1]4нед'!X298</f>
        <v/>
      </c>
      <c r="P110" s="38"/>
    </row>
    <row r="111" spans="1:16" ht="18.399999999999999" hidden="1" customHeight="1" thickBot="1" x14ac:dyDescent="0.25">
      <c r="A111" s="83"/>
      <c r="B111" s="86"/>
      <c r="C111" s="15"/>
      <c r="D111" s="24">
        <f>'[1]3нед'!S299</f>
        <v>0</v>
      </c>
      <c r="E111" s="25">
        <f>'[1]3нед'!T299</f>
        <v>0</v>
      </c>
      <c r="F111" s="26">
        <f>'[1]3нед'!W299</f>
        <v>0</v>
      </c>
      <c r="G111" s="27" t="str">
        <f>'[1]3нед'!X299</f>
        <v/>
      </c>
      <c r="H111" s="39"/>
      <c r="I111" s="72"/>
      <c r="J111" s="89"/>
      <c r="K111" s="15"/>
      <c r="L111" s="24">
        <f>'[1]4нед'!S299</f>
        <v>0</v>
      </c>
      <c r="M111" s="25">
        <f>'[1]4нед'!T299</f>
        <v>0</v>
      </c>
      <c r="N111" s="26">
        <f>'[1]4нед'!W299</f>
        <v>0</v>
      </c>
      <c r="O111" s="27" t="str">
        <f>'[1]4нед'!X299</f>
        <v/>
      </c>
      <c r="P111" s="39"/>
    </row>
    <row r="112" spans="1:16" ht="48" customHeight="1" thickTop="1" x14ac:dyDescent="0.2">
      <c r="A112" s="70">
        <v>46284</v>
      </c>
      <c r="B112" s="84" t="s">
        <v>29</v>
      </c>
      <c r="C112" s="29" t="s">
        <v>18</v>
      </c>
      <c r="D112" s="16">
        <f>'[1]3нед'!S300</f>
        <v>0</v>
      </c>
      <c r="E112" s="19">
        <f>'[1]3нед'!T300</f>
        <v>0</v>
      </c>
      <c r="F112" s="17">
        <f>'[1]3нед'!W300</f>
        <v>0</v>
      </c>
      <c r="G112" s="18" t="str">
        <f>'[1]3нед'!X300</f>
        <v/>
      </c>
      <c r="H112" s="40"/>
      <c r="I112" s="70">
        <v>46291</v>
      </c>
      <c r="J112" s="87" t="s">
        <v>29</v>
      </c>
      <c r="K112" s="29" t="s">
        <v>18</v>
      </c>
      <c r="L112" s="16">
        <f>'[1]4нед'!S300</f>
        <v>0</v>
      </c>
      <c r="M112" s="19">
        <f>'[1]4нед'!T300</f>
        <v>0</v>
      </c>
      <c r="N112" s="17">
        <f>'[1]4нед'!W300</f>
        <v>0</v>
      </c>
      <c r="O112" s="18" t="str">
        <f>'[1]4нед'!X300</f>
        <v/>
      </c>
      <c r="P112" s="40"/>
    </row>
    <row r="113" spans="1:16" ht="31.5" x14ac:dyDescent="0.2">
      <c r="A113" s="82"/>
      <c r="B113" s="85"/>
      <c r="C113" s="14" t="s">
        <v>19</v>
      </c>
      <c r="D113" s="20">
        <f>'[1]3нед'!S301</f>
        <v>0</v>
      </c>
      <c r="E113" s="23">
        <f>'[1]3нед'!T301</f>
        <v>0</v>
      </c>
      <c r="F113" s="21">
        <f>'[1]3нед'!W301</f>
        <v>0</v>
      </c>
      <c r="G113" s="22" t="str">
        <f>'[1]3нед'!X301</f>
        <v/>
      </c>
      <c r="H113" s="38"/>
      <c r="I113" s="71"/>
      <c r="J113" s="88"/>
      <c r="K113" s="14" t="s">
        <v>19</v>
      </c>
      <c r="L113" s="20">
        <f>'[1]4нед'!S301</f>
        <v>0</v>
      </c>
      <c r="M113" s="23">
        <f>'[1]4нед'!T301</f>
        <v>0</v>
      </c>
      <c r="N113" s="21">
        <f>'[1]4нед'!W301</f>
        <v>0</v>
      </c>
      <c r="O113" s="22" t="str">
        <f>'[1]4нед'!X301</f>
        <v/>
      </c>
      <c r="P113" s="38"/>
    </row>
    <row r="114" spans="1:16" ht="31.5" x14ac:dyDescent="0.2">
      <c r="A114" s="82"/>
      <c r="B114" s="85"/>
      <c r="C114" s="14" t="s">
        <v>20</v>
      </c>
      <c r="D114" s="20">
        <f>'[1]3нед'!S302</f>
        <v>0</v>
      </c>
      <c r="E114" s="23">
        <f>'[1]3нед'!T302</f>
        <v>0</v>
      </c>
      <c r="F114" s="21">
        <f>'[1]3нед'!W302</f>
        <v>0</v>
      </c>
      <c r="G114" s="22" t="str">
        <f>'[1]3нед'!X302</f>
        <v/>
      </c>
      <c r="H114" s="43"/>
      <c r="I114" s="71"/>
      <c r="J114" s="88"/>
      <c r="K114" s="14" t="s">
        <v>20</v>
      </c>
      <c r="L114" s="20">
        <f>'[1]4нед'!S302</f>
        <v>0</v>
      </c>
      <c r="M114" s="23">
        <f>'[1]4нед'!T302</f>
        <v>0</v>
      </c>
      <c r="N114" s="21">
        <f>'[1]4нед'!W302</f>
        <v>0</v>
      </c>
      <c r="O114" s="22" t="str">
        <f>'[1]4нед'!X302</f>
        <v/>
      </c>
      <c r="P114" s="43"/>
    </row>
    <row r="115" spans="1:16" ht="31.5" x14ac:dyDescent="0.2">
      <c r="A115" s="82"/>
      <c r="B115" s="85"/>
      <c r="C115" s="14" t="s">
        <v>21</v>
      </c>
      <c r="D115" s="20">
        <f>'[1]3нед'!S303</f>
        <v>0</v>
      </c>
      <c r="E115" s="23">
        <f>'[1]3нед'!T303</f>
        <v>0</v>
      </c>
      <c r="F115" s="21">
        <f>'[1]3нед'!W303</f>
        <v>0</v>
      </c>
      <c r="G115" s="22" t="str">
        <f>'[1]3нед'!X303</f>
        <v/>
      </c>
      <c r="H115" s="38"/>
      <c r="I115" s="71"/>
      <c r="J115" s="88"/>
      <c r="K115" s="14" t="s">
        <v>21</v>
      </c>
      <c r="L115" s="20">
        <f>'[1]4нед'!S303</f>
        <v>0</v>
      </c>
      <c r="M115" s="23">
        <f>'[1]4нед'!T303</f>
        <v>0</v>
      </c>
      <c r="N115" s="21">
        <f>'[1]4нед'!W303</f>
        <v>0</v>
      </c>
      <c r="O115" s="22" t="str">
        <f>'[1]4нед'!X303</f>
        <v/>
      </c>
      <c r="P115" s="38"/>
    </row>
    <row r="116" spans="1:16" ht="31.5" x14ac:dyDescent="0.2">
      <c r="A116" s="82"/>
      <c r="B116" s="85"/>
      <c r="C116" s="14" t="s">
        <v>22</v>
      </c>
      <c r="D116" s="20">
        <f>'[1]3нед'!S304</f>
        <v>0</v>
      </c>
      <c r="E116" s="23">
        <f>'[1]3нед'!T304</f>
        <v>0</v>
      </c>
      <c r="F116" s="21">
        <f>'[1]3нед'!W304</f>
        <v>0</v>
      </c>
      <c r="G116" s="22" t="str">
        <f>'[1]3нед'!X304</f>
        <v/>
      </c>
      <c r="H116" s="38"/>
      <c r="I116" s="71"/>
      <c r="J116" s="88"/>
      <c r="K116" s="14" t="s">
        <v>22</v>
      </c>
      <c r="L116" s="20">
        <f>'[1]4нед'!S304</f>
        <v>0</v>
      </c>
      <c r="M116" s="23">
        <f>'[1]4нед'!T304</f>
        <v>0</v>
      </c>
      <c r="N116" s="21">
        <f>'[1]4нед'!W304</f>
        <v>0</v>
      </c>
      <c r="O116" s="22" t="str">
        <f>'[1]4нед'!X304</f>
        <v/>
      </c>
      <c r="P116" s="38"/>
    </row>
    <row r="117" spans="1:16" ht="31.5" x14ac:dyDescent="0.2">
      <c r="A117" s="82"/>
      <c r="B117" s="85"/>
      <c r="C117" s="14" t="s">
        <v>23</v>
      </c>
      <c r="D117" s="20">
        <f>'[1]3нед'!S305</f>
        <v>0</v>
      </c>
      <c r="E117" s="23">
        <f>'[1]3нед'!T305</f>
        <v>0</v>
      </c>
      <c r="F117" s="21">
        <f>'[1]3нед'!W305</f>
        <v>0</v>
      </c>
      <c r="G117" s="22" t="str">
        <f>'[1]3нед'!X305</f>
        <v/>
      </c>
      <c r="H117" s="38"/>
      <c r="I117" s="71"/>
      <c r="J117" s="88"/>
      <c r="K117" s="14" t="s">
        <v>23</v>
      </c>
      <c r="L117" s="20">
        <f>'[1]4нед'!S305</f>
        <v>0</v>
      </c>
      <c r="M117" s="23">
        <f>'[1]4нед'!T305</f>
        <v>0</v>
      </c>
      <c r="N117" s="21">
        <f>'[1]4нед'!W305</f>
        <v>0</v>
      </c>
      <c r="O117" s="22" t="str">
        <f>'[1]4нед'!X305</f>
        <v/>
      </c>
      <c r="P117" s="38"/>
    </row>
    <row r="118" spans="1:16" ht="32.25" thickBot="1" x14ac:dyDescent="0.25">
      <c r="A118" s="82"/>
      <c r="B118" s="85"/>
      <c r="C118" s="14" t="s">
        <v>24</v>
      </c>
      <c r="D118" s="20">
        <f>'[1]3нед'!S306</f>
        <v>0</v>
      </c>
      <c r="E118" s="23">
        <f>'[1]3нед'!T306</f>
        <v>0</v>
      </c>
      <c r="F118" s="21">
        <f>'[1]3нед'!W306</f>
        <v>0</v>
      </c>
      <c r="G118" s="22" t="str">
        <f>'[1]3нед'!X306</f>
        <v/>
      </c>
      <c r="H118" s="38"/>
      <c r="I118" s="71"/>
      <c r="J118" s="88"/>
      <c r="K118" s="14" t="s">
        <v>24</v>
      </c>
      <c r="L118" s="20">
        <f>'[1]4нед'!S306</f>
        <v>0</v>
      </c>
      <c r="M118" s="23">
        <f>'[1]4нед'!T306</f>
        <v>0</v>
      </c>
      <c r="N118" s="21">
        <f>'[1]4нед'!W306</f>
        <v>0</v>
      </c>
      <c r="O118" s="22" t="str">
        <f>'[1]4нед'!X306</f>
        <v/>
      </c>
      <c r="P118" s="38"/>
    </row>
    <row r="119" spans="1:16" ht="19.149999999999999" hidden="1" customHeight="1" thickTop="1" thickBot="1" x14ac:dyDescent="0.25">
      <c r="A119" s="83"/>
      <c r="B119" s="86"/>
      <c r="C119" s="15"/>
      <c r="D119" s="16">
        <f>'[1]3нед'!S307</f>
        <v>0</v>
      </c>
      <c r="E119" s="19">
        <f>'[1]3нед'!T307</f>
        <v>0</v>
      </c>
      <c r="F119" s="17">
        <f>'[1]3нед'!W307</f>
        <v>0</v>
      </c>
      <c r="G119" s="18" t="str">
        <f>'[1]3нед'!X307</f>
        <v/>
      </c>
      <c r="H119" s="39"/>
      <c r="I119" s="72"/>
      <c r="J119" s="89"/>
      <c r="K119" s="15"/>
      <c r="L119" s="16">
        <f>'[1]4нед'!S245</f>
        <v>0</v>
      </c>
      <c r="M119" s="19">
        <f>'[1]4нед'!T245</f>
        <v>0</v>
      </c>
      <c r="N119" s="17">
        <f>'[1]4нед'!W245</f>
        <v>0</v>
      </c>
      <c r="O119" s="18" t="str">
        <f>'[1]4нед'!X245</f>
        <v/>
      </c>
      <c r="P119" s="39"/>
    </row>
    <row r="120" spans="1:16" ht="39" customHeight="1" thickTop="1" x14ac:dyDescent="0.2">
      <c r="A120" s="47"/>
      <c r="B120" s="30"/>
      <c r="C120" s="31"/>
      <c r="D120" s="32"/>
      <c r="E120" s="32" t="s">
        <v>30</v>
      </c>
      <c r="F120" s="32"/>
      <c r="G120" s="33" t="s">
        <v>31</v>
      </c>
      <c r="H120" s="41"/>
      <c r="I120" s="47"/>
      <c r="J120" s="30"/>
      <c r="K120" s="31"/>
      <c r="L120" s="32"/>
      <c r="M120" s="32" t="s">
        <v>30</v>
      </c>
      <c r="N120" s="32"/>
      <c r="O120" s="33" t="s">
        <v>31</v>
      </c>
      <c r="P120" s="41"/>
    </row>
    <row r="121" spans="1:16" ht="15.75" x14ac:dyDescent="0.25">
      <c r="A121" s="45"/>
      <c r="B121" s="1"/>
      <c r="C121" s="2"/>
      <c r="D121" s="3"/>
      <c r="E121" s="3"/>
      <c r="F121" s="3"/>
      <c r="G121" s="3"/>
      <c r="H121" s="4" t="s">
        <v>0</v>
      </c>
      <c r="I121" s="45"/>
      <c r="J121" s="1"/>
      <c r="K121" s="2"/>
      <c r="L121" s="3"/>
      <c r="M121" s="3"/>
      <c r="N121" s="3"/>
      <c r="O121" s="3"/>
      <c r="P121" s="4" t="s">
        <v>0</v>
      </c>
    </row>
    <row r="122" spans="1:16" ht="15.75" x14ac:dyDescent="0.25">
      <c r="A122" s="45"/>
      <c r="B122" s="1"/>
      <c r="C122" s="2"/>
      <c r="D122" s="3"/>
      <c r="E122" s="3"/>
      <c r="F122" s="3"/>
      <c r="G122" s="3"/>
      <c r="H122" s="4" t="s">
        <v>1</v>
      </c>
      <c r="I122" s="45"/>
      <c r="J122" s="1"/>
      <c r="K122" s="2"/>
      <c r="L122" s="3"/>
      <c r="M122" s="3"/>
      <c r="N122" s="3"/>
      <c r="O122" s="3"/>
      <c r="P122" s="4" t="s">
        <v>1</v>
      </c>
    </row>
    <row r="123" spans="1:16" ht="15.75" x14ac:dyDescent="0.25">
      <c r="A123" s="45"/>
      <c r="B123" s="1"/>
      <c r="C123" s="2"/>
      <c r="D123" s="3"/>
      <c r="E123" s="3"/>
      <c r="F123" s="3"/>
      <c r="G123" s="3"/>
      <c r="H123" s="4" t="s">
        <v>2</v>
      </c>
      <c r="I123" s="45"/>
      <c r="J123" s="1"/>
      <c r="K123" s="2"/>
      <c r="L123" s="3"/>
      <c r="M123" s="3"/>
      <c r="N123" s="3"/>
      <c r="O123" s="3"/>
      <c r="P123" s="4" t="s">
        <v>2</v>
      </c>
    </row>
    <row r="124" spans="1:16" ht="15.75" x14ac:dyDescent="0.25">
      <c r="A124" s="45"/>
      <c r="B124" s="1"/>
      <c r="C124" s="2"/>
      <c r="D124" s="3"/>
      <c r="E124" s="3"/>
      <c r="F124" s="3"/>
      <c r="G124" s="3"/>
      <c r="H124" s="4" t="s">
        <v>3</v>
      </c>
      <c r="I124" s="45"/>
      <c r="J124" s="1"/>
      <c r="K124" s="2"/>
      <c r="L124" s="3"/>
      <c r="M124" s="3"/>
      <c r="N124" s="3"/>
      <c r="O124" s="3"/>
      <c r="P124" s="4" t="s">
        <v>3</v>
      </c>
    </row>
    <row r="125" spans="1:16" ht="15.75" x14ac:dyDescent="0.25">
      <c r="A125" s="45"/>
      <c r="B125" s="5"/>
      <c r="C125" s="2"/>
      <c r="D125" s="3"/>
      <c r="E125" s="3"/>
      <c r="F125" s="3"/>
      <c r="G125" s="3"/>
      <c r="H125" s="3"/>
      <c r="I125" s="45"/>
      <c r="J125" s="5"/>
      <c r="K125" s="2"/>
      <c r="L125" s="3"/>
      <c r="M125" s="3"/>
      <c r="N125" s="3"/>
      <c r="O125" s="3"/>
      <c r="P125" s="3"/>
    </row>
    <row r="126" spans="1:16" ht="15.75" x14ac:dyDescent="0.25">
      <c r="A126" s="45"/>
      <c r="B126" s="90" t="s">
        <v>4</v>
      </c>
      <c r="C126" s="90"/>
      <c r="D126" s="90"/>
      <c r="E126" s="90"/>
      <c r="F126" s="90"/>
      <c r="G126" s="90"/>
      <c r="H126" s="90"/>
      <c r="I126" s="45"/>
      <c r="J126" s="90" t="s">
        <v>4</v>
      </c>
      <c r="K126" s="90"/>
      <c r="L126" s="90"/>
      <c r="M126" s="90"/>
      <c r="N126" s="90"/>
      <c r="O126" s="90"/>
      <c r="P126" s="90"/>
    </row>
    <row r="127" spans="1:16" ht="15.75" x14ac:dyDescent="0.2">
      <c r="A127" s="46"/>
      <c r="B127" s="62" t="str">
        <f>'[1]1нед'!$A$6</f>
        <v>Направление подготовки:</v>
      </c>
      <c r="C127" s="6"/>
      <c r="D127" s="7"/>
      <c r="E127" s="8" t="str">
        <f>E7</f>
        <v>09.03.04Программная инженерия (Программно-информационные системы)</v>
      </c>
      <c r="F127" s="7"/>
      <c r="G127" s="7"/>
      <c r="H127" s="36" t="str">
        <f>H7</f>
        <v>12-26ПИ1з</v>
      </c>
      <c r="I127" s="46"/>
      <c r="J127" s="62" t="str">
        <f>'[1]1нед'!$A$6</f>
        <v>Направление подготовки:</v>
      </c>
      <c r="K127" s="6"/>
      <c r="L127" s="7"/>
      <c r="M127" s="8" t="str">
        <f>E7</f>
        <v>09.03.04Программная инженерия (Программно-информационные системы)</v>
      </c>
      <c r="N127" s="7"/>
      <c r="O127" s="7"/>
      <c r="P127" s="36" t="str">
        <f>H7</f>
        <v>12-26ПИ1з</v>
      </c>
    </row>
    <row r="128" spans="1:16" ht="15.75" x14ac:dyDescent="0.25">
      <c r="A128" s="45"/>
      <c r="B128" s="81" t="s">
        <v>5</v>
      </c>
      <c r="C128" s="81"/>
      <c r="D128" s="81"/>
      <c r="E128" s="81" t="str">
        <f>E8</f>
        <v>очно-заочная</v>
      </c>
      <c r="F128" s="81"/>
      <c r="G128" s="81"/>
      <c r="H128" s="81"/>
      <c r="I128" s="45"/>
      <c r="J128" s="81" t="s">
        <v>5</v>
      </c>
      <c r="K128" s="81"/>
      <c r="L128" s="81"/>
      <c r="M128" s="81" t="str">
        <f t="shared" ref="M128" si="1">E8</f>
        <v>очно-заочная</v>
      </c>
      <c r="N128" s="81"/>
      <c r="O128" s="81"/>
      <c r="P128" s="81"/>
    </row>
    <row r="129" spans="1:16" ht="15.75" x14ac:dyDescent="0.25">
      <c r="A129" s="45"/>
      <c r="B129" s="81" t="s">
        <v>7</v>
      </c>
      <c r="C129" s="81"/>
      <c r="D129" s="81"/>
      <c r="E129" s="62">
        <f>E9</f>
        <v>3</v>
      </c>
      <c r="F129" s="62"/>
      <c r="G129" s="62"/>
      <c r="H129" s="35"/>
      <c r="I129" s="45"/>
      <c r="J129" s="81" t="s">
        <v>7</v>
      </c>
      <c r="K129" s="81"/>
      <c r="L129" s="81"/>
      <c r="M129" s="62">
        <f>E9</f>
        <v>3</v>
      </c>
      <c r="N129" s="62"/>
      <c r="O129" s="62"/>
      <c r="P129" s="35"/>
    </row>
    <row r="130" spans="1:16" ht="16.5" thickBot="1" x14ac:dyDescent="0.3">
      <c r="A130" s="45"/>
      <c r="B130" s="93" t="s">
        <v>8</v>
      </c>
      <c r="C130" s="93"/>
      <c r="D130" s="93"/>
      <c r="E130" s="63">
        <f>M70+1</f>
        <v>5</v>
      </c>
      <c r="F130" s="63"/>
      <c r="G130" s="63"/>
      <c r="H130" s="37"/>
      <c r="I130" s="45"/>
      <c r="J130" s="93" t="s">
        <v>8</v>
      </c>
      <c r="K130" s="93"/>
      <c r="L130" s="93"/>
      <c r="M130" s="63">
        <f>E130+1</f>
        <v>6</v>
      </c>
      <c r="N130" s="63"/>
      <c r="O130" s="63"/>
      <c r="P130" s="37"/>
    </row>
    <row r="131" spans="1:16" ht="46.5" customHeight="1" thickTop="1" thickBot="1" x14ac:dyDescent="0.25">
      <c r="A131" s="79" t="s">
        <v>9</v>
      </c>
      <c r="B131" s="80"/>
      <c r="C131" s="10" t="s">
        <v>10</v>
      </c>
      <c r="D131" s="11" t="s">
        <v>11</v>
      </c>
      <c r="E131" s="12" t="s">
        <v>12</v>
      </c>
      <c r="F131" s="91" t="s">
        <v>13</v>
      </c>
      <c r="G131" s="92"/>
      <c r="H131" s="13" t="s">
        <v>14</v>
      </c>
      <c r="I131" s="79" t="s">
        <v>9</v>
      </c>
      <c r="J131" s="80"/>
      <c r="K131" s="10" t="s">
        <v>10</v>
      </c>
      <c r="L131" s="11" t="s">
        <v>11</v>
      </c>
      <c r="M131" s="12" t="s">
        <v>12</v>
      </c>
      <c r="N131" s="91" t="s">
        <v>13</v>
      </c>
      <c r="O131" s="92"/>
      <c r="P131" s="13" t="s">
        <v>14</v>
      </c>
    </row>
    <row r="132" spans="1:16" ht="35.1" customHeight="1" thickTop="1" x14ac:dyDescent="0.2">
      <c r="A132" s="70">
        <v>46293</v>
      </c>
      <c r="B132" s="84" t="s">
        <v>17</v>
      </c>
      <c r="C132" s="14" t="s">
        <v>18</v>
      </c>
      <c r="D132" s="16">
        <f>'[3]5нед'!S260</f>
        <v>0</v>
      </c>
      <c r="E132" s="19">
        <f>'[3]5нед'!T260</f>
        <v>0</v>
      </c>
      <c r="F132" s="17">
        <f>'[3]5нед'!W260</f>
        <v>0</v>
      </c>
      <c r="G132" s="18" t="str">
        <f>'[3]5нед'!X260</f>
        <v/>
      </c>
      <c r="H132" s="40"/>
      <c r="I132" s="70">
        <v>46300</v>
      </c>
      <c r="J132" s="87" t="s">
        <v>17</v>
      </c>
      <c r="K132" s="14" t="s">
        <v>18</v>
      </c>
      <c r="L132" s="16">
        <f>'[3]6нед'!S260</f>
        <v>0</v>
      </c>
      <c r="M132" s="19">
        <f>'[3]6нед'!T260</f>
        <v>0</v>
      </c>
      <c r="N132" s="17">
        <f>'[3]6нед'!W260</f>
        <v>0</v>
      </c>
      <c r="O132" s="18" t="str">
        <f>'[3]6нед'!X260</f>
        <v/>
      </c>
      <c r="P132" s="40"/>
    </row>
    <row r="133" spans="1:16" ht="31.5" x14ac:dyDescent="0.2">
      <c r="A133" s="82"/>
      <c r="B133" s="85"/>
      <c r="C133" s="14" t="s">
        <v>19</v>
      </c>
      <c r="D133" s="20">
        <f>'[3]5нед'!S261</f>
        <v>0</v>
      </c>
      <c r="E133" s="23">
        <f>'[3]5нед'!T261</f>
        <v>0</v>
      </c>
      <c r="F133" s="21">
        <f>'[3]5нед'!W261</f>
        <v>0</v>
      </c>
      <c r="G133" s="22" t="str">
        <f>'[3]5нед'!X261</f>
        <v/>
      </c>
      <c r="H133" s="38"/>
      <c r="I133" s="71"/>
      <c r="J133" s="88"/>
      <c r="K133" s="14" t="s">
        <v>19</v>
      </c>
      <c r="L133" s="20">
        <f>'[3]6нед'!S261</f>
        <v>0</v>
      </c>
      <c r="M133" s="23">
        <f>'[3]6нед'!T261</f>
        <v>0</v>
      </c>
      <c r="N133" s="21">
        <f>'[3]6нед'!W261</f>
        <v>0</v>
      </c>
      <c r="O133" s="22" t="str">
        <f>'[3]6нед'!X261</f>
        <v/>
      </c>
      <c r="P133" s="38"/>
    </row>
    <row r="134" spans="1:16" ht="31.5" x14ac:dyDescent="0.2">
      <c r="A134" s="82"/>
      <c r="B134" s="85"/>
      <c r="C134" s="14" t="s">
        <v>20</v>
      </c>
      <c r="D134" s="20">
        <f>'[3]5нед'!S262</f>
        <v>0</v>
      </c>
      <c r="E134" s="23">
        <f>'[3]5нед'!T262</f>
        <v>0</v>
      </c>
      <c r="F134" s="21">
        <f>'[3]5нед'!W262</f>
        <v>0</v>
      </c>
      <c r="G134" s="22" t="str">
        <f>'[3]5нед'!X262</f>
        <v/>
      </c>
      <c r="H134" s="38"/>
      <c r="I134" s="71"/>
      <c r="J134" s="88"/>
      <c r="K134" s="14" t="s">
        <v>20</v>
      </c>
      <c r="L134" s="20">
        <f>'[3]6нед'!S262</f>
        <v>0</v>
      </c>
      <c r="M134" s="23">
        <f>'[3]6нед'!T262</f>
        <v>0</v>
      </c>
      <c r="N134" s="21">
        <f>'[3]6нед'!W262</f>
        <v>0</v>
      </c>
      <c r="O134" s="22" t="str">
        <f>'[3]6нед'!X262</f>
        <v/>
      </c>
      <c r="P134" s="38"/>
    </row>
    <row r="135" spans="1:16" ht="31.5" x14ac:dyDescent="0.2">
      <c r="A135" s="82"/>
      <c r="B135" s="85"/>
      <c r="C135" s="14" t="s">
        <v>21</v>
      </c>
      <c r="D135" s="20">
        <f>'[3]5нед'!S263</f>
        <v>0</v>
      </c>
      <c r="E135" s="23">
        <f>'[3]5нед'!T263</f>
        <v>0</v>
      </c>
      <c r="F135" s="21">
        <f>'[3]5нед'!W263</f>
        <v>0</v>
      </c>
      <c r="G135" s="22" t="str">
        <f>'[3]5нед'!X263</f>
        <v/>
      </c>
      <c r="H135" s="38"/>
      <c r="I135" s="71"/>
      <c r="J135" s="88"/>
      <c r="K135" s="14" t="s">
        <v>21</v>
      </c>
      <c r="L135" s="20">
        <f>'[3]6нед'!S263</f>
        <v>0</v>
      </c>
      <c r="M135" s="23">
        <f>'[3]6нед'!T263</f>
        <v>0</v>
      </c>
      <c r="N135" s="21">
        <f>'[3]6нед'!W263</f>
        <v>0</v>
      </c>
      <c r="O135" s="22" t="str">
        <f>'[3]6нед'!X263</f>
        <v/>
      </c>
      <c r="P135" s="38"/>
    </row>
    <row r="136" spans="1:16" ht="31.5" x14ac:dyDescent="0.2">
      <c r="A136" s="82"/>
      <c r="B136" s="85"/>
      <c r="C136" s="14" t="s">
        <v>22</v>
      </c>
      <c r="D136" s="20">
        <f>'[3]5нед'!S264</f>
        <v>0</v>
      </c>
      <c r="E136" s="23">
        <f>'[3]5нед'!T264</f>
        <v>0</v>
      </c>
      <c r="F136" s="21">
        <f>'[3]5нед'!W264</f>
        <v>0</v>
      </c>
      <c r="G136" s="22" t="str">
        <f>'[3]5нед'!X264</f>
        <v/>
      </c>
      <c r="H136" s="38"/>
      <c r="I136" s="71"/>
      <c r="J136" s="88"/>
      <c r="K136" s="14" t="s">
        <v>22</v>
      </c>
      <c r="L136" s="20">
        <f>'[3]6нед'!S264</f>
        <v>0</v>
      </c>
      <c r="M136" s="23">
        <f>'[3]6нед'!T264</f>
        <v>0</v>
      </c>
      <c r="N136" s="21">
        <f>'[3]6нед'!W264</f>
        <v>0</v>
      </c>
      <c r="O136" s="22" t="str">
        <f>'[3]6нед'!X264</f>
        <v/>
      </c>
      <c r="P136" s="38"/>
    </row>
    <row r="137" spans="1:16" ht="31.5" x14ac:dyDescent="0.2">
      <c r="A137" s="82"/>
      <c r="B137" s="85"/>
      <c r="C137" s="14" t="s">
        <v>23</v>
      </c>
      <c r="D137" s="20">
        <f>'[3]5нед'!S265</f>
        <v>0</v>
      </c>
      <c r="E137" s="23">
        <f>'[3]5нед'!T265</f>
        <v>0</v>
      </c>
      <c r="F137" s="21">
        <f>'[3]5нед'!W265</f>
        <v>0</v>
      </c>
      <c r="G137" s="22" t="str">
        <f>'[3]5нед'!X265</f>
        <v/>
      </c>
      <c r="H137" s="38"/>
      <c r="I137" s="71"/>
      <c r="J137" s="88"/>
      <c r="K137" s="14" t="s">
        <v>23</v>
      </c>
      <c r="L137" s="20">
        <f>'[3]6нед'!S265</f>
        <v>0</v>
      </c>
      <c r="M137" s="23">
        <f>'[3]6нед'!T265</f>
        <v>0</v>
      </c>
      <c r="N137" s="21">
        <f>'[3]6нед'!W265</f>
        <v>0</v>
      </c>
      <c r="O137" s="22" t="str">
        <f>'[3]6нед'!X265</f>
        <v/>
      </c>
      <c r="P137" s="38"/>
    </row>
    <row r="138" spans="1:16" ht="32.25" thickBot="1" x14ac:dyDescent="0.25">
      <c r="A138" s="82"/>
      <c r="B138" s="85"/>
      <c r="C138" s="14" t="s">
        <v>24</v>
      </c>
      <c r="D138" s="20">
        <f>'[3]5нед'!S266</f>
        <v>0</v>
      </c>
      <c r="E138" s="23">
        <f>'[3]5нед'!T266</f>
        <v>0</v>
      </c>
      <c r="F138" s="21">
        <f>'[3]5нед'!W266</f>
        <v>0</v>
      </c>
      <c r="G138" s="22" t="str">
        <f>'[3]5нед'!X266</f>
        <v/>
      </c>
      <c r="H138" s="38"/>
      <c r="I138" s="71"/>
      <c r="J138" s="88"/>
      <c r="K138" s="14" t="s">
        <v>24</v>
      </c>
      <c r="L138" s="20">
        <f>'[3]6нед'!S266</f>
        <v>0</v>
      </c>
      <c r="M138" s="23">
        <f>'[3]6нед'!T266</f>
        <v>0</v>
      </c>
      <c r="N138" s="21">
        <f>'[3]6нед'!W266</f>
        <v>0</v>
      </c>
      <c r="O138" s="22" t="str">
        <f>'[3]6нед'!X266</f>
        <v/>
      </c>
      <c r="P138" s="38"/>
    </row>
    <row r="139" spans="1:16" ht="18.399999999999999" hidden="1" customHeight="1" thickBot="1" x14ac:dyDescent="0.25">
      <c r="A139" s="83"/>
      <c r="B139" s="86"/>
      <c r="C139" s="15"/>
      <c r="D139" s="24">
        <f>'[3]5нед'!S267</f>
        <v>0</v>
      </c>
      <c r="E139" s="25">
        <f>'[3]5нед'!T267</f>
        <v>0</v>
      </c>
      <c r="F139" s="26">
        <f>'[3]5нед'!W267</f>
        <v>0</v>
      </c>
      <c r="G139" s="27" t="str">
        <f>'[3]5нед'!X267</f>
        <v/>
      </c>
      <c r="H139" s="39"/>
      <c r="I139" s="72"/>
      <c r="J139" s="89"/>
      <c r="K139" s="15"/>
      <c r="L139" s="24">
        <f>'[3]6нед'!S267</f>
        <v>0</v>
      </c>
      <c r="M139" s="25">
        <f>'[3]6нед'!T267</f>
        <v>0</v>
      </c>
      <c r="N139" s="26">
        <f>'[3]6нед'!W267</f>
        <v>0</v>
      </c>
      <c r="O139" s="27" t="str">
        <f>'[3]6нед'!X267</f>
        <v/>
      </c>
      <c r="P139" s="39"/>
    </row>
    <row r="140" spans="1:16" ht="32.25" customHeight="1" thickTop="1" x14ac:dyDescent="0.2">
      <c r="A140" s="70">
        <v>46294</v>
      </c>
      <c r="B140" s="84" t="s">
        <v>25</v>
      </c>
      <c r="C140" s="29" t="s">
        <v>18</v>
      </c>
      <c r="D140" s="16">
        <f>'[3]5нед'!S268</f>
        <v>0</v>
      </c>
      <c r="E140" s="19">
        <f>'[3]5нед'!T268</f>
        <v>0</v>
      </c>
      <c r="F140" s="17">
        <f>'[3]5нед'!W268</f>
        <v>0</v>
      </c>
      <c r="G140" s="18" t="str">
        <f>'[3]5нед'!X268</f>
        <v/>
      </c>
      <c r="H140" s="40"/>
      <c r="I140" s="70">
        <v>46301</v>
      </c>
      <c r="J140" s="87" t="s">
        <v>25</v>
      </c>
      <c r="K140" s="29" t="s">
        <v>18</v>
      </c>
      <c r="L140" s="16">
        <f>'[3]6нед'!S268</f>
        <v>0</v>
      </c>
      <c r="M140" s="19">
        <f>'[3]6нед'!T268</f>
        <v>0</v>
      </c>
      <c r="N140" s="17">
        <f>'[3]6нед'!W268</f>
        <v>0</v>
      </c>
      <c r="O140" s="18" t="str">
        <f>'[3]6нед'!X268</f>
        <v/>
      </c>
      <c r="P140" s="40"/>
    </row>
    <row r="141" spans="1:16" ht="31.5" x14ac:dyDescent="0.2">
      <c r="A141" s="82"/>
      <c r="B141" s="85"/>
      <c r="C141" s="14" t="s">
        <v>19</v>
      </c>
      <c r="D141" s="20">
        <f>'[3]5нед'!S269</f>
        <v>0</v>
      </c>
      <c r="E141" s="23">
        <f>'[3]5нед'!T269</f>
        <v>0</v>
      </c>
      <c r="F141" s="21">
        <f>'[3]5нед'!W269</f>
        <v>0</v>
      </c>
      <c r="G141" s="22" t="str">
        <f>'[3]5нед'!X269</f>
        <v/>
      </c>
      <c r="H141" s="38"/>
      <c r="I141" s="71"/>
      <c r="J141" s="88"/>
      <c r="K141" s="14" t="s">
        <v>19</v>
      </c>
      <c r="L141" s="20">
        <f>'[3]6нед'!S269</f>
        <v>0</v>
      </c>
      <c r="M141" s="23">
        <f>'[3]6нед'!T269</f>
        <v>0</v>
      </c>
      <c r="N141" s="21">
        <f>'[3]6нед'!W269</f>
        <v>0</v>
      </c>
      <c r="O141" s="22" t="str">
        <f>'[3]6нед'!X269</f>
        <v/>
      </c>
      <c r="P141" s="38"/>
    </row>
    <row r="142" spans="1:16" ht="31.5" x14ac:dyDescent="0.2">
      <c r="A142" s="82"/>
      <c r="B142" s="85"/>
      <c r="C142" s="14" t="s">
        <v>20</v>
      </c>
      <c r="D142" s="20">
        <f>'[3]5нед'!S270</f>
        <v>0</v>
      </c>
      <c r="E142" s="23">
        <f>'[3]5нед'!T270</f>
        <v>0</v>
      </c>
      <c r="F142" s="21">
        <f>'[3]5нед'!W270</f>
        <v>0</v>
      </c>
      <c r="G142" s="22" t="str">
        <f>'[3]5нед'!X270</f>
        <v/>
      </c>
      <c r="H142" s="38"/>
      <c r="I142" s="71"/>
      <c r="J142" s="88"/>
      <c r="K142" s="14" t="s">
        <v>20</v>
      </c>
      <c r="L142" s="20">
        <f>'[3]6нед'!S270</f>
        <v>0</v>
      </c>
      <c r="M142" s="23">
        <f>'[3]6нед'!T270</f>
        <v>0</v>
      </c>
      <c r="N142" s="21">
        <f>'[3]6нед'!W270</f>
        <v>0</v>
      </c>
      <c r="O142" s="22" t="str">
        <f>'[3]6нед'!X270</f>
        <v/>
      </c>
      <c r="P142" s="38"/>
    </row>
    <row r="143" spans="1:16" ht="31.5" x14ac:dyDescent="0.2">
      <c r="A143" s="82"/>
      <c r="B143" s="85"/>
      <c r="C143" s="14" t="s">
        <v>21</v>
      </c>
      <c r="D143" s="20">
        <f>'[3]5нед'!S271</f>
        <v>0</v>
      </c>
      <c r="E143" s="23">
        <f>'[3]5нед'!T271</f>
        <v>0</v>
      </c>
      <c r="F143" s="21">
        <f>'[3]5нед'!W271</f>
        <v>0</v>
      </c>
      <c r="G143" s="22" t="str">
        <f>'[3]5нед'!X271</f>
        <v/>
      </c>
      <c r="H143" s="38"/>
      <c r="I143" s="71"/>
      <c r="J143" s="88"/>
      <c r="K143" s="14" t="s">
        <v>21</v>
      </c>
      <c r="L143" s="20">
        <f>'[3]6нед'!S271</f>
        <v>0</v>
      </c>
      <c r="M143" s="23">
        <f>'[3]6нед'!T271</f>
        <v>0</v>
      </c>
      <c r="N143" s="21">
        <f>'[3]6нед'!W271</f>
        <v>0</v>
      </c>
      <c r="O143" s="22" t="str">
        <f>'[3]6нед'!X271</f>
        <v/>
      </c>
      <c r="P143" s="38"/>
    </row>
    <row r="144" spans="1:16" ht="31.5" x14ac:dyDescent="0.2">
      <c r="A144" s="82"/>
      <c r="B144" s="85"/>
      <c r="C144" s="14" t="s">
        <v>22</v>
      </c>
      <c r="D144" s="20">
        <f>'[3]5нед'!S272</f>
        <v>0</v>
      </c>
      <c r="E144" s="23">
        <f>'[3]5нед'!T272</f>
        <v>0</v>
      </c>
      <c r="F144" s="21">
        <f>'[3]5нед'!W272</f>
        <v>0</v>
      </c>
      <c r="G144" s="22" t="str">
        <f>'[3]5нед'!X272</f>
        <v/>
      </c>
      <c r="H144" s="38"/>
      <c r="I144" s="71"/>
      <c r="J144" s="88"/>
      <c r="K144" s="14" t="s">
        <v>22</v>
      </c>
      <c r="L144" s="20">
        <f>'[3]6нед'!S272</f>
        <v>0</v>
      </c>
      <c r="M144" s="23">
        <f>'[3]6нед'!T272</f>
        <v>0</v>
      </c>
      <c r="N144" s="21">
        <f>'[3]6нед'!W272</f>
        <v>0</v>
      </c>
      <c r="O144" s="22" t="str">
        <f>'[3]6нед'!X272</f>
        <v/>
      </c>
      <c r="P144" s="38"/>
    </row>
    <row r="145" spans="1:16" ht="31.5" x14ac:dyDescent="0.2">
      <c r="A145" s="82"/>
      <c r="B145" s="85"/>
      <c r="C145" s="14" t="s">
        <v>23</v>
      </c>
      <c r="D145" s="20">
        <f>'[3]5нед'!S273</f>
        <v>0</v>
      </c>
      <c r="E145" s="23">
        <f>'[3]5нед'!T273</f>
        <v>0</v>
      </c>
      <c r="F145" s="21">
        <f>'[3]5нед'!W273</f>
        <v>0</v>
      </c>
      <c r="G145" s="22" t="str">
        <f>'[3]5нед'!X273</f>
        <v/>
      </c>
      <c r="H145" s="34"/>
      <c r="I145" s="71"/>
      <c r="J145" s="88"/>
      <c r="K145" s="14" t="s">
        <v>23</v>
      </c>
      <c r="L145" s="20">
        <f>'[3]6нед'!S273</f>
        <v>0</v>
      </c>
      <c r="M145" s="23">
        <f>'[3]6нед'!T273</f>
        <v>0</v>
      </c>
      <c r="N145" s="21">
        <f>'[3]6нед'!W273</f>
        <v>0</v>
      </c>
      <c r="O145" s="22" t="str">
        <f>'[3]6нед'!X273</f>
        <v/>
      </c>
      <c r="P145" s="34"/>
    </row>
    <row r="146" spans="1:16" ht="32.25" thickBot="1" x14ac:dyDescent="0.25">
      <c r="A146" s="82"/>
      <c r="B146" s="85"/>
      <c r="C146" s="14" t="s">
        <v>24</v>
      </c>
      <c r="D146" s="20">
        <f>'[3]5нед'!S274</f>
        <v>0</v>
      </c>
      <c r="E146" s="23">
        <f>'[3]5нед'!T274</f>
        <v>0</v>
      </c>
      <c r="F146" s="21">
        <f>'[3]5нед'!W274</f>
        <v>0</v>
      </c>
      <c r="G146" s="22" t="str">
        <f>'[3]5нед'!X274</f>
        <v/>
      </c>
      <c r="H146" s="34"/>
      <c r="I146" s="71"/>
      <c r="J146" s="88"/>
      <c r="K146" s="14" t="s">
        <v>24</v>
      </c>
      <c r="L146" s="20">
        <f>'[3]6нед'!S274</f>
        <v>0</v>
      </c>
      <c r="M146" s="23">
        <f>'[3]6нед'!T274</f>
        <v>0</v>
      </c>
      <c r="N146" s="21">
        <f>'[3]6нед'!W274</f>
        <v>0</v>
      </c>
      <c r="O146" s="22" t="str">
        <f>'[3]6нед'!X274</f>
        <v/>
      </c>
      <c r="P146" s="34"/>
    </row>
    <row r="147" spans="1:16" ht="18.399999999999999" hidden="1" customHeight="1" thickBot="1" x14ac:dyDescent="0.25">
      <c r="A147" s="83"/>
      <c r="B147" s="86"/>
      <c r="C147" s="15"/>
      <c r="D147" s="24">
        <f>'[3]5нед'!S275</f>
        <v>0</v>
      </c>
      <c r="E147" s="25">
        <f>'[3]5нед'!T275</f>
        <v>0</v>
      </c>
      <c r="F147" s="26">
        <f>'[3]5нед'!W275</f>
        <v>0</v>
      </c>
      <c r="G147" s="27" t="str">
        <f>'[3]5нед'!X275</f>
        <v/>
      </c>
      <c r="H147" s="39"/>
      <c r="I147" s="72"/>
      <c r="J147" s="89"/>
      <c r="K147" s="15"/>
      <c r="L147" s="24">
        <f>'[3]6нед'!S275</f>
        <v>0</v>
      </c>
      <c r="M147" s="25">
        <f>'[3]6нед'!T275</f>
        <v>0</v>
      </c>
      <c r="N147" s="26">
        <f>'[3]6нед'!W275</f>
        <v>0</v>
      </c>
      <c r="O147" s="27" t="str">
        <f>'[3]6нед'!X275</f>
        <v/>
      </c>
      <c r="P147" s="39"/>
    </row>
    <row r="148" spans="1:16" ht="48" customHeight="1" thickTop="1" x14ac:dyDescent="0.2">
      <c r="A148" s="70">
        <v>46295</v>
      </c>
      <c r="B148" s="67" t="s">
        <v>26</v>
      </c>
      <c r="C148" s="29" t="s">
        <v>18</v>
      </c>
      <c r="D148" s="16">
        <f>'[3]5нед'!S276</f>
        <v>0</v>
      </c>
      <c r="E148" s="19">
        <f>'[3]5нед'!T276</f>
        <v>0</v>
      </c>
      <c r="F148" s="17">
        <f>'[3]5нед'!W276</f>
        <v>0</v>
      </c>
      <c r="G148" s="18" t="str">
        <f>'[3]5нед'!X276</f>
        <v/>
      </c>
      <c r="H148" s="40"/>
      <c r="I148" s="70">
        <v>46302</v>
      </c>
      <c r="J148" s="73" t="s">
        <v>26</v>
      </c>
      <c r="K148" s="29" t="s">
        <v>18</v>
      </c>
      <c r="L148" s="16">
        <f>'[3]6нед'!S276</f>
        <v>0</v>
      </c>
      <c r="M148" s="19">
        <f>'[3]6нед'!T276</f>
        <v>0</v>
      </c>
      <c r="N148" s="17">
        <f>'[3]6нед'!W276</f>
        <v>0</v>
      </c>
      <c r="O148" s="18" t="str">
        <f>'[3]6нед'!X276</f>
        <v/>
      </c>
      <c r="P148" s="40"/>
    </row>
    <row r="149" spans="1:16" ht="31.5" x14ac:dyDescent="0.2">
      <c r="A149" s="82"/>
      <c r="B149" s="68"/>
      <c r="C149" s="14" t="s">
        <v>19</v>
      </c>
      <c r="D149" s="20">
        <f>'[3]5нед'!S277</f>
        <v>0</v>
      </c>
      <c r="E149" s="23">
        <f>'[3]5нед'!T277</f>
        <v>0</v>
      </c>
      <c r="F149" s="21">
        <f>'[3]5нед'!W277</f>
        <v>0</v>
      </c>
      <c r="G149" s="22" t="str">
        <f>'[3]5нед'!X277</f>
        <v/>
      </c>
      <c r="H149" s="38"/>
      <c r="I149" s="71"/>
      <c r="J149" s="74"/>
      <c r="K149" s="14" t="s">
        <v>19</v>
      </c>
      <c r="L149" s="20">
        <f>'[3]6нед'!S277</f>
        <v>0</v>
      </c>
      <c r="M149" s="23">
        <f>'[3]6нед'!T277</f>
        <v>0</v>
      </c>
      <c r="N149" s="21">
        <f>'[3]6нед'!W277</f>
        <v>0</v>
      </c>
      <c r="O149" s="22" t="str">
        <f>'[3]6нед'!X277</f>
        <v/>
      </c>
      <c r="P149" s="38"/>
    </row>
    <row r="150" spans="1:16" ht="31.5" x14ac:dyDescent="0.2">
      <c r="A150" s="82"/>
      <c r="B150" s="68"/>
      <c r="C150" s="14" t="s">
        <v>20</v>
      </c>
      <c r="D150" s="20">
        <f>'[3]5нед'!S278</f>
        <v>0</v>
      </c>
      <c r="E150" s="23">
        <f>'[3]5нед'!T278</f>
        <v>0</v>
      </c>
      <c r="F150" s="21">
        <f>'[3]5нед'!W278</f>
        <v>0</v>
      </c>
      <c r="G150" s="22" t="str">
        <f>'[3]5нед'!X278</f>
        <v/>
      </c>
      <c r="H150" s="38"/>
      <c r="I150" s="71"/>
      <c r="J150" s="74"/>
      <c r="K150" s="14" t="s">
        <v>20</v>
      </c>
      <c r="L150" s="20">
        <f>'[3]6нед'!S278</f>
        <v>0</v>
      </c>
      <c r="M150" s="23">
        <f>'[3]6нед'!T278</f>
        <v>0</v>
      </c>
      <c r="N150" s="21">
        <f>'[3]6нед'!W278</f>
        <v>0</v>
      </c>
      <c r="O150" s="22" t="str">
        <f>'[3]6нед'!X278</f>
        <v/>
      </c>
      <c r="P150" s="38"/>
    </row>
    <row r="151" spans="1:16" ht="31.5" x14ac:dyDescent="0.2">
      <c r="A151" s="82"/>
      <c r="B151" s="68"/>
      <c r="C151" s="14" t="s">
        <v>21</v>
      </c>
      <c r="D151" s="20">
        <f>'[3]5нед'!S279</f>
        <v>0</v>
      </c>
      <c r="E151" s="23">
        <f>'[3]5нед'!T279</f>
        <v>0</v>
      </c>
      <c r="F151" s="21">
        <f>'[3]5нед'!W279</f>
        <v>0</v>
      </c>
      <c r="G151" s="22" t="str">
        <f>'[3]5нед'!X279</f>
        <v/>
      </c>
      <c r="H151" s="38"/>
      <c r="I151" s="71"/>
      <c r="J151" s="74"/>
      <c r="K151" s="14" t="s">
        <v>21</v>
      </c>
      <c r="L151" s="20">
        <f>'[3]6нед'!S279</f>
        <v>0</v>
      </c>
      <c r="M151" s="23">
        <f>'[3]6нед'!T279</f>
        <v>0</v>
      </c>
      <c r="N151" s="21">
        <f>'[3]6нед'!W279</f>
        <v>0</v>
      </c>
      <c r="O151" s="22" t="str">
        <f>'[3]6нед'!X279</f>
        <v/>
      </c>
      <c r="P151" s="38"/>
    </row>
    <row r="152" spans="1:16" ht="31.5" x14ac:dyDescent="0.2">
      <c r="A152" s="82"/>
      <c r="B152" s="68"/>
      <c r="C152" s="14" t="s">
        <v>22</v>
      </c>
      <c r="D152" s="20">
        <f>'[3]5нед'!S280</f>
        <v>0</v>
      </c>
      <c r="E152" s="23">
        <f>'[3]5нед'!T280</f>
        <v>0</v>
      </c>
      <c r="F152" s="21">
        <f>'[3]5нед'!W280</f>
        <v>0</v>
      </c>
      <c r="G152" s="22" t="str">
        <f>'[3]5нед'!X280</f>
        <v/>
      </c>
      <c r="H152" s="38"/>
      <c r="I152" s="71"/>
      <c r="J152" s="74"/>
      <c r="K152" s="14" t="s">
        <v>22</v>
      </c>
      <c r="L152" s="20">
        <f>'[3]6нед'!S280</f>
        <v>0</v>
      </c>
      <c r="M152" s="23">
        <f>'[3]6нед'!T280</f>
        <v>0</v>
      </c>
      <c r="N152" s="21">
        <f>'[3]6нед'!W280</f>
        <v>0</v>
      </c>
      <c r="O152" s="22" t="str">
        <f>'[3]6нед'!X280</f>
        <v/>
      </c>
      <c r="P152" s="38"/>
    </row>
    <row r="153" spans="1:16" ht="31.5" x14ac:dyDescent="0.2">
      <c r="A153" s="82"/>
      <c r="B153" s="68"/>
      <c r="C153" s="14" t="s">
        <v>23</v>
      </c>
      <c r="D153" s="20">
        <f>'[3]5нед'!S281</f>
        <v>0</v>
      </c>
      <c r="E153" s="23">
        <f>'[3]5нед'!T281</f>
        <v>0</v>
      </c>
      <c r="F153" s="21">
        <f>'[3]5нед'!W281</f>
        <v>0</v>
      </c>
      <c r="G153" s="22" t="str">
        <f>'[3]5нед'!X281</f>
        <v/>
      </c>
      <c r="H153" s="34"/>
      <c r="I153" s="71"/>
      <c r="J153" s="74"/>
      <c r="K153" s="14" t="s">
        <v>23</v>
      </c>
      <c r="L153" s="20">
        <f>'[3]6нед'!S281</f>
        <v>0</v>
      </c>
      <c r="M153" s="23">
        <f>'[3]6нед'!T281</f>
        <v>0</v>
      </c>
      <c r="N153" s="21">
        <f>'[3]6нед'!W281</f>
        <v>0</v>
      </c>
      <c r="O153" s="22" t="str">
        <f>'[3]6нед'!X281</f>
        <v/>
      </c>
      <c r="P153" s="34"/>
    </row>
    <row r="154" spans="1:16" ht="32.25" thickBot="1" x14ac:dyDescent="0.25">
      <c r="A154" s="82"/>
      <c r="B154" s="68"/>
      <c r="C154" s="14" t="s">
        <v>24</v>
      </c>
      <c r="D154" s="20">
        <f>'[3]5нед'!S282</f>
        <v>0</v>
      </c>
      <c r="E154" s="23">
        <f>'[3]5нед'!T282</f>
        <v>0</v>
      </c>
      <c r="F154" s="21">
        <f>'[3]5нед'!W282</f>
        <v>0</v>
      </c>
      <c r="G154" s="22" t="str">
        <f>'[3]5нед'!X282</f>
        <v/>
      </c>
      <c r="H154" s="34"/>
      <c r="I154" s="71"/>
      <c r="J154" s="74"/>
      <c r="K154" s="14" t="s">
        <v>24</v>
      </c>
      <c r="L154" s="20">
        <f>'[3]6нед'!S282</f>
        <v>0</v>
      </c>
      <c r="M154" s="23">
        <f>'[3]6нед'!T282</f>
        <v>0</v>
      </c>
      <c r="N154" s="21">
        <f>'[3]6нед'!W282</f>
        <v>0</v>
      </c>
      <c r="O154" s="22" t="str">
        <f>'[3]6нед'!X282</f>
        <v/>
      </c>
      <c r="P154" s="34"/>
    </row>
    <row r="155" spans="1:16" ht="18.399999999999999" hidden="1" customHeight="1" thickBot="1" x14ac:dyDescent="0.25">
      <c r="A155" s="83"/>
      <c r="B155" s="69"/>
      <c r="C155" s="15"/>
      <c r="D155" s="24">
        <f>'[3]5нед'!S283</f>
        <v>0</v>
      </c>
      <c r="E155" s="25">
        <f>'[3]5нед'!T283</f>
        <v>0</v>
      </c>
      <c r="F155" s="26">
        <f>'[3]5нед'!W283</f>
        <v>0</v>
      </c>
      <c r="G155" s="27" t="str">
        <f>'[3]5нед'!X283</f>
        <v/>
      </c>
      <c r="H155" s="39"/>
      <c r="I155" s="72"/>
      <c r="J155" s="75"/>
      <c r="K155" s="15"/>
      <c r="L155" s="24">
        <f>'[3]6нед'!S283</f>
        <v>0</v>
      </c>
      <c r="M155" s="25">
        <f>'[3]6нед'!T283</f>
        <v>0</v>
      </c>
      <c r="N155" s="26">
        <f>'[3]6нед'!W283</f>
        <v>0</v>
      </c>
      <c r="O155" s="27" t="str">
        <f>'[3]6нед'!X283</f>
        <v/>
      </c>
      <c r="P155" s="39"/>
    </row>
    <row r="156" spans="1:16" ht="48" customHeight="1" thickTop="1" x14ac:dyDescent="0.2">
      <c r="A156" s="70">
        <v>46296</v>
      </c>
      <c r="B156" s="84" t="s">
        <v>27</v>
      </c>
      <c r="C156" s="29" t="s">
        <v>18</v>
      </c>
      <c r="D156" s="16">
        <f>'[3]5нед'!S284</f>
        <v>0</v>
      </c>
      <c r="E156" s="19">
        <f>'[3]5нед'!T284</f>
        <v>0</v>
      </c>
      <c r="F156" s="17">
        <f>'[3]5нед'!W284</f>
        <v>0</v>
      </c>
      <c r="G156" s="18" t="str">
        <f>'[3]5нед'!X284</f>
        <v/>
      </c>
      <c r="H156" s="40"/>
      <c r="I156" s="70">
        <v>46303</v>
      </c>
      <c r="J156" s="87" t="s">
        <v>27</v>
      </c>
      <c r="K156" s="29" t="s">
        <v>18</v>
      </c>
      <c r="L156" s="16">
        <f>'[3]6нед'!S284</f>
        <v>0</v>
      </c>
      <c r="M156" s="19">
        <f>'[3]6нед'!T284</f>
        <v>0</v>
      </c>
      <c r="N156" s="17">
        <f>'[3]6нед'!W284</f>
        <v>0</v>
      </c>
      <c r="O156" s="18" t="str">
        <f>'[3]6нед'!X284</f>
        <v/>
      </c>
      <c r="P156" s="40"/>
    </row>
    <row r="157" spans="1:16" ht="31.5" x14ac:dyDescent="0.2">
      <c r="A157" s="82"/>
      <c r="B157" s="85"/>
      <c r="C157" s="14" t="s">
        <v>19</v>
      </c>
      <c r="D157" s="20">
        <f>'[3]5нед'!S285</f>
        <v>0</v>
      </c>
      <c r="E157" s="23">
        <f>'[3]5нед'!T285</f>
        <v>0</v>
      </c>
      <c r="F157" s="21">
        <f>'[3]5нед'!W285</f>
        <v>0</v>
      </c>
      <c r="G157" s="22" t="str">
        <f>'[3]5нед'!X285</f>
        <v/>
      </c>
      <c r="H157" s="38"/>
      <c r="I157" s="71"/>
      <c r="J157" s="88"/>
      <c r="K157" s="14" t="s">
        <v>19</v>
      </c>
      <c r="L157" s="20">
        <f>'[3]6нед'!S285</f>
        <v>0</v>
      </c>
      <c r="M157" s="23">
        <f>'[3]6нед'!T285</f>
        <v>0</v>
      </c>
      <c r="N157" s="21">
        <f>'[3]6нед'!W285</f>
        <v>0</v>
      </c>
      <c r="O157" s="22" t="str">
        <f>'[3]6нед'!X285</f>
        <v/>
      </c>
      <c r="P157" s="38"/>
    </row>
    <row r="158" spans="1:16" ht="31.5" x14ac:dyDescent="0.2">
      <c r="A158" s="82"/>
      <c r="B158" s="85"/>
      <c r="C158" s="14" t="s">
        <v>20</v>
      </c>
      <c r="D158" s="20">
        <f>'[3]5нед'!S286</f>
        <v>0</v>
      </c>
      <c r="E158" s="23">
        <f>'[3]5нед'!T286</f>
        <v>0</v>
      </c>
      <c r="F158" s="21">
        <f>'[3]5нед'!W286</f>
        <v>0</v>
      </c>
      <c r="G158" s="22" t="str">
        <f>'[3]5нед'!X286</f>
        <v/>
      </c>
      <c r="H158" s="38"/>
      <c r="I158" s="71"/>
      <c r="J158" s="88"/>
      <c r="K158" s="14" t="s">
        <v>20</v>
      </c>
      <c r="L158" s="20">
        <f>'[3]6нед'!S286</f>
        <v>0</v>
      </c>
      <c r="M158" s="23">
        <f>'[3]6нед'!T286</f>
        <v>0</v>
      </c>
      <c r="N158" s="21">
        <f>'[3]6нед'!W286</f>
        <v>0</v>
      </c>
      <c r="O158" s="22" t="str">
        <f>'[3]6нед'!X286</f>
        <v/>
      </c>
      <c r="P158" s="38"/>
    </row>
    <row r="159" spans="1:16" ht="31.5" x14ac:dyDescent="0.2">
      <c r="A159" s="82"/>
      <c r="B159" s="85"/>
      <c r="C159" s="14" t="s">
        <v>21</v>
      </c>
      <c r="D159" s="20">
        <f>'[3]5нед'!S287</f>
        <v>0</v>
      </c>
      <c r="E159" s="23">
        <f>'[3]5нед'!T287</f>
        <v>0</v>
      </c>
      <c r="F159" s="21">
        <f>'[3]5нед'!W287</f>
        <v>0</v>
      </c>
      <c r="G159" s="22" t="str">
        <f>'[3]5нед'!X287</f>
        <v/>
      </c>
      <c r="H159" s="38"/>
      <c r="I159" s="71"/>
      <c r="J159" s="88"/>
      <c r="K159" s="14" t="s">
        <v>21</v>
      </c>
      <c r="L159" s="20">
        <f>'[3]6нед'!S287</f>
        <v>0</v>
      </c>
      <c r="M159" s="23">
        <f>'[3]6нед'!T287</f>
        <v>0</v>
      </c>
      <c r="N159" s="21">
        <f>'[3]6нед'!W287</f>
        <v>0</v>
      </c>
      <c r="O159" s="22" t="str">
        <f>'[3]6нед'!X287</f>
        <v/>
      </c>
      <c r="P159" s="38"/>
    </row>
    <row r="160" spans="1:16" ht="31.5" x14ac:dyDescent="0.2">
      <c r="A160" s="82"/>
      <c r="B160" s="85"/>
      <c r="C160" s="14" t="s">
        <v>22</v>
      </c>
      <c r="D160" s="20">
        <f>'[3]5нед'!S288</f>
        <v>0</v>
      </c>
      <c r="E160" s="23">
        <f>'[3]5нед'!T288</f>
        <v>0</v>
      </c>
      <c r="F160" s="21">
        <f>'[3]5нед'!W288</f>
        <v>0</v>
      </c>
      <c r="G160" s="22" t="str">
        <f>'[3]5нед'!X288</f>
        <v/>
      </c>
      <c r="H160" s="38"/>
      <c r="I160" s="71"/>
      <c r="J160" s="88"/>
      <c r="K160" s="14" t="s">
        <v>22</v>
      </c>
      <c r="L160" s="20">
        <f>'[3]6нед'!S288</f>
        <v>0</v>
      </c>
      <c r="M160" s="23">
        <f>'[3]6нед'!T288</f>
        <v>0</v>
      </c>
      <c r="N160" s="21">
        <f>'[3]6нед'!W288</f>
        <v>0</v>
      </c>
      <c r="O160" s="22" t="str">
        <f>'[3]6нед'!X288</f>
        <v/>
      </c>
      <c r="P160" s="38"/>
    </row>
    <row r="161" spans="1:16" ht="31.5" x14ac:dyDescent="0.2">
      <c r="A161" s="82"/>
      <c r="B161" s="85"/>
      <c r="C161" s="14" t="s">
        <v>23</v>
      </c>
      <c r="D161" s="20">
        <f>'[3]5нед'!S289</f>
        <v>0</v>
      </c>
      <c r="E161" s="23">
        <f>'[3]5нед'!T289</f>
        <v>0</v>
      </c>
      <c r="F161" s="21">
        <f>'[3]5нед'!W289</f>
        <v>0</v>
      </c>
      <c r="G161" s="22" t="str">
        <f>'[3]5нед'!X289</f>
        <v/>
      </c>
      <c r="H161" s="34"/>
      <c r="I161" s="71"/>
      <c r="J161" s="88"/>
      <c r="K161" s="14" t="s">
        <v>23</v>
      </c>
      <c r="L161" s="20">
        <f>'[3]6нед'!S289</f>
        <v>0</v>
      </c>
      <c r="M161" s="23">
        <f>'[3]6нед'!T289</f>
        <v>0</v>
      </c>
      <c r="N161" s="21">
        <f>'[3]6нед'!W289</f>
        <v>0</v>
      </c>
      <c r="O161" s="22" t="str">
        <f>'[3]6нед'!X289</f>
        <v/>
      </c>
      <c r="P161" s="34"/>
    </row>
    <row r="162" spans="1:16" ht="32.25" thickBot="1" x14ac:dyDescent="0.25">
      <c r="A162" s="82"/>
      <c r="B162" s="85"/>
      <c r="C162" s="14" t="s">
        <v>24</v>
      </c>
      <c r="D162" s="20">
        <f>'[3]5нед'!S290</f>
        <v>0</v>
      </c>
      <c r="E162" s="23">
        <f>'[3]5нед'!T290</f>
        <v>0</v>
      </c>
      <c r="F162" s="21">
        <f>'[3]5нед'!W290</f>
        <v>0</v>
      </c>
      <c r="G162" s="22" t="str">
        <f>'[3]5нед'!X290</f>
        <v/>
      </c>
      <c r="H162" s="34"/>
      <c r="I162" s="71"/>
      <c r="J162" s="88"/>
      <c r="K162" s="14" t="s">
        <v>24</v>
      </c>
      <c r="L162" s="20">
        <f>'[3]6нед'!S290</f>
        <v>0</v>
      </c>
      <c r="M162" s="23">
        <f>'[3]6нед'!T290</f>
        <v>0</v>
      </c>
      <c r="N162" s="21">
        <f>'[3]6нед'!W290</f>
        <v>0</v>
      </c>
      <c r="O162" s="22" t="str">
        <f>'[3]6нед'!X290</f>
        <v/>
      </c>
      <c r="P162" s="34"/>
    </row>
    <row r="163" spans="1:16" ht="18.399999999999999" hidden="1" customHeight="1" thickBot="1" x14ac:dyDescent="0.25">
      <c r="A163" s="83"/>
      <c r="B163" s="86"/>
      <c r="C163" s="15"/>
      <c r="D163" s="24">
        <f>'[3]5нед'!S291</f>
        <v>0</v>
      </c>
      <c r="E163" s="25">
        <f>'[3]5нед'!T291</f>
        <v>0</v>
      </c>
      <c r="F163" s="26">
        <f>'[3]5нед'!W291</f>
        <v>0</v>
      </c>
      <c r="G163" s="27" t="str">
        <f>'[3]5нед'!X291</f>
        <v/>
      </c>
      <c r="H163" s="39"/>
      <c r="I163" s="72"/>
      <c r="J163" s="89"/>
      <c r="K163" s="15"/>
      <c r="L163" s="24">
        <f>'[3]6нед'!S291</f>
        <v>0</v>
      </c>
      <c r="M163" s="25">
        <f>'[3]6нед'!T291</f>
        <v>0</v>
      </c>
      <c r="N163" s="26">
        <f>'[3]6нед'!W291</f>
        <v>0</v>
      </c>
      <c r="O163" s="27" t="str">
        <f>'[3]6нед'!X291</f>
        <v/>
      </c>
      <c r="P163" s="39"/>
    </row>
    <row r="164" spans="1:16" ht="48" customHeight="1" thickTop="1" x14ac:dyDescent="0.2">
      <c r="A164" s="70">
        <v>46297</v>
      </c>
      <c r="B164" s="84" t="s">
        <v>28</v>
      </c>
      <c r="C164" s="29" t="s">
        <v>18</v>
      </c>
      <c r="D164" s="16">
        <f>'[3]5нед'!S292</f>
        <v>0</v>
      </c>
      <c r="E164" s="19">
        <f>'[3]5нед'!T292</f>
        <v>0</v>
      </c>
      <c r="F164" s="17">
        <f>'[3]5нед'!W292</f>
        <v>0</v>
      </c>
      <c r="G164" s="18" t="str">
        <f>'[3]5нед'!X292</f>
        <v/>
      </c>
      <c r="H164" s="40"/>
      <c r="I164" s="70">
        <v>46304</v>
      </c>
      <c r="J164" s="87" t="s">
        <v>28</v>
      </c>
      <c r="K164" s="29" t="s">
        <v>18</v>
      </c>
      <c r="L164" s="16">
        <f>'[3]6нед'!S292</f>
        <v>0</v>
      </c>
      <c r="M164" s="19">
        <f>'[3]6нед'!T292</f>
        <v>0</v>
      </c>
      <c r="N164" s="17">
        <f>'[3]6нед'!W292</f>
        <v>0</v>
      </c>
      <c r="O164" s="18" t="str">
        <f>'[3]6нед'!X292</f>
        <v/>
      </c>
      <c r="P164" s="40"/>
    </row>
    <row r="165" spans="1:16" ht="31.5" x14ac:dyDescent="0.2">
      <c r="A165" s="82"/>
      <c r="B165" s="85"/>
      <c r="C165" s="14" t="s">
        <v>19</v>
      </c>
      <c r="D165" s="20">
        <f>'[3]5нед'!S293</f>
        <v>0</v>
      </c>
      <c r="E165" s="23">
        <f>'[3]5нед'!T293</f>
        <v>0</v>
      </c>
      <c r="F165" s="21">
        <f>'[3]5нед'!W293</f>
        <v>0</v>
      </c>
      <c r="G165" s="22" t="str">
        <f>'[3]5нед'!X293</f>
        <v/>
      </c>
      <c r="H165" s="38"/>
      <c r="I165" s="71"/>
      <c r="J165" s="88"/>
      <c r="K165" s="14" t="s">
        <v>19</v>
      </c>
      <c r="L165" s="20">
        <f>'[3]6нед'!S293</f>
        <v>0</v>
      </c>
      <c r="M165" s="23">
        <f>'[3]6нед'!T293</f>
        <v>0</v>
      </c>
      <c r="N165" s="21">
        <f>'[3]6нед'!W293</f>
        <v>0</v>
      </c>
      <c r="O165" s="22" t="str">
        <f>'[3]6нед'!X293</f>
        <v/>
      </c>
      <c r="P165" s="38"/>
    </row>
    <row r="166" spans="1:16" ht="31.5" x14ac:dyDescent="0.2">
      <c r="A166" s="82"/>
      <c r="B166" s="85"/>
      <c r="C166" s="14" t="s">
        <v>20</v>
      </c>
      <c r="D166" s="20">
        <f>'[3]5нед'!S294</f>
        <v>0</v>
      </c>
      <c r="E166" s="23">
        <f>'[3]5нед'!T294</f>
        <v>0</v>
      </c>
      <c r="F166" s="21">
        <f>'[3]5нед'!W294</f>
        <v>0</v>
      </c>
      <c r="G166" s="22" t="str">
        <f>'[3]5нед'!X294</f>
        <v/>
      </c>
      <c r="H166" s="38"/>
      <c r="I166" s="71"/>
      <c r="J166" s="88"/>
      <c r="K166" s="14" t="s">
        <v>20</v>
      </c>
      <c r="L166" s="20">
        <f>'[3]6нед'!S294</f>
        <v>0</v>
      </c>
      <c r="M166" s="23">
        <f>'[3]6нед'!T294</f>
        <v>0</v>
      </c>
      <c r="N166" s="21">
        <f>'[3]6нед'!W294</f>
        <v>0</v>
      </c>
      <c r="O166" s="22" t="str">
        <f>'[3]6нед'!X294</f>
        <v/>
      </c>
      <c r="P166" s="38"/>
    </row>
    <row r="167" spans="1:16" ht="31.5" x14ac:dyDescent="0.2">
      <c r="A167" s="82"/>
      <c r="B167" s="85"/>
      <c r="C167" s="14" t="s">
        <v>21</v>
      </c>
      <c r="D167" s="20">
        <f>'[3]5нед'!S295</f>
        <v>0</v>
      </c>
      <c r="E167" s="23">
        <f>'[3]5нед'!T295</f>
        <v>0</v>
      </c>
      <c r="F167" s="21">
        <f>'[3]5нед'!W295</f>
        <v>0</v>
      </c>
      <c r="G167" s="22" t="str">
        <f>'[3]5нед'!X295</f>
        <v/>
      </c>
      <c r="H167" s="38"/>
      <c r="I167" s="71"/>
      <c r="J167" s="88"/>
      <c r="K167" s="14" t="s">
        <v>21</v>
      </c>
      <c r="L167" s="20">
        <f>'[3]6нед'!S295</f>
        <v>0</v>
      </c>
      <c r="M167" s="23">
        <f>'[3]6нед'!T295</f>
        <v>0</v>
      </c>
      <c r="N167" s="21">
        <f>'[3]6нед'!W295</f>
        <v>0</v>
      </c>
      <c r="O167" s="22" t="str">
        <f>'[3]6нед'!X295</f>
        <v/>
      </c>
      <c r="P167" s="38"/>
    </row>
    <row r="168" spans="1:16" ht="31.5" x14ac:dyDescent="0.2">
      <c r="A168" s="82"/>
      <c r="B168" s="85"/>
      <c r="C168" s="14" t="s">
        <v>22</v>
      </c>
      <c r="D168" s="20">
        <f>'[3]5нед'!S296</f>
        <v>0</v>
      </c>
      <c r="E168" s="23">
        <f>'[3]5нед'!T296</f>
        <v>0</v>
      </c>
      <c r="F168" s="21">
        <f>'[3]5нед'!W296</f>
        <v>0</v>
      </c>
      <c r="G168" s="22" t="str">
        <f>'[3]5нед'!X296</f>
        <v/>
      </c>
      <c r="H168" s="38"/>
      <c r="I168" s="71"/>
      <c r="J168" s="88"/>
      <c r="K168" s="14" t="s">
        <v>22</v>
      </c>
      <c r="L168" s="20">
        <f>'[3]6нед'!S296</f>
        <v>0</v>
      </c>
      <c r="M168" s="23">
        <f>'[3]6нед'!T296</f>
        <v>0</v>
      </c>
      <c r="N168" s="21">
        <f>'[3]6нед'!W296</f>
        <v>0</v>
      </c>
      <c r="O168" s="22" t="str">
        <f>'[3]6нед'!X296</f>
        <v/>
      </c>
      <c r="P168" s="38"/>
    </row>
    <row r="169" spans="1:16" ht="31.5" x14ac:dyDescent="0.2">
      <c r="A169" s="82"/>
      <c r="B169" s="85"/>
      <c r="C169" s="14" t="s">
        <v>23</v>
      </c>
      <c r="D169" s="20">
        <f>'[3]5нед'!S297</f>
        <v>0</v>
      </c>
      <c r="E169" s="23">
        <f>'[3]5нед'!T297</f>
        <v>0</v>
      </c>
      <c r="F169" s="21">
        <f>'[3]5нед'!W297</f>
        <v>0</v>
      </c>
      <c r="G169" s="22" t="str">
        <f>'[3]5нед'!X297</f>
        <v/>
      </c>
      <c r="H169" s="38"/>
      <c r="I169" s="71"/>
      <c r="J169" s="88"/>
      <c r="K169" s="14" t="s">
        <v>23</v>
      </c>
      <c r="L169" s="20">
        <f>'[3]6нед'!S297</f>
        <v>0</v>
      </c>
      <c r="M169" s="23">
        <f>'[3]6нед'!T297</f>
        <v>0</v>
      </c>
      <c r="N169" s="21">
        <f>'[3]6нед'!W297</f>
        <v>0</v>
      </c>
      <c r="O169" s="22" t="str">
        <f>'[3]6нед'!X297</f>
        <v/>
      </c>
      <c r="P169" s="38"/>
    </row>
    <row r="170" spans="1:16" ht="32.25" thickBot="1" x14ac:dyDescent="0.25">
      <c r="A170" s="82"/>
      <c r="B170" s="85"/>
      <c r="C170" s="14" t="s">
        <v>24</v>
      </c>
      <c r="D170" s="20">
        <f>'[3]5нед'!S298</f>
        <v>0</v>
      </c>
      <c r="E170" s="23">
        <f>'[3]5нед'!T298</f>
        <v>0</v>
      </c>
      <c r="F170" s="21">
        <f>'[3]5нед'!W298</f>
        <v>0</v>
      </c>
      <c r="G170" s="22" t="str">
        <f>'[3]5нед'!X298</f>
        <v/>
      </c>
      <c r="H170" s="38"/>
      <c r="I170" s="71"/>
      <c r="J170" s="88"/>
      <c r="K170" s="14" t="s">
        <v>24</v>
      </c>
      <c r="L170" s="20">
        <f>'[3]6нед'!S298</f>
        <v>0</v>
      </c>
      <c r="M170" s="23">
        <f>'[3]6нед'!T298</f>
        <v>0</v>
      </c>
      <c r="N170" s="21">
        <f>'[3]6нед'!W298</f>
        <v>0</v>
      </c>
      <c r="O170" s="22" t="str">
        <f>'[3]6нед'!X298</f>
        <v/>
      </c>
      <c r="P170" s="38"/>
    </row>
    <row r="171" spans="1:16" ht="18.399999999999999" hidden="1" customHeight="1" thickBot="1" x14ac:dyDescent="0.25">
      <c r="A171" s="83"/>
      <c r="B171" s="86"/>
      <c r="C171" s="15"/>
      <c r="D171" s="24">
        <f>'[3]5нед'!S299</f>
        <v>0</v>
      </c>
      <c r="E171" s="25">
        <f>'[3]5нед'!T299</f>
        <v>0</v>
      </c>
      <c r="F171" s="26">
        <f>'[3]5нед'!W299</f>
        <v>0</v>
      </c>
      <c r="G171" s="27" t="str">
        <f>'[3]5нед'!X299</f>
        <v/>
      </c>
      <c r="H171" s="39"/>
      <c r="I171" s="72"/>
      <c r="J171" s="89"/>
      <c r="K171" s="15"/>
      <c r="L171" s="24">
        <f>'[3]6нед'!S299</f>
        <v>0</v>
      </c>
      <c r="M171" s="25">
        <f>'[3]6нед'!T299</f>
        <v>0</v>
      </c>
      <c r="N171" s="26">
        <f>'[3]6нед'!W299</f>
        <v>0</v>
      </c>
      <c r="O171" s="27" t="str">
        <f>'[3]6нед'!X299</f>
        <v/>
      </c>
      <c r="P171" s="39"/>
    </row>
    <row r="172" spans="1:16" ht="48" customHeight="1" thickTop="1" x14ac:dyDescent="0.2">
      <c r="A172" s="70">
        <v>46298</v>
      </c>
      <c r="B172" s="84" t="s">
        <v>29</v>
      </c>
      <c r="C172" s="29" t="s">
        <v>18</v>
      </c>
      <c r="D172" s="16">
        <f>'[3]5нед'!S300</f>
        <v>0</v>
      </c>
      <c r="E172" s="19">
        <f>'[3]5нед'!T300</f>
        <v>0</v>
      </c>
      <c r="F172" s="17">
        <f>'[3]5нед'!W300</f>
        <v>0</v>
      </c>
      <c r="G172" s="18" t="str">
        <f>'[3]5нед'!X300</f>
        <v/>
      </c>
      <c r="H172" s="40"/>
      <c r="I172" s="70">
        <v>46305</v>
      </c>
      <c r="J172" s="87" t="s">
        <v>29</v>
      </c>
      <c r="K172" s="29" t="s">
        <v>18</v>
      </c>
      <c r="L172" s="16">
        <f>'[3]6нед'!S300</f>
        <v>0</v>
      </c>
      <c r="M172" s="19">
        <f>'[3]6нед'!T300</f>
        <v>0</v>
      </c>
      <c r="N172" s="17">
        <f>'[3]6нед'!W300</f>
        <v>0</v>
      </c>
      <c r="O172" s="18" t="str">
        <f>'[3]6нед'!X300</f>
        <v/>
      </c>
      <c r="P172" s="40"/>
    </row>
    <row r="173" spans="1:16" ht="31.5" x14ac:dyDescent="0.2">
      <c r="A173" s="82"/>
      <c r="B173" s="85"/>
      <c r="C173" s="14" t="s">
        <v>19</v>
      </c>
      <c r="D173" s="20">
        <f>'[3]5нед'!S301</f>
        <v>0</v>
      </c>
      <c r="E173" s="23">
        <f>'[3]5нед'!T301</f>
        <v>0</v>
      </c>
      <c r="F173" s="21">
        <f>'[3]5нед'!W301</f>
        <v>0</v>
      </c>
      <c r="G173" s="22" t="str">
        <f>'[3]5нед'!X301</f>
        <v/>
      </c>
      <c r="H173" s="38"/>
      <c r="I173" s="71"/>
      <c r="J173" s="88"/>
      <c r="K173" s="14" t="s">
        <v>19</v>
      </c>
      <c r="L173" s="20">
        <f>'[3]6нед'!S301</f>
        <v>0</v>
      </c>
      <c r="M173" s="23">
        <f>'[3]6нед'!T301</f>
        <v>0</v>
      </c>
      <c r="N173" s="21">
        <f>'[3]6нед'!W301</f>
        <v>0</v>
      </c>
      <c r="O173" s="22" t="str">
        <f>'[3]6нед'!X301</f>
        <v/>
      </c>
      <c r="P173" s="38"/>
    </row>
    <row r="174" spans="1:16" ht="31.5" x14ac:dyDescent="0.2">
      <c r="A174" s="82"/>
      <c r="B174" s="85"/>
      <c r="C174" s="14" t="s">
        <v>20</v>
      </c>
      <c r="D174" s="20">
        <f>'[3]5нед'!S302</f>
        <v>0</v>
      </c>
      <c r="E174" s="23">
        <f>'[3]5нед'!T302</f>
        <v>0</v>
      </c>
      <c r="F174" s="21">
        <f>'[3]5нед'!W302</f>
        <v>0</v>
      </c>
      <c r="G174" s="22" t="str">
        <f>'[3]5нед'!X302</f>
        <v/>
      </c>
      <c r="H174" s="43"/>
      <c r="I174" s="71"/>
      <c r="J174" s="88"/>
      <c r="K174" s="14" t="s">
        <v>20</v>
      </c>
      <c r="L174" s="20">
        <f>'[3]6нед'!S302</f>
        <v>0</v>
      </c>
      <c r="M174" s="23">
        <f>'[3]6нед'!T302</f>
        <v>0</v>
      </c>
      <c r="N174" s="21">
        <f>'[3]6нед'!W302</f>
        <v>0</v>
      </c>
      <c r="O174" s="22" t="str">
        <f>'[3]6нед'!X302</f>
        <v/>
      </c>
      <c r="P174" s="43"/>
    </row>
    <row r="175" spans="1:16" ht="31.5" x14ac:dyDescent="0.2">
      <c r="A175" s="82"/>
      <c r="B175" s="85"/>
      <c r="C175" s="14" t="s">
        <v>21</v>
      </c>
      <c r="D175" s="20">
        <f>'[3]5нед'!S303</f>
        <v>0</v>
      </c>
      <c r="E175" s="23">
        <f>'[3]5нед'!T303</f>
        <v>0</v>
      </c>
      <c r="F175" s="21">
        <f>'[3]5нед'!W303</f>
        <v>0</v>
      </c>
      <c r="G175" s="22" t="str">
        <f>'[3]5нед'!X303</f>
        <v/>
      </c>
      <c r="H175" s="38"/>
      <c r="I175" s="71"/>
      <c r="J175" s="88"/>
      <c r="K175" s="14" t="s">
        <v>21</v>
      </c>
      <c r="L175" s="20">
        <f>'[3]6нед'!S303</f>
        <v>0</v>
      </c>
      <c r="M175" s="23">
        <f>'[3]6нед'!T303</f>
        <v>0</v>
      </c>
      <c r="N175" s="21">
        <f>'[3]6нед'!W303</f>
        <v>0</v>
      </c>
      <c r="O175" s="22" t="str">
        <f>'[3]6нед'!X303</f>
        <v/>
      </c>
      <c r="P175" s="38"/>
    </row>
    <row r="176" spans="1:16" ht="31.5" x14ac:dyDescent="0.2">
      <c r="A176" s="82"/>
      <c r="B176" s="85"/>
      <c r="C176" s="14" t="s">
        <v>22</v>
      </c>
      <c r="D176" s="20">
        <f>'[3]5нед'!S304</f>
        <v>0</v>
      </c>
      <c r="E176" s="23">
        <f>'[3]5нед'!T304</f>
        <v>0</v>
      </c>
      <c r="F176" s="21">
        <f>'[3]5нед'!W304</f>
        <v>0</v>
      </c>
      <c r="G176" s="22" t="str">
        <f>'[3]5нед'!X304</f>
        <v/>
      </c>
      <c r="H176" s="38"/>
      <c r="I176" s="71"/>
      <c r="J176" s="88"/>
      <c r="K176" s="14" t="s">
        <v>22</v>
      </c>
      <c r="L176" s="20">
        <f>'[3]6нед'!S304</f>
        <v>0</v>
      </c>
      <c r="M176" s="23">
        <f>'[3]6нед'!T304</f>
        <v>0</v>
      </c>
      <c r="N176" s="21">
        <f>'[3]6нед'!W304</f>
        <v>0</v>
      </c>
      <c r="O176" s="22" t="str">
        <f>'[3]6нед'!X304</f>
        <v/>
      </c>
      <c r="P176" s="38"/>
    </row>
    <row r="177" spans="1:16" ht="31.5" x14ac:dyDescent="0.2">
      <c r="A177" s="82"/>
      <c r="B177" s="85"/>
      <c r="C177" s="14" t="s">
        <v>23</v>
      </c>
      <c r="D177" s="20">
        <f>'[3]5нед'!S305</f>
        <v>0</v>
      </c>
      <c r="E177" s="23">
        <f>'[3]5нед'!T305</f>
        <v>0</v>
      </c>
      <c r="F177" s="21">
        <f>'[3]5нед'!W305</f>
        <v>0</v>
      </c>
      <c r="G177" s="22" t="str">
        <f>'[3]5нед'!X305</f>
        <v/>
      </c>
      <c r="H177" s="38"/>
      <c r="I177" s="71"/>
      <c r="J177" s="88"/>
      <c r="K177" s="14" t="s">
        <v>23</v>
      </c>
      <c r="L177" s="20">
        <f>'[3]6нед'!S305</f>
        <v>0</v>
      </c>
      <c r="M177" s="23">
        <f>'[3]6нед'!T305</f>
        <v>0</v>
      </c>
      <c r="N177" s="21">
        <f>'[3]6нед'!W305</f>
        <v>0</v>
      </c>
      <c r="O177" s="22" t="str">
        <f>'[3]6нед'!X305</f>
        <v/>
      </c>
      <c r="P177" s="38"/>
    </row>
    <row r="178" spans="1:16" ht="32.25" thickBot="1" x14ac:dyDescent="0.25">
      <c r="A178" s="82"/>
      <c r="B178" s="85"/>
      <c r="C178" s="14" t="s">
        <v>24</v>
      </c>
      <c r="D178" s="20">
        <f>'[3]5нед'!S306</f>
        <v>0</v>
      </c>
      <c r="E178" s="23">
        <f>'[3]5нед'!T306</f>
        <v>0</v>
      </c>
      <c r="F178" s="21">
        <f>'[3]5нед'!W306</f>
        <v>0</v>
      </c>
      <c r="G178" s="22" t="str">
        <f>'[3]5нед'!X306</f>
        <v/>
      </c>
      <c r="H178" s="38"/>
      <c r="I178" s="71"/>
      <c r="J178" s="88"/>
      <c r="K178" s="14" t="s">
        <v>24</v>
      </c>
      <c r="L178" s="20">
        <f>'[3]6нед'!S306</f>
        <v>0</v>
      </c>
      <c r="M178" s="23">
        <f>'[3]6нед'!T306</f>
        <v>0</v>
      </c>
      <c r="N178" s="21">
        <f>'[3]6нед'!W306</f>
        <v>0</v>
      </c>
      <c r="O178" s="22" t="str">
        <f>'[3]6нед'!X306</f>
        <v/>
      </c>
      <c r="P178" s="38"/>
    </row>
    <row r="179" spans="1:16" ht="18.399999999999999" hidden="1" customHeight="1" thickBot="1" x14ac:dyDescent="0.25">
      <c r="A179" s="83"/>
      <c r="B179" s="86"/>
      <c r="C179" s="15"/>
      <c r="D179" s="24">
        <f>'[3]5нед'!S183</f>
        <v>0</v>
      </c>
      <c r="E179" s="25">
        <f>'[3]5нед'!T183</f>
        <v>0</v>
      </c>
      <c r="F179" s="26">
        <f>'[3]5нед'!W183</f>
        <v>0</v>
      </c>
      <c r="G179" s="27" t="str">
        <f>'[3]5нед'!X183</f>
        <v/>
      </c>
      <c r="H179" s="39"/>
      <c r="I179" s="72"/>
      <c r="J179" s="89"/>
      <c r="K179" s="15"/>
      <c r="L179" s="24">
        <f>'[3]6нед'!S59</f>
        <v>0</v>
      </c>
      <c r="M179" s="25">
        <f>'[3]6нед'!T59</f>
        <v>0</v>
      </c>
      <c r="N179" s="26">
        <f>'[3]6нед'!W59</f>
        <v>0</v>
      </c>
      <c r="O179" s="27" t="str">
        <f>'[3]6нед'!X59</f>
        <v/>
      </c>
      <c r="P179" s="39"/>
    </row>
    <row r="180" spans="1:16" ht="39" customHeight="1" thickTop="1" x14ac:dyDescent="0.2">
      <c r="A180" s="47"/>
      <c r="B180" s="30"/>
      <c r="C180" s="31"/>
      <c r="D180" s="32"/>
      <c r="E180" s="32" t="s">
        <v>30</v>
      </c>
      <c r="F180" s="32"/>
      <c r="G180" s="33" t="s">
        <v>31</v>
      </c>
      <c r="H180" s="41"/>
      <c r="I180" s="47"/>
      <c r="J180" s="30"/>
      <c r="K180" s="31"/>
      <c r="L180" s="32"/>
      <c r="M180" s="32" t="s">
        <v>30</v>
      </c>
      <c r="N180" s="32"/>
      <c r="O180" s="33" t="s">
        <v>31</v>
      </c>
      <c r="P180" s="41"/>
    </row>
    <row r="181" spans="1:16" ht="15.75" x14ac:dyDescent="0.25">
      <c r="A181" s="45"/>
      <c r="B181" s="1"/>
      <c r="C181" s="2"/>
      <c r="D181" s="3"/>
      <c r="E181" s="3"/>
      <c r="F181" s="3"/>
      <c r="G181" s="3"/>
      <c r="H181" s="4" t="s">
        <v>0</v>
      </c>
      <c r="I181" s="45"/>
      <c r="J181" s="1"/>
      <c r="K181" s="2"/>
      <c r="L181" s="3"/>
      <c r="M181" s="3"/>
      <c r="N181" s="3"/>
      <c r="O181" s="3"/>
      <c r="P181" s="4" t="s">
        <v>0</v>
      </c>
    </row>
    <row r="182" spans="1:16" ht="15.75" x14ac:dyDescent="0.25">
      <c r="A182" s="45"/>
      <c r="B182" s="1"/>
      <c r="C182" s="2"/>
      <c r="D182" s="3"/>
      <c r="E182" s="3"/>
      <c r="F182" s="3"/>
      <c r="G182" s="3"/>
      <c r="H182" s="4" t="s">
        <v>1</v>
      </c>
      <c r="I182" s="45"/>
      <c r="J182" s="1"/>
      <c r="K182" s="2"/>
      <c r="L182" s="3"/>
      <c r="M182" s="3"/>
      <c r="N182" s="3"/>
      <c r="O182" s="3"/>
      <c r="P182" s="4" t="s">
        <v>1</v>
      </c>
    </row>
    <row r="183" spans="1:16" ht="15.75" x14ac:dyDescent="0.25">
      <c r="A183" s="45"/>
      <c r="B183" s="1"/>
      <c r="C183" s="2"/>
      <c r="D183" s="3"/>
      <c r="E183" s="3"/>
      <c r="F183" s="3"/>
      <c r="G183" s="3"/>
      <c r="H183" s="4" t="s">
        <v>2</v>
      </c>
      <c r="I183" s="45"/>
      <c r="J183" s="1"/>
      <c r="K183" s="2"/>
      <c r="L183" s="3"/>
      <c r="M183" s="3"/>
      <c r="N183" s="3"/>
      <c r="O183" s="3"/>
      <c r="P183" s="4" t="s">
        <v>2</v>
      </c>
    </row>
    <row r="184" spans="1:16" ht="15.75" x14ac:dyDescent="0.25">
      <c r="A184" s="45"/>
      <c r="B184" s="1"/>
      <c r="C184" s="2"/>
      <c r="D184" s="3"/>
      <c r="E184" s="3"/>
      <c r="F184" s="3"/>
      <c r="G184" s="3"/>
      <c r="H184" s="4" t="s">
        <v>3</v>
      </c>
      <c r="I184" s="45"/>
      <c r="J184" s="1"/>
      <c r="K184" s="2"/>
      <c r="L184" s="3"/>
      <c r="M184" s="3"/>
      <c r="N184" s="3"/>
      <c r="O184" s="3"/>
      <c r="P184" s="4" t="s">
        <v>3</v>
      </c>
    </row>
    <row r="185" spans="1:16" ht="15.75" x14ac:dyDescent="0.25">
      <c r="A185" s="45"/>
      <c r="B185" s="5"/>
      <c r="C185" s="2"/>
      <c r="D185" s="3"/>
      <c r="E185" s="3"/>
      <c r="F185" s="3"/>
      <c r="G185" s="3"/>
      <c r="H185" s="3"/>
      <c r="I185" s="45"/>
      <c r="J185" s="5"/>
      <c r="K185" s="2"/>
      <c r="L185" s="3"/>
      <c r="M185" s="3"/>
      <c r="N185" s="3"/>
      <c r="O185" s="3"/>
      <c r="P185" s="3"/>
    </row>
    <row r="186" spans="1:16" ht="15.75" x14ac:dyDescent="0.25">
      <c r="A186" s="45"/>
      <c r="B186" s="90" t="s">
        <v>4</v>
      </c>
      <c r="C186" s="90"/>
      <c r="D186" s="90"/>
      <c r="E186" s="90"/>
      <c r="F186" s="90"/>
      <c r="G186" s="90"/>
      <c r="H186" s="90"/>
      <c r="I186" s="45"/>
      <c r="J186" s="90" t="s">
        <v>4</v>
      </c>
      <c r="K186" s="90"/>
      <c r="L186" s="90"/>
      <c r="M186" s="90"/>
      <c r="N186" s="90"/>
      <c r="O186" s="90"/>
      <c r="P186" s="90"/>
    </row>
    <row r="187" spans="1:16" ht="15.75" x14ac:dyDescent="0.2">
      <c r="A187" s="46"/>
      <c r="B187" s="62" t="str">
        <f>'[1]1нед'!$A$6</f>
        <v>Направление подготовки:</v>
      </c>
      <c r="C187" s="6"/>
      <c r="D187" s="7"/>
      <c r="E187" s="8" t="str">
        <f>E7</f>
        <v>09.03.04Программная инженерия (Программно-информационные системы)</v>
      </c>
      <c r="F187" s="7"/>
      <c r="G187" s="7"/>
      <c r="H187" s="36" t="str">
        <f>H7</f>
        <v>12-26ПИ1з</v>
      </c>
      <c r="I187" s="46"/>
      <c r="J187" s="62" t="str">
        <f>'[1]1нед'!$A$6</f>
        <v>Направление подготовки:</v>
      </c>
      <c r="K187" s="6"/>
      <c r="L187" s="7"/>
      <c r="M187" s="8" t="str">
        <f>E7</f>
        <v>09.03.04Программная инженерия (Программно-информационные системы)</v>
      </c>
      <c r="N187" s="7"/>
      <c r="O187" s="7"/>
      <c r="P187" s="36" t="str">
        <f>H7</f>
        <v>12-26ПИ1з</v>
      </c>
    </row>
    <row r="188" spans="1:16" ht="15.75" x14ac:dyDescent="0.25">
      <c r="A188" s="45"/>
      <c r="B188" s="81" t="s">
        <v>5</v>
      </c>
      <c r="C188" s="81"/>
      <c r="D188" s="81"/>
      <c r="E188" s="81" t="str">
        <f>E8</f>
        <v>очно-заочная</v>
      </c>
      <c r="F188" s="81"/>
      <c r="G188" s="81"/>
      <c r="H188" s="81"/>
      <c r="I188" s="45"/>
      <c r="J188" s="81" t="s">
        <v>5</v>
      </c>
      <c r="K188" s="81"/>
      <c r="L188" s="81"/>
      <c r="M188" s="81" t="str">
        <f>E8</f>
        <v>очно-заочная</v>
      </c>
      <c r="N188" s="81"/>
      <c r="O188" s="81"/>
      <c r="P188" s="81"/>
    </row>
    <row r="189" spans="1:16" ht="15.75" x14ac:dyDescent="0.25">
      <c r="A189" s="45"/>
      <c r="B189" s="81" t="s">
        <v>7</v>
      </c>
      <c r="C189" s="81"/>
      <c r="D189" s="81"/>
      <c r="E189" s="62">
        <f>E9</f>
        <v>3</v>
      </c>
      <c r="F189" s="62"/>
      <c r="G189" s="62"/>
      <c r="H189" s="35"/>
      <c r="I189" s="45"/>
      <c r="J189" s="81" t="s">
        <v>7</v>
      </c>
      <c r="K189" s="81"/>
      <c r="L189" s="81"/>
      <c r="M189" s="62">
        <f>E9</f>
        <v>3</v>
      </c>
      <c r="N189" s="62"/>
      <c r="O189" s="62"/>
      <c r="P189" s="35"/>
    </row>
    <row r="190" spans="1:16" ht="16.5" thickBot="1" x14ac:dyDescent="0.3">
      <c r="A190" s="45"/>
      <c r="B190" s="93" t="s">
        <v>8</v>
      </c>
      <c r="C190" s="93"/>
      <c r="D190" s="93"/>
      <c r="E190" s="63">
        <f>M130+1</f>
        <v>7</v>
      </c>
      <c r="F190" s="63"/>
      <c r="G190" s="63"/>
      <c r="H190" s="37"/>
      <c r="I190" s="45"/>
      <c r="J190" s="93" t="s">
        <v>8</v>
      </c>
      <c r="K190" s="93"/>
      <c r="L190" s="93"/>
      <c r="M190" s="63">
        <f>E190+1</f>
        <v>8</v>
      </c>
      <c r="N190" s="63"/>
      <c r="O190" s="63"/>
      <c r="P190" s="37"/>
    </row>
    <row r="191" spans="1:16" ht="46.5" customHeight="1" thickTop="1" thickBot="1" x14ac:dyDescent="0.25">
      <c r="A191" s="79" t="s">
        <v>9</v>
      </c>
      <c r="B191" s="80"/>
      <c r="C191" s="10" t="s">
        <v>10</v>
      </c>
      <c r="D191" s="11" t="s">
        <v>11</v>
      </c>
      <c r="E191" s="12" t="s">
        <v>12</v>
      </c>
      <c r="F191" s="91" t="s">
        <v>13</v>
      </c>
      <c r="G191" s="92"/>
      <c r="H191" s="13" t="s">
        <v>14</v>
      </c>
      <c r="I191" s="79" t="s">
        <v>9</v>
      </c>
      <c r="J191" s="80"/>
      <c r="K191" s="10" t="s">
        <v>10</v>
      </c>
      <c r="L191" s="11" t="s">
        <v>11</v>
      </c>
      <c r="M191" s="12" t="s">
        <v>12</v>
      </c>
      <c r="N191" s="91" t="s">
        <v>13</v>
      </c>
      <c r="O191" s="92"/>
      <c r="P191" s="13" t="s">
        <v>14</v>
      </c>
    </row>
    <row r="192" spans="1:16" ht="32.25" customHeight="1" thickTop="1" x14ac:dyDescent="0.2">
      <c r="A192" s="70">
        <v>46307</v>
      </c>
      <c r="B192" s="84" t="s">
        <v>17</v>
      </c>
      <c r="C192" s="14" t="s">
        <v>18</v>
      </c>
      <c r="D192" s="16">
        <f>'[3]7нед'!S260</f>
        <v>0</v>
      </c>
      <c r="E192" s="19">
        <f>'[3]7нед'!T260</f>
        <v>0</v>
      </c>
      <c r="F192" s="17">
        <f>'[3]7нед'!W260</f>
        <v>0</v>
      </c>
      <c r="G192" s="18" t="str">
        <f>'[3]7нед'!X260</f>
        <v/>
      </c>
      <c r="H192" s="40"/>
      <c r="I192" s="70">
        <v>46314</v>
      </c>
      <c r="J192" s="87" t="s">
        <v>17</v>
      </c>
      <c r="K192" s="14" t="s">
        <v>18</v>
      </c>
      <c r="L192" s="16">
        <f>'[3]8нед'!S260</f>
        <v>0</v>
      </c>
      <c r="M192" s="19">
        <f>'[3]8нед'!T260</f>
        <v>0</v>
      </c>
      <c r="N192" s="17">
        <f>'[3]8нед'!W260</f>
        <v>0</v>
      </c>
      <c r="O192" s="18" t="str">
        <f>'[3]8нед'!X260</f>
        <v/>
      </c>
      <c r="P192" s="40"/>
    </row>
    <row r="193" spans="1:16" ht="31.5" x14ac:dyDescent="0.2">
      <c r="A193" s="82"/>
      <c r="B193" s="85"/>
      <c r="C193" s="14" t="s">
        <v>19</v>
      </c>
      <c r="D193" s="20">
        <f>'[3]7нед'!S261</f>
        <v>0</v>
      </c>
      <c r="E193" s="23">
        <f>'[3]7нед'!T261</f>
        <v>0</v>
      </c>
      <c r="F193" s="21">
        <f>'[3]7нед'!W261</f>
        <v>0</v>
      </c>
      <c r="G193" s="22" t="str">
        <f>'[3]7нед'!X261</f>
        <v/>
      </c>
      <c r="H193" s="38"/>
      <c r="I193" s="71"/>
      <c r="J193" s="88"/>
      <c r="K193" s="14" t="s">
        <v>19</v>
      </c>
      <c r="L193" s="20">
        <f>'[3]8нед'!S261</f>
        <v>0</v>
      </c>
      <c r="M193" s="23">
        <f>'[3]8нед'!T261</f>
        <v>0</v>
      </c>
      <c r="N193" s="21">
        <f>'[3]8нед'!W261</f>
        <v>0</v>
      </c>
      <c r="O193" s="22" t="str">
        <f>'[3]8нед'!X261</f>
        <v/>
      </c>
      <c r="P193" s="38"/>
    </row>
    <row r="194" spans="1:16" ht="31.5" x14ac:dyDescent="0.2">
      <c r="A194" s="82"/>
      <c r="B194" s="85"/>
      <c r="C194" s="14" t="s">
        <v>20</v>
      </c>
      <c r="D194" s="20">
        <f>'[3]7нед'!S262</f>
        <v>0</v>
      </c>
      <c r="E194" s="23">
        <f>'[3]7нед'!T262</f>
        <v>0</v>
      </c>
      <c r="F194" s="21">
        <f>'[3]7нед'!W262</f>
        <v>0</v>
      </c>
      <c r="G194" s="22" t="str">
        <f>'[3]7нед'!X262</f>
        <v/>
      </c>
      <c r="H194" s="38"/>
      <c r="I194" s="71"/>
      <c r="J194" s="88"/>
      <c r="K194" s="14" t="s">
        <v>20</v>
      </c>
      <c r="L194" s="20">
        <f>'[3]8нед'!S262</f>
        <v>0</v>
      </c>
      <c r="M194" s="23">
        <f>'[3]8нед'!T262</f>
        <v>0</v>
      </c>
      <c r="N194" s="21">
        <f>'[3]8нед'!W262</f>
        <v>0</v>
      </c>
      <c r="O194" s="22" t="str">
        <f>'[3]8нед'!X262</f>
        <v/>
      </c>
      <c r="P194" s="38"/>
    </row>
    <row r="195" spans="1:16" ht="31.5" x14ac:dyDescent="0.2">
      <c r="A195" s="82"/>
      <c r="B195" s="85"/>
      <c r="C195" s="14" t="s">
        <v>21</v>
      </c>
      <c r="D195" s="20">
        <f>'[3]7нед'!S263</f>
        <v>0</v>
      </c>
      <c r="E195" s="23">
        <f>'[3]7нед'!T263</f>
        <v>0</v>
      </c>
      <c r="F195" s="21">
        <f>'[3]7нед'!W263</f>
        <v>0</v>
      </c>
      <c r="G195" s="22" t="str">
        <f>'[3]7нед'!X263</f>
        <v/>
      </c>
      <c r="H195" s="38"/>
      <c r="I195" s="71"/>
      <c r="J195" s="88"/>
      <c r="K195" s="14" t="s">
        <v>21</v>
      </c>
      <c r="L195" s="20">
        <f>'[3]8нед'!S263</f>
        <v>0</v>
      </c>
      <c r="M195" s="23">
        <f>'[3]8нед'!T263</f>
        <v>0</v>
      </c>
      <c r="N195" s="21">
        <f>'[3]8нед'!W263</f>
        <v>0</v>
      </c>
      <c r="O195" s="22" t="str">
        <f>'[3]8нед'!X263</f>
        <v/>
      </c>
      <c r="P195" s="38"/>
    </row>
    <row r="196" spans="1:16" ht="31.5" x14ac:dyDescent="0.2">
      <c r="A196" s="82"/>
      <c r="B196" s="85"/>
      <c r="C196" s="14" t="s">
        <v>22</v>
      </c>
      <c r="D196" s="20">
        <f>'[3]7нед'!S264</f>
        <v>0</v>
      </c>
      <c r="E196" s="23">
        <f>'[3]7нед'!T264</f>
        <v>0</v>
      </c>
      <c r="F196" s="21">
        <f>'[3]7нед'!W264</f>
        <v>0</v>
      </c>
      <c r="G196" s="22" t="str">
        <f>'[3]7нед'!X264</f>
        <v/>
      </c>
      <c r="H196" s="38"/>
      <c r="I196" s="71"/>
      <c r="J196" s="88"/>
      <c r="K196" s="14" t="s">
        <v>22</v>
      </c>
      <c r="L196" s="20">
        <f>'[3]8нед'!S264</f>
        <v>0</v>
      </c>
      <c r="M196" s="23">
        <f>'[3]8нед'!T264</f>
        <v>0</v>
      </c>
      <c r="N196" s="21">
        <f>'[3]8нед'!W264</f>
        <v>0</v>
      </c>
      <c r="O196" s="22" t="str">
        <f>'[3]8нед'!X264</f>
        <v/>
      </c>
      <c r="P196" s="38"/>
    </row>
    <row r="197" spans="1:16" ht="31.5" x14ac:dyDescent="0.2">
      <c r="A197" s="82"/>
      <c r="B197" s="85"/>
      <c r="C197" s="14" t="s">
        <v>23</v>
      </c>
      <c r="D197" s="20">
        <f>'[3]7нед'!S265</f>
        <v>0</v>
      </c>
      <c r="E197" s="23">
        <f>'[3]7нед'!T265</f>
        <v>0</v>
      </c>
      <c r="F197" s="21">
        <f>'[3]7нед'!W265</f>
        <v>0</v>
      </c>
      <c r="G197" s="22" t="str">
        <f>'[3]7нед'!X265</f>
        <v/>
      </c>
      <c r="H197" s="38"/>
      <c r="I197" s="71"/>
      <c r="J197" s="88"/>
      <c r="K197" s="14" t="s">
        <v>23</v>
      </c>
      <c r="L197" s="20">
        <f>'[3]8нед'!S265</f>
        <v>0</v>
      </c>
      <c r="M197" s="23">
        <f>'[3]8нед'!T265</f>
        <v>0</v>
      </c>
      <c r="N197" s="21">
        <f>'[3]8нед'!W265</f>
        <v>0</v>
      </c>
      <c r="O197" s="22" t="str">
        <f>'[3]8нед'!X265</f>
        <v/>
      </c>
      <c r="P197" s="38"/>
    </row>
    <row r="198" spans="1:16" ht="32.25" thickBot="1" x14ac:dyDescent="0.25">
      <c r="A198" s="82"/>
      <c r="B198" s="85"/>
      <c r="C198" s="14" t="s">
        <v>24</v>
      </c>
      <c r="D198" s="20">
        <f>'[3]7нед'!S266</f>
        <v>0</v>
      </c>
      <c r="E198" s="23">
        <f>'[3]7нед'!T266</f>
        <v>0</v>
      </c>
      <c r="F198" s="21">
        <f>'[3]7нед'!W266</f>
        <v>0</v>
      </c>
      <c r="G198" s="22" t="str">
        <f>'[3]7нед'!X266</f>
        <v/>
      </c>
      <c r="H198" s="38"/>
      <c r="I198" s="71"/>
      <c r="J198" s="88"/>
      <c r="K198" s="14" t="s">
        <v>24</v>
      </c>
      <c r="L198" s="20">
        <f>'[3]8нед'!S266</f>
        <v>0</v>
      </c>
      <c r="M198" s="23">
        <f>'[3]8нед'!T266</f>
        <v>0</v>
      </c>
      <c r="N198" s="21">
        <f>'[3]8нед'!W266</f>
        <v>0</v>
      </c>
      <c r="O198" s="22" t="str">
        <f>'[3]8нед'!X266</f>
        <v/>
      </c>
      <c r="P198" s="38"/>
    </row>
    <row r="199" spans="1:16" ht="18.399999999999999" hidden="1" customHeight="1" thickBot="1" x14ac:dyDescent="0.25">
      <c r="A199" s="83"/>
      <c r="B199" s="86"/>
      <c r="C199" s="15"/>
      <c r="D199" s="24">
        <f>'[3]7нед'!S267</f>
        <v>0</v>
      </c>
      <c r="E199" s="25">
        <f>'[3]7нед'!T267</f>
        <v>0</v>
      </c>
      <c r="F199" s="26">
        <f>'[3]7нед'!W267</f>
        <v>0</v>
      </c>
      <c r="G199" s="27" t="str">
        <f>'[3]7нед'!X267</f>
        <v/>
      </c>
      <c r="H199" s="39"/>
      <c r="I199" s="72"/>
      <c r="J199" s="89"/>
      <c r="K199" s="15"/>
      <c r="L199" s="24">
        <f>'[3]8нед'!S267</f>
        <v>0</v>
      </c>
      <c r="M199" s="25">
        <f>'[3]8нед'!T267</f>
        <v>0</v>
      </c>
      <c r="N199" s="26">
        <f>'[3]8нед'!W267</f>
        <v>0</v>
      </c>
      <c r="O199" s="27" t="str">
        <f>'[3]8нед'!X267</f>
        <v/>
      </c>
      <c r="P199" s="39"/>
    </row>
    <row r="200" spans="1:16" ht="32.25" customHeight="1" thickTop="1" x14ac:dyDescent="0.2">
      <c r="A200" s="70">
        <v>46308</v>
      </c>
      <c r="B200" s="84" t="s">
        <v>25</v>
      </c>
      <c r="C200" s="29" t="s">
        <v>18</v>
      </c>
      <c r="D200" s="16">
        <f>'[3]7нед'!S268</f>
        <v>0</v>
      </c>
      <c r="E200" s="19">
        <f>'[3]7нед'!T268</f>
        <v>0</v>
      </c>
      <c r="F200" s="17">
        <f>'[3]7нед'!W268</f>
        <v>0</v>
      </c>
      <c r="G200" s="18" t="str">
        <f>'[3]7нед'!X268</f>
        <v/>
      </c>
      <c r="H200" s="40"/>
      <c r="I200" s="70">
        <v>46315</v>
      </c>
      <c r="J200" s="87" t="s">
        <v>25</v>
      </c>
      <c r="K200" s="29" t="s">
        <v>18</v>
      </c>
      <c r="L200" s="16">
        <f>'[3]8нед'!S268</f>
        <v>0</v>
      </c>
      <c r="M200" s="19">
        <f>'[3]8нед'!T268</f>
        <v>0</v>
      </c>
      <c r="N200" s="17">
        <f>'[3]8нед'!W268</f>
        <v>0</v>
      </c>
      <c r="O200" s="18" t="str">
        <f>'[3]8нед'!X268</f>
        <v/>
      </c>
      <c r="P200" s="40"/>
    </row>
    <row r="201" spans="1:16" ht="31.5" x14ac:dyDescent="0.2">
      <c r="A201" s="82"/>
      <c r="B201" s="85"/>
      <c r="C201" s="14" t="s">
        <v>19</v>
      </c>
      <c r="D201" s="20">
        <f>'[3]7нед'!S269</f>
        <v>0</v>
      </c>
      <c r="E201" s="23">
        <f>'[3]7нед'!T269</f>
        <v>0</v>
      </c>
      <c r="F201" s="21">
        <f>'[3]7нед'!W269</f>
        <v>0</v>
      </c>
      <c r="G201" s="22" t="str">
        <f>'[3]7нед'!X269</f>
        <v/>
      </c>
      <c r="H201" s="38"/>
      <c r="I201" s="71"/>
      <c r="J201" s="88"/>
      <c r="K201" s="14" t="s">
        <v>19</v>
      </c>
      <c r="L201" s="20">
        <f>'[3]8нед'!S269</f>
        <v>0</v>
      </c>
      <c r="M201" s="23">
        <f>'[3]8нед'!T269</f>
        <v>0</v>
      </c>
      <c r="N201" s="21">
        <f>'[3]8нед'!W269</f>
        <v>0</v>
      </c>
      <c r="O201" s="22" t="str">
        <f>'[3]8нед'!X269</f>
        <v/>
      </c>
      <c r="P201" s="38"/>
    </row>
    <row r="202" spans="1:16" ht="31.5" x14ac:dyDescent="0.2">
      <c r="A202" s="82"/>
      <c r="B202" s="85"/>
      <c r="C202" s="14" t="s">
        <v>20</v>
      </c>
      <c r="D202" s="20">
        <f>'[3]7нед'!S270</f>
        <v>0</v>
      </c>
      <c r="E202" s="23">
        <f>'[3]7нед'!T270</f>
        <v>0</v>
      </c>
      <c r="F202" s="21">
        <f>'[3]7нед'!W270</f>
        <v>0</v>
      </c>
      <c r="G202" s="22" t="str">
        <f>'[3]7нед'!X270</f>
        <v/>
      </c>
      <c r="H202" s="38"/>
      <c r="I202" s="71"/>
      <c r="J202" s="88"/>
      <c r="K202" s="14" t="s">
        <v>20</v>
      </c>
      <c r="L202" s="20">
        <f>'[3]8нед'!S270</f>
        <v>0</v>
      </c>
      <c r="M202" s="23">
        <f>'[3]8нед'!T270</f>
        <v>0</v>
      </c>
      <c r="N202" s="21">
        <f>'[3]8нед'!W270</f>
        <v>0</v>
      </c>
      <c r="O202" s="22" t="str">
        <f>'[3]8нед'!X270</f>
        <v/>
      </c>
      <c r="P202" s="38"/>
    </row>
    <row r="203" spans="1:16" ht="31.5" x14ac:dyDescent="0.2">
      <c r="A203" s="82"/>
      <c r="B203" s="85"/>
      <c r="C203" s="14" t="s">
        <v>21</v>
      </c>
      <c r="D203" s="20">
        <f>'[3]7нед'!S271</f>
        <v>0</v>
      </c>
      <c r="E203" s="23">
        <f>'[3]7нед'!T271</f>
        <v>0</v>
      </c>
      <c r="F203" s="21">
        <f>'[3]7нед'!W271</f>
        <v>0</v>
      </c>
      <c r="G203" s="22" t="str">
        <f>'[3]7нед'!X271</f>
        <v/>
      </c>
      <c r="H203" s="38"/>
      <c r="I203" s="71"/>
      <c r="J203" s="88"/>
      <c r="K203" s="14" t="s">
        <v>21</v>
      </c>
      <c r="L203" s="20">
        <f>'[3]8нед'!S271</f>
        <v>0</v>
      </c>
      <c r="M203" s="23">
        <f>'[3]8нед'!T271</f>
        <v>0</v>
      </c>
      <c r="N203" s="21">
        <f>'[3]8нед'!W271</f>
        <v>0</v>
      </c>
      <c r="O203" s="22" t="str">
        <f>'[3]8нед'!X271</f>
        <v/>
      </c>
      <c r="P203" s="38"/>
    </row>
    <row r="204" spans="1:16" ht="31.5" x14ac:dyDescent="0.2">
      <c r="A204" s="82"/>
      <c r="B204" s="85"/>
      <c r="C204" s="14" t="s">
        <v>22</v>
      </c>
      <c r="D204" s="20">
        <f>'[3]7нед'!S272</f>
        <v>0</v>
      </c>
      <c r="E204" s="23">
        <f>'[3]7нед'!T272</f>
        <v>0</v>
      </c>
      <c r="F204" s="21">
        <f>'[3]7нед'!W272</f>
        <v>0</v>
      </c>
      <c r="G204" s="22" t="str">
        <f>'[3]7нед'!X272</f>
        <v/>
      </c>
      <c r="H204" s="38"/>
      <c r="I204" s="71"/>
      <c r="J204" s="88"/>
      <c r="K204" s="14" t="s">
        <v>22</v>
      </c>
      <c r="L204" s="20">
        <f>'[3]8нед'!S272</f>
        <v>0</v>
      </c>
      <c r="M204" s="23">
        <f>'[3]8нед'!T272</f>
        <v>0</v>
      </c>
      <c r="N204" s="21">
        <f>'[3]8нед'!W272</f>
        <v>0</v>
      </c>
      <c r="O204" s="22" t="str">
        <f>'[3]8нед'!X272</f>
        <v/>
      </c>
      <c r="P204" s="38"/>
    </row>
    <row r="205" spans="1:16" ht="31.5" x14ac:dyDescent="0.2">
      <c r="A205" s="82"/>
      <c r="B205" s="85"/>
      <c r="C205" s="14" t="s">
        <v>23</v>
      </c>
      <c r="D205" s="20">
        <f>'[3]7нед'!S273</f>
        <v>0</v>
      </c>
      <c r="E205" s="23">
        <f>'[3]7нед'!T273</f>
        <v>0</v>
      </c>
      <c r="F205" s="21">
        <f>'[3]7нед'!W273</f>
        <v>0</v>
      </c>
      <c r="G205" s="22" t="str">
        <f>'[3]7нед'!X273</f>
        <v/>
      </c>
      <c r="H205" s="34"/>
      <c r="I205" s="71"/>
      <c r="J205" s="88"/>
      <c r="K205" s="14" t="s">
        <v>23</v>
      </c>
      <c r="L205" s="20">
        <f>'[3]8нед'!S273</f>
        <v>0</v>
      </c>
      <c r="M205" s="23">
        <f>'[3]8нед'!T273</f>
        <v>0</v>
      </c>
      <c r="N205" s="21">
        <f>'[3]8нед'!W273</f>
        <v>0</v>
      </c>
      <c r="O205" s="22" t="str">
        <f>'[3]8нед'!X273</f>
        <v/>
      </c>
      <c r="P205" s="34"/>
    </row>
    <row r="206" spans="1:16" ht="32.25" thickBot="1" x14ac:dyDescent="0.25">
      <c r="A206" s="82"/>
      <c r="B206" s="85"/>
      <c r="C206" s="14" t="s">
        <v>24</v>
      </c>
      <c r="D206" s="20">
        <f>'[3]7нед'!S274</f>
        <v>0</v>
      </c>
      <c r="E206" s="23">
        <f>'[3]7нед'!T274</f>
        <v>0</v>
      </c>
      <c r="F206" s="21">
        <f>'[3]7нед'!W274</f>
        <v>0</v>
      </c>
      <c r="G206" s="22" t="str">
        <f>'[3]7нед'!X274</f>
        <v/>
      </c>
      <c r="H206" s="34"/>
      <c r="I206" s="71"/>
      <c r="J206" s="88"/>
      <c r="K206" s="14" t="s">
        <v>24</v>
      </c>
      <c r="L206" s="20">
        <f>'[3]8нед'!S274</f>
        <v>0</v>
      </c>
      <c r="M206" s="23">
        <f>'[3]8нед'!T274</f>
        <v>0</v>
      </c>
      <c r="N206" s="21">
        <f>'[3]8нед'!W274</f>
        <v>0</v>
      </c>
      <c r="O206" s="22" t="str">
        <f>'[3]8нед'!X274</f>
        <v/>
      </c>
      <c r="P206" s="34"/>
    </row>
    <row r="207" spans="1:16" ht="18.399999999999999" hidden="1" customHeight="1" thickBot="1" x14ac:dyDescent="0.25">
      <c r="A207" s="83"/>
      <c r="B207" s="86"/>
      <c r="C207" s="15"/>
      <c r="D207" s="24">
        <f>'[3]7нед'!S275</f>
        <v>0</v>
      </c>
      <c r="E207" s="25">
        <f>'[3]7нед'!T275</f>
        <v>0</v>
      </c>
      <c r="F207" s="26">
        <f>'[3]7нед'!W275</f>
        <v>0</v>
      </c>
      <c r="G207" s="27" t="str">
        <f>'[3]7нед'!X275</f>
        <v/>
      </c>
      <c r="H207" s="39"/>
      <c r="I207" s="72"/>
      <c r="J207" s="89"/>
      <c r="K207" s="15"/>
      <c r="L207" s="24">
        <f>'[3]8нед'!S275</f>
        <v>0</v>
      </c>
      <c r="M207" s="25">
        <f>'[3]8нед'!T275</f>
        <v>0</v>
      </c>
      <c r="N207" s="26">
        <f>'[3]8нед'!W275</f>
        <v>0</v>
      </c>
      <c r="O207" s="27" t="str">
        <f>'[3]8нед'!X275</f>
        <v/>
      </c>
      <c r="P207" s="39"/>
    </row>
    <row r="208" spans="1:16" ht="48" customHeight="1" thickTop="1" x14ac:dyDescent="0.2">
      <c r="A208" s="70">
        <v>46309</v>
      </c>
      <c r="B208" s="67" t="s">
        <v>26</v>
      </c>
      <c r="C208" s="29" t="s">
        <v>18</v>
      </c>
      <c r="D208" s="16">
        <f>'[3]7нед'!S276</f>
        <v>0</v>
      </c>
      <c r="E208" s="19">
        <f>'[3]7нед'!T276</f>
        <v>0</v>
      </c>
      <c r="F208" s="17">
        <f>'[3]7нед'!W276</f>
        <v>0</v>
      </c>
      <c r="G208" s="18" t="str">
        <f>'[3]7нед'!X276</f>
        <v/>
      </c>
      <c r="H208" s="40"/>
      <c r="I208" s="70">
        <v>46316</v>
      </c>
      <c r="J208" s="73" t="s">
        <v>26</v>
      </c>
      <c r="K208" s="29" t="s">
        <v>18</v>
      </c>
      <c r="L208" s="16">
        <f>'[3]8нед'!S276</f>
        <v>0</v>
      </c>
      <c r="M208" s="19">
        <f>'[3]8нед'!T276</f>
        <v>0</v>
      </c>
      <c r="N208" s="17">
        <f>'[3]8нед'!W276</f>
        <v>0</v>
      </c>
      <c r="O208" s="18" t="str">
        <f>'[3]8нед'!X276</f>
        <v/>
      </c>
      <c r="P208" s="40"/>
    </row>
    <row r="209" spans="1:16" ht="31.5" x14ac:dyDescent="0.2">
      <c r="A209" s="82"/>
      <c r="B209" s="68"/>
      <c r="C209" s="14" t="s">
        <v>19</v>
      </c>
      <c r="D209" s="20">
        <f>'[3]7нед'!S277</f>
        <v>0</v>
      </c>
      <c r="E209" s="23">
        <f>'[3]7нед'!T277</f>
        <v>0</v>
      </c>
      <c r="F209" s="21">
        <f>'[3]7нед'!W277</f>
        <v>0</v>
      </c>
      <c r="G209" s="22" t="str">
        <f>'[3]7нед'!X277</f>
        <v/>
      </c>
      <c r="H209" s="38"/>
      <c r="I209" s="71"/>
      <c r="J209" s="74"/>
      <c r="K209" s="14" t="s">
        <v>19</v>
      </c>
      <c r="L209" s="20">
        <f>'[3]8нед'!S277</f>
        <v>0</v>
      </c>
      <c r="M209" s="23">
        <f>'[3]8нед'!T277</f>
        <v>0</v>
      </c>
      <c r="N209" s="21">
        <f>'[3]8нед'!W277</f>
        <v>0</v>
      </c>
      <c r="O209" s="22" t="str">
        <f>'[3]8нед'!X277</f>
        <v/>
      </c>
      <c r="P209" s="38"/>
    </row>
    <row r="210" spans="1:16" ht="31.5" x14ac:dyDescent="0.2">
      <c r="A210" s="82"/>
      <c r="B210" s="68"/>
      <c r="C210" s="14" t="s">
        <v>20</v>
      </c>
      <c r="D210" s="20">
        <f>'[3]7нед'!S278</f>
        <v>0</v>
      </c>
      <c r="E210" s="23">
        <f>'[3]7нед'!T278</f>
        <v>0</v>
      </c>
      <c r="F210" s="21">
        <f>'[3]7нед'!W278</f>
        <v>0</v>
      </c>
      <c r="G210" s="22" t="str">
        <f>'[3]7нед'!X278</f>
        <v/>
      </c>
      <c r="H210" s="38"/>
      <c r="I210" s="71"/>
      <c r="J210" s="74"/>
      <c r="K210" s="14" t="s">
        <v>20</v>
      </c>
      <c r="L210" s="20">
        <f>'[3]8нед'!S278</f>
        <v>0</v>
      </c>
      <c r="M210" s="23">
        <f>'[3]8нед'!T278</f>
        <v>0</v>
      </c>
      <c r="N210" s="21">
        <f>'[3]8нед'!W278</f>
        <v>0</v>
      </c>
      <c r="O210" s="22" t="str">
        <f>'[3]8нед'!X278</f>
        <v/>
      </c>
      <c r="P210" s="38"/>
    </row>
    <row r="211" spans="1:16" ht="31.5" x14ac:dyDescent="0.2">
      <c r="A211" s="82"/>
      <c r="B211" s="68"/>
      <c r="C211" s="14" t="s">
        <v>21</v>
      </c>
      <c r="D211" s="20">
        <f>'[3]7нед'!S279</f>
        <v>0</v>
      </c>
      <c r="E211" s="23">
        <f>'[3]7нед'!T279</f>
        <v>0</v>
      </c>
      <c r="F211" s="21">
        <f>'[3]7нед'!W279</f>
        <v>0</v>
      </c>
      <c r="G211" s="22" t="str">
        <f>'[3]7нед'!X279</f>
        <v/>
      </c>
      <c r="H211" s="38"/>
      <c r="I211" s="71"/>
      <c r="J211" s="74"/>
      <c r="K211" s="14" t="s">
        <v>21</v>
      </c>
      <c r="L211" s="20">
        <f>'[3]8нед'!S279</f>
        <v>0</v>
      </c>
      <c r="M211" s="23">
        <f>'[3]8нед'!T279</f>
        <v>0</v>
      </c>
      <c r="N211" s="21">
        <f>'[3]8нед'!W279</f>
        <v>0</v>
      </c>
      <c r="O211" s="22" t="str">
        <f>'[3]8нед'!X279</f>
        <v/>
      </c>
      <c r="P211" s="38"/>
    </row>
    <row r="212" spans="1:16" ht="31.5" x14ac:dyDescent="0.2">
      <c r="A212" s="82"/>
      <c r="B212" s="68"/>
      <c r="C212" s="14" t="s">
        <v>22</v>
      </c>
      <c r="D212" s="20">
        <f>'[3]7нед'!S280</f>
        <v>0</v>
      </c>
      <c r="E212" s="23">
        <f>'[3]7нед'!T280</f>
        <v>0</v>
      </c>
      <c r="F212" s="21">
        <f>'[3]7нед'!W280</f>
        <v>0</v>
      </c>
      <c r="G212" s="22" t="str">
        <f>'[3]7нед'!X280</f>
        <v/>
      </c>
      <c r="H212" s="38"/>
      <c r="I212" s="71"/>
      <c r="J212" s="74"/>
      <c r="K212" s="14" t="s">
        <v>22</v>
      </c>
      <c r="L212" s="20">
        <f>'[3]8нед'!S280</f>
        <v>0</v>
      </c>
      <c r="M212" s="23">
        <f>'[3]8нед'!T280</f>
        <v>0</v>
      </c>
      <c r="N212" s="21">
        <f>'[3]8нед'!W280</f>
        <v>0</v>
      </c>
      <c r="O212" s="22" t="str">
        <f>'[3]8нед'!X280</f>
        <v/>
      </c>
      <c r="P212" s="38"/>
    </row>
    <row r="213" spans="1:16" ht="31.5" x14ac:dyDescent="0.2">
      <c r="A213" s="82"/>
      <c r="B213" s="68"/>
      <c r="C213" s="14" t="s">
        <v>23</v>
      </c>
      <c r="D213" s="20">
        <f>'[3]7нед'!S281</f>
        <v>0</v>
      </c>
      <c r="E213" s="23">
        <f>'[3]7нед'!T281</f>
        <v>0</v>
      </c>
      <c r="F213" s="21">
        <f>'[3]7нед'!W281</f>
        <v>0</v>
      </c>
      <c r="G213" s="22" t="str">
        <f>'[3]7нед'!X281</f>
        <v/>
      </c>
      <c r="H213" s="34"/>
      <c r="I213" s="71"/>
      <c r="J213" s="74"/>
      <c r="K213" s="14" t="s">
        <v>23</v>
      </c>
      <c r="L213" s="20">
        <f>'[3]8нед'!S281</f>
        <v>0</v>
      </c>
      <c r="M213" s="23">
        <f>'[3]8нед'!T281</f>
        <v>0</v>
      </c>
      <c r="N213" s="21">
        <f>'[3]8нед'!W281</f>
        <v>0</v>
      </c>
      <c r="O213" s="22" t="str">
        <f>'[3]8нед'!X281</f>
        <v/>
      </c>
      <c r="P213" s="34"/>
    </row>
    <row r="214" spans="1:16" ht="32.25" thickBot="1" x14ac:dyDescent="0.25">
      <c r="A214" s="82"/>
      <c r="B214" s="68"/>
      <c r="C214" s="14" t="s">
        <v>24</v>
      </c>
      <c r="D214" s="20">
        <f>'[3]7нед'!S282</f>
        <v>0</v>
      </c>
      <c r="E214" s="23">
        <f>'[3]7нед'!T282</f>
        <v>0</v>
      </c>
      <c r="F214" s="21">
        <f>'[3]7нед'!W282</f>
        <v>0</v>
      </c>
      <c r="G214" s="22" t="str">
        <f>'[3]7нед'!X282</f>
        <v/>
      </c>
      <c r="H214" s="34"/>
      <c r="I214" s="71"/>
      <c r="J214" s="74"/>
      <c r="K214" s="14" t="s">
        <v>24</v>
      </c>
      <c r="L214" s="20">
        <f>'[3]8нед'!S282</f>
        <v>0</v>
      </c>
      <c r="M214" s="23">
        <f>'[3]8нед'!T282</f>
        <v>0</v>
      </c>
      <c r="N214" s="21">
        <f>'[3]8нед'!W282</f>
        <v>0</v>
      </c>
      <c r="O214" s="22" t="str">
        <f>'[3]8нед'!X282</f>
        <v/>
      </c>
      <c r="P214" s="34"/>
    </row>
    <row r="215" spans="1:16" ht="18.399999999999999" hidden="1" customHeight="1" thickBot="1" x14ac:dyDescent="0.25">
      <c r="A215" s="83"/>
      <c r="B215" s="69"/>
      <c r="C215" s="15"/>
      <c r="D215" s="24">
        <f>'[3]7нед'!S283</f>
        <v>0</v>
      </c>
      <c r="E215" s="25">
        <f>'[3]7нед'!T283</f>
        <v>0</v>
      </c>
      <c r="F215" s="26">
        <f>'[3]7нед'!W283</f>
        <v>0</v>
      </c>
      <c r="G215" s="27" t="str">
        <f>'[3]7нед'!X283</f>
        <v/>
      </c>
      <c r="H215" s="39"/>
      <c r="I215" s="72"/>
      <c r="J215" s="75"/>
      <c r="K215" s="15"/>
      <c r="L215" s="24">
        <f>'[3]8нед'!S283</f>
        <v>0</v>
      </c>
      <c r="M215" s="25">
        <f>'[3]8нед'!T283</f>
        <v>0</v>
      </c>
      <c r="N215" s="26">
        <f>'[3]8нед'!W283</f>
        <v>0</v>
      </c>
      <c r="O215" s="27" t="str">
        <f>'[3]8нед'!X283</f>
        <v/>
      </c>
      <c r="P215" s="39"/>
    </row>
    <row r="216" spans="1:16" ht="48" customHeight="1" thickTop="1" x14ac:dyDescent="0.2">
      <c r="A216" s="70">
        <v>46310</v>
      </c>
      <c r="B216" s="84" t="s">
        <v>27</v>
      </c>
      <c r="C216" s="29" t="s">
        <v>18</v>
      </c>
      <c r="D216" s="16">
        <f>'[3]7нед'!S284</f>
        <v>0</v>
      </c>
      <c r="E216" s="19">
        <f>'[3]7нед'!T284</f>
        <v>0</v>
      </c>
      <c r="F216" s="17">
        <f>'[3]7нед'!W284</f>
        <v>0</v>
      </c>
      <c r="G216" s="18" t="str">
        <f>'[3]7нед'!X284</f>
        <v/>
      </c>
      <c r="H216" s="40"/>
      <c r="I216" s="70">
        <v>46317</v>
      </c>
      <c r="J216" s="87" t="s">
        <v>27</v>
      </c>
      <c r="K216" s="29" t="s">
        <v>18</v>
      </c>
      <c r="L216" s="16">
        <f>'[3]8нед'!S284</f>
        <v>0</v>
      </c>
      <c r="M216" s="19">
        <f>'[3]8нед'!T284</f>
        <v>0</v>
      </c>
      <c r="N216" s="17">
        <f>'[3]8нед'!W284</f>
        <v>0</v>
      </c>
      <c r="O216" s="18" t="str">
        <f>'[3]8нед'!X284</f>
        <v/>
      </c>
      <c r="P216" s="40"/>
    </row>
    <row r="217" spans="1:16" ht="31.5" x14ac:dyDescent="0.2">
      <c r="A217" s="82"/>
      <c r="B217" s="85"/>
      <c r="C217" s="14" t="s">
        <v>19</v>
      </c>
      <c r="D217" s="20">
        <f>'[3]7нед'!S285</f>
        <v>0</v>
      </c>
      <c r="E217" s="23">
        <f>'[3]7нед'!T285</f>
        <v>0</v>
      </c>
      <c r="F217" s="21">
        <f>'[3]7нед'!W285</f>
        <v>0</v>
      </c>
      <c r="G217" s="22" t="str">
        <f>'[3]7нед'!X285</f>
        <v/>
      </c>
      <c r="H217" s="38"/>
      <c r="I217" s="71"/>
      <c r="J217" s="88"/>
      <c r="K217" s="14" t="s">
        <v>19</v>
      </c>
      <c r="L217" s="20">
        <f>'[3]8нед'!S285</f>
        <v>0</v>
      </c>
      <c r="M217" s="23">
        <f>'[3]8нед'!T285</f>
        <v>0</v>
      </c>
      <c r="N217" s="21">
        <f>'[3]8нед'!W285</f>
        <v>0</v>
      </c>
      <c r="O217" s="22" t="str">
        <f>'[3]8нед'!X285</f>
        <v/>
      </c>
      <c r="P217" s="38"/>
    </row>
    <row r="218" spans="1:16" ht="31.5" x14ac:dyDescent="0.2">
      <c r="A218" s="82"/>
      <c r="B218" s="85"/>
      <c r="C218" s="14" t="s">
        <v>20</v>
      </c>
      <c r="D218" s="20">
        <f>'[3]7нед'!S286</f>
        <v>0</v>
      </c>
      <c r="E218" s="23">
        <f>'[3]7нед'!T286</f>
        <v>0</v>
      </c>
      <c r="F218" s="21">
        <f>'[3]7нед'!W286</f>
        <v>0</v>
      </c>
      <c r="G218" s="22" t="str">
        <f>'[3]7нед'!X286</f>
        <v/>
      </c>
      <c r="H218" s="38"/>
      <c r="I218" s="71"/>
      <c r="J218" s="88"/>
      <c r="K218" s="14" t="s">
        <v>20</v>
      </c>
      <c r="L218" s="20">
        <f>'[3]8нед'!S286</f>
        <v>0</v>
      </c>
      <c r="M218" s="23">
        <f>'[3]8нед'!T286</f>
        <v>0</v>
      </c>
      <c r="N218" s="21">
        <f>'[3]8нед'!W286</f>
        <v>0</v>
      </c>
      <c r="O218" s="22" t="str">
        <f>'[3]8нед'!X286</f>
        <v/>
      </c>
      <c r="P218" s="38"/>
    </row>
    <row r="219" spans="1:16" ht="31.5" x14ac:dyDescent="0.2">
      <c r="A219" s="82"/>
      <c r="B219" s="85"/>
      <c r="C219" s="14" t="s">
        <v>21</v>
      </c>
      <c r="D219" s="20">
        <f>'[3]7нед'!S287</f>
        <v>0</v>
      </c>
      <c r="E219" s="23">
        <f>'[3]7нед'!T287</f>
        <v>0</v>
      </c>
      <c r="F219" s="21">
        <f>'[3]7нед'!W287</f>
        <v>0</v>
      </c>
      <c r="G219" s="22" t="str">
        <f>'[3]7нед'!X287</f>
        <v/>
      </c>
      <c r="H219" s="38"/>
      <c r="I219" s="71"/>
      <c r="J219" s="88"/>
      <c r="K219" s="14" t="s">
        <v>21</v>
      </c>
      <c r="L219" s="20">
        <f>'[3]8нед'!S287</f>
        <v>0</v>
      </c>
      <c r="M219" s="23">
        <f>'[3]8нед'!T287</f>
        <v>0</v>
      </c>
      <c r="N219" s="21">
        <f>'[3]8нед'!W287</f>
        <v>0</v>
      </c>
      <c r="O219" s="22" t="str">
        <f>'[3]8нед'!X287</f>
        <v/>
      </c>
      <c r="P219" s="38"/>
    </row>
    <row r="220" spans="1:16" ht="31.5" x14ac:dyDescent="0.2">
      <c r="A220" s="82"/>
      <c r="B220" s="85"/>
      <c r="C220" s="14" t="s">
        <v>22</v>
      </c>
      <c r="D220" s="20">
        <f>'[3]7нед'!S288</f>
        <v>0</v>
      </c>
      <c r="E220" s="23">
        <f>'[3]7нед'!T288</f>
        <v>0</v>
      </c>
      <c r="F220" s="21">
        <f>'[3]7нед'!W288</f>
        <v>0</v>
      </c>
      <c r="G220" s="22" t="str">
        <f>'[3]7нед'!X288</f>
        <v/>
      </c>
      <c r="H220" s="38"/>
      <c r="I220" s="71"/>
      <c r="J220" s="88"/>
      <c r="K220" s="14" t="s">
        <v>22</v>
      </c>
      <c r="L220" s="20">
        <f>'[3]8нед'!S288</f>
        <v>0</v>
      </c>
      <c r="M220" s="23">
        <f>'[3]8нед'!T288</f>
        <v>0</v>
      </c>
      <c r="N220" s="21">
        <f>'[3]8нед'!W288</f>
        <v>0</v>
      </c>
      <c r="O220" s="22" t="str">
        <f>'[3]8нед'!X288</f>
        <v/>
      </c>
      <c r="P220" s="38"/>
    </row>
    <row r="221" spans="1:16" ht="31.5" x14ac:dyDescent="0.2">
      <c r="A221" s="82"/>
      <c r="B221" s="85"/>
      <c r="C221" s="14" t="s">
        <v>23</v>
      </c>
      <c r="D221" s="20">
        <f>'[3]7нед'!S289</f>
        <v>0</v>
      </c>
      <c r="E221" s="23">
        <f>'[3]7нед'!T289</f>
        <v>0</v>
      </c>
      <c r="F221" s="21">
        <f>'[3]7нед'!W289</f>
        <v>0</v>
      </c>
      <c r="G221" s="22" t="str">
        <f>'[3]7нед'!X289</f>
        <v/>
      </c>
      <c r="H221" s="34"/>
      <c r="I221" s="71"/>
      <c r="J221" s="88"/>
      <c r="K221" s="14" t="s">
        <v>23</v>
      </c>
      <c r="L221" s="20">
        <f>'[3]8нед'!S289</f>
        <v>0</v>
      </c>
      <c r="M221" s="23">
        <f>'[3]8нед'!T289</f>
        <v>0</v>
      </c>
      <c r="N221" s="21">
        <f>'[3]8нед'!W289</f>
        <v>0</v>
      </c>
      <c r="O221" s="22" t="str">
        <f>'[3]8нед'!X289</f>
        <v/>
      </c>
      <c r="P221" s="34"/>
    </row>
    <row r="222" spans="1:16" ht="32.25" thickBot="1" x14ac:dyDescent="0.25">
      <c r="A222" s="82"/>
      <c r="B222" s="85"/>
      <c r="C222" s="14" t="s">
        <v>24</v>
      </c>
      <c r="D222" s="20">
        <f>'[3]7нед'!S290</f>
        <v>0</v>
      </c>
      <c r="E222" s="23">
        <f>'[3]7нед'!T290</f>
        <v>0</v>
      </c>
      <c r="F222" s="21">
        <f>'[3]7нед'!W290</f>
        <v>0</v>
      </c>
      <c r="G222" s="22" t="str">
        <f>'[3]7нед'!X290</f>
        <v/>
      </c>
      <c r="H222" s="34"/>
      <c r="I222" s="71"/>
      <c r="J222" s="88"/>
      <c r="K222" s="14" t="s">
        <v>24</v>
      </c>
      <c r="L222" s="20">
        <f>'[3]8нед'!S290</f>
        <v>0</v>
      </c>
      <c r="M222" s="23">
        <f>'[3]8нед'!T290</f>
        <v>0</v>
      </c>
      <c r="N222" s="21">
        <f>'[3]8нед'!W290</f>
        <v>0</v>
      </c>
      <c r="O222" s="22" t="str">
        <f>'[3]8нед'!X290</f>
        <v/>
      </c>
      <c r="P222" s="34"/>
    </row>
    <row r="223" spans="1:16" ht="18.399999999999999" hidden="1" customHeight="1" thickBot="1" x14ac:dyDescent="0.25">
      <c r="A223" s="83"/>
      <c r="B223" s="86"/>
      <c r="C223" s="15"/>
      <c r="D223" s="24">
        <f>'[3]7нед'!S291</f>
        <v>0</v>
      </c>
      <c r="E223" s="25">
        <f>'[3]7нед'!T291</f>
        <v>0</v>
      </c>
      <c r="F223" s="26">
        <f>'[3]7нед'!W291</f>
        <v>0</v>
      </c>
      <c r="G223" s="27" t="str">
        <f>'[3]7нед'!X291</f>
        <v/>
      </c>
      <c r="H223" s="39"/>
      <c r="I223" s="72"/>
      <c r="J223" s="89"/>
      <c r="K223" s="15"/>
      <c r="L223" s="24">
        <f>'[3]8нед'!S291</f>
        <v>0</v>
      </c>
      <c r="M223" s="25">
        <f>'[3]8нед'!T291</f>
        <v>0</v>
      </c>
      <c r="N223" s="26">
        <f>'[3]8нед'!W291</f>
        <v>0</v>
      </c>
      <c r="O223" s="27" t="str">
        <f>'[3]8нед'!X291</f>
        <v/>
      </c>
      <c r="P223" s="39"/>
    </row>
    <row r="224" spans="1:16" ht="48" customHeight="1" thickTop="1" x14ac:dyDescent="0.2">
      <c r="A224" s="70">
        <v>46311</v>
      </c>
      <c r="B224" s="84" t="s">
        <v>28</v>
      </c>
      <c r="C224" s="29" t="s">
        <v>18</v>
      </c>
      <c r="D224" s="16">
        <f>'[3]7нед'!S292</f>
        <v>0</v>
      </c>
      <c r="E224" s="19">
        <f>'[3]7нед'!T292</f>
        <v>0</v>
      </c>
      <c r="F224" s="17">
        <f>'[3]7нед'!W292</f>
        <v>0</v>
      </c>
      <c r="G224" s="18" t="str">
        <f>'[3]7нед'!X292</f>
        <v/>
      </c>
      <c r="H224" s="40"/>
      <c r="I224" s="70">
        <v>46318</v>
      </c>
      <c r="J224" s="87" t="s">
        <v>28</v>
      </c>
      <c r="K224" s="29" t="s">
        <v>18</v>
      </c>
      <c r="L224" s="16">
        <f>'[3]8нед'!S292</f>
        <v>0</v>
      </c>
      <c r="M224" s="19">
        <f>'[3]8нед'!T292</f>
        <v>0</v>
      </c>
      <c r="N224" s="17">
        <f>'[3]8нед'!W292</f>
        <v>0</v>
      </c>
      <c r="O224" s="18" t="str">
        <f>'[3]8нед'!X292</f>
        <v/>
      </c>
      <c r="P224" s="40"/>
    </row>
    <row r="225" spans="1:16" ht="31.5" x14ac:dyDescent="0.2">
      <c r="A225" s="82"/>
      <c r="B225" s="85"/>
      <c r="C225" s="14" t="s">
        <v>19</v>
      </c>
      <c r="D225" s="20">
        <f>'[3]7нед'!S293</f>
        <v>0</v>
      </c>
      <c r="E225" s="23">
        <f>'[3]7нед'!T293</f>
        <v>0</v>
      </c>
      <c r="F225" s="21">
        <f>'[3]7нед'!W293</f>
        <v>0</v>
      </c>
      <c r="G225" s="22" t="str">
        <f>'[3]7нед'!X293</f>
        <v/>
      </c>
      <c r="H225" s="38"/>
      <c r="I225" s="71"/>
      <c r="J225" s="88"/>
      <c r="K225" s="14" t="s">
        <v>19</v>
      </c>
      <c r="L225" s="20">
        <f>'[3]8нед'!S293</f>
        <v>0</v>
      </c>
      <c r="M225" s="23">
        <f>'[3]8нед'!T293</f>
        <v>0</v>
      </c>
      <c r="N225" s="21">
        <f>'[3]8нед'!W293</f>
        <v>0</v>
      </c>
      <c r="O225" s="22" t="str">
        <f>'[3]8нед'!X293</f>
        <v/>
      </c>
      <c r="P225" s="38"/>
    </row>
    <row r="226" spans="1:16" ht="31.5" x14ac:dyDescent="0.2">
      <c r="A226" s="82"/>
      <c r="B226" s="85"/>
      <c r="C226" s="14" t="s">
        <v>20</v>
      </c>
      <c r="D226" s="20">
        <f>'[3]7нед'!S294</f>
        <v>0</v>
      </c>
      <c r="E226" s="23">
        <f>'[3]7нед'!T294</f>
        <v>0</v>
      </c>
      <c r="F226" s="21">
        <f>'[3]7нед'!W294</f>
        <v>0</v>
      </c>
      <c r="G226" s="22" t="str">
        <f>'[3]7нед'!X294</f>
        <v/>
      </c>
      <c r="H226" s="38"/>
      <c r="I226" s="71"/>
      <c r="J226" s="88"/>
      <c r="K226" s="14" t="s">
        <v>20</v>
      </c>
      <c r="L226" s="20">
        <f>'[3]8нед'!S294</f>
        <v>0</v>
      </c>
      <c r="M226" s="23">
        <f>'[3]8нед'!T294</f>
        <v>0</v>
      </c>
      <c r="N226" s="21">
        <f>'[3]8нед'!W294</f>
        <v>0</v>
      </c>
      <c r="O226" s="22" t="str">
        <f>'[3]8нед'!X294</f>
        <v/>
      </c>
      <c r="P226" s="38"/>
    </row>
    <row r="227" spans="1:16" ht="31.5" x14ac:dyDescent="0.2">
      <c r="A227" s="82"/>
      <c r="B227" s="85"/>
      <c r="C227" s="14" t="s">
        <v>21</v>
      </c>
      <c r="D227" s="20">
        <f>'[3]7нед'!S295</f>
        <v>0</v>
      </c>
      <c r="E227" s="23">
        <f>'[3]7нед'!T295</f>
        <v>0</v>
      </c>
      <c r="F227" s="21">
        <f>'[3]7нед'!W295</f>
        <v>0</v>
      </c>
      <c r="G227" s="22" t="str">
        <f>'[3]7нед'!X295</f>
        <v/>
      </c>
      <c r="H227" s="38"/>
      <c r="I227" s="71"/>
      <c r="J227" s="88"/>
      <c r="K227" s="14" t="s">
        <v>21</v>
      </c>
      <c r="L227" s="20">
        <f>'[3]8нед'!S295</f>
        <v>0</v>
      </c>
      <c r="M227" s="23">
        <f>'[3]8нед'!T295</f>
        <v>0</v>
      </c>
      <c r="N227" s="21">
        <f>'[3]8нед'!W295</f>
        <v>0</v>
      </c>
      <c r="O227" s="22" t="str">
        <f>'[3]8нед'!X295</f>
        <v/>
      </c>
      <c r="P227" s="38"/>
    </row>
    <row r="228" spans="1:16" ht="31.5" x14ac:dyDescent="0.2">
      <c r="A228" s="82"/>
      <c r="B228" s="85"/>
      <c r="C228" s="14" t="s">
        <v>22</v>
      </c>
      <c r="D228" s="20">
        <f>'[3]7нед'!S296</f>
        <v>0</v>
      </c>
      <c r="E228" s="23">
        <f>'[3]7нед'!T296</f>
        <v>0</v>
      </c>
      <c r="F228" s="21">
        <f>'[3]7нед'!W296</f>
        <v>0</v>
      </c>
      <c r="G228" s="22" t="str">
        <f>'[3]7нед'!X296</f>
        <v/>
      </c>
      <c r="H228" s="38"/>
      <c r="I228" s="71"/>
      <c r="J228" s="88"/>
      <c r="K228" s="14" t="s">
        <v>22</v>
      </c>
      <c r="L228" s="20">
        <f>'[3]8нед'!S296</f>
        <v>0</v>
      </c>
      <c r="M228" s="23">
        <f>'[3]8нед'!T296</f>
        <v>0</v>
      </c>
      <c r="N228" s="21">
        <f>'[3]8нед'!W296</f>
        <v>0</v>
      </c>
      <c r="O228" s="22" t="str">
        <f>'[3]8нед'!X296</f>
        <v/>
      </c>
      <c r="P228" s="38"/>
    </row>
    <row r="229" spans="1:16" ht="31.5" x14ac:dyDescent="0.2">
      <c r="A229" s="82"/>
      <c r="B229" s="85"/>
      <c r="C229" s="14" t="s">
        <v>23</v>
      </c>
      <c r="D229" s="20">
        <f>'[3]7нед'!S297</f>
        <v>0</v>
      </c>
      <c r="E229" s="23">
        <f>'[3]7нед'!T297</f>
        <v>0</v>
      </c>
      <c r="F229" s="21">
        <f>'[3]7нед'!W297</f>
        <v>0</v>
      </c>
      <c r="G229" s="22" t="str">
        <f>'[3]7нед'!X297</f>
        <v/>
      </c>
      <c r="H229" s="38"/>
      <c r="I229" s="71"/>
      <c r="J229" s="88"/>
      <c r="K229" s="14" t="s">
        <v>23</v>
      </c>
      <c r="L229" s="20">
        <f>'[3]8нед'!S297</f>
        <v>0</v>
      </c>
      <c r="M229" s="23">
        <f>'[3]8нед'!T297</f>
        <v>0</v>
      </c>
      <c r="N229" s="21">
        <f>'[3]8нед'!W297</f>
        <v>0</v>
      </c>
      <c r="O229" s="22" t="str">
        <f>'[3]8нед'!X297</f>
        <v/>
      </c>
      <c r="P229" s="38"/>
    </row>
    <row r="230" spans="1:16" ht="32.25" thickBot="1" x14ac:dyDescent="0.25">
      <c r="A230" s="82"/>
      <c r="B230" s="85"/>
      <c r="C230" s="14" t="s">
        <v>24</v>
      </c>
      <c r="D230" s="20">
        <f>'[3]7нед'!S298</f>
        <v>0</v>
      </c>
      <c r="E230" s="23">
        <f>'[3]7нед'!T298</f>
        <v>0</v>
      </c>
      <c r="F230" s="21">
        <f>'[3]7нед'!W298</f>
        <v>0</v>
      </c>
      <c r="G230" s="22" t="str">
        <f>'[3]7нед'!X298</f>
        <v/>
      </c>
      <c r="H230" s="38"/>
      <c r="I230" s="71"/>
      <c r="J230" s="88"/>
      <c r="K230" s="14" t="s">
        <v>24</v>
      </c>
      <c r="L230" s="20">
        <f>'[3]8нед'!S298</f>
        <v>0</v>
      </c>
      <c r="M230" s="23">
        <f>'[3]8нед'!T298</f>
        <v>0</v>
      </c>
      <c r="N230" s="21">
        <f>'[3]8нед'!W298</f>
        <v>0</v>
      </c>
      <c r="O230" s="22" t="str">
        <f>'[3]8нед'!X298</f>
        <v/>
      </c>
      <c r="P230" s="38"/>
    </row>
    <row r="231" spans="1:16" ht="18.399999999999999" hidden="1" customHeight="1" thickBot="1" x14ac:dyDescent="0.25">
      <c r="A231" s="83"/>
      <c r="B231" s="86"/>
      <c r="C231" s="15"/>
      <c r="D231" s="24">
        <f>'[3]7нед'!S299</f>
        <v>0</v>
      </c>
      <c r="E231" s="25">
        <f>'[3]7нед'!T299</f>
        <v>0</v>
      </c>
      <c r="F231" s="26">
        <f>'[3]7нед'!W299</f>
        <v>0</v>
      </c>
      <c r="G231" s="27" t="str">
        <f>'[3]7нед'!X299</f>
        <v/>
      </c>
      <c r="H231" s="39"/>
      <c r="I231" s="72"/>
      <c r="J231" s="89"/>
      <c r="K231" s="15"/>
      <c r="L231" s="24">
        <f>'[3]8нед'!S299</f>
        <v>0</v>
      </c>
      <c r="M231" s="25">
        <f>'[3]8нед'!T299</f>
        <v>0</v>
      </c>
      <c r="N231" s="26">
        <f>'[3]8нед'!W299</f>
        <v>0</v>
      </c>
      <c r="O231" s="27" t="str">
        <f>'[3]8нед'!X299</f>
        <v/>
      </c>
      <c r="P231" s="39"/>
    </row>
    <row r="232" spans="1:16" ht="48" customHeight="1" thickTop="1" x14ac:dyDescent="0.2">
      <c r="A232" s="70">
        <v>46312</v>
      </c>
      <c r="B232" s="84" t="s">
        <v>29</v>
      </c>
      <c r="C232" s="29" t="s">
        <v>18</v>
      </c>
      <c r="D232" s="16">
        <f>'[3]7нед'!S300</f>
        <v>0</v>
      </c>
      <c r="E232" s="19">
        <f>'[3]7нед'!T300</f>
        <v>0</v>
      </c>
      <c r="F232" s="17">
        <f>'[3]7нед'!W300</f>
        <v>0</v>
      </c>
      <c r="G232" s="18" t="str">
        <f>'[3]7нед'!X300</f>
        <v/>
      </c>
      <c r="H232" s="40"/>
      <c r="I232" s="70">
        <v>46319</v>
      </c>
      <c r="J232" s="87" t="s">
        <v>29</v>
      </c>
      <c r="K232" s="29" t="s">
        <v>18</v>
      </c>
      <c r="L232" s="16">
        <f>'[3]8нед'!S300</f>
        <v>0</v>
      </c>
      <c r="M232" s="19">
        <f>'[3]8нед'!T300</f>
        <v>0</v>
      </c>
      <c r="N232" s="17">
        <f>'[3]8нед'!W300</f>
        <v>0</v>
      </c>
      <c r="O232" s="18" t="str">
        <f>'[3]8нед'!X300</f>
        <v/>
      </c>
      <c r="P232" s="40"/>
    </row>
    <row r="233" spans="1:16" ht="31.5" x14ac:dyDescent="0.2">
      <c r="A233" s="82"/>
      <c r="B233" s="85"/>
      <c r="C233" s="14" t="s">
        <v>19</v>
      </c>
      <c r="D233" s="20">
        <f>'[3]7нед'!S301</f>
        <v>0</v>
      </c>
      <c r="E233" s="23">
        <f>'[3]7нед'!T301</f>
        <v>0</v>
      </c>
      <c r="F233" s="21">
        <f>'[3]7нед'!W301</f>
        <v>0</v>
      </c>
      <c r="G233" s="22" t="str">
        <f>'[3]7нед'!X301</f>
        <v/>
      </c>
      <c r="H233" s="38"/>
      <c r="I233" s="71"/>
      <c r="J233" s="88"/>
      <c r="K233" s="14" t="s">
        <v>19</v>
      </c>
      <c r="L233" s="20">
        <f>'[3]8нед'!S301</f>
        <v>0</v>
      </c>
      <c r="M233" s="23">
        <f>'[3]8нед'!T301</f>
        <v>0</v>
      </c>
      <c r="N233" s="21">
        <f>'[3]8нед'!W301</f>
        <v>0</v>
      </c>
      <c r="O233" s="22" t="str">
        <f>'[3]8нед'!X301</f>
        <v/>
      </c>
      <c r="P233" s="38"/>
    </row>
    <row r="234" spans="1:16" ht="31.5" x14ac:dyDescent="0.2">
      <c r="A234" s="82"/>
      <c r="B234" s="85"/>
      <c r="C234" s="14" t="s">
        <v>20</v>
      </c>
      <c r="D234" s="20">
        <f>'[3]7нед'!S302</f>
        <v>0</v>
      </c>
      <c r="E234" s="23">
        <f>'[3]7нед'!T302</f>
        <v>0</v>
      </c>
      <c r="F234" s="21">
        <f>'[3]7нед'!W302</f>
        <v>0</v>
      </c>
      <c r="G234" s="22" t="str">
        <f>'[3]7нед'!X302</f>
        <v/>
      </c>
      <c r="H234" s="43"/>
      <c r="I234" s="71"/>
      <c r="J234" s="88"/>
      <c r="K234" s="14" t="s">
        <v>20</v>
      </c>
      <c r="L234" s="20">
        <f>'[3]8нед'!S302</f>
        <v>0</v>
      </c>
      <c r="M234" s="23">
        <f>'[3]8нед'!T302</f>
        <v>0</v>
      </c>
      <c r="N234" s="21">
        <f>'[3]8нед'!W302</f>
        <v>0</v>
      </c>
      <c r="O234" s="22" t="str">
        <f>'[3]8нед'!X302</f>
        <v/>
      </c>
      <c r="P234" s="43"/>
    </row>
    <row r="235" spans="1:16" ht="31.5" x14ac:dyDescent="0.2">
      <c r="A235" s="82"/>
      <c r="B235" s="85"/>
      <c r="C235" s="14" t="s">
        <v>21</v>
      </c>
      <c r="D235" s="20">
        <f>'[3]7нед'!S303</f>
        <v>0</v>
      </c>
      <c r="E235" s="23">
        <f>'[3]7нед'!T303</f>
        <v>0</v>
      </c>
      <c r="F235" s="21">
        <f>'[3]7нед'!W303</f>
        <v>0</v>
      </c>
      <c r="G235" s="22" t="str">
        <f>'[3]7нед'!X303</f>
        <v/>
      </c>
      <c r="H235" s="38"/>
      <c r="I235" s="71"/>
      <c r="J235" s="88"/>
      <c r="K235" s="14" t="s">
        <v>21</v>
      </c>
      <c r="L235" s="20">
        <f>'[3]8нед'!S303</f>
        <v>0</v>
      </c>
      <c r="M235" s="23">
        <f>'[3]8нед'!T303</f>
        <v>0</v>
      </c>
      <c r="N235" s="21">
        <f>'[3]8нед'!W303</f>
        <v>0</v>
      </c>
      <c r="O235" s="22" t="str">
        <f>'[3]8нед'!X303</f>
        <v/>
      </c>
      <c r="P235" s="38"/>
    </row>
    <row r="236" spans="1:16" ht="31.5" x14ac:dyDescent="0.2">
      <c r="A236" s="82"/>
      <c r="B236" s="85"/>
      <c r="C236" s="14" t="s">
        <v>22</v>
      </c>
      <c r="D236" s="20">
        <f>'[3]7нед'!S304</f>
        <v>0</v>
      </c>
      <c r="E236" s="23">
        <f>'[3]7нед'!T304</f>
        <v>0</v>
      </c>
      <c r="F236" s="21">
        <f>'[3]7нед'!W304</f>
        <v>0</v>
      </c>
      <c r="G236" s="22" t="str">
        <f>'[3]7нед'!X304</f>
        <v/>
      </c>
      <c r="H236" s="38"/>
      <c r="I236" s="71"/>
      <c r="J236" s="88"/>
      <c r="K236" s="14" t="s">
        <v>22</v>
      </c>
      <c r="L236" s="20">
        <f>'[3]8нед'!S304</f>
        <v>0</v>
      </c>
      <c r="M236" s="23">
        <f>'[3]8нед'!T304</f>
        <v>0</v>
      </c>
      <c r="N236" s="21">
        <f>'[3]8нед'!W304</f>
        <v>0</v>
      </c>
      <c r="O236" s="22" t="str">
        <f>'[3]8нед'!X304</f>
        <v/>
      </c>
      <c r="P236" s="38"/>
    </row>
    <row r="237" spans="1:16" ht="31.5" x14ac:dyDescent="0.2">
      <c r="A237" s="82"/>
      <c r="B237" s="85"/>
      <c r="C237" s="14" t="s">
        <v>23</v>
      </c>
      <c r="D237" s="20">
        <f>'[3]7нед'!S305</f>
        <v>0</v>
      </c>
      <c r="E237" s="23">
        <f>'[3]7нед'!T305</f>
        <v>0</v>
      </c>
      <c r="F237" s="21">
        <f>'[3]7нед'!W305</f>
        <v>0</v>
      </c>
      <c r="G237" s="22" t="str">
        <f>'[3]7нед'!X305</f>
        <v/>
      </c>
      <c r="H237" s="38"/>
      <c r="I237" s="71"/>
      <c r="J237" s="88"/>
      <c r="K237" s="14" t="s">
        <v>23</v>
      </c>
      <c r="L237" s="20">
        <f>'[3]8нед'!S305</f>
        <v>0</v>
      </c>
      <c r="M237" s="23">
        <f>'[3]8нед'!T305</f>
        <v>0</v>
      </c>
      <c r="N237" s="21">
        <f>'[3]8нед'!W305</f>
        <v>0</v>
      </c>
      <c r="O237" s="22" t="str">
        <f>'[3]8нед'!X305</f>
        <v/>
      </c>
      <c r="P237" s="38"/>
    </row>
    <row r="238" spans="1:16" ht="32.25" thickBot="1" x14ac:dyDescent="0.25">
      <c r="A238" s="82"/>
      <c r="B238" s="85"/>
      <c r="C238" s="14" t="s">
        <v>24</v>
      </c>
      <c r="D238" s="20">
        <f>'[3]7нед'!S306</f>
        <v>0</v>
      </c>
      <c r="E238" s="23">
        <f>'[3]7нед'!T306</f>
        <v>0</v>
      </c>
      <c r="F238" s="21">
        <f>'[3]7нед'!W306</f>
        <v>0</v>
      </c>
      <c r="G238" s="22" t="str">
        <f>'[3]7нед'!X306</f>
        <v/>
      </c>
      <c r="H238" s="38"/>
      <c r="I238" s="71"/>
      <c r="J238" s="88"/>
      <c r="K238" s="14" t="s">
        <v>24</v>
      </c>
      <c r="L238" s="20">
        <f>'[3]8нед'!S306</f>
        <v>0</v>
      </c>
      <c r="M238" s="23">
        <f>'[3]8нед'!T306</f>
        <v>0</v>
      </c>
      <c r="N238" s="21">
        <f>'[3]8нед'!W306</f>
        <v>0</v>
      </c>
      <c r="O238" s="22" t="str">
        <f>'[3]8нед'!X306</f>
        <v/>
      </c>
      <c r="P238" s="38"/>
    </row>
    <row r="239" spans="1:16" ht="18.399999999999999" hidden="1" customHeight="1" thickBot="1" x14ac:dyDescent="0.25">
      <c r="A239" s="83"/>
      <c r="B239" s="86"/>
      <c r="C239" s="15"/>
      <c r="D239" s="24">
        <f>'[3]7нед'!S183</f>
        <v>0</v>
      </c>
      <c r="E239" s="25">
        <f>'[3]7нед'!T183</f>
        <v>0</v>
      </c>
      <c r="F239" s="26">
        <f>'[3]7нед'!W183</f>
        <v>0</v>
      </c>
      <c r="G239" s="27" t="str">
        <f>'[3]7нед'!X183</f>
        <v/>
      </c>
      <c r="H239" s="39"/>
      <c r="I239" s="72"/>
      <c r="J239" s="89"/>
      <c r="K239" s="15"/>
      <c r="L239" s="24">
        <f>'[3]8нед'!S183</f>
        <v>0</v>
      </c>
      <c r="M239" s="25">
        <f>'[3]8нед'!T183</f>
        <v>0</v>
      </c>
      <c r="N239" s="26">
        <f>'[3]8нед'!W183</f>
        <v>0</v>
      </c>
      <c r="O239" s="27" t="str">
        <f>'[3]8нед'!X183</f>
        <v/>
      </c>
      <c r="P239" s="39"/>
    </row>
    <row r="240" spans="1:16" ht="39" customHeight="1" thickTop="1" x14ac:dyDescent="0.2">
      <c r="A240" s="47"/>
      <c r="B240" s="30"/>
      <c r="C240" s="31"/>
      <c r="D240" s="32"/>
      <c r="E240" s="32" t="s">
        <v>30</v>
      </c>
      <c r="F240" s="32"/>
      <c r="G240" s="33" t="s">
        <v>31</v>
      </c>
      <c r="H240" s="41"/>
      <c r="I240" s="47"/>
      <c r="J240" s="30"/>
      <c r="K240" s="31"/>
      <c r="L240" s="32"/>
      <c r="M240" s="32" t="s">
        <v>30</v>
      </c>
      <c r="N240" s="32"/>
      <c r="O240" s="33" t="s">
        <v>31</v>
      </c>
      <c r="P240" s="41"/>
    </row>
    <row r="241" spans="1:16" ht="15.75" x14ac:dyDescent="0.25">
      <c r="A241" s="45"/>
      <c r="B241" s="1"/>
      <c r="C241" s="2"/>
      <c r="D241" s="3"/>
      <c r="E241" s="3"/>
      <c r="F241" s="3"/>
      <c r="G241" s="3"/>
      <c r="H241" s="4" t="s">
        <v>0</v>
      </c>
      <c r="I241" s="45"/>
      <c r="J241" s="1"/>
      <c r="K241" s="2"/>
      <c r="L241" s="3"/>
      <c r="M241" s="3"/>
      <c r="N241" s="3"/>
      <c r="O241" s="3"/>
      <c r="P241" s="4" t="s">
        <v>0</v>
      </c>
    </row>
    <row r="242" spans="1:16" ht="15.75" x14ac:dyDescent="0.25">
      <c r="A242" s="45"/>
      <c r="B242" s="1"/>
      <c r="C242" s="2"/>
      <c r="D242" s="3"/>
      <c r="E242" s="3"/>
      <c r="F242" s="3"/>
      <c r="G242" s="3"/>
      <c r="H242" s="4" t="s">
        <v>1</v>
      </c>
      <c r="I242" s="45"/>
      <c r="J242" s="1"/>
      <c r="K242" s="2"/>
      <c r="L242" s="3"/>
      <c r="M242" s="3"/>
      <c r="N242" s="3"/>
      <c r="O242" s="3"/>
      <c r="P242" s="4" t="s">
        <v>1</v>
      </c>
    </row>
    <row r="243" spans="1:16" ht="15.75" x14ac:dyDescent="0.25">
      <c r="A243" s="45"/>
      <c r="B243" s="1"/>
      <c r="C243" s="2"/>
      <c r="D243" s="3"/>
      <c r="E243" s="3"/>
      <c r="F243" s="3"/>
      <c r="G243" s="3"/>
      <c r="H243" s="4" t="s">
        <v>2</v>
      </c>
      <c r="I243" s="45"/>
      <c r="J243" s="1"/>
      <c r="K243" s="2"/>
      <c r="L243" s="3"/>
      <c r="M243" s="3"/>
      <c r="N243" s="3"/>
      <c r="O243" s="3"/>
      <c r="P243" s="4" t="s">
        <v>2</v>
      </c>
    </row>
    <row r="244" spans="1:16" ht="15.75" x14ac:dyDescent="0.25">
      <c r="A244" s="45"/>
      <c r="B244" s="1"/>
      <c r="C244" s="2"/>
      <c r="D244" s="3"/>
      <c r="E244" s="3"/>
      <c r="F244" s="3"/>
      <c r="G244" s="3"/>
      <c r="H244" s="4" t="s">
        <v>3</v>
      </c>
      <c r="I244" s="45"/>
      <c r="J244" s="1"/>
      <c r="K244" s="2"/>
      <c r="L244" s="3"/>
      <c r="M244" s="3"/>
      <c r="N244" s="3"/>
      <c r="O244" s="3"/>
      <c r="P244" s="4" t="s">
        <v>3</v>
      </c>
    </row>
    <row r="245" spans="1:16" ht="15.75" x14ac:dyDescent="0.25">
      <c r="A245" s="45"/>
      <c r="B245" s="5"/>
      <c r="C245" s="2"/>
      <c r="D245" s="3"/>
      <c r="E245" s="3"/>
      <c r="F245" s="3"/>
      <c r="G245" s="3"/>
      <c r="H245" s="3"/>
      <c r="I245" s="45"/>
      <c r="J245" s="5"/>
      <c r="K245" s="2"/>
      <c r="L245" s="3"/>
      <c r="M245" s="3"/>
      <c r="N245" s="3"/>
      <c r="O245" s="3"/>
      <c r="P245" s="3"/>
    </row>
    <row r="246" spans="1:16" ht="15.75" x14ac:dyDescent="0.25">
      <c r="A246" s="45"/>
      <c r="B246" s="90" t="s">
        <v>4</v>
      </c>
      <c r="C246" s="90"/>
      <c r="D246" s="90"/>
      <c r="E246" s="90"/>
      <c r="F246" s="90"/>
      <c r="G246" s="90"/>
      <c r="H246" s="90"/>
      <c r="I246" s="45"/>
      <c r="J246" s="90" t="s">
        <v>4</v>
      </c>
      <c r="K246" s="90"/>
      <c r="L246" s="90"/>
      <c r="M246" s="90"/>
      <c r="N246" s="90"/>
      <c r="O246" s="90"/>
      <c r="P246" s="90"/>
    </row>
    <row r="247" spans="1:16" ht="15.75" x14ac:dyDescent="0.2">
      <c r="A247" s="46"/>
      <c r="B247" s="62" t="str">
        <f>'[1]1нед'!$A$6</f>
        <v>Направление подготовки:</v>
      </c>
      <c r="C247" s="6"/>
      <c r="D247" s="7"/>
      <c r="E247" s="8" t="str">
        <f>E7</f>
        <v>09.03.04Программная инженерия (Программно-информационные системы)</v>
      </c>
      <c r="F247" s="7"/>
      <c r="G247" s="7"/>
      <c r="H247" s="36" t="str">
        <f>H7</f>
        <v>12-26ПИ1з</v>
      </c>
      <c r="I247" s="46"/>
      <c r="J247" s="62" t="str">
        <f>'[1]1нед'!$A$6</f>
        <v>Направление подготовки:</v>
      </c>
      <c r="K247" s="6"/>
      <c r="L247" s="7"/>
      <c r="M247" s="8" t="str">
        <f>E7</f>
        <v>09.03.04Программная инженерия (Программно-информационные системы)</v>
      </c>
      <c r="N247" s="7"/>
      <c r="O247" s="7"/>
      <c r="P247" s="36" t="str">
        <f>H7</f>
        <v>12-26ПИ1з</v>
      </c>
    </row>
    <row r="248" spans="1:16" ht="15.75" x14ac:dyDescent="0.25">
      <c r="A248" s="45"/>
      <c r="B248" s="81" t="s">
        <v>5</v>
      </c>
      <c r="C248" s="81"/>
      <c r="D248" s="81"/>
      <c r="E248" s="81" t="str">
        <f t="shared" ref="E248" si="2">E8</f>
        <v>очно-заочная</v>
      </c>
      <c r="F248" s="81"/>
      <c r="G248" s="81"/>
      <c r="H248" s="81"/>
      <c r="I248" s="45"/>
      <c r="J248" s="81" t="s">
        <v>5</v>
      </c>
      <c r="K248" s="81"/>
      <c r="L248" s="81"/>
      <c r="M248" s="81" t="str">
        <f t="shared" ref="M248" si="3">E8</f>
        <v>очно-заочная</v>
      </c>
      <c r="N248" s="81"/>
      <c r="O248" s="81"/>
      <c r="P248" s="81"/>
    </row>
    <row r="249" spans="1:16" ht="15.75" x14ac:dyDescent="0.25">
      <c r="A249" s="45"/>
      <c r="B249" s="81" t="s">
        <v>7</v>
      </c>
      <c r="C249" s="81"/>
      <c r="D249" s="81"/>
      <c r="E249" s="62">
        <f>E9</f>
        <v>3</v>
      </c>
      <c r="F249" s="62"/>
      <c r="G249" s="62"/>
      <c r="H249" s="35"/>
      <c r="I249" s="45"/>
      <c r="J249" s="81" t="s">
        <v>7</v>
      </c>
      <c r="K249" s="81"/>
      <c r="L249" s="81"/>
      <c r="M249" s="62">
        <f>E9</f>
        <v>3</v>
      </c>
      <c r="N249" s="62"/>
      <c r="O249" s="62"/>
      <c r="P249" s="35"/>
    </row>
    <row r="250" spans="1:16" ht="16.5" thickBot="1" x14ac:dyDescent="0.3">
      <c r="A250" s="45"/>
      <c r="B250" s="93" t="s">
        <v>8</v>
      </c>
      <c r="C250" s="93"/>
      <c r="D250" s="93"/>
      <c r="E250" s="63">
        <f>M190+1</f>
        <v>9</v>
      </c>
      <c r="F250" s="63"/>
      <c r="G250" s="63"/>
      <c r="H250" s="37"/>
      <c r="I250" s="45"/>
      <c r="J250" s="93" t="s">
        <v>8</v>
      </c>
      <c r="K250" s="93"/>
      <c r="L250" s="93"/>
      <c r="M250" s="63">
        <f>E250+1</f>
        <v>10</v>
      </c>
      <c r="N250" s="63"/>
      <c r="O250" s="63"/>
      <c r="P250" s="37"/>
    </row>
    <row r="251" spans="1:16" ht="46.5" customHeight="1" thickTop="1" thickBot="1" x14ac:dyDescent="0.25">
      <c r="A251" s="79" t="s">
        <v>9</v>
      </c>
      <c r="B251" s="80"/>
      <c r="C251" s="10" t="s">
        <v>10</v>
      </c>
      <c r="D251" s="11" t="s">
        <v>11</v>
      </c>
      <c r="E251" s="12" t="s">
        <v>12</v>
      </c>
      <c r="F251" s="91" t="s">
        <v>13</v>
      </c>
      <c r="G251" s="92"/>
      <c r="H251" s="13" t="s">
        <v>14</v>
      </c>
      <c r="I251" s="79" t="s">
        <v>9</v>
      </c>
      <c r="J251" s="80"/>
      <c r="K251" s="10" t="s">
        <v>10</v>
      </c>
      <c r="L251" s="11" t="s">
        <v>11</v>
      </c>
      <c r="M251" s="12" t="s">
        <v>12</v>
      </c>
      <c r="N251" s="91" t="s">
        <v>13</v>
      </c>
      <c r="O251" s="92"/>
      <c r="P251" s="13" t="s">
        <v>14</v>
      </c>
    </row>
    <row r="252" spans="1:16" ht="32.25" customHeight="1" thickTop="1" x14ac:dyDescent="0.2">
      <c r="A252" s="70">
        <v>46321</v>
      </c>
      <c r="B252" s="84" t="s">
        <v>17</v>
      </c>
      <c r="C252" s="14" t="s">
        <v>18</v>
      </c>
      <c r="D252" s="16">
        <f>'[3]9нед'!S260</f>
        <v>0</v>
      </c>
      <c r="E252" s="19">
        <f>'[3]9нед'!T260</f>
        <v>0</v>
      </c>
      <c r="F252" s="17">
        <f>'[3]9нед'!W260</f>
        <v>0</v>
      </c>
      <c r="G252" s="18" t="str">
        <f>'[3]9нед'!X260</f>
        <v/>
      </c>
      <c r="H252" s="40"/>
      <c r="I252" s="70">
        <v>46328</v>
      </c>
      <c r="J252" s="87" t="s">
        <v>17</v>
      </c>
      <c r="K252" s="14" t="s">
        <v>18</v>
      </c>
      <c r="L252" s="16">
        <f>'[4]10нед'!S260</f>
        <v>0</v>
      </c>
      <c r="M252" s="19">
        <f>'[4]10нед'!T260</f>
        <v>0</v>
      </c>
      <c r="N252" s="17">
        <f>'[4]10нед'!W260</f>
        <v>0</v>
      </c>
      <c r="O252" s="18" t="str">
        <f>'[4]10нед'!X260</f>
        <v/>
      </c>
      <c r="P252" s="40"/>
    </row>
    <row r="253" spans="1:16" ht="31.5" x14ac:dyDescent="0.2">
      <c r="A253" s="82"/>
      <c r="B253" s="85"/>
      <c r="C253" s="14" t="s">
        <v>19</v>
      </c>
      <c r="D253" s="20">
        <f>'[3]9нед'!S261</f>
        <v>0</v>
      </c>
      <c r="E253" s="23">
        <f>'[3]9нед'!T261</f>
        <v>0</v>
      </c>
      <c r="F253" s="21">
        <f>'[3]9нед'!W261</f>
        <v>0</v>
      </c>
      <c r="G253" s="22" t="str">
        <f>'[3]9нед'!X261</f>
        <v/>
      </c>
      <c r="H253" s="38"/>
      <c r="I253" s="71"/>
      <c r="J253" s="88"/>
      <c r="K253" s="14" t="s">
        <v>19</v>
      </c>
      <c r="L253" s="20">
        <f>'[4]10нед'!S261</f>
        <v>0</v>
      </c>
      <c r="M253" s="23">
        <f>'[4]10нед'!T261</f>
        <v>0</v>
      </c>
      <c r="N253" s="21">
        <f>'[4]10нед'!W261</f>
        <v>0</v>
      </c>
      <c r="O253" s="22" t="str">
        <f>'[4]10нед'!X261</f>
        <v/>
      </c>
      <c r="P253" s="38"/>
    </row>
    <row r="254" spans="1:16" ht="31.5" x14ac:dyDescent="0.2">
      <c r="A254" s="82"/>
      <c r="B254" s="85"/>
      <c r="C254" s="14" t="s">
        <v>20</v>
      </c>
      <c r="D254" s="20">
        <f>'[3]9нед'!S262</f>
        <v>0</v>
      </c>
      <c r="E254" s="23">
        <f>'[3]9нед'!T262</f>
        <v>0</v>
      </c>
      <c r="F254" s="21">
        <f>'[3]9нед'!W262</f>
        <v>0</v>
      </c>
      <c r="G254" s="22" t="str">
        <f>'[3]9нед'!X262</f>
        <v/>
      </c>
      <c r="H254" s="38"/>
      <c r="I254" s="71"/>
      <c r="J254" s="88"/>
      <c r="K254" s="14" t="s">
        <v>20</v>
      </c>
      <c r="L254" s="20">
        <f>'[4]10нед'!S262</f>
        <v>0</v>
      </c>
      <c r="M254" s="23">
        <f>'[4]10нед'!T262</f>
        <v>0</v>
      </c>
      <c r="N254" s="21">
        <f>'[4]10нед'!W262</f>
        <v>0</v>
      </c>
      <c r="O254" s="22" t="str">
        <f>'[4]10нед'!X262</f>
        <v/>
      </c>
      <c r="P254" s="38"/>
    </row>
    <row r="255" spans="1:16" ht="31.5" x14ac:dyDescent="0.2">
      <c r="A255" s="82"/>
      <c r="B255" s="85"/>
      <c r="C255" s="14" t="s">
        <v>21</v>
      </c>
      <c r="D255" s="20">
        <f>'[3]9нед'!S263</f>
        <v>0</v>
      </c>
      <c r="E255" s="23">
        <f>'[3]9нед'!T263</f>
        <v>0</v>
      </c>
      <c r="F255" s="21">
        <f>'[3]9нед'!W263</f>
        <v>0</v>
      </c>
      <c r="G255" s="22" t="str">
        <f>'[3]9нед'!X263</f>
        <v/>
      </c>
      <c r="H255" s="38"/>
      <c r="I255" s="71"/>
      <c r="J255" s="88"/>
      <c r="K255" s="14" t="s">
        <v>21</v>
      </c>
      <c r="L255" s="20">
        <f>'[4]10нед'!S263</f>
        <v>0</v>
      </c>
      <c r="M255" s="23">
        <f>'[4]10нед'!T263</f>
        <v>0</v>
      </c>
      <c r="N255" s="21">
        <f>'[4]10нед'!W263</f>
        <v>0</v>
      </c>
      <c r="O255" s="22" t="str">
        <f>'[4]10нед'!X263</f>
        <v/>
      </c>
      <c r="P255" s="38"/>
    </row>
    <row r="256" spans="1:16" ht="31.5" x14ac:dyDescent="0.2">
      <c r="A256" s="82"/>
      <c r="B256" s="85"/>
      <c r="C256" s="14" t="s">
        <v>22</v>
      </c>
      <c r="D256" s="20">
        <f>'[3]9нед'!S264</f>
        <v>0</v>
      </c>
      <c r="E256" s="23">
        <f>'[3]9нед'!T264</f>
        <v>0</v>
      </c>
      <c r="F256" s="21">
        <f>'[3]9нед'!W264</f>
        <v>0</v>
      </c>
      <c r="G256" s="22" t="str">
        <f>'[3]9нед'!X264</f>
        <v/>
      </c>
      <c r="H256" s="38"/>
      <c r="I256" s="71"/>
      <c r="J256" s="88"/>
      <c r="K256" s="14" t="s">
        <v>22</v>
      </c>
      <c r="L256" s="20">
        <f>'[4]10нед'!S264</f>
        <v>0</v>
      </c>
      <c r="M256" s="23">
        <f>'[4]10нед'!T264</f>
        <v>0</v>
      </c>
      <c r="N256" s="21">
        <f>'[4]10нед'!W264</f>
        <v>0</v>
      </c>
      <c r="O256" s="22" t="str">
        <f>'[4]10нед'!X264</f>
        <v/>
      </c>
      <c r="P256" s="38"/>
    </row>
    <row r="257" spans="1:16" ht="31.5" x14ac:dyDescent="0.2">
      <c r="A257" s="82"/>
      <c r="B257" s="85"/>
      <c r="C257" s="14" t="s">
        <v>23</v>
      </c>
      <c r="D257" s="20">
        <f>'[3]9нед'!S265</f>
        <v>0</v>
      </c>
      <c r="E257" s="23">
        <f>'[3]9нед'!T265</f>
        <v>0</v>
      </c>
      <c r="F257" s="21">
        <f>'[3]9нед'!W265</f>
        <v>0</v>
      </c>
      <c r="G257" s="22" t="str">
        <f>'[3]9нед'!X265</f>
        <v/>
      </c>
      <c r="H257" s="38"/>
      <c r="I257" s="71"/>
      <c r="J257" s="88"/>
      <c r="K257" s="14" t="s">
        <v>23</v>
      </c>
      <c r="L257" s="20">
        <f>'[4]10нед'!S265</f>
        <v>0</v>
      </c>
      <c r="M257" s="23">
        <f>'[4]10нед'!T265</f>
        <v>0</v>
      </c>
      <c r="N257" s="21">
        <f>'[4]10нед'!W265</f>
        <v>0</v>
      </c>
      <c r="O257" s="22" t="str">
        <f>'[4]10нед'!X265</f>
        <v/>
      </c>
      <c r="P257" s="38"/>
    </row>
    <row r="258" spans="1:16" ht="32.25" thickBot="1" x14ac:dyDescent="0.25">
      <c r="A258" s="82"/>
      <c r="B258" s="85"/>
      <c r="C258" s="14" t="s">
        <v>24</v>
      </c>
      <c r="D258" s="20">
        <f>'[3]9нед'!S266</f>
        <v>0</v>
      </c>
      <c r="E258" s="23">
        <f>'[3]9нед'!T266</f>
        <v>0</v>
      </c>
      <c r="F258" s="21">
        <f>'[3]9нед'!W266</f>
        <v>0</v>
      </c>
      <c r="G258" s="22" t="str">
        <f>'[3]9нед'!X266</f>
        <v/>
      </c>
      <c r="H258" s="38"/>
      <c r="I258" s="71"/>
      <c r="J258" s="88"/>
      <c r="K258" s="14" t="s">
        <v>24</v>
      </c>
      <c r="L258" s="20">
        <f>'[4]10нед'!S266</f>
        <v>0</v>
      </c>
      <c r="M258" s="23">
        <f>'[4]10нед'!T266</f>
        <v>0</v>
      </c>
      <c r="N258" s="21">
        <f>'[4]10нед'!W266</f>
        <v>0</v>
      </c>
      <c r="O258" s="22" t="str">
        <f>'[4]10нед'!X266</f>
        <v/>
      </c>
      <c r="P258" s="38"/>
    </row>
    <row r="259" spans="1:16" ht="18.399999999999999" hidden="1" customHeight="1" thickBot="1" x14ac:dyDescent="0.25">
      <c r="A259" s="83"/>
      <c r="B259" s="86"/>
      <c r="C259" s="15"/>
      <c r="D259" s="24">
        <f>'[3]9нед'!S267</f>
        <v>0</v>
      </c>
      <c r="E259" s="25">
        <f>'[3]9нед'!T267</f>
        <v>0</v>
      </c>
      <c r="F259" s="26">
        <f>'[3]9нед'!W267</f>
        <v>0</v>
      </c>
      <c r="G259" s="27" t="str">
        <f>'[3]9нед'!X267</f>
        <v/>
      </c>
      <c r="H259" s="39"/>
      <c r="I259" s="72"/>
      <c r="J259" s="89"/>
      <c r="K259" s="15"/>
      <c r="L259" s="24">
        <f>'[4]10нед'!S267</f>
        <v>0</v>
      </c>
      <c r="M259" s="25">
        <f>'[4]10нед'!T267</f>
        <v>0</v>
      </c>
      <c r="N259" s="26">
        <f>'[4]10нед'!W267</f>
        <v>0</v>
      </c>
      <c r="O259" s="27" t="str">
        <f>'[4]10нед'!X267</f>
        <v/>
      </c>
      <c r="P259" s="39"/>
    </row>
    <row r="260" spans="1:16" ht="32.25" customHeight="1" thickTop="1" x14ac:dyDescent="0.2">
      <c r="A260" s="70">
        <v>46322</v>
      </c>
      <c r="B260" s="84" t="s">
        <v>25</v>
      </c>
      <c r="C260" s="29" t="s">
        <v>18</v>
      </c>
      <c r="D260" s="16">
        <f>'[3]9нед'!S268</f>
        <v>0</v>
      </c>
      <c r="E260" s="19">
        <f>'[3]9нед'!T268</f>
        <v>0</v>
      </c>
      <c r="F260" s="17">
        <f>'[3]9нед'!W268</f>
        <v>0</v>
      </c>
      <c r="G260" s="18" t="str">
        <f>'[3]9нед'!X268</f>
        <v/>
      </c>
      <c r="H260" s="40"/>
      <c r="I260" s="70">
        <v>46329</v>
      </c>
      <c r="J260" s="87" t="s">
        <v>25</v>
      </c>
      <c r="K260" s="29" t="s">
        <v>18</v>
      </c>
      <c r="L260" s="16">
        <f>'[4]10нед'!S268</f>
        <v>0</v>
      </c>
      <c r="M260" s="19">
        <f>'[4]10нед'!T268</f>
        <v>0</v>
      </c>
      <c r="N260" s="17">
        <f>'[4]10нед'!W268</f>
        <v>0</v>
      </c>
      <c r="O260" s="18" t="str">
        <f>'[4]10нед'!X268</f>
        <v/>
      </c>
      <c r="P260" s="40"/>
    </row>
    <row r="261" spans="1:16" ht="31.5" x14ac:dyDescent="0.2">
      <c r="A261" s="82"/>
      <c r="B261" s="85"/>
      <c r="C261" s="14" t="s">
        <v>19</v>
      </c>
      <c r="D261" s="20">
        <f>'[3]9нед'!S269</f>
        <v>0</v>
      </c>
      <c r="E261" s="23">
        <f>'[3]9нед'!T269</f>
        <v>0</v>
      </c>
      <c r="F261" s="21">
        <f>'[3]9нед'!W269</f>
        <v>0</v>
      </c>
      <c r="G261" s="22" t="str">
        <f>'[3]9нед'!X269</f>
        <v/>
      </c>
      <c r="H261" s="38"/>
      <c r="I261" s="71"/>
      <c r="J261" s="88"/>
      <c r="K261" s="14" t="s">
        <v>19</v>
      </c>
      <c r="L261" s="20">
        <f>'[4]10нед'!S269</f>
        <v>0</v>
      </c>
      <c r="M261" s="23">
        <f>'[4]10нед'!T269</f>
        <v>0</v>
      </c>
      <c r="N261" s="21">
        <f>'[4]10нед'!W269</f>
        <v>0</v>
      </c>
      <c r="O261" s="22" t="str">
        <f>'[4]10нед'!X269</f>
        <v/>
      </c>
      <c r="P261" s="38"/>
    </row>
    <row r="262" spans="1:16" ht="31.5" x14ac:dyDescent="0.2">
      <c r="A262" s="82"/>
      <c r="B262" s="85"/>
      <c r="C262" s="14" t="s">
        <v>20</v>
      </c>
      <c r="D262" s="20">
        <f>'[3]9нед'!S270</f>
        <v>0</v>
      </c>
      <c r="E262" s="23">
        <f>'[3]9нед'!T270</f>
        <v>0</v>
      </c>
      <c r="F262" s="21">
        <f>'[3]9нед'!W270</f>
        <v>0</v>
      </c>
      <c r="G262" s="22" t="str">
        <f>'[3]9нед'!X270</f>
        <v/>
      </c>
      <c r="H262" s="38"/>
      <c r="I262" s="71"/>
      <c r="J262" s="88"/>
      <c r="K262" s="14" t="s">
        <v>20</v>
      </c>
      <c r="L262" s="20">
        <f>'[4]10нед'!S270</f>
        <v>0</v>
      </c>
      <c r="M262" s="23">
        <f>'[4]10нед'!T270</f>
        <v>0</v>
      </c>
      <c r="N262" s="21">
        <f>'[4]10нед'!W270</f>
        <v>0</v>
      </c>
      <c r="O262" s="22" t="str">
        <f>'[4]10нед'!X270</f>
        <v/>
      </c>
      <c r="P262" s="38"/>
    </row>
    <row r="263" spans="1:16" ht="31.5" x14ac:dyDescent="0.2">
      <c r="A263" s="82"/>
      <c r="B263" s="85"/>
      <c r="C263" s="14" t="s">
        <v>21</v>
      </c>
      <c r="D263" s="20">
        <f>'[3]9нед'!S271</f>
        <v>0</v>
      </c>
      <c r="E263" s="23">
        <f>'[3]9нед'!T271</f>
        <v>0</v>
      </c>
      <c r="F263" s="21">
        <f>'[3]9нед'!W271</f>
        <v>0</v>
      </c>
      <c r="G263" s="22" t="str">
        <f>'[3]9нед'!X271</f>
        <v/>
      </c>
      <c r="H263" s="38"/>
      <c r="I263" s="71"/>
      <c r="J263" s="88"/>
      <c r="K263" s="14" t="s">
        <v>21</v>
      </c>
      <c r="L263" s="20">
        <f>'[4]10нед'!S271</f>
        <v>0</v>
      </c>
      <c r="M263" s="23">
        <f>'[4]10нед'!T271</f>
        <v>0</v>
      </c>
      <c r="N263" s="21">
        <f>'[4]10нед'!W271</f>
        <v>0</v>
      </c>
      <c r="O263" s="22" t="str">
        <f>'[4]10нед'!X271</f>
        <v/>
      </c>
      <c r="P263" s="38"/>
    </row>
    <row r="264" spans="1:16" ht="31.5" x14ac:dyDescent="0.2">
      <c r="A264" s="82"/>
      <c r="B264" s="85"/>
      <c r="C264" s="14" t="s">
        <v>22</v>
      </c>
      <c r="D264" s="20">
        <f>'[3]9нед'!S272</f>
        <v>0</v>
      </c>
      <c r="E264" s="23">
        <f>'[3]9нед'!T272</f>
        <v>0</v>
      </c>
      <c r="F264" s="21">
        <f>'[3]9нед'!W272</f>
        <v>0</v>
      </c>
      <c r="G264" s="22" t="str">
        <f>'[3]9нед'!X272</f>
        <v/>
      </c>
      <c r="H264" s="38"/>
      <c r="I264" s="71"/>
      <c r="J264" s="88"/>
      <c r="K264" s="14" t="s">
        <v>22</v>
      </c>
      <c r="L264" s="20">
        <f>'[4]10нед'!S272</f>
        <v>0</v>
      </c>
      <c r="M264" s="23">
        <f>'[4]10нед'!T272</f>
        <v>0</v>
      </c>
      <c r="N264" s="21">
        <f>'[4]10нед'!W272</f>
        <v>0</v>
      </c>
      <c r="O264" s="22" t="str">
        <f>'[4]10нед'!X272</f>
        <v/>
      </c>
      <c r="P264" s="38"/>
    </row>
    <row r="265" spans="1:16" ht="31.5" x14ac:dyDescent="0.2">
      <c r="A265" s="82"/>
      <c r="B265" s="85"/>
      <c r="C265" s="14" t="s">
        <v>23</v>
      </c>
      <c r="D265" s="20">
        <f>'[3]9нед'!S273</f>
        <v>0</v>
      </c>
      <c r="E265" s="23">
        <f>'[3]9нед'!T273</f>
        <v>0</v>
      </c>
      <c r="F265" s="21">
        <f>'[3]9нед'!W273</f>
        <v>0</v>
      </c>
      <c r="G265" s="22" t="str">
        <f>'[3]9нед'!X273</f>
        <v/>
      </c>
      <c r="H265" s="34"/>
      <c r="I265" s="71"/>
      <c r="J265" s="88"/>
      <c r="K265" s="14" t="s">
        <v>23</v>
      </c>
      <c r="L265" s="20">
        <f>'[4]10нед'!S273</f>
        <v>0</v>
      </c>
      <c r="M265" s="23">
        <f>'[4]10нед'!T273</f>
        <v>0</v>
      </c>
      <c r="N265" s="21">
        <f>'[4]10нед'!W273</f>
        <v>0</v>
      </c>
      <c r="O265" s="22" t="str">
        <f>'[4]10нед'!X273</f>
        <v/>
      </c>
      <c r="P265" s="34"/>
    </row>
    <row r="266" spans="1:16" ht="32.25" thickBot="1" x14ac:dyDescent="0.25">
      <c r="A266" s="82"/>
      <c r="B266" s="85"/>
      <c r="C266" s="14" t="s">
        <v>24</v>
      </c>
      <c r="D266" s="20">
        <f>'[3]9нед'!S274</f>
        <v>0</v>
      </c>
      <c r="E266" s="23">
        <f>'[3]9нед'!T274</f>
        <v>0</v>
      </c>
      <c r="F266" s="21">
        <f>'[3]9нед'!W274</f>
        <v>0</v>
      </c>
      <c r="G266" s="22" t="str">
        <f>'[3]9нед'!X274</f>
        <v/>
      </c>
      <c r="H266" s="34"/>
      <c r="I266" s="71"/>
      <c r="J266" s="88"/>
      <c r="K266" s="14" t="s">
        <v>24</v>
      </c>
      <c r="L266" s="20">
        <f>'[4]10нед'!S274</f>
        <v>0</v>
      </c>
      <c r="M266" s="23">
        <f>'[4]10нед'!T274</f>
        <v>0</v>
      </c>
      <c r="N266" s="21">
        <f>'[4]10нед'!W274</f>
        <v>0</v>
      </c>
      <c r="O266" s="22" t="str">
        <f>'[4]10нед'!X274</f>
        <v/>
      </c>
      <c r="P266" s="34"/>
    </row>
    <row r="267" spans="1:16" ht="18.399999999999999" hidden="1" customHeight="1" thickBot="1" x14ac:dyDescent="0.25">
      <c r="A267" s="83"/>
      <c r="B267" s="86"/>
      <c r="C267" s="15"/>
      <c r="D267" s="24">
        <f>'[3]9нед'!S275</f>
        <v>0</v>
      </c>
      <c r="E267" s="25">
        <f>'[3]9нед'!T275</f>
        <v>0</v>
      </c>
      <c r="F267" s="26">
        <f>'[3]9нед'!W275</f>
        <v>0</v>
      </c>
      <c r="G267" s="27" t="str">
        <f>'[3]9нед'!X275</f>
        <v/>
      </c>
      <c r="H267" s="39"/>
      <c r="I267" s="72"/>
      <c r="J267" s="89"/>
      <c r="K267" s="15"/>
      <c r="L267" s="24">
        <f>'[4]10нед'!S275</f>
        <v>0</v>
      </c>
      <c r="M267" s="25">
        <f>'[4]10нед'!T275</f>
        <v>0</v>
      </c>
      <c r="N267" s="26">
        <f>'[4]10нед'!W275</f>
        <v>0</v>
      </c>
      <c r="O267" s="27" t="str">
        <f>'[4]10нед'!X275</f>
        <v/>
      </c>
      <c r="P267" s="39"/>
    </row>
    <row r="268" spans="1:16" ht="48" customHeight="1" thickTop="1" x14ac:dyDescent="0.2">
      <c r="A268" s="70">
        <v>46323</v>
      </c>
      <c r="B268" s="67" t="s">
        <v>26</v>
      </c>
      <c r="C268" s="29" t="s">
        <v>18</v>
      </c>
      <c r="D268" s="16">
        <f>'[3]9нед'!S276</f>
        <v>0</v>
      </c>
      <c r="E268" s="19">
        <f>'[3]9нед'!T276</f>
        <v>0</v>
      </c>
      <c r="F268" s="17">
        <f>'[3]9нед'!W276</f>
        <v>0</v>
      </c>
      <c r="G268" s="18" t="str">
        <f>'[3]9нед'!X276</f>
        <v/>
      </c>
      <c r="H268" s="40"/>
      <c r="I268" s="70">
        <v>46330</v>
      </c>
      <c r="J268" s="73" t="s">
        <v>26</v>
      </c>
      <c r="K268" s="29" t="s">
        <v>18</v>
      </c>
      <c r="L268" s="16">
        <f>'[4]10нед'!S276</f>
        <v>0</v>
      </c>
      <c r="M268" s="19">
        <f>'[4]10нед'!T276</f>
        <v>0</v>
      </c>
      <c r="N268" s="17">
        <f>'[4]10нед'!W276</f>
        <v>0</v>
      </c>
      <c r="O268" s="18" t="str">
        <f>'[4]10нед'!X276</f>
        <v/>
      </c>
      <c r="P268" s="40"/>
    </row>
    <row r="269" spans="1:16" ht="31.5" x14ac:dyDescent="0.2">
      <c r="A269" s="82"/>
      <c r="B269" s="68"/>
      <c r="C269" s="14" t="s">
        <v>19</v>
      </c>
      <c r="D269" s="20">
        <f>'[3]9нед'!S277</f>
        <v>0</v>
      </c>
      <c r="E269" s="23">
        <f>'[3]9нед'!T277</f>
        <v>0</v>
      </c>
      <c r="F269" s="21">
        <f>'[3]9нед'!W277</f>
        <v>0</v>
      </c>
      <c r="G269" s="22" t="str">
        <f>'[3]9нед'!X277</f>
        <v/>
      </c>
      <c r="H269" s="38"/>
      <c r="I269" s="71"/>
      <c r="J269" s="74"/>
      <c r="K269" s="14" t="s">
        <v>19</v>
      </c>
      <c r="L269" s="20">
        <f>'[4]10нед'!S277</f>
        <v>0</v>
      </c>
      <c r="M269" s="23">
        <f>'[4]10нед'!T277</f>
        <v>0</v>
      </c>
      <c r="N269" s="21">
        <f>'[4]10нед'!W277</f>
        <v>0</v>
      </c>
      <c r="O269" s="22" t="str">
        <f>'[4]10нед'!X277</f>
        <v/>
      </c>
      <c r="P269" s="38"/>
    </row>
    <row r="270" spans="1:16" ht="31.5" x14ac:dyDescent="0.2">
      <c r="A270" s="82"/>
      <c r="B270" s="68"/>
      <c r="C270" s="14" t="s">
        <v>20</v>
      </c>
      <c r="D270" s="20">
        <f>'[3]9нед'!S278</f>
        <v>0</v>
      </c>
      <c r="E270" s="23">
        <f>'[3]9нед'!T278</f>
        <v>0</v>
      </c>
      <c r="F270" s="21">
        <f>'[3]9нед'!W278</f>
        <v>0</v>
      </c>
      <c r="G270" s="22" t="str">
        <f>'[3]9нед'!X278</f>
        <v/>
      </c>
      <c r="H270" s="38"/>
      <c r="I270" s="71"/>
      <c r="J270" s="74"/>
      <c r="K270" s="14" t="s">
        <v>20</v>
      </c>
      <c r="L270" s="20">
        <f>'[4]10нед'!S278</f>
        <v>0</v>
      </c>
      <c r="M270" s="23">
        <f>'[4]10нед'!T278</f>
        <v>0</v>
      </c>
      <c r="N270" s="21">
        <f>'[4]10нед'!W278</f>
        <v>0</v>
      </c>
      <c r="O270" s="22" t="str">
        <f>'[4]10нед'!X278</f>
        <v/>
      </c>
      <c r="P270" s="38"/>
    </row>
    <row r="271" spans="1:16" ht="31.5" x14ac:dyDescent="0.2">
      <c r="A271" s="82"/>
      <c r="B271" s="68"/>
      <c r="C271" s="14" t="s">
        <v>21</v>
      </c>
      <c r="D271" s="20">
        <f>'[3]9нед'!S279</f>
        <v>0</v>
      </c>
      <c r="E271" s="23">
        <f>'[3]9нед'!T279</f>
        <v>0</v>
      </c>
      <c r="F271" s="21">
        <f>'[3]9нед'!W279</f>
        <v>0</v>
      </c>
      <c r="G271" s="22" t="str">
        <f>'[3]9нед'!X279</f>
        <v/>
      </c>
      <c r="H271" s="38"/>
      <c r="I271" s="71"/>
      <c r="J271" s="74"/>
      <c r="K271" s="14" t="s">
        <v>21</v>
      </c>
      <c r="L271" s="20">
        <f>'[4]10нед'!S279</f>
        <v>0</v>
      </c>
      <c r="M271" s="23">
        <f>'[4]10нед'!T279</f>
        <v>0</v>
      </c>
      <c r="N271" s="21">
        <f>'[4]10нед'!W279</f>
        <v>0</v>
      </c>
      <c r="O271" s="22" t="str">
        <f>'[4]10нед'!X279</f>
        <v/>
      </c>
      <c r="P271" s="38"/>
    </row>
    <row r="272" spans="1:16" ht="31.5" x14ac:dyDescent="0.2">
      <c r="A272" s="82"/>
      <c r="B272" s="68"/>
      <c r="C272" s="14" t="s">
        <v>22</v>
      </c>
      <c r="D272" s="20">
        <f>'[3]9нед'!S280</f>
        <v>0</v>
      </c>
      <c r="E272" s="23">
        <f>'[3]9нед'!T280</f>
        <v>0</v>
      </c>
      <c r="F272" s="21">
        <f>'[3]9нед'!W280</f>
        <v>0</v>
      </c>
      <c r="G272" s="22" t="str">
        <f>'[3]9нед'!X280</f>
        <v/>
      </c>
      <c r="H272" s="38"/>
      <c r="I272" s="71"/>
      <c r="J272" s="74"/>
      <c r="K272" s="14" t="s">
        <v>22</v>
      </c>
      <c r="L272" s="20">
        <f>'[4]10нед'!S280</f>
        <v>0</v>
      </c>
      <c r="M272" s="23">
        <f>'[4]10нед'!T280</f>
        <v>0</v>
      </c>
      <c r="N272" s="21">
        <f>'[4]10нед'!W280</f>
        <v>0</v>
      </c>
      <c r="O272" s="22" t="str">
        <f>'[4]10нед'!X280</f>
        <v/>
      </c>
      <c r="P272" s="38"/>
    </row>
    <row r="273" spans="1:16" ht="31.5" x14ac:dyDescent="0.2">
      <c r="A273" s="82"/>
      <c r="B273" s="68"/>
      <c r="C273" s="14" t="s">
        <v>23</v>
      </c>
      <c r="D273" s="20">
        <f>'[3]9нед'!S281</f>
        <v>0</v>
      </c>
      <c r="E273" s="23">
        <f>'[3]9нед'!T281</f>
        <v>0</v>
      </c>
      <c r="F273" s="21">
        <f>'[3]9нед'!W281</f>
        <v>0</v>
      </c>
      <c r="G273" s="22" t="str">
        <f>'[3]9нед'!X281</f>
        <v/>
      </c>
      <c r="H273" s="34"/>
      <c r="I273" s="71"/>
      <c r="J273" s="74"/>
      <c r="K273" s="14" t="s">
        <v>23</v>
      </c>
      <c r="L273" s="20">
        <f>'[4]10нед'!S281</f>
        <v>0</v>
      </c>
      <c r="M273" s="23">
        <f>'[4]10нед'!T281</f>
        <v>0</v>
      </c>
      <c r="N273" s="21">
        <f>'[4]10нед'!W281</f>
        <v>0</v>
      </c>
      <c r="O273" s="22" t="str">
        <f>'[4]10нед'!X281</f>
        <v/>
      </c>
      <c r="P273" s="34"/>
    </row>
    <row r="274" spans="1:16" ht="32.25" thickBot="1" x14ac:dyDescent="0.25">
      <c r="A274" s="82"/>
      <c r="B274" s="68"/>
      <c r="C274" s="14" t="s">
        <v>24</v>
      </c>
      <c r="D274" s="20">
        <f>'[3]9нед'!S282</f>
        <v>0</v>
      </c>
      <c r="E274" s="23">
        <f>'[3]9нед'!T282</f>
        <v>0</v>
      </c>
      <c r="F274" s="21">
        <f>'[3]9нед'!W282</f>
        <v>0</v>
      </c>
      <c r="G274" s="22" t="str">
        <f>'[3]9нед'!X282</f>
        <v/>
      </c>
      <c r="H274" s="34"/>
      <c r="I274" s="71"/>
      <c r="J274" s="74"/>
      <c r="K274" s="14" t="s">
        <v>24</v>
      </c>
      <c r="L274" s="20">
        <f>'[4]10нед'!S282</f>
        <v>0</v>
      </c>
      <c r="M274" s="23">
        <f>'[4]10нед'!T282</f>
        <v>0</v>
      </c>
      <c r="N274" s="21">
        <f>'[4]10нед'!W282</f>
        <v>0</v>
      </c>
      <c r="O274" s="22" t="str">
        <f>'[4]10нед'!X282</f>
        <v/>
      </c>
      <c r="P274" s="34"/>
    </row>
    <row r="275" spans="1:16" ht="18.399999999999999" hidden="1" customHeight="1" thickBot="1" x14ac:dyDescent="0.25">
      <c r="A275" s="83"/>
      <c r="B275" s="69"/>
      <c r="C275" s="15"/>
      <c r="D275" s="24">
        <f>'[3]9нед'!S283</f>
        <v>0</v>
      </c>
      <c r="E275" s="25">
        <f>'[3]9нед'!T283</f>
        <v>0</v>
      </c>
      <c r="F275" s="26">
        <f>'[3]9нед'!W283</f>
        <v>0</v>
      </c>
      <c r="G275" s="27" t="str">
        <f>'[3]9нед'!X283</f>
        <v/>
      </c>
      <c r="H275" s="39"/>
      <c r="I275" s="72"/>
      <c r="J275" s="75"/>
      <c r="K275" s="15"/>
      <c r="L275" s="24">
        <f>'[4]10нед'!S283</f>
        <v>0</v>
      </c>
      <c r="M275" s="25">
        <f>'[4]10нед'!T283</f>
        <v>0</v>
      </c>
      <c r="N275" s="26">
        <f>'[4]10нед'!W283</f>
        <v>0</v>
      </c>
      <c r="O275" s="27" t="str">
        <f>'[4]10нед'!X283</f>
        <v/>
      </c>
      <c r="P275" s="39"/>
    </row>
    <row r="276" spans="1:16" ht="48" customHeight="1" thickTop="1" x14ac:dyDescent="0.2">
      <c r="A276" s="70">
        <v>46324</v>
      </c>
      <c r="B276" s="84" t="s">
        <v>27</v>
      </c>
      <c r="C276" s="29" t="s">
        <v>18</v>
      </c>
      <c r="D276" s="16">
        <f>'[3]9нед'!S284</f>
        <v>0</v>
      </c>
      <c r="E276" s="19">
        <f>'[3]9нед'!T284</f>
        <v>0</v>
      </c>
      <c r="F276" s="17">
        <f>'[3]9нед'!W284</f>
        <v>0</v>
      </c>
      <c r="G276" s="18" t="str">
        <f>'[3]9нед'!X284</f>
        <v/>
      </c>
      <c r="H276" s="40"/>
      <c r="I276" s="70">
        <v>46331</v>
      </c>
      <c r="J276" s="87" t="s">
        <v>27</v>
      </c>
      <c r="K276" s="29" t="s">
        <v>18</v>
      </c>
      <c r="L276" s="16">
        <f>'[4]10нед'!S284</f>
        <v>0</v>
      </c>
      <c r="M276" s="19">
        <f>'[4]10нед'!T284</f>
        <v>0</v>
      </c>
      <c r="N276" s="17">
        <f>'[4]10нед'!W284</f>
        <v>0</v>
      </c>
      <c r="O276" s="18" t="str">
        <f>'[4]10нед'!X284</f>
        <v/>
      </c>
      <c r="P276" s="40"/>
    </row>
    <row r="277" spans="1:16" ht="31.5" x14ac:dyDescent="0.2">
      <c r="A277" s="82"/>
      <c r="B277" s="85"/>
      <c r="C277" s="14" t="s">
        <v>19</v>
      </c>
      <c r="D277" s="20">
        <f>'[3]9нед'!S285</f>
        <v>0</v>
      </c>
      <c r="E277" s="23">
        <f>'[3]9нед'!T285</f>
        <v>0</v>
      </c>
      <c r="F277" s="21">
        <f>'[3]9нед'!W285</f>
        <v>0</v>
      </c>
      <c r="G277" s="22" t="str">
        <f>'[3]9нед'!X285</f>
        <v/>
      </c>
      <c r="H277" s="38"/>
      <c r="I277" s="71"/>
      <c r="J277" s="88"/>
      <c r="K277" s="14" t="s">
        <v>19</v>
      </c>
      <c r="L277" s="20">
        <f>'[4]10нед'!S285</f>
        <v>0</v>
      </c>
      <c r="M277" s="23">
        <f>'[4]10нед'!T285</f>
        <v>0</v>
      </c>
      <c r="N277" s="21">
        <f>'[4]10нед'!W285</f>
        <v>0</v>
      </c>
      <c r="O277" s="22" t="str">
        <f>'[4]10нед'!X285</f>
        <v/>
      </c>
      <c r="P277" s="38"/>
    </row>
    <row r="278" spans="1:16" ht="31.5" x14ac:dyDescent="0.2">
      <c r="A278" s="82"/>
      <c r="B278" s="85"/>
      <c r="C278" s="14" t="s">
        <v>20</v>
      </c>
      <c r="D278" s="20">
        <f>'[3]9нед'!S286</f>
        <v>0</v>
      </c>
      <c r="E278" s="23">
        <f>'[3]9нед'!T286</f>
        <v>0</v>
      </c>
      <c r="F278" s="21">
        <f>'[3]9нед'!W286</f>
        <v>0</v>
      </c>
      <c r="G278" s="22" t="str">
        <f>'[3]9нед'!X286</f>
        <v/>
      </c>
      <c r="H278" s="38"/>
      <c r="I278" s="71"/>
      <c r="J278" s="88"/>
      <c r="K278" s="14" t="s">
        <v>20</v>
      </c>
      <c r="L278" s="20">
        <f>'[4]10нед'!S286</f>
        <v>0</v>
      </c>
      <c r="M278" s="23">
        <f>'[4]10нед'!T286</f>
        <v>0</v>
      </c>
      <c r="N278" s="21">
        <f>'[4]10нед'!W286</f>
        <v>0</v>
      </c>
      <c r="O278" s="22" t="str">
        <f>'[4]10нед'!X286</f>
        <v/>
      </c>
      <c r="P278" s="38"/>
    </row>
    <row r="279" spans="1:16" ht="31.5" x14ac:dyDescent="0.2">
      <c r="A279" s="82"/>
      <c r="B279" s="85"/>
      <c r="C279" s="14" t="s">
        <v>21</v>
      </c>
      <c r="D279" s="20">
        <f>'[3]9нед'!S287</f>
        <v>0</v>
      </c>
      <c r="E279" s="23">
        <f>'[3]9нед'!T287</f>
        <v>0</v>
      </c>
      <c r="F279" s="21">
        <f>'[3]9нед'!W287</f>
        <v>0</v>
      </c>
      <c r="G279" s="22" t="str">
        <f>'[3]9нед'!X287</f>
        <v/>
      </c>
      <c r="H279" s="38"/>
      <c r="I279" s="71"/>
      <c r="J279" s="88"/>
      <c r="K279" s="14" t="s">
        <v>21</v>
      </c>
      <c r="L279" s="20">
        <f>'[4]10нед'!S287</f>
        <v>0</v>
      </c>
      <c r="M279" s="23">
        <f>'[4]10нед'!T287</f>
        <v>0</v>
      </c>
      <c r="N279" s="21">
        <f>'[4]10нед'!W287</f>
        <v>0</v>
      </c>
      <c r="O279" s="22" t="str">
        <f>'[4]10нед'!X287</f>
        <v/>
      </c>
      <c r="P279" s="38"/>
    </row>
    <row r="280" spans="1:16" ht="31.5" x14ac:dyDescent="0.2">
      <c r="A280" s="82"/>
      <c r="B280" s="85"/>
      <c r="C280" s="14" t="s">
        <v>22</v>
      </c>
      <c r="D280" s="20">
        <f>'[3]9нед'!S288</f>
        <v>0</v>
      </c>
      <c r="E280" s="23">
        <f>'[3]9нед'!T288</f>
        <v>0</v>
      </c>
      <c r="F280" s="21">
        <f>'[3]9нед'!W288</f>
        <v>0</v>
      </c>
      <c r="G280" s="22" t="str">
        <f>'[3]9нед'!X288</f>
        <v/>
      </c>
      <c r="H280" s="38"/>
      <c r="I280" s="71"/>
      <c r="J280" s="88"/>
      <c r="K280" s="14" t="s">
        <v>22</v>
      </c>
      <c r="L280" s="20">
        <f>'[4]10нед'!S288</f>
        <v>0</v>
      </c>
      <c r="M280" s="23">
        <f>'[4]10нед'!T288</f>
        <v>0</v>
      </c>
      <c r="N280" s="21">
        <f>'[4]10нед'!W288</f>
        <v>0</v>
      </c>
      <c r="O280" s="22" t="str">
        <f>'[4]10нед'!X288</f>
        <v/>
      </c>
      <c r="P280" s="38"/>
    </row>
    <row r="281" spans="1:16" ht="31.5" x14ac:dyDescent="0.2">
      <c r="A281" s="82"/>
      <c r="B281" s="85"/>
      <c r="C281" s="14" t="s">
        <v>23</v>
      </c>
      <c r="D281" s="20">
        <f>'[3]9нед'!S289</f>
        <v>0</v>
      </c>
      <c r="E281" s="23">
        <f>'[3]9нед'!T289</f>
        <v>0</v>
      </c>
      <c r="F281" s="21">
        <f>'[3]9нед'!W289</f>
        <v>0</v>
      </c>
      <c r="G281" s="22" t="str">
        <f>'[3]9нед'!X289</f>
        <v/>
      </c>
      <c r="H281" s="34"/>
      <c r="I281" s="71"/>
      <c r="J281" s="88"/>
      <c r="K281" s="14" t="s">
        <v>23</v>
      </c>
      <c r="L281" s="20">
        <f>'[4]10нед'!S289</f>
        <v>0</v>
      </c>
      <c r="M281" s="23">
        <f>'[4]10нед'!T289</f>
        <v>0</v>
      </c>
      <c r="N281" s="21">
        <f>'[4]10нед'!W289</f>
        <v>0</v>
      </c>
      <c r="O281" s="22" t="str">
        <f>'[4]10нед'!X289</f>
        <v/>
      </c>
      <c r="P281" s="34"/>
    </row>
    <row r="282" spans="1:16" ht="32.25" thickBot="1" x14ac:dyDescent="0.25">
      <c r="A282" s="82"/>
      <c r="B282" s="85"/>
      <c r="C282" s="14" t="s">
        <v>24</v>
      </c>
      <c r="D282" s="20">
        <f>'[3]9нед'!S290</f>
        <v>0</v>
      </c>
      <c r="E282" s="23">
        <f>'[3]9нед'!T290</f>
        <v>0</v>
      </c>
      <c r="F282" s="21">
        <f>'[3]9нед'!W290</f>
        <v>0</v>
      </c>
      <c r="G282" s="22" t="str">
        <f>'[3]9нед'!X290</f>
        <v/>
      </c>
      <c r="H282" s="34"/>
      <c r="I282" s="71"/>
      <c r="J282" s="88"/>
      <c r="K282" s="14" t="s">
        <v>24</v>
      </c>
      <c r="L282" s="20">
        <f>'[4]10нед'!S290</f>
        <v>0</v>
      </c>
      <c r="M282" s="23">
        <f>'[4]10нед'!T290</f>
        <v>0</v>
      </c>
      <c r="N282" s="21">
        <f>'[4]10нед'!W290</f>
        <v>0</v>
      </c>
      <c r="O282" s="22" t="str">
        <f>'[4]10нед'!X290</f>
        <v/>
      </c>
      <c r="P282" s="34"/>
    </row>
    <row r="283" spans="1:16" ht="18.399999999999999" hidden="1" customHeight="1" thickBot="1" x14ac:dyDescent="0.25">
      <c r="A283" s="83"/>
      <c r="B283" s="86"/>
      <c r="C283" s="15"/>
      <c r="D283" s="24">
        <f>'[3]9нед'!S291</f>
        <v>0</v>
      </c>
      <c r="E283" s="25">
        <f>'[3]9нед'!T291</f>
        <v>0</v>
      </c>
      <c r="F283" s="26">
        <f>'[3]9нед'!W291</f>
        <v>0</v>
      </c>
      <c r="G283" s="27" t="str">
        <f>'[3]9нед'!X291</f>
        <v/>
      </c>
      <c r="H283" s="39"/>
      <c r="I283" s="72"/>
      <c r="J283" s="89"/>
      <c r="K283" s="15"/>
      <c r="L283" s="24">
        <f>'[4]10нед'!S291</f>
        <v>0</v>
      </c>
      <c r="M283" s="25">
        <f>'[4]10нед'!T291</f>
        <v>0</v>
      </c>
      <c r="N283" s="26">
        <f>'[4]10нед'!W291</f>
        <v>0</v>
      </c>
      <c r="O283" s="27" t="str">
        <f>'[4]10нед'!X291</f>
        <v/>
      </c>
      <c r="P283" s="39"/>
    </row>
    <row r="284" spans="1:16" ht="48" customHeight="1" thickTop="1" x14ac:dyDescent="0.2">
      <c r="A284" s="70">
        <v>46325</v>
      </c>
      <c r="B284" s="84" t="s">
        <v>28</v>
      </c>
      <c r="C284" s="29" t="s">
        <v>18</v>
      </c>
      <c r="D284" s="16">
        <f>'[3]9нед'!S292</f>
        <v>0</v>
      </c>
      <c r="E284" s="19">
        <f>'[3]9нед'!T292</f>
        <v>0</v>
      </c>
      <c r="F284" s="17">
        <f>'[3]9нед'!W292</f>
        <v>0</v>
      </c>
      <c r="G284" s="18" t="str">
        <f>'[3]9нед'!X292</f>
        <v/>
      </c>
      <c r="H284" s="40"/>
      <c r="I284" s="70">
        <v>46332</v>
      </c>
      <c r="J284" s="87" t="s">
        <v>28</v>
      </c>
      <c r="K284" s="29" t="s">
        <v>18</v>
      </c>
      <c r="L284" s="16">
        <f>'[4]10нед'!S292</f>
        <v>0</v>
      </c>
      <c r="M284" s="19">
        <f>'[4]10нед'!T292</f>
        <v>0</v>
      </c>
      <c r="N284" s="17">
        <f>'[4]10нед'!W292</f>
        <v>0</v>
      </c>
      <c r="O284" s="18" t="str">
        <f>'[4]10нед'!X292</f>
        <v/>
      </c>
      <c r="P284" s="40"/>
    </row>
    <row r="285" spans="1:16" ht="31.5" x14ac:dyDescent="0.2">
      <c r="A285" s="82"/>
      <c r="B285" s="85"/>
      <c r="C285" s="14" t="s">
        <v>19</v>
      </c>
      <c r="D285" s="20">
        <f>'[3]9нед'!S293</f>
        <v>0</v>
      </c>
      <c r="E285" s="23">
        <f>'[3]9нед'!T293</f>
        <v>0</v>
      </c>
      <c r="F285" s="21">
        <f>'[3]9нед'!W293</f>
        <v>0</v>
      </c>
      <c r="G285" s="22" t="str">
        <f>'[3]9нед'!X293</f>
        <v/>
      </c>
      <c r="H285" s="38"/>
      <c r="I285" s="71"/>
      <c r="J285" s="88"/>
      <c r="K285" s="14" t="s">
        <v>19</v>
      </c>
      <c r="L285" s="20">
        <f>'[4]10нед'!S293</f>
        <v>0</v>
      </c>
      <c r="M285" s="23">
        <f>'[4]10нед'!T293</f>
        <v>0</v>
      </c>
      <c r="N285" s="21">
        <f>'[4]10нед'!W293</f>
        <v>0</v>
      </c>
      <c r="O285" s="22" t="str">
        <f>'[4]10нед'!X293</f>
        <v/>
      </c>
      <c r="P285" s="38"/>
    </row>
    <row r="286" spans="1:16" ht="31.5" x14ac:dyDescent="0.2">
      <c r="A286" s="82"/>
      <c r="B286" s="85"/>
      <c r="C286" s="14" t="s">
        <v>20</v>
      </c>
      <c r="D286" s="20">
        <f>'[3]9нед'!S294</f>
        <v>0</v>
      </c>
      <c r="E286" s="23">
        <f>'[3]9нед'!T294</f>
        <v>0</v>
      </c>
      <c r="F286" s="21">
        <f>'[3]9нед'!W294</f>
        <v>0</v>
      </c>
      <c r="G286" s="22" t="str">
        <f>'[3]9нед'!X294</f>
        <v/>
      </c>
      <c r="H286" s="38"/>
      <c r="I286" s="71"/>
      <c r="J286" s="88"/>
      <c r="K286" s="14" t="s">
        <v>20</v>
      </c>
      <c r="L286" s="20">
        <f>'[4]10нед'!S294</f>
        <v>0</v>
      </c>
      <c r="M286" s="23">
        <f>'[4]10нед'!T294</f>
        <v>0</v>
      </c>
      <c r="N286" s="21">
        <f>'[4]10нед'!W294</f>
        <v>0</v>
      </c>
      <c r="O286" s="22" t="str">
        <f>'[4]10нед'!X294</f>
        <v/>
      </c>
      <c r="P286" s="38"/>
    </row>
    <row r="287" spans="1:16" ht="31.5" x14ac:dyDescent="0.2">
      <c r="A287" s="82"/>
      <c r="B287" s="85"/>
      <c r="C287" s="14" t="s">
        <v>21</v>
      </c>
      <c r="D287" s="20">
        <f>'[3]9нед'!S295</f>
        <v>0</v>
      </c>
      <c r="E287" s="23">
        <f>'[3]9нед'!T295</f>
        <v>0</v>
      </c>
      <c r="F287" s="21">
        <f>'[3]9нед'!W295</f>
        <v>0</v>
      </c>
      <c r="G287" s="22" t="str">
        <f>'[3]9нед'!X295</f>
        <v/>
      </c>
      <c r="H287" s="38"/>
      <c r="I287" s="71"/>
      <c r="J287" s="88"/>
      <c r="K287" s="14" t="s">
        <v>21</v>
      </c>
      <c r="L287" s="20">
        <f>'[4]10нед'!S295</f>
        <v>0</v>
      </c>
      <c r="M287" s="23">
        <f>'[4]10нед'!T295</f>
        <v>0</v>
      </c>
      <c r="N287" s="21">
        <f>'[4]10нед'!W295</f>
        <v>0</v>
      </c>
      <c r="O287" s="22" t="str">
        <f>'[4]10нед'!X295</f>
        <v/>
      </c>
      <c r="P287" s="38"/>
    </row>
    <row r="288" spans="1:16" ht="31.5" x14ac:dyDescent="0.2">
      <c r="A288" s="82"/>
      <c r="B288" s="85"/>
      <c r="C288" s="14" t="s">
        <v>22</v>
      </c>
      <c r="D288" s="20">
        <f>'[3]9нед'!S296</f>
        <v>0</v>
      </c>
      <c r="E288" s="23">
        <f>'[3]9нед'!T296</f>
        <v>0</v>
      </c>
      <c r="F288" s="21">
        <f>'[3]9нед'!W296</f>
        <v>0</v>
      </c>
      <c r="G288" s="22" t="str">
        <f>'[3]9нед'!X296</f>
        <v/>
      </c>
      <c r="H288" s="38"/>
      <c r="I288" s="71"/>
      <c r="J288" s="88"/>
      <c r="K288" s="14" t="s">
        <v>22</v>
      </c>
      <c r="L288" s="20">
        <f>'[4]10нед'!S296</f>
        <v>0</v>
      </c>
      <c r="M288" s="23">
        <f>'[4]10нед'!T296</f>
        <v>0</v>
      </c>
      <c r="N288" s="21">
        <f>'[4]10нед'!W296</f>
        <v>0</v>
      </c>
      <c r="O288" s="22" t="str">
        <f>'[4]10нед'!X296</f>
        <v/>
      </c>
      <c r="P288" s="38"/>
    </row>
    <row r="289" spans="1:16" ht="31.5" x14ac:dyDescent="0.2">
      <c r="A289" s="82"/>
      <c r="B289" s="85"/>
      <c r="C289" s="14" t="s">
        <v>23</v>
      </c>
      <c r="D289" s="20">
        <f>'[3]9нед'!S297</f>
        <v>0</v>
      </c>
      <c r="E289" s="23">
        <f>'[3]9нед'!T297</f>
        <v>0</v>
      </c>
      <c r="F289" s="21">
        <f>'[3]9нед'!W297</f>
        <v>0</v>
      </c>
      <c r="G289" s="22" t="str">
        <f>'[3]9нед'!X297</f>
        <v/>
      </c>
      <c r="H289" s="38"/>
      <c r="I289" s="71"/>
      <c r="J289" s="88"/>
      <c r="K289" s="14" t="s">
        <v>23</v>
      </c>
      <c r="L289" s="20">
        <f>'[4]10нед'!S297</f>
        <v>0</v>
      </c>
      <c r="M289" s="23">
        <f>'[4]10нед'!T297</f>
        <v>0</v>
      </c>
      <c r="N289" s="21">
        <f>'[4]10нед'!W297</f>
        <v>0</v>
      </c>
      <c r="O289" s="22" t="str">
        <f>'[4]10нед'!X297</f>
        <v/>
      </c>
      <c r="P289" s="38"/>
    </row>
    <row r="290" spans="1:16" ht="32.25" thickBot="1" x14ac:dyDescent="0.25">
      <c r="A290" s="82"/>
      <c r="B290" s="85"/>
      <c r="C290" s="14" t="s">
        <v>24</v>
      </c>
      <c r="D290" s="20">
        <f>'[3]9нед'!S298</f>
        <v>0</v>
      </c>
      <c r="E290" s="23">
        <f>'[3]9нед'!T298</f>
        <v>0</v>
      </c>
      <c r="F290" s="21">
        <f>'[3]9нед'!W298</f>
        <v>0</v>
      </c>
      <c r="G290" s="22" t="str">
        <f>'[3]9нед'!X298</f>
        <v/>
      </c>
      <c r="H290" s="38"/>
      <c r="I290" s="71"/>
      <c r="J290" s="88"/>
      <c r="K290" s="14" t="s">
        <v>24</v>
      </c>
      <c r="L290" s="20">
        <f>'[4]10нед'!S298</f>
        <v>0</v>
      </c>
      <c r="M290" s="23">
        <f>'[4]10нед'!T298</f>
        <v>0</v>
      </c>
      <c r="N290" s="21">
        <f>'[4]10нед'!W298</f>
        <v>0</v>
      </c>
      <c r="O290" s="22" t="str">
        <f>'[4]10нед'!X298</f>
        <v/>
      </c>
      <c r="P290" s="38"/>
    </row>
    <row r="291" spans="1:16" ht="18.399999999999999" hidden="1" customHeight="1" thickBot="1" x14ac:dyDescent="0.25">
      <c r="A291" s="83"/>
      <c r="B291" s="86"/>
      <c r="C291" s="15"/>
      <c r="D291" s="24">
        <f>'[3]9нед'!S299</f>
        <v>0</v>
      </c>
      <c r="E291" s="25">
        <f>'[3]9нед'!T299</f>
        <v>0</v>
      </c>
      <c r="F291" s="26">
        <f>'[3]9нед'!W299</f>
        <v>0</v>
      </c>
      <c r="G291" s="27" t="str">
        <f>'[3]9нед'!X299</f>
        <v/>
      </c>
      <c r="H291" s="39"/>
      <c r="I291" s="72"/>
      <c r="J291" s="89"/>
      <c r="K291" s="15"/>
      <c r="L291" s="24">
        <f>'[4]10нед'!S299</f>
        <v>0</v>
      </c>
      <c r="M291" s="25">
        <f>'[4]10нед'!T299</f>
        <v>0</v>
      </c>
      <c r="N291" s="26">
        <f>'[4]10нед'!W299</f>
        <v>0</v>
      </c>
      <c r="O291" s="27" t="str">
        <f>'[4]10нед'!X299</f>
        <v/>
      </c>
      <c r="P291" s="39"/>
    </row>
    <row r="292" spans="1:16" ht="48" customHeight="1" thickTop="1" x14ac:dyDescent="0.2">
      <c r="A292" s="70">
        <v>46326</v>
      </c>
      <c r="B292" s="84" t="s">
        <v>29</v>
      </c>
      <c r="C292" s="29" t="s">
        <v>18</v>
      </c>
      <c r="D292" s="16">
        <f>'[3]9нед'!S300</f>
        <v>0</v>
      </c>
      <c r="E292" s="19">
        <f>'[3]9нед'!T300</f>
        <v>0</v>
      </c>
      <c r="F292" s="17">
        <f>'[3]9нед'!W300</f>
        <v>0</v>
      </c>
      <c r="G292" s="18" t="str">
        <f>'[3]9нед'!X300</f>
        <v/>
      </c>
      <c r="H292" s="40"/>
      <c r="I292" s="70">
        <v>46333</v>
      </c>
      <c r="J292" s="87" t="s">
        <v>29</v>
      </c>
      <c r="K292" s="29" t="s">
        <v>18</v>
      </c>
      <c r="L292" s="16">
        <f>'[4]10нед'!S300</f>
        <v>0</v>
      </c>
      <c r="M292" s="19">
        <f>'[4]10нед'!T300</f>
        <v>0</v>
      </c>
      <c r="N292" s="17">
        <f>'[4]10нед'!W300</f>
        <v>0</v>
      </c>
      <c r="O292" s="18" t="str">
        <f>'[4]10нед'!X300</f>
        <v/>
      </c>
      <c r="P292" s="40"/>
    </row>
    <row r="293" spans="1:16" ht="31.5" x14ac:dyDescent="0.2">
      <c r="A293" s="82"/>
      <c r="B293" s="85"/>
      <c r="C293" s="14" t="s">
        <v>19</v>
      </c>
      <c r="D293" s="20">
        <f>'[3]9нед'!S301</f>
        <v>0</v>
      </c>
      <c r="E293" s="23">
        <f>'[3]9нед'!T301</f>
        <v>0</v>
      </c>
      <c r="F293" s="21">
        <f>'[3]9нед'!W301</f>
        <v>0</v>
      </c>
      <c r="G293" s="22" t="str">
        <f>'[3]9нед'!X301</f>
        <v/>
      </c>
      <c r="H293" s="38"/>
      <c r="I293" s="71"/>
      <c r="J293" s="88"/>
      <c r="K293" s="14" t="s">
        <v>19</v>
      </c>
      <c r="L293" s="20">
        <f>'[4]10нед'!S301</f>
        <v>0</v>
      </c>
      <c r="M293" s="23">
        <f>'[4]10нед'!T301</f>
        <v>0</v>
      </c>
      <c r="N293" s="21">
        <f>'[4]10нед'!W301</f>
        <v>0</v>
      </c>
      <c r="O293" s="22" t="str">
        <f>'[4]10нед'!X301</f>
        <v/>
      </c>
      <c r="P293" s="38"/>
    </row>
    <row r="294" spans="1:16" ht="31.5" x14ac:dyDescent="0.2">
      <c r="A294" s="82"/>
      <c r="B294" s="85"/>
      <c r="C294" s="14" t="s">
        <v>20</v>
      </c>
      <c r="D294" s="20">
        <f>'[3]9нед'!S302</f>
        <v>0</v>
      </c>
      <c r="E294" s="23">
        <f>'[3]9нед'!T302</f>
        <v>0</v>
      </c>
      <c r="F294" s="21">
        <f>'[3]9нед'!W302</f>
        <v>0</v>
      </c>
      <c r="G294" s="22" t="str">
        <f>'[3]9нед'!X302</f>
        <v/>
      </c>
      <c r="H294" s="43"/>
      <c r="I294" s="71"/>
      <c r="J294" s="88"/>
      <c r="K294" s="14" t="s">
        <v>20</v>
      </c>
      <c r="L294" s="20">
        <f>'[4]10нед'!S302</f>
        <v>0</v>
      </c>
      <c r="M294" s="23">
        <f>'[4]10нед'!T302</f>
        <v>0</v>
      </c>
      <c r="N294" s="21">
        <f>'[4]10нед'!W302</f>
        <v>0</v>
      </c>
      <c r="O294" s="22" t="str">
        <f>'[4]10нед'!X302</f>
        <v/>
      </c>
      <c r="P294" s="43"/>
    </row>
    <row r="295" spans="1:16" ht="31.5" x14ac:dyDescent="0.2">
      <c r="A295" s="82"/>
      <c r="B295" s="85"/>
      <c r="C295" s="14" t="s">
        <v>21</v>
      </c>
      <c r="D295" s="20">
        <f>'[3]9нед'!S303</f>
        <v>0</v>
      </c>
      <c r="E295" s="23">
        <f>'[3]9нед'!T303</f>
        <v>0</v>
      </c>
      <c r="F295" s="21">
        <f>'[3]9нед'!W303</f>
        <v>0</v>
      </c>
      <c r="G295" s="22" t="str">
        <f>'[3]9нед'!X303</f>
        <v/>
      </c>
      <c r="H295" s="38"/>
      <c r="I295" s="71"/>
      <c r="J295" s="88"/>
      <c r="K295" s="14" t="s">
        <v>21</v>
      </c>
      <c r="L295" s="20">
        <f>'[4]10нед'!S303</f>
        <v>0</v>
      </c>
      <c r="M295" s="23">
        <f>'[4]10нед'!T303</f>
        <v>0</v>
      </c>
      <c r="N295" s="21">
        <f>'[4]10нед'!W303</f>
        <v>0</v>
      </c>
      <c r="O295" s="22" t="str">
        <f>'[4]10нед'!X303</f>
        <v/>
      </c>
      <c r="P295" s="38"/>
    </row>
    <row r="296" spans="1:16" ht="31.5" x14ac:dyDescent="0.2">
      <c r="A296" s="82"/>
      <c r="B296" s="85"/>
      <c r="C296" s="14" t="s">
        <v>22</v>
      </c>
      <c r="D296" s="20">
        <f>'[3]9нед'!S304</f>
        <v>0</v>
      </c>
      <c r="E296" s="23">
        <f>'[3]9нед'!T304</f>
        <v>0</v>
      </c>
      <c r="F296" s="21">
        <f>'[3]9нед'!W304</f>
        <v>0</v>
      </c>
      <c r="G296" s="22" t="str">
        <f>'[3]9нед'!X304</f>
        <v/>
      </c>
      <c r="H296" s="38"/>
      <c r="I296" s="71"/>
      <c r="J296" s="88"/>
      <c r="K296" s="14" t="s">
        <v>22</v>
      </c>
      <c r="L296" s="20">
        <f>'[4]10нед'!S304</f>
        <v>0</v>
      </c>
      <c r="M296" s="23">
        <f>'[4]10нед'!T304</f>
        <v>0</v>
      </c>
      <c r="N296" s="21">
        <f>'[4]10нед'!W304</f>
        <v>0</v>
      </c>
      <c r="O296" s="22" t="str">
        <f>'[4]10нед'!X304</f>
        <v/>
      </c>
      <c r="P296" s="38"/>
    </row>
    <row r="297" spans="1:16" ht="31.5" x14ac:dyDescent="0.2">
      <c r="A297" s="82"/>
      <c r="B297" s="85"/>
      <c r="C297" s="14" t="s">
        <v>23</v>
      </c>
      <c r="D297" s="20">
        <f>'[3]9нед'!S305</f>
        <v>0</v>
      </c>
      <c r="E297" s="23">
        <f>'[3]9нед'!T305</f>
        <v>0</v>
      </c>
      <c r="F297" s="21">
        <f>'[3]9нед'!W305</f>
        <v>0</v>
      </c>
      <c r="G297" s="22" t="str">
        <f>'[3]9нед'!X305</f>
        <v/>
      </c>
      <c r="H297" s="38"/>
      <c r="I297" s="71"/>
      <c r="J297" s="88"/>
      <c r="K297" s="14" t="s">
        <v>23</v>
      </c>
      <c r="L297" s="20">
        <f>'[4]10нед'!S305</f>
        <v>0</v>
      </c>
      <c r="M297" s="23">
        <f>'[4]10нед'!T305</f>
        <v>0</v>
      </c>
      <c r="N297" s="21">
        <f>'[4]10нед'!W305</f>
        <v>0</v>
      </c>
      <c r="O297" s="22" t="str">
        <f>'[4]10нед'!X305</f>
        <v/>
      </c>
      <c r="P297" s="38"/>
    </row>
    <row r="298" spans="1:16" ht="32.25" thickBot="1" x14ac:dyDescent="0.25">
      <c r="A298" s="82"/>
      <c r="B298" s="85"/>
      <c r="C298" s="14" t="s">
        <v>24</v>
      </c>
      <c r="D298" s="20">
        <f>'[3]9нед'!S306</f>
        <v>0</v>
      </c>
      <c r="E298" s="23">
        <f>'[3]9нед'!T306</f>
        <v>0</v>
      </c>
      <c r="F298" s="21">
        <f>'[3]9нед'!W306</f>
        <v>0</v>
      </c>
      <c r="G298" s="22" t="str">
        <f>'[3]9нед'!X306</f>
        <v/>
      </c>
      <c r="H298" s="38"/>
      <c r="I298" s="71"/>
      <c r="J298" s="88"/>
      <c r="K298" s="14" t="s">
        <v>24</v>
      </c>
      <c r="L298" s="20">
        <f>'[4]10нед'!S306</f>
        <v>0</v>
      </c>
      <c r="M298" s="23">
        <f>'[4]10нед'!T306</f>
        <v>0</v>
      </c>
      <c r="N298" s="21">
        <f>'[4]10нед'!W306</f>
        <v>0</v>
      </c>
      <c r="O298" s="22" t="str">
        <f>'[4]10нед'!X306</f>
        <v/>
      </c>
      <c r="P298" s="38"/>
    </row>
    <row r="299" spans="1:16" ht="18.399999999999999" hidden="1" customHeight="1" thickBot="1" x14ac:dyDescent="0.25">
      <c r="A299" s="83"/>
      <c r="B299" s="86"/>
      <c r="C299" s="15"/>
      <c r="D299" s="24">
        <f>'[3]9нед'!S59</f>
        <v>0</v>
      </c>
      <c r="E299" s="25">
        <f>'[3]9нед'!T59</f>
        <v>0</v>
      </c>
      <c r="F299" s="26">
        <f>'[3]9нед'!W59</f>
        <v>0</v>
      </c>
      <c r="G299" s="27" t="str">
        <f>'[3]9нед'!X59</f>
        <v/>
      </c>
      <c r="H299" s="39"/>
      <c r="I299" s="72"/>
      <c r="J299" s="89"/>
      <c r="K299" s="15"/>
      <c r="L299" s="24">
        <f>'[4]10нед'!S183</f>
        <v>0</v>
      </c>
      <c r="M299" s="25">
        <f>'[4]10нед'!T183</f>
        <v>0</v>
      </c>
      <c r="N299" s="26">
        <f>'[4]10нед'!W183</f>
        <v>0</v>
      </c>
      <c r="O299" s="27" t="str">
        <f>'[4]10нед'!X183</f>
        <v/>
      </c>
      <c r="P299" s="39"/>
    </row>
    <row r="300" spans="1:16" ht="39" customHeight="1" thickTop="1" x14ac:dyDescent="0.2">
      <c r="A300" s="47"/>
      <c r="B300" s="30"/>
      <c r="C300" s="31"/>
      <c r="D300" s="32"/>
      <c r="E300" s="32" t="s">
        <v>30</v>
      </c>
      <c r="F300" s="32"/>
      <c r="G300" s="33" t="s">
        <v>31</v>
      </c>
      <c r="H300" s="41"/>
      <c r="I300" s="47"/>
      <c r="J300" s="30"/>
      <c r="K300" s="31"/>
      <c r="L300" s="32"/>
      <c r="M300" s="32" t="s">
        <v>30</v>
      </c>
      <c r="N300" s="32"/>
      <c r="O300" s="33" t="s">
        <v>31</v>
      </c>
      <c r="P300" s="41"/>
    </row>
    <row r="301" spans="1:16" ht="15.75" x14ac:dyDescent="0.25">
      <c r="A301" s="45"/>
      <c r="B301" s="1"/>
      <c r="C301" s="2"/>
      <c r="D301" s="3"/>
      <c r="E301" s="3"/>
      <c r="F301" s="3"/>
      <c r="G301" s="3"/>
      <c r="H301" s="4" t="s">
        <v>0</v>
      </c>
      <c r="I301" s="45"/>
      <c r="J301" s="1"/>
      <c r="K301" s="2"/>
      <c r="L301" s="3"/>
      <c r="M301" s="3"/>
      <c r="N301" s="3"/>
      <c r="O301" s="3"/>
      <c r="P301" s="4" t="s">
        <v>0</v>
      </c>
    </row>
    <row r="302" spans="1:16" ht="15.75" x14ac:dyDescent="0.25">
      <c r="A302" s="45"/>
      <c r="B302" s="1"/>
      <c r="C302" s="2"/>
      <c r="D302" s="3"/>
      <c r="E302" s="3"/>
      <c r="F302" s="3"/>
      <c r="G302" s="3"/>
      <c r="H302" s="4" t="s">
        <v>1</v>
      </c>
      <c r="I302" s="45"/>
      <c r="J302" s="1"/>
      <c r="K302" s="2"/>
      <c r="L302" s="3"/>
      <c r="M302" s="3"/>
      <c r="N302" s="3"/>
      <c r="O302" s="3"/>
      <c r="P302" s="4" t="s">
        <v>1</v>
      </c>
    </row>
    <row r="303" spans="1:16" ht="15.75" x14ac:dyDescent="0.25">
      <c r="A303" s="45"/>
      <c r="B303" s="1"/>
      <c r="C303" s="2"/>
      <c r="D303" s="3"/>
      <c r="E303" s="3"/>
      <c r="F303" s="3"/>
      <c r="G303" s="3"/>
      <c r="H303" s="4" t="s">
        <v>2</v>
      </c>
      <c r="I303" s="45"/>
      <c r="J303" s="1"/>
      <c r="K303" s="2"/>
      <c r="L303" s="3"/>
      <c r="M303" s="3"/>
      <c r="N303" s="3"/>
      <c r="O303" s="3"/>
      <c r="P303" s="4" t="s">
        <v>2</v>
      </c>
    </row>
    <row r="304" spans="1:16" ht="15.75" x14ac:dyDescent="0.25">
      <c r="A304" s="45"/>
      <c r="B304" s="1"/>
      <c r="C304" s="2"/>
      <c r="D304" s="3"/>
      <c r="E304" s="3"/>
      <c r="F304" s="3"/>
      <c r="G304" s="3"/>
      <c r="H304" s="4" t="s">
        <v>3</v>
      </c>
      <c r="I304" s="45"/>
      <c r="J304" s="1"/>
      <c r="K304" s="2"/>
      <c r="L304" s="3"/>
      <c r="M304" s="3"/>
      <c r="N304" s="3"/>
      <c r="O304" s="3"/>
      <c r="P304" s="4" t="s">
        <v>3</v>
      </c>
    </row>
    <row r="305" spans="1:16" ht="15.75" x14ac:dyDescent="0.25">
      <c r="A305" s="45"/>
      <c r="B305" s="5"/>
      <c r="C305" s="2"/>
      <c r="D305" s="3"/>
      <c r="E305" s="3"/>
      <c r="F305" s="3"/>
      <c r="G305" s="3"/>
      <c r="H305" s="3"/>
      <c r="I305" s="45"/>
      <c r="J305" s="5"/>
      <c r="K305" s="2"/>
      <c r="L305" s="3"/>
      <c r="M305" s="3"/>
      <c r="N305" s="3"/>
      <c r="O305" s="3"/>
      <c r="P305" s="3"/>
    </row>
    <row r="306" spans="1:16" ht="15.75" x14ac:dyDescent="0.25">
      <c r="A306" s="45"/>
      <c r="B306" s="90" t="s">
        <v>4</v>
      </c>
      <c r="C306" s="90"/>
      <c r="D306" s="90"/>
      <c r="E306" s="90"/>
      <c r="F306" s="90"/>
      <c r="G306" s="90"/>
      <c r="H306" s="90"/>
      <c r="I306" s="45"/>
      <c r="J306" s="90" t="s">
        <v>4</v>
      </c>
      <c r="K306" s="90"/>
      <c r="L306" s="90"/>
      <c r="M306" s="90"/>
      <c r="N306" s="90"/>
      <c r="O306" s="90"/>
      <c r="P306" s="90"/>
    </row>
    <row r="307" spans="1:16" ht="15.75" x14ac:dyDescent="0.2">
      <c r="A307" s="46"/>
      <c r="B307" s="62" t="str">
        <f>'[1]1нед'!$A$6</f>
        <v>Направление подготовки:</v>
      </c>
      <c r="C307" s="6"/>
      <c r="D307" s="7"/>
      <c r="E307" s="8" t="str">
        <f>E7</f>
        <v>09.03.04Программная инженерия (Программно-информационные системы)</v>
      </c>
      <c r="F307" s="7"/>
      <c r="G307" s="7"/>
      <c r="H307" s="36" t="str">
        <f>H7</f>
        <v>12-26ПИ1з</v>
      </c>
      <c r="I307" s="46"/>
      <c r="J307" s="62" t="str">
        <f>'[1]1нед'!$A$6</f>
        <v>Направление подготовки:</v>
      </c>
      <c r="K307" s="6"/>
      <c r="L307" s="7"/>
      <c r="M307" s="8" t="str">
        <f>E7</f>
        <v>09.03.04Программная инженерия (Программно-информационные системы)</v>
      </c>
      <c r="N307" s="7"/>
      <c r="O307" s="7"/>
      <c r="P307" s="36" t="str">
        <f>H7</f>
        <v>12-26ПИ1з</v>
      </c>
    </row>
    <row r="308" spans="1:16" ht="15.75" x14ac:dyDescent="0.25">
      <c r="A308" s="45"/>
      <c r="B308" s="81" t="s">
        <v>5</v>
      </c>
      <c r="C308" s="81"/>
      <c r="D308" s="81"/>
      <c r="E308" s="81" t="str">
        <f>E8</f>
        <v>очно-заочная</v>
      </c>
      <c r="F308" s="81"/>
      <c r="G308" s="81"/>
      <c r="H308" s="81"/>
      <c r="I308" s="45"/>
      <c r="J308" s="81" t="s">
        <v>5</v>
      </c>
      <c r="K308" s="81"/>
      <c r="L308" s="81"/>
      <c r="M308" s="81" t="str">
        <f>E8</f>
        <v>очно-заочная</v>
      </c>
      <c r="N308" s="81"/>
      <c r="O308" s="81"/>
      <c r="P308" s="81"/>
    </row>
    <row r="309" spans="1:16" ht="15.75" x14ac:dyDescent="0.25">
      <c r="A309" s="45"/>
      <c r="B309" s="81" t="s">
        <v>7</v>
      </c>
      <c r="C309" s="81"/>
      <c r="D309" s="81"/>
      <c r="E309" s="62">
        <f>E9</f>
        <v>3</v>
      </c>
      <c r="F309" s="62"/>
      <c r="G309" s="62"/>
      <c r="H309" s="35"/>
      <c r="I309" s="45"/>
      <c r="J309" s="81" t="s">
        <v>7</v>
      </c>
      <c r="K309" s="81"/>
      <c r="L309" s="81"/>
      <c r="M309" s="62">
        <f>E9</f>
        <v>3</v>
      </c>
      <c r="N309" s="62"/>
      <c r="O309" s="62"/>
      <c r="P309" s="35"/>
    </row>
    <row r="310" spans="1:16" ht="16.5" thickBot="1" x14ac:dyDescent="0.3">
      <c r="A310" s="45"/>
      <c r="B310" s="93" t="s">
        <v>8</v>
      </c>
      <c r="C310" s="93"/>
      <c r="D310" s="93"/>
      <c r="E310" s="63">
        <f>M250+1</f>
        <v>11</v>
      </c>
      <c r="F310" s="63"/>
      <c r="G310" s="63"/>
      <c r="H310" s="37"/>
      <c r="I310" s="45"/>
      <c r="J310" s="93" t="s">
        <v>8</v>
      </c>
      <c r="K310" s="93"/>
      <c r="L310" s="93"/>
      <c r="M310" s="63">
        <f>E310+1</f>
        <v>12</v>
      </c>
      <c r="N310" s="63"/>
      <c r="O310" s="63"/>
      <c r="P310" s="37"/>
    </row>
    <row r="311" spans="1:16" ht="46.5" customHeight="1" thickTop="1" thickBot="1" x14ac:dyDescent="0.25">
      <c r="A311" s="79" t="s">
        <v>9</v>
      </c>
      <c r="B311" s="80"/>
      <c r="C311" s="10" t="s">
        <v>10</v>
      </c>
      <c r="D311" s="11" t="s">
        <v>11</v>
      </c>
      <c r="E311" s="12" t="s">
        <v>12</v>
      </c>
      <c r="F311" s="91" t="s">
        <v>13</v>
      </c>
      <c r="G311" s="92"/>
      <c r="H311" s="13" t="s">
        <v>14</v>
      </c>
      <c r="I311" s="79" t="s">
        <v>9</v>
      </c>
      <c r="J311" s="80"/>
      <c r="K311" s="10" t="s">
        <v>10</v>
      </c>
      <c r="L311" s="11" t="s">
        <v>11</v>
      </c>
      <c r="M311" s="12" t="s">
        <v>12</v>
      </c>
      <c r="N311" s="91" t="s">
        <v>13</v>
      </c>
      <c r="O311" s="92"/>
      <c r="P311" s="13" t="s">
        <v>14</v>
      </c>
    </row>
    <row r="312" spans="1:16" ht="32.25" customHeight="1" thickTop="1" x14ac:dyDescent="0.2">
      <c r="A312" s="70">
        <v>46335</v>
      </c>
      <c r="B312" s="84" t="s">
        <v>17</v>
      </c>
      <c r="C312" s="14" t="s">
        <v>18</v>
      </c>
      <c r="D312" s="16">
        <f>'[4]11нед'!S260</f>
        <v>0</v>
      </c>
      <c r="E312" s="19">
        <f>'[4]11нед'!T260</f>
        <v>0</v>
      </c>
      <c r="F312" s="17">
        <f>'[4]11нед'!W260</f>
        <v>0</v>
      </c>
      <c r="G312" s="18" t="str">
        <f>'[4]11нед'!X260</f>
        <v/>
      </c>
      <c r="H312" s="40"/>
      <c r="I312" s="70">
        <v>46342</v>
      </c>
      <c r="J312" s="87" t="s">
        <v>17</v>
      </c>
      <c r="K312" s="14" t="s">
        <v>18</v>
      </c>
      <c r="L312" s="16">
        <f>'[4]12нед'!S260</f>
        <v>0</v>
      </c>
      <c r="M312" s="19">
        <f>'[4]12нед'!T260</f>
        <v>0</v>
      </c>
      <c r="N312" s="17">
        <f>'[4]12нед'!W260</f>
        <v>0</v>
      </c>
      <c r="O312" s="18" t="str">
        <f>'[4]12нед'!X260</f>
        <v/>
      </c>
      <c r="P312" s="40"/>
    </row>
    <row r="313" spans="1:16" ht="31.5" x14ac:dyDescent="0.2">
      <c r="A313" s="82"/>
      <c r="B313" s="85"/>
      <c r="C313" s="14" t="s">
        <v>19</v>
      </c>
      <c r="D313" s="20">
        <f>'[4]11нед'!S261</f>
        <v>0</v>
      </c>
      <c r="E313" s="23">
        <f>'[4]11нед'!T261</f>
        <v>0</v>
      </c>
      <c r="F313" s="21">
        <f>'[4]11нед'!W261</f>
        <v>0</v>
      </c>
      <c r="G313" s="22" t="str">
        <f>'[4]11нед'!X261</f>
        <v/>
      </c>
      <c r="H313" s="38"/>
      <c r="I313" s="71"/>
      <c r="J313" s="88"/>
      <c r="K313" s="14" t="s">
        <v>19</v>
      </c>
      <c r="L313" s="20">
        <f>'[4]12нед'!S261</f>
        <v>0</v>
      </c>
      <c r="M313" s="23">
        <f>'[4]12нед'!T261</f>
        <v>0</v>
      </c>
      <c r="N313" s="21">
        <f>'[4]12нед'!W261</f>
        <v>0</v>
      </c>
      <c r="O313" s="22" t="str">
        <f>'[4]12нед'!X261</f>
        <v/>
      </c>
      <c r="P313" s="38"/>
    </row>
    <row r="314" spans="1:16" ht="31.5" x14ac:dyDescent="0.2">
      <c r="A314" s="82"/>
      <c r="B314" s="85"/>
      <c r="C314" s="14" t="s">
        <v>20</v>
      </c>
      <c r="D314" s="20">
        <f>'[4]11нед'!S262</f>
        <v>0</v>
      </c>
      <c r="E314" s="23">
        <f>'[4]11нед'!T262</f>
        <v>0</v>
      </c>
      <c r="F314" s="21">
        <f>'[4]11нед'!W262</f>
        <v>0</v>
      </c>
      <c r="G314" s="22" t="str">
        <f>'[4]11нед'!X262</f>
        <v/>
      </c>
      <c r="H314" s="38"/>
      <c r="I314" s="71"/>
      <c r="J314" s="88"/>
      <c r="K314" s="14" t="s">
        <v>20</v>
      </c>
      <c r="L314" s="20">
        <f>'[4]12нед'!S262</f>
        <v>0</v>
      </c>
      <c r="M314" s="23">
        <f>'[4]12нед'!T262</f>
        <v>0</v>
      </c>
      <c r="N314" s="21">
        <f>'[4]12нед'!W262</f>
        <v>0</v>
      </c>
      <c r="O314" s="22" t="str">
        <f>'[4]12нед'!X262</f>
        <v/>
      </c>
      <c r="P314" s="38"/>
    </row>
    <row r="315" spans="1:16" ht="31.5" x14ac:dyDescent="0.2">
      <c r="A315" s="82"/>
      <c r="B315" s="85"/>
      <c r="C315" s="14" t="s">
        <v>21</v>
      </c>
      <c r="D315" s="20">
        <f>'[4]11нед'!S263</f>
        <v>0</v>
      </c>
      <c r="E315" s="23">
        <f>'[4]11нед'!T263</f>
        <v>0</v>
      </c>
      <c r="F315" s="21">
        <f>'[4]11нед'!W263</f>
        <v>0</v>
      </c>
      <c r="G315" s="22" t="str">
        <f>'[4]11нед'!X263</f>
        <v/>
      </c>
      <c r="H315" s="38"/>
      <c r="I315" s="71"/>
      <c r="J315" s="88"/>
      <c r="K315" s="14" t="s">
        <v>21</v>
      </c>
      <c r="L315" s="20">
        <f>'[4]12нед'!S263</f>
        <v>0</v>
      </c>
      <c r="M315" s="23">
        <f>'[4]12нед'!T263</f>
        <v>0</v>
      </c>
      <c r="N315" s="21">
        <f>'[4]12нед'!W263</f>
        <v>0</v>
      </c>
      <c r="O315" s="22" t="str">
        <f>'[4]12нед'!X263</f>
        <v/>
      </c>
      <c r="P315" s="38"/>
    </row>
    <row r="316" spans="1:16" ht="31.5" x14ac:dyDescent="0.2">
      <c r="A316" s="82"/>
      <c r="B316" s="85"/>
      <c r="C316" s="14" t="s">
        <v>22</v>
      </c>
      <c r="D316" s="20">
        <f>'[4]11нед'!S264</f>
        <v>0</v>
      </c>
      <c r="E316" s="23">
        <f>'[4]11нед'!T264</f>
        <v>0</v>
      </c>
      <c r="F316" s="21">
        <f>'[4]11нед'!W264</f>
        <v>0</v>
      </c>
      <c r="G316" s="22" t="str">
        <f>'[4]11нед'!X264</f>
        <v/>
      </c>
      <c r="H316" s="38"/>
      <c r="I316" s="71"/>
      <c r="J316" s="88"/>
      <c r="K316" s="14" t="s">
        <v>22</v>
      </c>
      <c r="L316" s="20">
        <f>'[4]12нед'!S264</f>
        <v>0</v>
      </c>
      <c r="M316" s="23">
        <f>'[4]12нед'!T264</f>
        <v>0</v>
      </c>
      <c r="N316" s="21">
        <f>'[4]12нед'!W264</f>
        <v>0</v>
      </c>
      <c r="O316" s="22" t="str">
        <f>'[4]12нед'!X264</f>
        <v/>
      </c>
      <c r="P316" s="38"/>
    </row>
    <row r="317" spans="1:16" ht="31.5" x14ac:dyDescent="0.2">
      <c r="A317" s="82"/>
      <c r="B317" s="85"/>
      <c r="C317" s="14" t="s">
        <v>23</v>
      </c>
      <c r="D317" s="20">
        <f>'[4]11нед'!S265</f>
        <v>0</v>
      </c>
      <c r="E317" s="23">
        <f>'[4]11нед'!T265</f>
        <v>0</v>
      </c>
      <c r="F317" s="21">
        <f>'[4]11нед'!W265</f>
        <v>0</v>
      </c>
      <c r="G317" s="22" t="str">
        <f>'[4]11нед'!X265</f>
        <v/>
      </c>
      <c r="H317" s="38"/>
      <c r="I317" s="71"/>
      <c r="J317" s="88"/>
      <c r="K317" s="14" t="s">
        <v>23</v>
      </c>
      <c r="L317" s="20">
        <f>'[4]12нед'!S265</f>
        <v>0</v>
      </c>
      <c r="M317" s="23">
        <f>'[4]12нед'!T265</f>
        <v>0</v>
      </c>
      <c r="N317" s="21">
        <f>'[4]12нед'!W265</f>
        <v>0</v>
      </c>
      <c r="O317" s="22" t="str">
        <f>'[4]12нед'!X265</f>
        <v/>
      </c>
      <c r="P317" s="38"/>
    </row>
    <row r="318" spans="1:16" ht="32.25" thickBot="1" x14ac:dyDescent="0.25">
      <c r="A318" s="82"/>
      <c r="B318" s="85"/>
      <c r="C318" s="14" t="s">
        <v>24</v>
      </c>
      <c r="D318" s="20">
        <f>'[4]11нед'!S266</f>
        <v>0</v>
      </c>
      <c r="E318" s="23">
        <f>'[4]11нед'!T266</f>
        <v>0</v>
      </c>
      <c r="F318" s="21">
        <f>'[4]11нед'!W266</f>
        <v>0</v>
      </c>
      <c r="G318" s="22" t="str">
        <f>'[4]11нед'!X266</f>
        <v/>
      </c>
      <c r="H318" s="38"/>
      <c r="I318" s="71"/>
      <c r="J318" s="88"/>
      <c r="K318" s="14" t="s">
        <v>24</v>
      </c>
      <c r="L318" s="20">
        <f>'[4]12нед'!S266</f>
        <v>0</v>
      </c>
      <c r="M318" s="23">
        <f>'[4]12нед'!T266</f>
        <v>0</v>
      </c>
      <c r="N318" s="21">
        <f>'[4]12нед'!W266</f>
        <v>0</v>
      </c>
      <c r="O318" s="22" t="str">
        <f>'[4]12нед'!X266</f>
        <v/>
      </c>
      <c r="P318" s="38"/>
    </row>
    <row r="319" spans="1:16" ht="18.600000000000001" hidden="1" customHeight="1" thickBot="1" x14ac:dyDescent="0.25">
      <c r="A319" s="83"/>
      <c r="B319" s="86"/>
      <c r="C319" s="15"/>
      <c r="D319" s="24">
        <f>'[4]11нед'!S267</f>
        <v>0</v>
      </c>
      <c r="E319" s="25">
        <f>'[4]11нед'!T267</f>
        <v>0</v>
      </c>
      <c r="F319" s="26">
        <f>'[4]11нед'!W267</f>
        <v>0</v>
      </c>
      <c r="G319" s="27" t="str">
        <f>'[4]11нед'!X267</f>
        <v/>
      </c>
      <c r="H319" s="39"/>
      <c r="I319" s="72"/>
      <c r="J319" s="89"/>
      <c r="K319" s="15"/>
      <c r="L319" s="24">
        <f>'[4]12нед'!S267</f>
        <v>0</v>
      </c>
      <c r="M319" s="25">
        <f>'[4]12нед'!T267</f>
        <v>0</v>
      </c>
      <c r="N319" s="26">
        <f>'[4]12нед'!W267</f>
        <v>0</v>
      </c>
      <c r="O319" s="27" t="str">
        <f>'[4]12нед'!X267</f>
        <v/>
      </c>
      <c r="P319" s="39"/>
    </row>
    <row r="320" spans="1:16" ht="32.25" customHeight="1" thickTop="1" x14ac:dyDescent="0.2">
      <c r="A320" s="70">
        <v>46336</v>
      </c>
      <c r="B320" s="84" t="s">
        <v>25</v>
      </c>
      <c r="C320" s="29" t="s">
        <v>18</v>
      </c>
      <c r="D320" s="16">
        <f>'[4]11нед'!S268</f>
        <v>0</v>
      </c>
      <c r="E320" s="19">
        <f>'[4]11нед'!T268</f>
        <v>0</v>
      </c>
      <c r="F320" s="17">
        <f>'[4]11нед'!W268</f>
        <v>0</v>
      </c>
      <c r="G320" s="18" t="str">
        <f>'[4]11нед'!X268</f>
        <v/>
      </c>
      <c r="H320" s="40"/>
      <c r="I320" s="70">
        <v>46343</v>
      </c>
      <c r="J320" s="87" t="s">
        <v>25</v>
      </c>
      <c r="K320" s="29" t="s">
        <v>18</v>
      </c>
      <c r="L320" s="16">
        <f>'[4]12нед'!S268</f>
        <v>0</v>
      </c>
      <c r="M320" s="19">
        <f>'[4]12нед'!T268</f>
        <v>0</v>
      </c>
      <c r="N320" s="17">
        <f>'[4]12нед'!W268</f>
        <v>0</v>
      </c>
      <c r="O320" s="18" t="str">
        <f>'[4]12нед'!X268</f>
        <v/>
      </c>
      <c r="P320" s="40"/>
    </row>
    <row r="321" spans="1:16" ht="31.5" x14ac:dyDescent="0.2">
      <c r="A321" s="82"/>
      <c r="B321" s="85"/>
      <c r="C321" s="14" t="s">
        <v>19</v>
      </c>
      <c r="D321" s="20">
        <f>'[4]11нед'!S269</f>
        <v>0</v>
      </c>
      <c r="E321" s="23">
        <f>'[4]11нед'!T269</f>
        <v>0</v>
      </c>
      <c r="F321" s="21">
        <f>'[4]11нед'!W269</f>
        <v>0</v>
      </c>
      <c r="G321" s="22" t="str">
        <f>'[4]11нед'!X269</f>
        <v/>
      </c>
      <c r="H321" s="38"/>
      <c r="I321" s="71"/>
      <c r="J321" s="88"/>
      <c r="K321" s="14" t="s">
        <v>19</v>
      </c>
      <c r="L321" s="20">
        <f>'[4]12нед'!S269</f>
        <v>0</v>
      </c>
      <c r="M321" s="23">
        <f>'[4]12нед'!T269</f>
        <v>0</v>
      </c>
      <c r="N321" s="21">
        <f>'[4]12нед'!W269</f>
        <v>0</v>
      </c>
      <c r="O321" s="22" t="str">
        <f>'[4]12нед'!X269</f>
        <v/>
      </c>
      <c r="P321" s="38"/>
    </row>
    <row r="322" spans="1:16" ht="31.5" x14ac:dyDescent="0.2">
      <c r="A322" s="82"/>
      <c r="B322" s="85"/>
      <c r="C322" s="14" t="s">
        <v>20</v>
      </c>
      <c r="D322" s="20">
        <f>'[4]11нед'!S270</f>
        <v>0</v>
      </c>
      <c r="E322" s="23">
        <f>'[4]11нед'!T270</f>
        <v>0</v>
      </c>
      <c r="F322" s="21">
        <f>'[4]11нед'!W270</f>
        <v>0</v>
      </c>
      <c r="G322" s="22" t="str">
        <f>'[4]11нед'!X270</f>
        <v/>
      </c>
      <c r="H322" s="38"/>
      <c r="I322" s="71"/>
      <c r="J322" s="88"/>
      <c r="K322" s="14" t="s">
        <v>20</v>
      </c>
      <c r="L322" s="20">
        <f>'[4]12нед'!S270</f>
        <v>0</v>
      </c>
      <c r="M322" s="23">
        <f>'[4]12нед'!T270</f>
        <v>0</v>
      </c>
      <c r="N322" s="21">
        <f>'[4]12нед'!W270</f>
        <v>0</v>
      </c>
      <c r="O322" s="22" t="str">
        <f>'[4]12нед'!X270</f>
        <v/>
      </c>
      <c r="P322" s="38"/>
    </row>
    <row r="323" spans="1:16" ht="31.5" x14ac:dyDescent="0.2">
      <c r="A323" s="82"/>
      <c r="B323" s="85"/>
      <c r="C323" s="14" t="s">
        <v>21</v>
      </c>
      <c r="D323" s="20">
        <f>'[4]11нед'!S271</f>
        <v>0</v>
      </c>
      <c r="E323" s="23">
        <f>'[4]11нед'!T271</f>
        <v>0</v>
      </c>
      <c r="F323" s="21">
        <f>'[4]11нед'!W271</f>
        <v>0</v>
      </c>
      <c r="G323" s="22" t="str">
        <f>'[4]11нед'!X271</f>
        <v/>
      </c>
      <c r="H323" s="38"/>
      <c r="I323" s="71"/>
      <c r="J323" s="88"/>
      <c r="K323" s="14" t="s">
        <v>21</v>
      </c>
      <c r="L323" s="20">
        <f>'[4]12нед'!S271</f>
        <v>0</v>
      </c>
      <c r="M323" s="23">
        <f>'[4]12нед'!T271</f>
        <v>0</v>
      </c>
      <c r="N323" s="21">
        <f>'[4]12нед'!W271</f>
        <v>0</v>
      </c>
      <c r="O323" s="22" t="str">
        <f>'[4]12нед'!X271</f>
        <v/>
      </c>
      <c r="P323" s="38"/>
    </row>
    <row r="324" spans="1:16" ht="31.5" x14ac:dyDescent="0.2">
      <c r="A324" s="82"/>
      <c r="B324" s="85"/>
      <c r="C324" s="14" t="s">
        <v>22</v>
      </c>
      <c r="D324" s="20">
        <f>'[4]11нед'!S272</f>
        <v>0</v>
      </c>
      <c r="E324" s="23">
        <f>'[4]11нед'!T272</f>
        <v>0</v>
      </c>
      <c r="F324" s="21">
        <f>'[4]11нед'!W272</f>
        <v>0</v>
      </c>
      <c r="G324" s="22" t="str">
        <f>'[4]11нед'!X272</f>
        <v/>
      </c>
      <c r="H324" s="38"/>
      <c r="I324" s="71"/>
      <c r="J324" s="88"/>
      <c r="K324" s="14" t="s">
        <v>22</v>
      </c>
      <c r="L324" s="20">
        <f>'[4]12нед'!S272</f>
        <v>0</v>
      </c>
      <c r="M324" s="23">
        <f>'[4]12нед'!T272</f>
        <v>0</v>
      </c>
      <c r="N324" s="21">
        <f>'[4]12нед'!W272</f>
        <v>0</v>
      </c>
      <c r="O324" s="22" t="str">
        <f>'[4]12нед'!X272</f>
        <v/>
      </c>
      <c r="P324" s="38"/>
    </row>
    <row r="325" spans="1:16" ht="31.5" x14ac:dyDescent="0.2">
      <c r="A325" s="82"/>
      <c r="B325" s="85"/>
      <c r="C325" s="14" t="s">
        <v>23</v>
      </c>
      <c r="D325" s="20">
        <f>'[4]11нед'!S273</f>
        <v>0</v>
      </c>
      <c r="E325" s="23">
        <f>'[4]11нед'!T273</f>
        <v>0</v>
      </c>
      <c r="F325" s="21">
        <f>'[4]11нед'!W273</f>
        <v>0</v>
      </c>
      <c r="G325" s="22" t="str">
        <f>'[4]11нед'!X273</f>
        <v/>
      </c>
      <c r="H325" s="34"/>
      <c r="I325" s="71"/>
      <c r="J325" s="88"/>
      <c r="K325" s="14" t="s">
        <v>23</v>
      </c>
      <c r="L325" s="20">
        <f>'[4]12нед'!S273</f>
        <v>0</v>
      </c>
      <c r="M325" s="23">
        <f>'[4]12нед'!T273</f>
        <v>0</v>
      </c>
      <c r="N325" s="21">
        <f>'[4]12нед'!W273</f>
        <v>0</v>
      </c>
      <c r="O325" s="22" t="str">
        <f>'[4]12нед'!X273</f>
        <v/>
      </c>
      <c r="P325" s="34"/>
    </row>
    <row r="326" spans="1:16" ht="32.25" thickBot="1" x14ac:dyDescent="0.25">
      <c r="A326" s="82"/>
      <c r="B326" s="85"/>
      <c r="C326" s="14" t="s">
        <v>24</v>
      </c>
      <c r="D326" s="20">
        <f>'[4]11нед'!S274</f>
        <v>0</v>
      </c>
      <c r="E326" s="23">
        <f>'[4]11нед'!T274</f>
        <v>0</v>
      </c>
      <c r="F326" s="21">
        <f>'[4]11нед'!W274</f>
        <v>0</v>
      </c>
      <c r="G326" s="22" t="str">
        <f>'[4]11нед'!X274</f>
        <v/>
      </c>
      <c r="H326" s="34"/>
      <c r="I326" s="71"/>
      <c r="J326" s="88"/>
      <c r="K326" s="14" t="s">
        <v>24</v>
      </c>
      <c r="L326" s="20">
        <f>'[4]12нед'!S274</f>
        <v>0</v>
      </c>
      <c r="M326" s="23">
        <f>'[4]12нед'!T274</f>
        <v>0</v>
      </c>
      <c r="N326" s="21">
        <f>'[4]12нед'!W274</f>
        <v>0</v>
      </c>
      <c r="O326" s="22" t="str">
        <f>'[4]12нед'!X274</f>
        <v/>
      </c>
      <c r="P326" s="34"/>
    </row>
    <row r="327" spans="1:16" ht="18.600000000000001" hidden="1" customHeight="1" thickBot="1" x14ac:dyDescent="0.25">
      <c r="A327" s="83"/>
      <c r="B327" s="86"/>
      <c r="C327" s="15"/>
      <c r="D327" s="24">
        <f>'[4]11нед'!S275</f>
        <v>0</v>
      </c>
      <c r="E327" s="25">
        <f>'[4]11нед'!T275</f>
        <v>0</v>
      </c>
      <c r="F327" s="26">
        <f>'[4]11нед'!W275</f>
        <v>0</v>
      </c>
      <c r="G327" s="27" t="str">
        <f>'[4]11нед'!X275</f>
        <v/>
      </c>
      <c r="H327" s="39"/>
      <c r="I327" s="72"/>
      <c r="J327" s="89"/>
      <c r="K327" s="15"/>
      <c r="L327" s="24">
        <f>'[4]12нед'!S275</f>
        <v>0</v>
      </c>
      <c r="M327" s="25">
        <f>'[4]12нед'!T275</f>
        <v>0</v>
      </c>
      <c r="N327" s="26">
        <f>'[4]12нед'!W275</f>
        <v>0</v>
      </c>
      <c r="O327" s="27" t="str">
        <f>'[4]12нед'!X275</f>
        <v/>
      </c>
      <c r="P327" s="39"/>
    </row>
    <row r="328" spans="1:16" ht="48" customHeight="1" thickTop="1" x14ac:dyDescent="0.2">
      <c r="A328" s="70">
        <v>46337</v>
      </c>
      <c r="B328" s="67" t="s">
        <v>26</v>
      </c>
      <c r="C328" s="29" t="s">
        <v>18</v>
      </c>
      <c r="D328" s="16">
        <f>'[4]11нед'!S276</f>
        <v>0</v>
      </c>
      <c r="E328" s="19">
        <f>'[4]11нед'!T276</f>
        <v>0</v>
      </c>
      <c r="F328" s="17">
        <f>'[4]11нед'!W276</f>
        <v>0</v>
      </c>
      <c r="G328" s="18" t="str">
        <f>'[4]11нед'!X276</f>
        <v/>
      </c>
      <c r="H328" s="40"/>
      <c r="I328" s="70">
        <v>46344</v>
      </c>
      <c r="J328" s="73" t="s">
        <v>26</v>
      </c>
      <c r="K328" s="29" t="s">
        <v>18</v>
      </c>
      <c r="L328" s="16">
        <f>'[4]12нед'!S276</f>
        <v>0</v>
      </c>
      <c r="M328" s="19">
        <f>'[4]12нед'!T276</f>
        <v>0</v>
      </c>
      <c r="N328" s="17">
        <f>'[4]12нед'!W276</f>
        <v>0</v>
      </c>
      <c r="O328" s="18" t="str">
        <f>'[4]12нед'!X276</f>
        <v/>
      </c>
      <c r="P328" s="40"/>
    </row>
    <row r="329" spans="1:16" ht="31.5" x14ac:dyDescent="0.2">
      <c r="A329" s="82"/>
      <c r="B329" s="68"/>
      <c r="C329" s="14" t="s">
        <v>19</v>
      </c>
      <c r="D329" s="20">
        <f>'[4]11нед'!S277</f>
        <v>0</v>
      </c>
      <c r="E329" s="23">
        <f>'[4]11нед'!T277</f>
        <v>0</v>
      </c>
      <c r="F329" s="21">
        <f>'[4]11нед'!W277</f>
        <v>0</v>
      </c>
      <c r="G329" s="22" t="str">
        <f>'[4]11нед'!X277</f>
        <v/>
      </c>
      <c r="H329" s="38"/>
      <c r="I329" s="71"/>
      <c r="J329" s="74"/>
      <c r="K329" s="14" t="s">
        <v>19</v>
      </c>
      <c r="L329" s="20">
        <f>'[4]12нед'!S277</f>
        <v>0</v>
      </c>
      <c r="M329" s="23">
        <f>'[4]12нед'!T277</f>
        <v>0</v>
      </c>
      <c r="N329" s="21">
        <f>'[4]12нед'!W277</f>
        <v>0</v>
      </c>
      <c r="O329" s="22" t="str">
        <f>'[4]12нед'!X277</f>
        <v/>
      </c>
      <c r="P329" s="38"/>
    </row>
    <row r="330" spans="1:16" ht="31.5" x14ac:dyDescent="0.2">
      <c r="A330" s="82"/>
      <c r="B330" s="68"/>
      <c r="C330" s="14" t="s">
        <v>20</v>
      </c>
      <c r="D330" s="20">
        <f>'[4]11нед'!S278</f>
        <v>0</v>
      </c>
      <c r="E330" s="23">
        <f>'[4]11нед'!T278</f>
        <v>0</v>
      </c>
      <c r="F330" s="21">
        <f>'[4]11нед'!W278</f>
        <v>0</v>
      </c>
      <c r="G330" s="22" t="str">
        <f>'[4]11нед'!X278</f>
        <v/>
      </c>
      <c r="H330" s="38"/>
      <c r="I330" s="71"/>
      <c r="J330" s="74"/>
      <c r="K330" s="14" t="s">
        <v>20</v>
      </c>
      <c r="L330" s="20">
        <f>'[4]12нед'!S278</f>
        <v>0</v>
      </c>
      <c r="M330" s="23">
        <f>'[4]12нед'!T278</f>
        <v>0</v>
      </c>
      <c r="N330" s="21">
        <f>'[4]12нед'!W278</f>
        <v>0</v>
      </c>
      <c r="O330" s="22" t="str">
        <f>'[4]12нед'!X278</f>
        <v/>
      </c>
      <c r="P330" s="38"/>
    </row>
    <row r="331" spans="1:16" ht="31.5" x14ac:dyDescent="0.2">
      <c r="A331" s="82"/>
      <c r="B331" s="68"/>
      <c r="C331" s="14" t="s">
        <v>21</v>
      </c>
      <c r="D331" s="20">
        <f>'[4]11нед'!S279</f>
        <v>0</v>
      </c>
      <c r="E331" s="23">
        <f>'[4]11нед'!T279</f>
        <v>0</v>
      </c>
      <c r="F331" s="21">
        <f>'[4]11нед'!W279</f>
        <v>0</v>
      </c>
      <c r="G331" s="22" t="str">
        <f>'[4]11нед'!X279</f>
        <v/>
      </c>
      <c r="H331" s="38"/>
      <c r="I331" s="71"/>
      <c r="J331" s="74"/>
      <c r="K331" s="14" t="s">
        <v>21</v>
      </c>
      <c r="L331" s="20">
        <f>'[4]12нед'!S279</f>
        <v>0</v>
      </c>
      <c r="M331" s="23">
        <f>'[4]12нед'!T279</f>
        <v>0</v>
      </c>
      <c r="N331" s="21">
        <f>'[4]12нед'!W279</f>
        <v>0</v>
      </c>
      <c r="O331" s="22" t="str">
        <f>'[4]12нед'!X279</f>
        <v/>
      </c>
      <c r="P331" s="38"/>
    </row>
    <row r="332" spans="1:16" ht="31.5" x14ac:dyDescent="0.2">
      <c r="A332" s="82"/>
      <c r="B332" s="68"/>
      <c r="C332" s="14" t="s">
        <v>22</v>
      </c>
      <c r="D332" s="20">
        <f>'[4]11нед'!S280</f>
        <v>0</v>
      </c>
      <c r="E332" s="23">
        <f>'[4]11нед'!T280</f>
        <v>0</v>
      </c>
      <c r="F332" s="21">
        <f>'[4]11нед'!W280</f>
        <v>0</v>
      </c>
      <c r="G332" s="22" t="str">
        <f>'[4]11нед'!X280</f>
        <v/>
      </c>
      <c r="H332" s="38"/>
      <c r="I332" s="71"/>
      <c r="J332" s="74"/>
      <c r="K332" s="14" t="s">
        <v>22</v>
      </c>
      <c r="L332" s="20">
        <f>'[4]12нед'!S280</f>
        <v>0</v>
      </c>
      <c r="M332" s="23">
        <f>'[4]12нед'!T280</f>
        <v>0</v>
      </c>
      <c r="N332" s="21">
        <f>'[4]12нед'!W280</f>
        <v>0</v>
      </c>
      <c r="O332" s="22" t="str">
        <f>'[4]12нед'!X280</f>
        <v/>
      </c>
      <c r="P332" s="38"/>
    </row>
    <row r="333" spans="1:16" ht="31.5" x14ac:dyDescent="0.2">
      <c r="A333" s="82"/>
      <c r="B333" s="68"/>
      <c r="C333" s="14" t="s">
        <v>23</v>
      </c>
      <c r="D333" s="20">
        <f>'[4]11нед'!S281</f>
        <v>0</v>
      </c>
      <c r="E333" s="23">
        <f>'[4]11нед'!T281</f>
        <v>0</v>
      </c>
      <c r="F333" s="21">
        <f>'[4]11нед'!W281</f>
        <v>0</v>
      </c>
      <c r="G333" s="22" t="str">
        <f>'[4]11нед'!X281</f>
        <v/>
      </c>
      <c r="H333" s="34"/>
      <c r="I333" s="71"/>
      <c r="J333" s="74"/>
      <c r="K333" s="14" t="s">
        <v>23</v>
      </c>
      <c r="L333" s="20">
        <f>'[4]12нед'!S281</f>
        <v>0</v>
      </c>
      <c r="M333" s="23">
        <f>'[4]12нед'!T281</f>
        <v>0</v>
      </c>
      <c r="N333" s="21">
        <f>'[4]12нед'!W281</f>
        <v>0</v>
      </c>
      <c r="O333" s="22" t="str">
        <f>'[4]12нед'!X281</f>
        <v/>
      </c>
      <c r="P333" s="34"/>
    </row>
    <row r="334" spans="1:16" ht="32.25" thickBot="1" x14ac:dyDescent="0.25">
      <c r="A334" s="82"/>
      <c r="B334" s="68"/>
      <c r="C334" s="14" t="s">
        <v>24</v>
      </c>
      <c r="D334" s="20">
        <f>'[4]11нед'!S282</f>
        <v>0</v>
      </c>
      <c r="E334" s="23">
        <f>'[4]11нед'!T282</f>
        <v>0</v>
      </c>
      <c r="F334" s="21">
        <f>'[4]11нед'!W282</f>
        <v>0</v>
      </c>
      <c r="G334" s="22" t="str">
        <f>'[4]11нед'!X282</f>
        <v/>
      </c>
      <c r="H334" s="34"/>
      <c r="I334" s="71"/>
      <c r="J334" s="74"/>
      <c r="K334" s="14" t="s">
        <v>24</v>
      </c>
      <c r="L334" s="20">
        <f>'[4]12нед'!S282</f>
        <v>0</v>
      </c>
      <c r="M334" s="23">
        <f>'[4]12нед'!T282</f>
        <v>0</v>
      </c>
      <c r="N334" s="21">
        <f>'[4]12нед'!W282</f>
        <v>0</v>
      </c>
      <c r="O334" s="22" t="str">
        <f>'[4]12нед'!X282</f>
        <v/>
      </c>
      <c r="P334" s="34"/>
    </row>
    <row r="335" spans="1:16" ht="18.600000000000001" hidden="1" customHeight="1" thickBot="1" x14ac:dyDescent="0.25">
      <c r="A335" s="83"/>
      <c r="B335" s="69"/>
      <c r="C335" s="15"/>
      <c r="D335" s="24">
        <f>'[4]11нед'!S283</f>
        <v>0</v>
      </c>
      <c r="E335" s="25">
        <f>'[4]11нед'!T283</f>
        <v>0</v>
      </c>
      <c r="F335" s="26">
        <f>'[4]11нед'!W283</f>
        <v>0</v>
      </c>
      <c r="G335" s="27" t="str">
        <f>'[4]11нед'!X283</f>
        <v/>
      </c>
      <c r="H335" s="39"/>
      <c r="I335" s="72"/>
      <c r="J335" s="75"/>
      <c r="K335" s="15"/>
      <c r="L335" s="24">
        <f>'[4]12нед'!S283</f>
        <v>0</v>
      </c>
      <c r="M335" s="25">
        <f>'[4]12нед'!T283</f>
        <v>0</v>
      </c>
      <c r="N335" s="26">
        <f>'[4]12нед'!W283</f>
        <v>0</v>
      </c>
      <c r="O335" s="27" t="str">
        <f>'[4]12нед'!X283</f>
        <v/>
      </c>
      <c r="P335" s="39"/>
    </row>
    <row r="336" spans="1:16" ht="48" customHeight="1" thickTop="1" x14ac:dyDescent="0.2">
      <c r="A336" s="70">
        <v>46338</v>
      </c>
      <c r="B336" s="84" t="s">
        <v>27</v>
      </c>
      <c r="C336" s="29" t="s">
        <v>18</v>
      </c>
      <c r="D336" s="16">
        <f>'[4]11нед'!S284</f>
        <v>0</v>
      </c>
      <c r="E336" s="19">
        <f>'[4]11нед'!T284</f>
        <v>0</v>
      </c>
      <c r="F336" s="17">
        <f>'[4]11нед'!W284</f>
        <v>0</v>
      </c>
      <c r="G336" s="18" t="str">
        <f>'[4]11нед'!X284</f>
        <v/>
      </c>
      <c r="H336" s="40"/>
      <c r="I336" s="70">
        <v>46345</v>
      </c>
      <c r="J336" s="87" t="s">
        <v>27</v>
      </c>
      <c r="K336" s="29" t="s">
        <v>18</v>
      </c>
      <c r="L336" s="16">
        <f>'[4]12нед'!S284</f>
        <v>0</v>
      </c>
      <c r="M336" s="19">
        <f>'[4]12нед'!T284</f>
        <v>0</v>
      </c>
      <c r="N336" s="17">
        <f>'[4]12нед'!W284</f>
        <v>0</v>
      </c>
      <c r="O336" s="18" t="str">
        <f>'[4]12нед'!X284</f>
        <v/>
      </c>
      <c r="P336" s="40"/>
    </row>
    <row r="337" spans="1:16" ht="31.5" x14ac:dyDescent="0.2">
      <c r="A337" s="82"/>
      <c r="B337" s="85"/>
      <c r="C337" s="14" t="s">
        <v>19</v>
      </c>
      <c r="D337" s="20">
        <f>'[4]11нед'!S285</f>
        <v>0</v>
      </c>
      <c r="E337" s="23">
        <f>'[4]11нед'!T285</f>
        <v>0</v>
      </c>
      <c r="F337" s="21">
        <f>'[4]11нед'!W285</f>
        <v>0</v>
      </c>
      <c r="G337" s="22" t="str">
        <f>'[4]11нед'!X285</f>
        <v/>
      </c>
      <c r="H337" s="38"/>
      <c r="I337" s="71"/>
      <c r="J337" s="88"/>
      <c r="K337" s="14" t="s">
        <v>19</v>
      </c>
      <c r="L337" s="20">
        <f>'[4]12нед'!S285</f>
        <v>0</v>
      </c>
      <c r="M337" s="23">
        <f>'[4]12нед'!T285</f>
        <v>0</v>
      </c>
      <c r="N337" s="21">
        <f>'[4]12нед'!W285</f>
        <v>0</v>
      </c>
      <c r="O337" s="22" t="str">
        <f>'[4]12нед'!X285</f>
        <v/>
      </c>
      <c r="P337" s="38"/>
    </row>
    <row r="338" spans="1:16" ht="31.5" x14ac:dyDescent="0.2">
      <c r="A338" s="82"/>
      <c r="B338" s="85"/>
      <c r="C338" s="14" t="s">
        <v>20</v>
      </c>
      <c r="D338" s="20">
        <f>'[4]11нед'!S286</f>
        <v>0</v>
      </c>
      <c r="E338" s="23">
        <f>'[4]11нед'!T286</f>
        <v>0</v>
      </c>
      <c r="F338" s="21">
        <f>'[4]11нед'!W286</f>
        <v>0</v>
      </c>
      <c r="G338" s="22" t="str">
        <f>'[4]11нед'!X286</f>
        <v/>
      </c>
      <c r="H338" s="38"/>
      <c r="I338" s="71"/>
      <c r="J338" s="88"/>
      <c r="K338" s="14" t="s">
        <v>20</v>
      </c>
      <c r="L338" s="20">
        <f>'[4]12нед'!S286</f>
        <v>0</v>
      </c>
      <c r="M338" s="23">
        <f>'[4]12нед'!T286</f>
        <v>0</v>
      </c>
      <c r="N338" s="21">
        <f>'[4]12нед'!W286</f>
        <v>0</v>
      </c>
      <c r="O338" s="22" t="str">
        <f>'[4]12нед'!X286</f>
        <v/>
      </c>
      <c r="P338" s="38"/>
    </row>
    <row r="339" spans="1:16" ht="31.5" x14ac:dyDescent="0.2">
      <c r="A339" s="82"/>
      <c r="B339" s="85"/>
      <c r="C339" s="14" t="s">
        <v>21</v>
      </c>
      <c r="D339" s="20">
        <f>'[4]11нед'!S287</f>
        <v>0</v>
      </c>
      <c r="E339" s="23">
        <f>'[4]11нед'!T287</f>
        <v>0</v>
      </c>
      <c r="F339" s="21">
        <f>'[4]11нед'!W287</f>
        <v>0</v>
      </c>
      <c r="G339" s="22" t="str">
        <f>'[4]11нед'!X287</f>
        <v/>
      </c>
      <c r="H339" s="38"/>
      <c r="I339" s="71"/>
      <c r="J339" s="88"/>
      <c r="K339" s="14" t="s">
        <v>21</v>
      </c>
      <c r="L339" s="20">
        <f>'[4]12нед'!S287</f>
        <v>0</v>
      </c>
      <c r="M339" s="23">
        <f>'[4]12нед'!T287</f>
        <v>0</v>
      </c>
      <c r="N339" s="21">
        <f>'[4]12нед'!W287</f>
        <v>0</v>
      </c>
      <c r="O339" s="22" t="str">
        <f>'[4]12нед'!X287</f>
        <v/>
      </c>
      <c r="P339" s="38"/>
    </row>
    <row r="340" spans="1:16" ht="31.5" x14ac:dyDescent="0.2">
      <c r="A340" s="82"/>
      <c r="B340" s="85"/>
      <c r="C340" s="14" t="s">
        <v>22</v>
      </c>
      <c r="D340" s="20">
        <f>'[4]11нед'!S288</f>
        <v>0</v>
      </c>
      <c r="E340" s="23">
        <f>'[4]11нед'!T288</f>
        <v>0</v>
      </c>
      <c r="F340" s="21">
        <f>'[4]11нед'!W288</f>
        <v>0</v>
      </c>
      <c r="G340" s="22" t="str">
        <f>'[4]11нед'!X288</f>
        <v/>
      </c>
      <c r="H340" s="38"/>
      <c r="I340" s="71"/>
      <c r="J340" s="88"/>
      <c r="K340" s="14" t="s">
        <v>22</v>
      </c>
      <c r="L340" s="20">
        <f>'[4]12нед'!S288</f>
        <v>0</v>
      </c>
      <c r="M340" s="23">
        <f>'[4]12нед'!T288</f>
        <v>0</v>
      </c>
      <c r="N340" s="21">
        <f>'[4]12нед'!W288</f>
        <v>0</v>
      </c>
      <c r="O340" s="22" t="str">
        <f>'[4]12нед'!X288</f>
        <v/>
      </c>
      <c r="P340" s="38"/>
    </row>
    <row r="341" spans="1:16" ht="31.5" x14ac:dyDescent="0.2">
      <c r="A341" s="82"/>
      <c r="B341" s="85"/>
      <c r="C341" s="14" t="s">
        <v>23</v>
      </c>
      <c r="D341" s="20">
        <f>'[4]11нед'!S289</f>
        <v>0</v>
      </c>
      <c r="E341" s="23">
        <f>'[4]11нед'!T289</f>
        <v>0</v>
      </c>
      <c r="F341" s="21">
        <f>'[4]11нед'!W289</f>
        <v>0</v>
      </c>
      <c r="G341" s="22" t="str">
        <f>'[4]11нед'!X289</f>
        <v/>
      </c>
      <c r="H341" s="34"/>
      <c r="I341" s="71"/>
      <c r="J341" s="88"/>
      <c r="K341" s="14" t="s">
        <v>23</v>
      </c>
      <c r="L341" s="20">
        <f>'[4]12нед'!S289</f>
        <v>0</v>
      </c>
      <c r="M341" s="23">
        <f>'[4]12нед'!T289</f>
        <v>0</v>
      </c>
      <c r="N341" s="21">
        <f>'[4]12нед'!W289</f>
        <v>0</v>
      </c>
      <c r="O341" s="22" t="str">
        <f>'[4]12нед'!X289</f>
        <v/>
      </c>
      <c r="P341" s="34"/>
    </row>
    <row r="342" spans="1:16" ht="32.25" thickBot="1" x14ac:dyDescent="0.25">
      <c r="A342" s="82"/>
      <c r="B342" s="85"/>
      <c r="C342" s="14" t="s">
        <v>24</v>
      </c>
      <c r="D342" s="20">
        <f>'[4]11нед'!S290</f>
        <v>0</v>
      </c>
      <c r="E342" s="23">
        <f>'[4]11нед'!T290</f>
        <v>0</v>
      </c>
      <c r="F342" s="21">
        <f>'[4]11нед'!W290</f>
        <v>0</v>
      </c>
      <c r="G342" s="22" t="str">
        <f>'[4]11нед'!X290</f>
        <v/>
      </c>
      <c r="H342" s="34"/>
      <c r="I342" s="71"/>
      <c r="J342" s="88"/>
      <c r="K342" s="14" t="s">
        <v>24</v>
      </c>
      <c r="L342" s="20">
        <f>'[4]12нед'!S290</f>
        <v>0</v>
      </c>
      <c r="M342" s="23">
        <f>'[4]12нед'!T290</f>
        <v>0</v>
      </c>
      <c r="N342" s="21">
        <f>'[4]12нед'!W290</f>
        <v>0</v>
      </c>
      <c r="O342" s="22" t="str">
        <f>'[4]12нед'!X290</f>
        <v/>
      </c>
      <c r="P342" s="34"/>
    </row>
    <row r="343" spans="1:16" ht="18.600000000000001" hidden="1" customHeight="1" thickBot="1" x14ac:dyDescent="0.25">
      <c r="A343" s="83"/>
      <c r="B343" s="86"/>
      <c r="C343" s="15"/>
      <c r="D343" s="24">
        <f>'[4]11нед'!S291</f>
        <v>0</v>
      </c>
      <c r="E343" s="25">
        <f>'[4]11нед'!T291</f>
        <v>0</v>
      </c>
      <c r="F343" s="26">
        <f>'[4]11нед'!W291</f>
        <v>0</v>
      </c>
      <c r="G343" s="27" t="str">
        <f>'[4]11нед'!X291</f>
        <v/>
      </c>
      <c r="H343" s="39"/>
      <c r="I343" s="72"/>
      <c r="J343" s="89"/>
      <c r="K343" s="15"/>
      <c r="L343" s="24">
        <f>'[4]12нед'!S291</f>
        <v>0</v>
      </c>
      <c r="M343" s="25">
        <f>'[4]12нед'!T291</f>
        <v>0</v>
      </c>
      <c r="N343" s="26">
        <f>'[4]12нед'!W291</f>
        <v>0</v>
      </c>
      <c r="O343" s="27" t="str">
        <f>'[4]12нед'!X291</f>
        <v/>
      </c>
      <c r="P343" s="39"/>
    </row>
    <row r="344" spans="1:16" ht="48" customHeight="1" thickTop="1" x14ac:dyDescent="0.2">
      <c r="A344" s="70">
        <v>46339</v>
      </c>
      <c r="B344" s="84" t="s">
        <v>28</v>
      </c>
      <c r="C344" s="29" t="s">
        <v>18</v>
      </c>
      <c r="D344" s="16">
        <f>'[4]11нед'!S292</f>
        <v>0</v>
      </c>
      <c r="E344" s="19">
        <f>'[4]11нед'!T292</f>
        <v>0</v>
      </c>
      <c r="F344" s="17">
        <f>'[4]11нед'!W292</f>
        <v>0</v>
      </c>
      <c r="G344" s="18" t="str">
        <f>'[4]11нед'!X292</f>
        <v/>
      </c>
      <c r="H344" s="40"/>
      <c r="I344" s="70">
        <v>46346</v>
      </c>
      <c r="J344" s="87" t="s">
        <v>28</v>
      </c>
      <c r="K344" s="29" t="s">
        <v>18</v>
      </c>
      <c r="L344" s="16">
        <f>'[4]12нед'!S292</f>
        <v>0</v>
      </c>
      <c r="M344" s="19">
        <f>'[4]12нед'!T292</f>
        <v>0</v>
      </c>
      <c r="N344" s="17">
        <f>'[4]12нед'!W292</f>
        <v>0</v>
      </c>
      <c r="O344" s="18" t="str">
        <f>'[4]12нед'!X292</f>
        <v/>
      </c>
      <c r="P344" s="40"/>
    </row>
    <row r="345" spans="1:16" ht="31.5" x14ac:dyDescent="0.2">
      <c r="A345" s="82"/>
      <c r="B345" s="85"/>
      <c r="C345" s="14" t="s">
        <v>19</v>
      </c>
      <c r="D345" s="20">
        <f>'[4]11нед'!S293</f>
        <v>0</v>
      </c>
      <c r="E345" s="23">
        <f>'[4]11нед'!T293</f>
        <v>0</v>
      </c>
      <c r="F345" s="21">
        <f>'[4]11нед'!W293</f>
        <v>0</v>
      </c>
      <c r="G345" s="22" t="str">
        <f>'[4]11нед'!X293</f>
        <v/>
      </c>
      <c r="H345" s="38"/>
      <c r="I345" s="71"/>
      <c r="J345" s="88"/>
      <c r="K345" s="14" t="s">
        <v>19</v>
      </c>
      <c r="L345" s="20">
        <f>'[4]12нед'!S293</f>
        <v>0</v>
      </c>
      <c r="M345" s="23">
        <f>'[4]12нед'!T293</f>
        <v>0</v>
      </c>
      <c r="N345" s="21">
        <f>'[4]12нед'!W293</f>
        <v>0</v>
      </c>
      <c r="O345" s="22" t="str">
        <f>'[4]12нед'!X293</f>
        <v/>
      </c>
      <c r="P345" s="38"/>
    </row>
    <row r="346" spans="1:16" ht="31.5" x14ac:dyDescent="0.2">
      <c r="A346" s="82"/>
      <c r="B346" s="85"/>
      <c r="C346" s="14" t="s">
        <v>20</v>
      </c>
      <c r="D346" s="20">
        <f>'[4]11нед'!S294</f>
        <v>0</v>
      </c>
      <c r="E346" s="23">
        <f>'[4]11нед'!T294</f>
        <v>0</v>
      </c>
      <c r="F346" s="21">
        <f>'[4]11нед'!W294</f>
        <v>0</v>
      </c>
      <c r="G346" s="22" t="str">
        <f>'[4]11нед'!X294</f>
        <v/>
      </c>
      <c r="H346" s="38"/>
      <c r="I346" s="71"/>
      <c r="J346" s="88"/>
      <c r="K346" s="14" t="s">
        <v>20</v>
      </c>
      <c r="L346" s="20">
        <f>'[4]12нед'!S294</f>
        <v>0</v>
      </c>
      <c r="M346" s="23">
        <f>'[4]12нед'!T294</f>
        <v>0</v>
      </c>
      <c r="N346" s="21">
        <f>'[4]12нед'!W294</f>
        <v>0</v>
      </c>
      <c r="O346" s="22" t="str">
        <f>'[4]12нед'!X294</f>
        <v/>
      </c>
      <c r="P346" s="38"/>
    </row>
    <row r="347" spans="1:16" ht="31.5" x14ac:dyDescent="0.2">
      <c r="A347" s="82"/>
      <c r="B347" s="85"/>
      <c r="C347" s="14" t="s">
        <v>21</v>
      </c>
      <c r="D347" s="20">
        <f>'[4]11нед'!S295</f>
        <v>0</v>
      </c>
      <c r="E347" s="23">
        <f>'[4]11нед'!T295</f>
        <v>0</v>
      </c>
      <c r="F347" s="21">
        <f>'[4]11нед'!W295</f>
        <v>0</v>
      </c>
      <c r="G347" s="22" t="str">
        <f>'[4]11нед'!X295</f>
        <v/>
      </c>
      <c r="H347" s="38"/>
      <c r="I347" s="71"/>
      <c r="J347" s="88"/>
      <c r="K347" s="14" t="s">
        <v>21</v>
      </c>
      <c r="L347" s="20">
        <f>'[4]12нед'!S295</f>
        <v>0</v>
      </c>
      <c r="M347" s="23">
        <f>'[4]12нед'!T295</f>
        <v>0</v>
      </c>
      <c r="N347" s="21">
        <f>'[4]12нед'!W295</f>
        <v>0</v>
      </c>
      <c r="O347" s="22" t="str">
        <f>'[4]12нед'!X295</f>
        <v/>
      </c>
      <c r="P347" s="38"/>
    </row>
    <row r="348" spans="1:16" ht="31.5" x14ac:dyDescent="0.2">
      <c r="A348" s="82"/>
      <c r="B348" s="85"/>
      <c r="C348" s="14" t="s">
        <v>22</v>
      </c>
      <c r="D348" s="20">
        <f>'[4]11нед'!S296</f>
        <v>0</v>
      </c>
      <c r="E348" s="23">
        <f>'[4]11нед'!T296</f>
        <v>0</v>
      </c>
      <c r="F348" s="21">
        <f>'[4]11нед'!W296</f>
        <v>0</v>
      </c>
      <c r="G348" s="22" t="str">
        <f>'[4]11нед'!X296</f>
        <v/>
      </c>
      <c r="H348" s="38"/>
      <c r="I348" s="71"/>
      <c r="J348" s="88"/>
      <c r="K348" s="14" t="s">
        <v>22</v>
      </c>
      <c r="L348" s="20">
        <f>'[4]12нед'!S296</f>
        <v>0</v>
      </c>
      <c r="M348" s="23">
        <f>'[4]12нед'!T296</f>
        <v>0</v>
      </c>
      <c r="N348" s="21">
        <f>'[4]12нед'!W296</f>
        <v>0</v>
      </c>
      <c r="O348" s="22" t="str">
        <f>'[4]12нед'!X296</f>
        <v/>
      </c>
      <c r="P348" s="38"/>
    </row>
    <row r="349" spans="1:16" ht="31.5" x14ac:dyDescent="0.2">
      <c r="A349" s="82"/>
      <c r="B349" s="85"/>
      <c r="C349" s="14" t="s">
        <v>23</v>
      </c>
      <c r="D349" s="20">
        <f>'[4]11нед'!S297</f>
        <v>0</v>
      </c>
      <c r="E349" s="23">
        <f>'[4]11нед'!T297</f>
        <v>0</v>
      </c>
      <c r="F349" s="21">
        <f>'[4]11нед'!W297</f>
        <v>0</v>
      </c>
      <c r="G349" s="22" t="str">
        <f>'[4]11нед'!X297</f>
        <v/>
      </c>
      <c r="H349" s="38"/>
      <c r="I349" s="71"/>
      <c r="J349" s="88"/>
      <c r="K349" s="14" t="s">
        <v>23</v>
      </c>
      <c r="L349" s="20">
        <f>'[4]12нед'!S297</f>
        <v>0</v>
      </c>
      <c r="M349" s="23">
        <f>'[4]12нед'!T297</f>
        <v>0</v>
      </c>
      <c r="N349" s="21">
        <f>'[4]12нед'!W297</f>
        <v>0</v>
      </c>
      <c r="O349" s="22" t="str">
        <f>'[4]12нед'!X297</f>
        <v/>
      </c>
      <c r="P349" s="38"/>
    </row>
    <row r="350" spans="1:16" ht="32.25" thickBot="1" x14ac:dyDescent="0.25">
      <c r="A350" s="82"/>
      <c r="B350" s="85"/>
      <c r="C350" s="14" t="s">
        <v>24</v>
      </c>
      <c r="D350" s="20">
        <f>'[4]11нед'!S298</f>
        <v>0</v>
      </c>
      <c r="E350" s="23">
        <f>'[4]11нед'!T298</f>
        <v>0</v>
      </c>
      <c r="F350" s="21">
        <f>'[4]11нед'!W298</f>
        <v>0</v>
      </c>
      <c r="G350" s="22" t="str">
        <f>'[4]11нед'!X298</f>
        <v/>
      </c>
      <c r="H350" s="38"/>
      <c r="I350" s="71"/>
      <c r="J350" s="88"/>
      <c r="K350" s="14" t="s">
        <v>24</v>
      </c>
      <c r="L350" s="20">
        <f>'[4]12нед'!S298</f>
        <v>0</v>
      </c>
      <c r="M350" s="23">
        <f>'[4]12нед'!T298</f>
        <v>0</v>
      </c>
      <c r="N350" s="21">
        <f>'[4]12нед'!W298</f>
        <v>0</v>
      </c>
      <c r="O350" s="22" t="str">
        <f>'[4]12нед'!X298</f>
        <v/>
      </c>
      <c r="P350" s="38"/>
    </row>
    <row r="351" spans="1:16" ht="18.600000000000001" hidden="1" customHeight="1" thickBot="1" x14ac:dyDescent="0.25">
      <c r="A351" s="83"/>
      <c r="B351" s="86"/>
      <c r="C351" s="15"/>
      <c r="D351" s="24">
        <f>'[4]11нед'!S299</f>
        <v>0</v>
      </c>
      <c r="E351" s="25">
        <f>'[4]11нед'!T299</f>
        <v>0</v>
      </c>
      <c r="F351" s="26">
        <f>'[4]11нед'!W299</f>
        <v>0</v>
      </c>
      <c r="G351" s="27" t="str">
        <f>'[4]11нед'!X299</f>
        <v/>
      </c>
      <c r="H351" s="39"/>
      <c r="I351" s="72"/>
      <c r="J351" s="89"/>
      <c r="K351" s="15"/>
      <c r="L351" s="24">
        <f>'[4]12нед'!S299</f>
        <v>0</v>
      </c>
      <c r="M351" s="25">
        <f>'[4]12нед'!T299</f>
        <v>0</v>
      </c>
      <c r="N351" s="26">
        <f>'[4]12нед'!W299</f>
        <v>0</v>
      </c>
      <c r="O351" s="27" t="str">
        <f>'[4]12нед'!X299</f>
        <v/>
      </c>
      <c r="P351" s="39"/>
    </row>
    <row r="352" spans="1:16" ht="48" customHeight="1" thickTop="1" x14ac:dyDescent="0.2">
      <c r="A352" s="70">
        <v>46340</v>
      </c>
      <c r="B352" s="84" t="s">
        <v>29</v>
      </c>
      <c r="C352" s="29" t="s">
        <v>18</v>
      </c>
      <c r="D352" s="16">
        <f>'[4]11нед'!S300</f>
        <v>0</v>
      </c>
      <c r="E352" s="19">
        <f>'[4]11нед'!T300</f>
        <v>0</v>
      </c>
      <c r="F352" s="17">
        <f>'[4]11нед'!W300</f>
        <v>0</v>
      </c>
      <c r="G352" s="18" t="str">
        <f>'[4]11нед'!X300</f>
        <v/>
      </c>
      <c r="H352" s="40"/>
      <c r="I352" s="70">
        <v>46347</v>
      </c>
      <c r="J352" s="87" t="s">
        <v>29</v>
      </c>
      <c r="K352" s="29" t="s">
        <v>18</v>
      </c>
      <c r="L352" s="16">
        <f>'[4]12нед'!S300</f>
        <v>0</v>
      </c>
      <c r="M352" s="19">
        <f>'[4]12нед'!T300</f>
        <v>0</v>
      </c>
      <c r="N352" s="17">
        <f>'[4]12нед'!W300</f>
        <v>0</v>
      </c>
      <c r="O352" s="18" t="str">
        <f>'[4]12нед'!X300</f>
        <v/>
      </c>
      <c r="P352" s="40"/>
    </row>
    <row r="353" spans="1:16" ht="31.5" x14ac:dyDescent="0.2">
      <c r="A353" s="82"/>
      <c r="B353" s="85"/>
      <c r="C353" s="14" t="s">
        <v>19</v>
      </c>
      <c r="D353" s="20">
        <f>'[4]11нед'!S301</f>
        <v>0</v>
      </c>
      <c r="E353" s="23">
        <f>'[4]11нед'!T301</f>
        <v>0</v>
      </c>
      <c r="F353" s="21">
        <f>'[4]11нед'!W301</f>
        <v>0</v>
      </c>
      <c r="G353" s="22" t="str">
        <f>'[4]11нед'!X301</f>
        <v/>
      </c>
      <c r="H353" s="38"/>
      <c r="I353" s="71"/>
      <c r="J353" s="88"/>
      <c r="K353" s="14" t="s">
        <v>19</v>
      </c>
      <c r="L353" s="20">
        <f>'[4]12нед'!S301</f>
        <v>0</v>
      </c>
      <c r="M353" s="23">
        <f>'[4]12нед'!T301</f>
        <v>0</v>
      </c>
      <c r="N353" s="21">
        <f>'[4]12нед'!W301</f>
        <v>0</v>
      </c>
      <c r="O353" s="22" t="str">
        <f>'[4]12нед'!X301</f>
        <v/>
      </c>
      <c r="P353" s="38"/>
    </row>
    <row r="354" spans="1:16" ht="31.5" x14ac:dyDescent="0.2">
      <c r="A354" s="82"/>
      <c r="B354" s="85"/>
      <c r="C354" s="14" t="s">
        <v>20</v>
      </c>
      <c r="D354" s="20">
        <f>'[4]11нед'!S302</f>
        <v>0</v>
      </c>
      <c r="E354" s="23">
        <f>'[4]11нед'!T302</f>
        <v>0</v>
      </c>
      <c r="F354" s="21">
        <f>'[4]11нед'!W302</f>
        <v>0</v>
      </c>
      <c r="G354" s="22" t="str">
        <f>'[4]11нед'!X302</f>
        <v/>
      </c>
      <c r="H354" s="43"/>
      <c r="I354" s="71"/>
      <c r="J354" s="88"/>
      <c r="K354" s="14" t="s">
        <v>20</v>
      </c>
      <c r="L354" s="20">
        <f>'[4]12нед'!S302</f>
        <v>0</v>
      </c>
      <c r="M354" s="23">
        <f>'[4]12нед'!T302</f>
        <v>0</v>
      </c>
      <c r="N354" s="21">
        <f>'[4]12нед'!W302</f>
        <v>0</v>
      </c>
      <c r="O354" s="22" t="str">
        <f>'[4]12нед'!X302</f>
        <v/>
      </c>
      <c r="P354" s="43"/>
    </row>
    <row r="355" spans="1:16" ht="31.5" x14ac:dyDescent="0.2">
      <c r="A355" s="82"/>
      <c r="B355" s="85"/>
      <c r="C355" s="14" t="s">
        <v>21</v>
      </c>
      <c r="D355" s="20">
        <f>'[4]11нед'!S303</f>
        <v>0</v>
      </c>
      <c r="E355" s="23">
        <f>'[4]11нед'!T303</f>
        <v>0</v>
      </c>
      <c r="F355" s="21">
        <f>'[4]11нед'!W303</f>
        <v>0</v>
      </c>
      <c r="G355" s="22" t="str">
        <f>'[4]11нед'!X303</f>
        <v/>
      </c>
      <c r="H355" s="38"/>
      <c r="I355" s="71"/>
      <c r="J355" s="88"/>
      <c r="K355" s="14" t="s">
        <v>21</v>
      </c>
      <c r="L355" s="20">
        <f>'[4]12нед'!S303</f>
        <v>0</v>
      </c>
      <c r="M355" s="23">
        <f>'[4]12нед'!T303</f>
        <v>0</v>
      </c>
      <c r="N355" s="21">
        <f>'[4]12нед'!W303</f>
        <v>0</v>
      </c>
      <c r="O355" s="22" t="str">
        <f>'[4]12нед'!X303</f>
        <v/>
      </c>
      <c r="P355" s="38"/>
    </row>
    <row r="356" spans="1:16" ht="31.5" x14ac:dyDescent="0.2">
      <c r="A356" s="82"/>
      <c r="B356" s="85"/>
      <c r="C356" s="14" t="s">
        <v>22</v>
      </c>
      <c r="D356" s="20">
        <f>'[4]11нед'!S304</f>
        <v>0</v>
      </c>
      <c r="E356" s="23">
        <f>'[4]11нед'!T304</f>
        <v>0</v>
      </c>
      <c r="F356" s="21">
        <f>'[4]11нед'!W304</f>
        <v>0</v>
      </c>
      <c r="G356" s="22" t="str">
        <f>'[4]11нед'!X304</f>
        <v/>
      </c>
      <c r="H356" s="38"/>
      <c r="I356" s="71"/>
      <c r="J356" s="88"/>
      <c r="K356" s="14" t="s">
        <v>22</v>
      </c>
      <c r="L356" s="20">
        <f>'[4]12нед'!S304</f>
        <v>0</v>
      </c>
      <c r="M356" s="23">
        <f>'[4]12нед'!T304</f>
        <v>0</v>
      </c>
      <c r="N356" s="21">
        <f>'[4]12нед'!W304</f>
        <v>0</v>
      </c>
      <c r="O356" s="22" t="str">
        <f>'[4]12нед'!X304</f>
        <v/>
      </c>
      <c r="P356" s="38"/>
    </row>
    <row r="357" spans="1:16" ht="31.5" x14ac:dyDescent="0.2">
      <c r="A357" s="82"/>
      <c r="B357" s="85"/>
      <c r="C357" s="14" t="s">
        <v>23</v>
      </c>
      <c r="D357" s="20">
        <f>'[4]11нед'!S305</f>
        <v>0</v>
      </c>
      <c r="E357" s="23">
        <f>'[4]11нед'!T305</f>
        <v>0</v>
      </c>
      <c r="F357" s="21">
        <f>'[4]11нед'!W305</f>
        <v>0</v>
      </c>
      <c r="G357" s="22" t="str">
        <f>'[4]11нед'!X305</f>
        <v/>
      </c>
      <c r="H357" s="38"/>
      <c r="I357" s="71"/>
      <c r="J357" s="88"/>
      <c r="K357" s="14" t="s">
        <v>23</v>
      </c>
      <c r="L357" s="20">
        <f>'[4]12нед'!S305</f>
        <v>0</v>
      </c>
      <c r="M357" s="23">
        <f>'[4]12нед'!T305</f>
        <v>0</v>
      </c>
      <c r="N357" s="21">
        <f>'[4]12нед'!W305</f>
        <v>0</v>
      </c>
      <c r="O357" s="22" t="str">
        <f>'[4]12нед'!X305</f>
        <v/>
      </c>
      <c r="P357" s="38"/>
    </row>
    <row r="358" spans="1:16" ht="32.25" thickBot="1" x14ac:dyDescent="0.25">
      <c r="A358" s="82"/>
      <c r="B358" s="85"/>
      <c r="C358" s="14" t="s">
        <v>24</v>
      </c>
      <c r="D358" s="20">
        <f>'[4]11нед'!S306</f>
        <v>0</v>
      </c>
      <c r="E358" s="23">
        <f>'[4]11нед'!T306</f>
        <v>0</v>
      </c>
      <c r="F358" s="21">
        <f>'[4]11нед'!W306</f>
        <v>0</v>
      </c>
      <c r="G358" s="22" t="str">
        <f>'[4]11нед'!X306</f>
        <v/>
      </c>
      <c r="H358" s="38"/>
      <c r="I358" s="71"/>
      <c r="J358" s="88"/>
      <c r="K358" s="14" t="s">
        <v>24</v>
      </c>
      <c r="L358" s="20">
        <f>'[4]12нед'!S306</f>
        <v>0</v>
      </c>
      <c r="M358" s="23">
        <f>'[4]12нед'!T306</f>
        <v>0</v>
      </c>
      <c r="N358" s="21">
        <f>'[4]12нед'!W306</f>
        <v>0</v>
      </c>
      <c r="O358" s="22" t="str">
        <f>'[4]12нед'!X306</f>
        <v/>
      </c>
      <c r="P358" s="38"/>
    </row>
    <row r="359" spans="1:16" ht="18.600000000000001" hidden="1" customHeight="1" thickBot="1" x14ac:dyDescent="0.25">
      <c r="A359" s="83"/>
      <c r="B359" s="86"/>
      <c r="C359" s="15"/>
      <c r="D359" s="24">
        <f>'[4]11нед'!S59</f>
        <v>0</v>
      </c>
      <c r="E359" s="25">
        <f>'[4]11нед'!T59</f>
        <v>0</v>
      </c>
      <c r="F359" s="26">
        <f>'[4]11нед'!W59</f>
        <v>0</v>
      </c>
      <c r="G359" s="27" t="str">
        <f>'[4]11нед'!X59</f>
        <v/>
      </c>
      <c r="H359" s="39"/>
      <c r="I359" s="72"/>
      <c r="J359" s="89"/>
      <c r="K359" s="15"/>
      <c r="L359" s="24">
        <f>'[4]12нед'!S59</f>
        <v>0</v>
      </c>
      <c r="M359" s="25">
        <f>'[4]12нед'!T59</f>
        <v>0</v>
      </c>
      <c r="N359" s="26">
        <f>'[4]12нед'!W59</f>
        <v>0</v>
      </c>
      <c r="O359" s="27" t="str">
        <f>'[4]11нед'!X59</f>
        <v/>
      </c>
      <c r="P359" s="39"/>
    </row>
    <row r="360" spans="1:16" ht="39" customHeight="1" thickTop="1" x14ac:dyDescent="0.2">
      <c r="A360" s="47"/>
      <c r="B360" s="30"/>
      <c r="C360" s="31"/>
      <c r="D360" s="32"/>
      <c r="E360" s="32" t="s">
        <v>30</v>
      </c>
      <c r="F360" s="32"/>
      <c r="G360" s="33" t="s">
        <v>31</v>
      </c>
      <c r="H360" s="41"/>
      <c r="I360" s="47"/>
      <c r="J360" s="30"/>
      <c r="K360" s="31"/>
      <c r="L360" s="32"/>
      <c r="M360" s="32" t="s">
        <v>30</v>
      </c>
      <c r="N360" s="32"/>
      <c r="O360" s="33" t="s">
        <v>31</v>
      </c>
      <c r="P360" s="41"/>
    </row>
    <row r="361" spans="1:16" ht="15.75" x14ac:dyDescent="0.25">
      <c r="A361" s="45"/>
      <c r="B361" s="1"/>
      <c r="C361" s="2"/>
      <c r="D361" s="3"/>
      <c r="E361" s="3"/>
      <c r="F361" s="3"/>
      <c r="G361" s="3"/>
      <c r="H361" s="4" t="s">
        <v>0</v>
      </c>
      <c r="I361" s="45"/>
      <c r="J361" s="1"/>
      <c r="K361" s="2"/>
      <c r="L361" s="3"/>
      <c r="M361" s="3"/>
      <c r="N361" s="3"/>
      <c r="O361" s="3"/>
      <c r="P361" s="4" t="s">
        <v>0</v>
      </c>
    </row>
    <row r="362" spans="1:16" ht="15.75" x14ac:dyDescent="0.25">
      <c r="A362" s="45"/>
      <c r="B362" s="1"/>
      <c r="C362" s="2"/>
      <c r="D362" s="3"/>
      <c r="E362" s="3"/>
      <c r="F362" s="3"/>
      <c r="G362" s="3"/>
      <c r="H362" s="4" t="s">
        <v>1</v>
      </c>
      <c r="I362" s="45"/>
      <c r="J362" s="1"/>
      <c r="K362" s="2"/>
      <c r="L362" s="3"/>
      <c r="M362" s="3"/>
      <c r="N362" s="3"/>
      <c r="O362" s="3"/>
      <c r="P362" s="4" t="s">
        <v>1</v>
      </c>
    </row>
    <row r="363" spans="1:16" ht="15.75" x14ac:dyDescent="0.25">
      <c r="A363" s="45"/>
      <c r="B363" s="1"/>
      <c r="C363" s="2"/>
      <c r="D363" s="3"/>
      <c r="E363" s="3"/>
      <c r="F363" s="3"/>
      <c r="G363" s="3"/>
      <c r="H363" s="4" t="s">
        <v>2</v>
      </c>
      <c r="I363" s="45"/>
      <c r="J363" s="1"/>
      <c r="K363" s="2"/>
      <c r="L363" s="3"/>
      <c r="M363" s="3"/>
      <c r="N363" s="3"/>
      <c r="O363" s="3"/>
      <c r="P363" s="4" t="s">
        <v>2</v>
      </c>
    </row>
    <row r="364" spans="1:16" ht="15.75" x14ac:dyDescent="0.25">
      <c r="A364" s="45"/>
      <c r="B364" s="1"/>
      <c r="C364" s="2"/>
      <c r="D364" s="3"/>
      <c r="E364" s="3"/>
      <c r="F364" s="3"/>
      <c r="G364" s="3"/>
      <c r="H364" s="4" t="s">
        <v>3</v>
      </c>
      <c r="I364" s="45"/>
      <c r="J364" s="1"/>
      <c r="K364" s="2"/>
      <c r="L364" s="3"/>
      <c r="M364" s="3"/>
      <c r="N364" s="3"/>
      <c r="O364" s="3"/>
      <c r="P364" s="4" t="s">
        <v>3</v>
      </c>
    </row>
    <row r="365" spans="1:16" ht="15.75" x14ac:dyDescent="0.25">
      <c r="A365" s="45"/>
      <c r="B365" s="5"/>
      <c r="C365" s="2"/>
      <c r="D365" s="3"/>
      <c r="E365" s="3"/>
      <c r="F365" s="3"/>
      <c r="G365" s="3"/>
      <c r="H365" s="3"/>
      <c r="I365" s="45"/>
      <c r="J365" s="5"/>
      <c r="K365" s="2"/>
      <c r="L365" s="3"/>
      <c r="M365" s="3"/>
      <c r="N365" s="3"/>
      <c r="O365" s="3"/>
      <c r="P365" s="3"/>
    </row>
    <row r="366" spans="1:16" ht="15.75" x14ac:dyDescent="0.25">
      <c r="A366" s="45"/>
      <c r="B366" s="90" t="s">
        <v>4</v>
      </c>
      <c r="C366" s="90"/>
      <c r="D366" s="90"/>
      <c r="E366" s="90"/>
      <c r="F366" s="90"/>
      <c r="G366" s="90"/>
      <c r="H366" s="90"/>
      <c r="I366" s="45"/>
      <c r="J366" s="90" t="s">
        <v>4</v>
      </c>
      <c r="K366" s="90"/>
      <c r="L366" s="90"/>
      <c r="M366" s="90"/>
      <c r="N366" s="90"/>
      <c r="O366" s="90"/>
      <c r="P366" s="90"/>
    </row>
    <row r="367" spans="1:16" ht="15.75" x14ac:dyDescent="0.2">
      <c r="A367" s="46"/>
      <c r="B367" s="62" t="str">
        <f>'[1]1нед'!$A$6</f>
        <v>Направление подготовки:</v>
      </c>
      <c r="C367" s="6"/>
      <c r="D367" s="7"/>
      <c r="E367" s="8" t="str">
        <f>E7</f>
        <v>09.03.04Программная инженерия (Программно-информационные системы)</v>
      </c>
      <c r="F367" s="7"/>
      <c r="G367" s="7"/>
      <c r="H367" s="36" t="str">
        <f>H7</f>
        <v>12-26ПИ1з</v>
      </c>
      <c r="I367" s="46"/>
      <c r="J367" s="62" t="str">
        <f>'[1]1нед'!$A$6</f>
        <v>Направление подготовки:</v>
      </c>
      <c r="K367" s="6"/>
      <c r="L367" s="7"/>
      <c r="M367" s="8" t="str">
        <f>E7</f>
        <v>09.03.04Программная инженерия (Программно-информационные системы)</v>
      </c>
      <c r="N367" s="7"/>
      <c r="O367" s="7"/>
      <c r="P367" s="36" t="str">
        <f>H7</f>
        <v>12-26ПИ1з</v>
      </c>
    </row>
    <row r="368" spans="1:16" ht="15.75" x14ac:dyDescent="0.25">
      <c r="A368" s="45"/>
      <c r="B368" s="81" t="s">
        <v>5</v>
      </c>
      <c r="C368" s="81"/>
      <c r="D368" s="81"/>
      <c r="E368" s="81" t="str">
        <f t="shared" ref="E368" si="4">E8</f>
        <v>очно-заочная</v>
      </c>
      <c r="F368" s="81"/>
      <c r="G368" s="81"/>
      <c r="H368" s="81"/>
      <c r="I368" s="45"/>
      <c r="J368" s="81" t="s">
        <v>5</v>
      </c>
      <c r="K368" s="81"/>
      <c r="L368" s="81"/>
      <c r="M368" s="81" t="str">
        <f t="shared" ref="M368" si="5">E8</f>
        <v>очно-заочная</v>
      </c>
      <c r="N368" s="81"/>
      <c r="O368" s="81"/>
      <c r="P368" s="81"/>
    </row>
    <row r="369" spans="1:16" ht="15.75" x14ac:dyDescent="0.25">
      <c r="A369" s="45"/>
      <c r="B369" s="81" t="s">
        <v>7</v>
      </c>
      <c r="C369" s="81"/>
      <c r="D369" s="81"/>
      <c r="E369" s="62">
        <f>E9</f>
        <v>3</v>
      </c>
      <c r="F369" s="62"/>
      <c r="G369" s="62"/>
      <c r="H369" s="35"/>
      <c r="I369" s="45"/>
      <c r="J369" s="81" t="s">
        <v>7</v>
      </c>
      <c r="K369" s="81"/>
      <c r="L369" s="81"/>
      <c r="M369" s="62">
        <f>E9</f>
        <v>3</v>
      </c>
      <c r="N369" s="62"/>
      <c r="O369" s="62"/>
      <c r="P369" s="35"/>
    </row>
    <row r="370" spans="1:16" ht="16.5" thickBot="1" x14ac:dyDescent="0.3">
      <c r="A370" s="45"/>
      <c r="B370" s="93" t="s">
        <v>8</v>
      </c>
      <c r="C370" s="93"/>
      <c r="D370" s="93"/>
      <c r="E370" s="63">
        <f>M310+1</f>
        <v>13</v>
      </c>
      <c r="F370" s="63"/>
      <c r="G370" s="63"/>
      <c r="H370" s="37"/>
      <c r="I370" s="45"/>
      <c r="J370" s="93" t="s">
        <v>8</v>
      </c>
      <c r="K370" s="93"/>
      <c r="L370" s="93"/>
      <c r="M370" s="63">
        <f>E370+1</f>
        <v>14</v>
      </c>
      <c r="N370" s="63"/>
      <c r="O370" s="63"/>
      <c r="P370" s="37"/>
    </row>
    <row r="371" spans="1:16" ht="46.5" customHeight="1" thickTop="1" thickBot="1" x14ac:dyDescent="0.25">
      <c r="A371" s="79" t="s">
        <v>9</v>
      </c>
      <c r="B371" s="80"/>
      <c r="C371" s="10" t="s">
        <v>10</v>
      </c>
      <c r="D371" s="11" t="s">
        <v>11</v>
      </c>
      <c r="E371" s="12" t="s">
        <v>12</v>
      </c>
      <c r="F371" s="91" t="s">
        <v>13</v>
      </c>
      <c r="G371" s="92"/>
      <c r="H371" s="13" t="s">
        <v>14</v>
      </c>
      <c r="I371" s="79" t="s">
        <v>9</v>
      </c>
      <c r="J371" s="80"/>
      <c r="K371" s="10" t="s">
        <v>10</v>
      </c>
      <c r="L371" s="11" t="s">
        <v>11</v>
      </c>
      <c r="M371" s="12" t="s">
        <v>12</v>
      </c>
      <c r="N371" s="91" t="s">
        <v>13</v>
      </c>
      <c r="O371" s="92"/>
      <c r="P371" s="13" t="s">
        <v>14</v>
      </c>
    </row>
    <row r="372" spans="1:16" ht="35.1" customHeight="1" thickTop="1" x14ac:dyDescent="0.2">
      <c r="A372" s="70">
        <v>46349</v>
      </c>
      <c r="B372" s="84" t="s">
        <v>17</v>
      </c>
      <c r="C372" s="14" t="s">
        <v>18</v>
      </c>
      <c r="D372" s="16">
        <f>'[4]13нед'!S260</f>
        <v>0</v>
      </c>
      <c r="E372" s="19">
        <f>'[4]13нед'!T260</f>
        <v>0</v>
      </c>
      <c r="F372" s="17">
        <f>'[4]13нед'!W260</f>
        <v>0</v>
      </c>
      <c r="G372" s="18" t="str">
        <f>'[4]13нед'!X260</f>
        <v/>
      </c>
      <c r="H372" s="40"/>
      <c r="I372" s="70">
        <v>46356</v>
      </c>
      <c r="J372" s="87" t="s">
        <v>17</v>
      </c>
      <c r="K372" s="14" t="s">
        <v>18</v>
      </c>
      <c r="L372" s="16">
        <f>'[5]14нед'!S260</f>
        <v>0</v>
      </c>
      <c r="M372" s="19">
        <f>'[5]14нед'!T260</f>
        <v>0</v>
      </c>
      <c r="N372" s="17">
        <f>'[5]14нед'!W260</f>
        <v>0</v>
      </c>
      <c r="O372" s="18" t="str">
        <f>'[5]14нед'!X260</f>
        <v/>
      </c>
      <c r="P372" s="40"/>
    </row>
    <row r="373" spans="1:16" ht="31.5" x14ac:dyDescent="0.2">
      <c r="A373" s="82"/>
      <c r="B373" s="85"/>
      <c r="C373" s="14" t="s">
        <v>19</v>
      </c>
      <c r="D373" s="20">
        <f>'[4]13нед'!S261</f>
        <v>0</v>
      </c>
      <c r="E373" s="23">
        <f>'[4]13нед'!T261</f>
        <v>0</v>
      </c>
      <c r="F373" s="21">
        <f>'[4]13нед'!W261</f>
        <v>0</v>
      </c>
      <c r="G373" s="22" t="str">
        <f>'[4]13нед'!X261</f>
        <v/>
      </c>
      <c r="H373" s="38"/>
      <c r="I373" s="71"/>
      <c r="J373" s="88"/>
      <c r="K373" s="14" t="s">
        <v>19</v>
      </c>
      <c r="L373" s="20">
        <f>'[5]14нед'!S261</f>
        <v>0</v>
      </c>
      <c r="M373" s="23">
        <f>'[5]14нед'!T261</f>
        <v>0</v>
      </c>
      <c r="N373" s="21">
        <f>'[5]14нед'!W261</f>
        <v>0</v>
      </c>
      <c r="O373" s="22" t="str">
        <f>'[5]14нед'!X261</f>
        <v/>
      </c>
      <c r="P373" s="38"/>
    </row>
    <row r="374" spans="1:16" ht="31.5" x14ac:dyDescent="0.2">
      <c r="A374" s="82"/>
      <c r="B374" s="85"/>
      <c r="C374" s="14" t="s">
        <v>20</v>
      </c>
      <c r="D374" s="20">
        <f>'[4]13нед'!S262</f>
        <v>0</v>
      </c>
      <c r="E374" s="23">
        <f>'[4]13нед'!T262</f>
        <v>0</v>
      </c>
      <c r="F374" s="21">
        <f>'[4]13нед'!W262</f>
        <v>0</v>
      </c>
      <c r="G374" s="22" t="str">
        <f>'[4]13нед'!X262</f>
        <v/>
      </c>
      <c r="H374" s="38"/>
      <c r="I374" s="71"/>
      <c r="J374" s="88"/>
      <c r="K374" s="14" t="s">
        <v>20</v>
      </c>
      <c r="L374" s="20">
        <f>'[5]14нед'!S262</f>
        <v>0</v>
      </c>
      <c r="M374" s="23">
        <f>'[5]14нед'!T262</f>
        <v>0</v>
      </c>
      <c r="N374" s="21">
        <f>'[5]14нед'!W262</f>
        <v>0</v>
      </c>
      <c r="O374" s="22" t="str">
        <f>'[5]14нед'!X262</f>
        <v/>
      </c>
      <c r="P374" s="38"/>
    </row>
    <row r="375" spans="1:16" ht="31.5" x14ac:dyDescent="0.2">
      <c r="A375" s="82"/>
      <c r="B375" s="85"/>
      <c r="C375" s="14" t="s">
        <v>21</v>
      </c>
      <c r="D375" s="20">
        <f>'[4]13нед'!S263</f>
        <v>0</v>
      </c>
      <c r="E375" s="23">
        <f>'[4]13нед'!T263</f>
        <v>0</v>
      </c>
      <c r="F375" s="21">
        <f>'[4]13нед'!W263</f>
        <v>0</v>
      </c>
      <c r="G375" s="22" t="str">
        <f>'[4]13нед'!X263</f>
        <v/>
      </c>
      <c r="H375" s="38"/>
      <c r="I375" s="71"/>
      <c r="J375" s="88"/>
      <c r="K375" s="14" t="s">
        <v>21</v>
      </c>
      <c r="L375" s="20">
        <f>'[5]14нед'!S263</f>
        <v>0</v>
      </c>
      <c r="M375" s="23">
        <f>'[5]14нед'!T263</f>
        <v>0</v>
      </c>
      <c r="N375" s="21">
        <f>'[5]14нед'!W263</f>
        <v>0</v>
      </c>
      <c r="O375" s="22" t="str">
        <f>'[5]14нед'!X263</f>
        <v/>
      </c>
      <c r="P375" s="38"/>
    </row>
    <row r="376" spans="1:16" ht="31.5" x14ac:dyDescent="0.2">
      <c r="A376" s="82"/>
      <c r="B376" s="85"/>
      <c r="C376" s="14" t="s">
        <v>22</v>
      </c>
      <c r="D376" s="20">
        <f>'[4]13нед'!S264</f>
        <v>0</v>
      </c>
      <c r="E376" s="23">
        <f>'[4]13нед'!T264</f>
        <v>0</v>
      </c>
      <c r="F376" s="21">
        <f>'[4]13нед'!W264</f>
        <v>0</v>
      </c>
      <c r="G376" s="22" t="str">
        <f>'[4]13нед'!X264</f>
        <v/>
      </c>
      <c r="H376" s="38"/>
      <c r="I376" s="71"/>
      <c r="J376" s="88"/>
      <c r="K376" s="14" t="s">
        <v>22</v>
      </c>
      <c r="L376" s="20">
        <f>'[5]14нед'!S264</f>
        <v>0</v>
      </c>
      <c r="M376" s="23">
        <f>'[5]14нед'!T264</f>
        <v>0</v>
      </c>
      <c r="N376" s="21">
        <f>'[5]14нед'!W264</f>
        <v>0</v>
      </c>
      <c r="O376" s="22" t="str">
        <f>'[5]14нед'!X264</f>
        <v/>
      </c>
      <c r="P376" s="38"/>
    </row>
    <row r="377" spans="1:16" ht="31.5" x14ac:dyDescent="0.2">
      <c r="A377" s="82"/>
      <c r="B377" s="85"/>
      <c r="C377" s="14" t="s">
        <v>23</v>
      </c>
      <c r="D377" s="20">
        <f>'[4]13нед'!S265</f>
        <v>0</v>
      </c>
      <c r="E377" s="23">
        <f>'[4]13нед'!T265</f>
        <v>0</v>
      </c>
      <c r="F377" s="21">
        <f>'[4]13нед'!W265</f>
        <v>0</v>
      </c>
      <c r="G377" s="22" t="str">
        <f>'[4]13нед'!X265</f>
        <v/>
      </c>
      <c r="H377" s="38"/>
      <c r="I377" s="71"/>
      <c r="J377" s="88"/>
      <c r="K377" s="14" t="s">
        <v>23</v>
      </c>
      <c r="L377" s="20">
        <f>'[5]14нед'!S265</f>
        <v>0</v>
      </c>
      <c r="M377" s="23">
        <f>'[5]14нед'!T265</f>
        <v>0</v>
      </c>
      <c r="N377" s="21">
        <f>'[5]14нед'!W265</f>
        <v>0</v>
      </c>
      <c r="O377" s="22" t="str">
        <f>'[5]14нед'!X265</f>
        <v/>
      </c>
      <c r="P377" s="38"/>
    </row>
    <row r="378" spans="1:16" ht="32.25" thickBot="1" x14ac:dyDescent="0.25">
      <c r="A378" s="82"/>
      <c r="B378" s="85"/>
      <c r="C378" s="14" t="s">
        <v>24</v>
      </c>
      <c r="D378" s="20">
        <f>'[4]13нед'!S266</f>
        <v>0</v>
      </c>
      <c r="E378" s="23">
        <f>'[4]13нед'!T266</f>
        <v>0</v>
      </c>
      <c r="F378" s="21">
        <f>'[4]13нед'!W266</f>
        <v>0</v>
      </c>
      <c r="G378" s="22" t="str">
        <f>'[4]13нед'!X266</f>
        <v/>
      </c>
      <c r="H378" s="38"/>
      <c r="I378" s="71"/>
      <c r="J378" s="88"/>
      <c r="K378" s="14" t="s">
        <v>24</v>
      </c>
      <c r="L378" s="20">
        <f>'[5]14нед'!S266</f>
        <v>0</v>
      </c>
      <c r="M378" s="23">
        <f>'[5]14нед'!T266</f>
        <v>0</v>
      </c>
      <c r="N378" s="21">
        <f>'[5]14нед'!W266</f>
        <v>0</v>
      </c>
      <c r="O378" s="22" t="str">
        <f>'[5]14нед'!X266</f>
        <v/>
      </c>
      <c r="P378" s="38"/>
    </row>
    <row r="379" spans="1:16" ht="18.600000000000001" hidden="1" customHeight="1" thickBot="1" x14ac:dyDescent="0.25">
      <c r="A379" s="83"/>
      <c r="B379" s="86"/>
      <c r="C379" s="15"/>
      <c r="D379" s="24">
        <f>'[4]13нед'!S267</f>
        <v>0</v>
      </c>
      <c r="E379" s="25">
        <f>'[4]13нед'!T267</f>
        <v>0</v>
      </c>
      <c r="F379" s="26">
        <f>'[4]13нед'!W267</f>
        <v>0</v>
      </c>
      <c r="G379" s="27" t="str">
        <f>'[4]13нед'!X267</f>
        <v/>
      </c>
      <c r="H379" s="39"/>
      <c r="I379" s="72"/>
      <c r="J379" s="89"/>
      <c r="K379" s="15"/>
      <c r="L379" s="24">
        <f>'[5]14нед'!S267</f>
        <v>0</v>
      </c>
      <c r="M379" s="25">
        <f>'[5]14нед'!T267</f>
        <v>0</v>
      </c>
      <c r="N379" s="26">
        <f>'[5]14нед'!W267</f>
        <v>0</v>
      </c>
      <c r="O379" s="27" t="str">
        <f>'[5]14нед'!X267</f>
        <v/>
      </c>
      <c r="P379" s="39"/>
    </row>
    <row r="380" spans="1:16" ht="32.25" customHeight="1" thickTop="1" x14ac:dyDescent="0.2">
      <c r="A380" s="70">
        <v>46350</v>
      </c>
      <c r="B380" s="84" t="s">
        <v>25</v>
      </c>
      <c r="C380" s="29" t="s">
        <v>18</v>
      </c>
      <c r="D380" s="16">
        <f>'[4]13нед'!S268</f>
        <v>0</v>
      </c>
      <c r="E380" s="19">
        <f>'[4]13нед'!T268</f>
        <v>0</v>
      </c>
      <c r="F380" s="17">
        <f>'[4]13нед'!W268</f>
        <v>0</v>
      </c>
      <c r="G380" s="18" t="str">
        <f>'[4]13нед'!X268</f>
        <v/>
      </c>
      <c r="H380" s="40"/>
      <c r="I380" s="70">
        <v>46357</v>
      </c>
      <c r="J380" s="87" t="s">
        <v>25</v>
      </c>
      <c r="K380" s="29" t="s">
        <v>18</v>
      </c>
      <c r="L380" s="16">
        <f>'[5]14нед'!S268</f>
        <v>0</v>
      </c>
      <c r="M380" s="19">
        <f>'[5]14нед'!T268</f>
        <v>0</v>
      </c>
      <c r="N380" s="17">
        <f>'[5]14нед'!W268</f>
        <v>0</v>
      </c>
      <c r="O380" s="18" t="str">
        <f>'[5]14нед'!X268</f>
        <v/>
      </c>
      <c r="P380" s="40"/>
    </row>
    <row r="381" spans="1:16" ht="31.5" x14ac:dyDescent="0.2">
      <c r="A381" s="82"/>
      <c r="B381" s="85"/>
      <c r="C381" s="14" t="s">
        <v>19</v>
      </c>
      <c r="D381" s="20">
        <f>'[4]13нед'!S269</f>
        <v>0</v>
      </c>
      <c r="E381" s="23">
        <f>'[4]13нед'!T269</f>
        <v>0</v>
      </c>
      <c r="F381" s="21">
        <f>'[4]13нед'!W269</f>
        <v>0</v>
      </c>
      <c r="G381" s="22" t="str">
        <f>'[4]13нед'!X269</f>
        <v/>
      </c>
      <c r="H381" s="38"/>
      <c r="I381" s="71"/>
      <c r="J381" s="88"/>
      <c r="K381" s="14" t="s">
        <v>19</v>
      </c>
      <c r="L381" s="20">
        <f>'[5]14нед'!S269</f>
        <v>0</v>
      </c>
      <c r="M381" s="23">
        <f>'[5]14нед'!T269</f>
        <v>0</v>
      </c>
      <c r="N381" s="21">
        <f>'[5]14нед'!W269</f>
        <v>0</v>
      </c>
      <c r="O381" s="22" t="str">
        <f>'[5]14нед'!X269</f>
        <v/>
      </c>
      <c r="P381" s="38"/>
    </row>
    <row r="382" spans="1:16" ht="31.5" x14ac:dyDescent="0.2">
      <c r="A382" s="82"/>
      <c r="B382" s="85"/>
      <c r="C382" s="14" t="s">
        <v>20</v>
      </c>
      <c r="D382" s="20">
        <f>'[4]13нед'!S270</f>
        <v>0</v>
      </c>
      <c r="E382" s="23">
        <f>'[4]13нед'!T270</f>
        <v>0</v>
      </c>
      <c r="F382" s="21">
        <f>'[4]13нед'!W270</f>
        <v>0</v>
      </c>
      <c r="G382" s="22" t="str">
        <f>'[4]13нед'!X270</f>
        <v/>
      </c>
      <c r="H382" s="38"/>
      <c r="I382" s="71"/>
      <c r="J382" s="88"/>
      <c r="K382" s="14" t="s">
        <v>20</v>
      </c>
      <c r="L382" s="20">
        <f>'[5]14нед'!S270</f>
        <v>0</v>
      </c>
      <c r="M382" s="23">
        <f>'[5]14нед'!T270</f>
        <v>0</v>
      </c>
      <c r="N382" s="21">
        <f>'[5]14нед'!W270</f>
        <v>0</v>
      </c>
      <c r="O382" s="22" t="str">
        <f>'[5]14нед'!X270</f>
        <v/>
      </c>
      <c r="P382" s="38"/>
    </row>
    <row r="383" spans="1:16" ht="31.5" x14ac:dyDescent="0.2">
      <c r="A383" s="82"/>
      <c r="B383" s="85"/>
      <c r="C383" s="14" t="s">
        <v>21</v>
      </c>
      <c r="D383" s="20">
        <f>'[4]13нед'!S271</f>
        <v>0</v>
      </c>
      <c r="E383" s="23">
        <f>'[4]13нед'!T271</f>
        <v>0</v>
      </c>
      <c r="F383" s="21">
        <f>'[4]13нед'!W271</f>
        <v>0</v>
      </c>
      <c r="G383" s="22" t="str">
        <f>'[4]13нед'!X271</f>
        <v/>
      </c>
      <c r="H383" s="38"/>
      <c r="I383" s="71"/>
      <c r="J383" s="88"/>
      <c r="K383" s="14" t="s">
        <v>21</v>
      </c>
      <c r="L383" s="20">
        <f>'[5]14нед'!S271</f>
        <v>0</v>
      </c>
      <c r="M383" s="23">
        <f>'[5]14нед'!T271</f>
        <v>0</v>
      </c>
      <c r="N383" s="21">
        <f>'[5]14нед'!W271</f>
        <v>0</v>
      </c>
      <c r="O383" s="22" t="str">
        <f>'[5]14нед'!X271</f>
        <v/>
      </c>
      <c r="P383" s="38"/>
    </row>
    <row r="384" spans="1:16" ht="31.5" x14ac:dyDescent="0.2">
      <c r="A384" s="82"/>
      <c r="B384" s="85"/>
      <c r="C384" s="14" t="s">
        <v>22</v>
      </c>
      <c r="D384" s="20">
        <f>'[4]13нед'!S272</f>
        <v>0</v>
      </c>
      <c r="E384" s="23">
        <f>'[4]13нед'!T272</f>
        <v>0</v>
      </c>
      <c r="F384" s="21">
        <f>'[4]13нед'!W272</f>
        <v>0</v>
      </c>
      <c r="G384" s="22" t="str">
        <f>'[4]13нед'!X272</f>
        <v/>
      </c>
      <c r="H384" s="38"/>
      <c r="I384" s="71"/>
      <c r="J384" s="88"/>
      <c r="K384" s="14" t="s">
        <v>22</v>
      </c>
      <c r="L384" s="20">
        <f>'[5]14нед'!S272</f>
        <v>0</v>
      </c>
      <c r="M384" s="23">
        <f>'[5]14нед'!T272</f>
        <v>0</v>
      </c>
      <c r="N384" s="21">
        <f>'[5]14нед'!W272</f>
        <v>0</v>
      </c>
      <c r="O384" s="22" t="str">
        <f>'[5]14нед'!X272</f>
        <v/>
      </c>
      <c r="P384" s="38"/>
    </row>
    <row r="385" spans="1:16" ht="31.5" x14ac:dyDescent="0.2">
      <c r="A385" s="82"/>
      <c r="B385" s="85"/>
      <c r="C385" s="14" t="s">
        <v>23</v>
      </c>
      <c r="D385" s="20">
        <f>'[4]13нед'!S273</f>
        <v>0</v>
      </c>
      <c r="E385" s="23">
        <f>'[4]13нед'!T273</f>
        <v>0</v>
      </c>
      <c r="F385" s="21">
        <f>'[4]13нед'!W273</f>
        <v>0</v>
      </c>
      <c r="G385" s="22" t="str">
        <f>'[4]13нед'!X273</f>
        <v/>
      </c>
      <c r="H385" s="34"/>
      <c r="I385" s="71"/>
      <c r="J385" s="88"/>
      <c r="K385" s="14" t="s">
        <v>23</v>
      </c>
      <c r="L385" s="20">
        <f>'[5]14нед'!S273</f>
        <v>0</v>
      </c>
      <c r="M385" s="23">
        <f>'[5]14нед'!T273</f>
        <v>0</v>
      </c>
      <c r="N385" s="21">
        <f>'[5]14нед'!W273</f>
        <v>0</v>
      </c>
      <c r="O385" s="22" t="str">
        <f>'[5]14нед'!X273</f>
        <v/>
      </c>
      <c r="P385" s="34"/>
    </row>
    <row r="386" spans="1:16" ht="32.25" thickBot="1" x14ac:dyDescent="0.25">
      <c r="A386" s="82"/>
      <c r="B386" s="85"/>
      <c r="C386" s="14" t="s">
        <v>24</v>
      </c>
      <c r="D386" s="20">
        <f>'[4]13нед'!S274</f>
        <v>0</v>
      </c>
      <c r="E386" s="23">
        <f>'[4]13нед'!T274</f>
        <v>0</v>
      </c>
      <c r="F386" s="21">
        <f>'[4]13нед'!W274</f>
        <v>0</v>
      </c>
      <c r="G386" s="22" t="str">
        <f>'[4]13нед'!X274</f>
        <v/>
      </c>
      <c r="H386" s="34"/>
      <c r="I386" s="71"/>
      <c r="J386" s="88"/>
      <c r="K386" s="14" t="s">
        <v>24</v>
      </c>
      <c r="L386" s="20">
        <f>'[5]14нед'!S274</f>
        <v>0</v>
      </c>
      <c r="M386" s="23">
        <f>'[5]14нед'!T274</f>
        <v>0</v>
      </c>
      <c r="N386" s="21">
        <f>'[5]14нед'!W274</f>
        <v>0</v>
      </c>
      <c r="O386" s="22" t="str">
        <f>'[5]14нед'!X274</f>
        <v/>
      </c>
      <c r="P386" s="34"/>
    </row>
    <row r="387" spans="1:16" ht="18.600000000000001" hidden="1" customHeight="1" thickBot="1" x14ac:dyDescent="0.25">
      <c r="A387" s="83"/>
      <c r="B387" s="86"/>
      <c r="C387" s="15"/>
      <c r="D387" s="24">
        <f>'[4]13нед'!S275</f>
        <v>0</v>
      </c>
      <c r="E387" s="25">
        <f>'[4]13нед'!T275</f>
        <v>0</v>
      </c>
      <c r="F387" s="26">
        <f>'[4]13нед'!W275</f>
        <v>0</v>
      </c>
      <c r="G387" s="27" t="str">
        <f>'[4]13нед'!X275</f>
        <v/>
      </c>
      <c r="H387" s="39"/>
      <c r="I387" s="72"/>
      <c r="J387" s="89"/>
      <c r="K387" s="15"/>
      <c r="L387" s="24">
        <f>'[5]14нед'!S275</f>
        <v>0</v>
      </c>
      <c r="M387" s="25">
        <f>'[5]14нед'!T275</f>
        <v>0</v>
      </c>
      <c r="N387" s="26">
        <f>'[5]14нед'!W275</f>
        <v>0</v>
      </c>
      <c r="O387" s="27" t="str">
        <f>'[5]14нед'!X275</f>
        <v/>
      </c>
      <c r="P387" s="39"/>
    </row>
    <row r="388" spans="1:16" ht="48" customHeight="1" thickTop="1" x14ac:dyDescent="0.2">
      <c r="A388" s="70">
        <v>46351</v>
      </c>
      <c r="B388" s="67" t="s">
        <v>26</v>
      </c>
      <c r="C388" s="29" t="s">
        <v>18</v>
      </c>
      <c r="D388" s="16">
        <f>'[4]13нед'!S276</f>
        <v>0</v>
      </c>
      <c r="E388" s="19">
        <f>'[4]13нед'!T276</f>
        <v>0</v>
      </c>
      <c r="F388" s="17">
        <f>'[4]13нед'!W276</f>
        <v>0</v>
      </c>
      <c r="G388" s="18" t="str">
        <f>'[4]13нед'!X276</f>
        <v/>
      </c>
      <c r="H388" s="40"/>
      <c r="I388" s="70">
        <v>46358</v>
      </c>
      <c r="J388" s="73" t="s">
        <v>26</v>
      </c>
      <c r="K388" s="29" t="s">
        <v>18</v>
      </c>
      <c r="L388" s="16">
        <f>'[5]14нед'!S276</f>
        <v>0</v>
      </c>
      <c r="M388" s="19">
        <f>'[5]14нед'!T276</f>
        <v>0</v>
      </c>
      <c r="N388" s="17">
        <f>'[5]14нед'!W276</f>
        <v>0</v>
      </c>
      <c r="O388" s="18" t="str">
        <f>'[5]14нед'!X276</f>
        <v/>
      </c>
      <c r="P388" s="40"/>
    </row>
    <row r="389" spans="1:16" ht="31.5" x14ac:dyDescent="0.2">
      <c r="A389" s="82"/>
      <c r="B389" s="68"/>
      <c r="C389" s="14" t="s">
        <v>19</v>
      </c>
      <c r="D389" s="20">
        <f>'[4]13нед'!S277</f>
        <v>0</v>
      </c>
      <c r="E389" s="23">
        <f>'[4]13нед'!T277</f>
        <v>0</v>
      </c>
      <c r="F389" s="21">
        <f>'[4]13нед'!W277</f>
        <v>0</v>
      </c>
      <c r="G389" s="22" t="str">
        <f>'[4]13нед'!X277</f>
        <v/>
      </c>
      <c r="H389" s="38"/>
      <c r="I389" s="71"/>
      <c r="J389" s="74"/>
      <c r="K389" s="14" t="s">
        <v>19</v>
      </c>
      <c r="L389" s="20">
        <f>'[5]14нед'!S277</f>
        <v>0</v>
      </c>
      <c r="M389" s="23">
        <f>'[5]14нед'!T277</f>
        <v>0</v>
      </c>
      <c r="N389" s="21">
        <f>'[5]14нед'!W277</f>
        <v>0</v>
      </c>
      <c r="O389" s="22" t="str">
        <f>'[5]14нед'!X277</f>
        <v/>
      </c>
      <c r="P389" s="38"/>
    </row>
    <row r="390" spans="1:16" ht="31.5" x14ac:dyDescent="0.2">
      <c r="A390" s="82"/>
      <c r="B390" s="68"/>
      <c r="C390" s="14" t="s">
        <v>20</v>
      </c>
      <c r="D390" s="20">
        <f>'[4]13нед'!S278</f>
        <v>0</v>
      </c>
      <c r="E390" s="23">
        <f>'[4]13нед'!T278</f>
        <v>0</v>
      </c>
      <c r="F390" s="21">
        <f>'[4]13нед'!W278</f>
        <v>0</v>
      </c>
      <c r="G390" s="22" t="str">
        <f>'[4]13нед'!X278</f>
        <v/>
      </c>
      <c r="H390" s="38"/>
      <c r="I390" s="71"/>
      <c r="J390" s="74"/>
      <c r="K390" s="14" t="s">
        <v>20</v>
      </c>
      <c r="L390" s="20">
        <f>'[5]14нед'!S278</f>
        <v>0</v>
      </c>
      <c r="M390" s="23">
        <f>'[5]14нед'!T278</f>
        <v>0</v>
      </c>
      <c r="N390" s="21">
        <f>'[5]14нед'!W278</f>
        <v>0</v>
      </c>
      <c r="O390" s="22" t="str">
        <f>'[5]14нед'!X278</f>
        <v/>
      </c>
      <c r="P390" s="38"/>
    </row>
    <row r="391" spans="1:16" ht="31.5" x14ac:dyDescent="0.2">
      <c r="A391" s="82"/>
      <c r="B391" s="68"/>
      <c r="C391" s="14" t="s">
        <v>21</v>
      </c>
      <c r="D391" s="20">
        <f>'[4]13нед'!S279</f>
        <v>0</v>
      </c>
      <c r="E391" s="23">
        <f>'[4]13нед'!T279</f>
        <v>0</v>
      </c>
      <c r="F391" s="21">
        <f>'[4]13нед'!W279</f>
        <v>0</v>
      </c>
      <c r="G391" s="22" t="str">
        <f>'[4]13нед'!X279</f>
        <v/>
      </c>
      <c r="H391" s="38"/>
      <c r="I391" s="71"/>
      <c r="J391" s="74"/>
      <c r="K391" s="14" t="s">
        <v>21</v>
      </c>
      <c r="L391" s="20">
        <f>'[5]14нед'!S279</f>
        <v>0</v>
      </c>
      <c r="M391" s="23">
        <f>'[5]14нед'!T279</f>
        <v>0</v>
      </c>
      <c r="N391" s="21">
        <f>'[5]14нед'!W279</f>
        <v>0</v>
      </c>
      <c r="O391" s="22" t="str">
        <f>'[5]14нед'!X279</f>
        <v/>
      </c>
      <c r="P391" s="38"/>
    </row>
    <row r="392" spans="1:16" ht="31.5" x14ac:dyDescent="0.2">
      <c r="A392" s="82"/>
      <c r="B392" s="68"/>
      <c r="C392" s="14" t="s">
        <v>22</v>
      </c>
      <c r="D392" s="20">
        <f>'[4]13нед'!S280</f>
        <v>0</v>
      </c>
      <c r="E392" s="23">
        <f>'[4]13нед'!T280</f>
        <v>0</v>
      </c>
      <c r="F392" s="21">
        <f>'[4]13нед'!W280</f>
        <v>0</v>
      </c>
      <c r="G392" s="22" t="str">
        <f>'[4]13нед'!X280</f>
        <v/>
      </c>
      <c r="H392" s="38"/>
      <c r="I392" s="71"/>
      <c r="J392" s="74"/>
      <c r="K392" s="14" t="s">
        <v>22</v>
      </c>
      <c r="L392" s="20">
        <f>'[5]14нед'!S280</f>
        <v>0</v>
      </c>
      <c r="M392" s="23">
        <f>'[5]14нед'!T280</f>
        <v>0</v>
      </c>
      <c r="N392" s="21">
        <f>'[5]14нед'!W280</f>
        <v>0</v>
      </c>
      <c r="O392" s="22" t="str">
        <f>'[5]14нед'!X280</f>
        <v/>
      </c>
      <c r="P392" s="38"/>
    </row>
    <row r="393" spans="1:16" ht="31.5" x14ac:dyDescent="0.2">
      <c r="A393" s="82"/>
      <c r="B393" s="68"/>
      <c r="C393" s="14" t="s">
        <v>23</v>
      </c>
      <c r="D393" s="20">
        <f>'[4]13нед'!S281</f>
        <v>0</v>
      </c>
      <c r="E393" s="23">
        <f>'[4]13нед'!T281</f>
        <v>0</v>
      </c>
      <c r="F393" s="21">
        <f>'[4]13нед'!W281</f>
        <v>0</v>
      </c>
      <c r="G393" s="22" t="str">
        <f>'[4]13нед'!X281</f>
        <v/>
      </c>
      <c r="H393" s="34"/>
      <c r="I393" s="71"/>
      <c r="J393" s="74"/>
      <c r="K393" s="14" t="s">
        <v>23</v>
      </c>
      <c r="L393" s="20">
        <f>'[5]14нед'!S281</f>
        <v>0</v>
      </c>
      <c r="M393" s="23">
        <f>'[5]14нед'!T281</f>
        <v>0</v>
      </c>
      <c r="N393" s="21">
        <f>'[5]14нед'!W281</f>
        <v>0</v>
      </c>
      <c r="O393" s="22" t="str">
        <f>'[5]14нед'!X281</f>
        <v/>
      </c>
      <c r="P393" s="34"/>
    </row>
    <row r="394" spans="1:16" ht="32.25" thickBot="1" x14ac:dyDescent="0.25">
      <c r="A394" s="82"/>
      <c r="B394" s="68"/>
      <c r="C394" s="14" t="s">
        <v>24</v>
      </c>
      <c r="D394" s="20">
        <f>'[4]13нед'!S282</f>
        <v>0</v>
      </c>
      <c r="E394" s="23">
        <f>'[4]13нед'!T282</f>
        <v>0</v>
      </c>
      <c r="F394" s="21">
        <f>'[4]13нед'!W282</f>
        <v>0</v>
      </c>
      <c r="G394" s="22" t="str">
        <f>'[4]13нед'!X282</f>
        <v/>
      </c>
      <c r="H394" s="34"/>
      <c r="I394" s="71"/>
      <c r="J394" s="74"/>
      <c r="K394" s="14" t="s">
        <v>24</v>
      </c>
      <c r="L394" s="20">
        <f>'[5]14нед'!S282</f>
        <v>0</v>
      </c>
      <c r="M394" s="23">
        <f>'[5]14нед'!T282</f>
        <v>0</v>
      </c>
      <c r="N394" s="21">
        <f>'[5]14нед'!W282</f>
        <v>0</v>
      </c>
      <c r="O394" s="22" t="str">
        <f>'[5]14нед'!X282</f>
        <v/>
      </c>
      <c r="P394" s="34"/>
    </row>
    <row r="395" spans="1:16" ht="18.600000000000001" hidden="1" customHeight="1" thickBot="1" x14ac:dyDescent="0.25">
      <c r="A395" s="83"/>
      <c r="B395" s="69"/>
      <c r="C395" s="15"/>
      <c r="D395" s="24">
        <f>'[4]13нед'!S283</f>
        <v>0</v>
      </c>
      <c r="E395" s="25">
        <f>'[4]13нед'!T283</f>
        <v>0</v>
      </c>
      <c r="F395" s="26">
        <f>'[4]13нед'!W283</f>
        <v>0</v>
      </c>
      <c r="G395" s="27" t="str">
        <f>'[4]13нед'!X283</f>
        <v/>
      </c>
      <c r="H395" s="39"/>
      <c r="I395" s="72"/>
      <c r="J395" s="75"/>
      <c r="K395" s="15"/>
      <c r="L395" s="24">
        <f>'[5]14нед'!S283</f>
        <v>0</v>
      </c>
      <c r="M395" s="25">
        <f>'[5]14нед'!T283</f>
        <v>0</v>
      </c>
      <c r="N395" s="26">
        <f>'[5]14нед'!W283</f>
        <v>0</v>
      </c>
      <c r="O395" s="27" t="str">
        <f>'[5]14нед'!X283</f>
        <v/>
      </c>
      <c r="P395" s="39"/>
    </row>
    <row r="396" spans="1:16" ht="48" customHeight="1" thickTop="1" x14ac:dyDescent="0.2">
      <c r="A396" s="70">
        <v>46352</v>
      </c>
      <c r="B396" s="84" t="s">
        <v>27</v>
      </c>
      <c r="C396" s="29" t="s">
        <v>18</v>
      </c>
      <c r="D396" s="16">
        <f>'[4]13нед'!S284</f>
        <v>0</v>
      </c>
      <c r="E396" s="19">
        <f>'[4]13нед'!T284</f>
        <v>0</v>
      </c>
      <c r="F396" s="17">
        <f>'[4]13нед'!W284</f>
        <v>0</v>
      </c>
      <c r="G396" s="18" t="str">
        <f>'[4]13нед'!X284</f>
        <v/>
      </c>
      <c r="H396" s="40"/>
      <c r="I396" s="70">
        <v>46359</v>
      </c>
      <c r="J396" s="87" t="s">
        <v>27</v>
      </c>
      <c r="K396" s="29" t="s">
        <v>18</v>
      </c>
      <c r="L396" s="16">
        <f>'[5]14нед'!S284</f>
        <v>0</v>
      </c>
      <c r="M396" s="19">
        <f>'[5]14нед'!T284</f>
        <v>0</v>
      </c>
      <c r="N396" s="17">
        <f>'[5]14нед'!W284</f>
        <v>0</v>
      </c>
      <c r="O396" s="18" t="str">
        <f>'[5]14нед'!X284</f>
        <v/>
      </c>
      <c r="P396" s="40"/>
    </row>
    <row r="397" spans="1:16" ht="31.5" x14ac:dyDescent="0.2">
      <c r="A397" s="82"/>
      <c r="B397" s="85"/>
      <c r="C397" s="14" t="s">
        <v>19</v>
      </c>
      <c r="D397" s="20">
        <f>'[4]13нед'!S285</f>
        <v>0</v>
      </c>
      <c r="E397" s="23">
        <f>'[4]13нед'!T285</f>
        <v>0</v>
      </c>
      <c r="F397" s="21">
        <f>'[4]13нед'!W285</f>
        <v>0</v>
      </c>
      <c r="G397" s="22" t="str">
        <f>'[4]13нед'!X285</f>
        <v/>
      </c>
      <c r="H397" s="38"/>
      <c r="I397" s="71"/>
      <c r="J397" s="88"/>
      <c r="K397" s="14" t="s">
        <v>19</v>
      </c>
      <c r="L397" s="20">
        <f>'[5]14нед'!S285</f>
        <v>0</v>
      </c>
      <c r="M397" s="23">
        <f>'[5]14нед'!T285</f>
        <v>0</v>
      </c>
      <c r="N397" s="21">
        <f>'[5]14нед'!W285</f>
        <v>0</v>
      </c>
      <c r="O397" s="22" t="str">
        <f>'[5]14нед'!X285</f>
        <v/>
      </c>
      <c r="P397" s="38"/>
    </row>
    <row r="398" spans="1:16" ht="31.5" x14ac:dyDescent="0.2">
      <c r="A398" s="82"/>
      <c r="B398" s="85"/>
      <c r="C398" s="14" t="s">
        <v>20</v>
      </c>
      <c r="D398" s="20">
        <f>'[4]13нед'!S286</f>
        <v>0</v>
      </c>
      <c r="E398" s="23">
        <f>'[4]13нед'!T286</f>
        <v>0</v>
      </c>
      <c r="F398" s="21">
        <f>'[4]13нед'!W286</f>
        <v>0</v>
      </c>
      <c r="G398" s="22" t="str">
        <f>'[4]13нед'!X286</f>
        <v/>
      </c>
      <c r="H398" s="38"/>
      <c r="I398" s="71"/>
      <c r="J398" s="88"/>
      <c r="K398" s="14" t="s">
        <v>20</v>
      </c>
      <c r="L398" s="20">
        <f>'[5]14нед'!S286</f>
        <v>0</v>
      </c>
      <c r="M398" s="23">
        <f>'[5]14нед'!T286</f>
        <v>0</v>
      </c>
      <c r="N398" s="21">
        <f>'[5]14нед'!W286</f>
        <v>0</v>
      </c>
      <c r="O398" s="22" t="str">
        <f>'[5]14нед'!X286</f>
        <v/>
      </c>
      <c r="P398" s="38"/>
    </row>
    <row r="399" spans="1:16" ht="31.5" x14ac:dyDescent="0.2">
      <c r="A399" s="82"/>
      <c r="B399" s="85"/>
      <c r="C399" s="14" t="s">
        <v>21</v>
      </c>
      <c r="D399" s="20">
        <f>'[4]13нед'!S287</f>
        <v>0</v>
      </c>
      <c r="E399" s="23">
        <f>'[4]13нед'!T287</f>
        <v>0</v>
      </c>
      <c r="F399" s="21">
        <f>'[4]13нед'!W287</f>
        <v>0</v>
      </c>
      <c r="G399" s="22" t="str">
        <f>'[4]13нед'!X287</f>
        <v/>
      </c>
      <c r="H399" s="38"/>
      <c r="I399" s="71"/>
      <c r="J399" s="88"/>
      <c r="K399" s="14" t="s">
        <v>21</v>
      </c>
      <c r="L399" s="20">
        <f>'[5]14нед'!S287</f>
        <v>0</v>
      </c>
      <c r="M399" s="23">
        <f>'[5]14нед'!T287</f>
        <v>0</v>
      </c>
      <c r="N399" s="21">
        <f>'[5]14нед'!W287</f>
        <v>0</v>
      </c>
      <c r="O399" s="22" t="str">
        <f>'[5]14нед'!X287</f>
        <v/>
      </c>
      <c r="P399" s="38"/>
    </row>
    <row r="400" spans="1:16" ht="31.5" x14ac:dyDescent="0.2">
      <c r="A400" s="82"/>
      <c r="B400" s="85"/>
      <c r="C400" s="14" t="s">
        <v>22</v>
      </c>
      <c r="D400" s="20">
        <f>'[4]13нед'!S288</f>
        <v>0</v>
      </c>
      <c r="E400" s="23">
        <f>'[4]13нед'!T288</f>
        <v>0</v>
      </c>
      <c r="F400" s="21">
        <f>'[4]13нед'!W288</f>
        <v>0</v>
      </c>
      <c r="G400" s="22" t="str">
        <f>'[4]13нед'!X288</f>
        <v/>
      </c>
      <c r="H400" s="38"/>
      <c r="I400" s="71"/>
      <c r="J400" s="88"/>
      <c r="K400" s="14" t="s">
        <v>22</v>
      </c>
      <c r="L400" s="20">
        <f>'[5]14нед'!S288</f>
        <v>0</v>
      </c>
      <c r="M400" s="23">
        <f>'[5]14нед'!T288</f>
        <v>0</v>
      </c>
      <c r="N400" s="21">
        <f>'[5]14нед'!W288</f>
        <v>0</v>
      </c>
      <c r="O400" s="22" t="str">
        <f>'[5]14нед'!X288</f>
        <v/>
      </c>
      <c r="P400" s="38"/>
    </row>
    <row r="401" spans="1:16" ht="31.5" x14ac:dyDescent="0.2">
      <c r="A401" s="82"/>
      <c r="B401" s="85"/>
      <c r="C401" s="14" t="s">
        <v>23</v>
      </c>
      <c r="D401" s="20">
        <f>'[4]13нед'!S289</f>
        <v>0</v>
      </c>
      <c r="E401" s="23">
        <f>'[4]13нед'!T289</f>
        <v>0</v>
      </c>
      <c r="F401" s="21">
        <f>'[4]13нед'!W289</f>
        <v>0</v>
      </c>
      <c r="G401" s="22" t="str">
        <f>'[4]13нед'!X289</f>
        <v/>
      </c>
      <c r="H401" s="34"/>
      <c r="I401" s="71"/>
      <c r="J401" s="88"/>
      <c r="K401" s="14" t="s">
        <v>23</v>
      </c>
      <c r="L401" s="20">
        <f>'[5]14нед'!S289</f>
        <v>0</v>
      </c>
      <c r="M401" s="23">
        <f>'[5]14нед'!T289</f>
        <v>0</v>
      </c>
      <c r="N401" s="21">
        <f>'[5]14нед'!W289</f>
        <v>0</v>
      </c>
      <c r="O401" s="22" t="str">
        <f>'[5]14нед'!X289</f>
        <v/>
      </c>
      <c r="P401" s="34"/>
    </row>
    <row r="402" spans="1:16" ht="32.25" thickBot="1" x14ac:dyDescent="0.25">
      <c r="A402" s="82"/>
      <c r="B402" s="85"/>
      <c r="C402" s="14" t="s">
        <v>24</v>
      </c>
      <c r="D402" s="20">
        <f>'[4]13нед'!S290</f>
        <v>0</v>
      </c>
      <c r="E402" s="23">
        <f>'[4]13нед'!T290</f>
        <v>0</v>
      </c>
      <c r="F402" s="21">
        <f>'[4]13нед'!W290</f>
        <v>0</v>
      </c>
      <c r="G402" s="22" t="str">
        <f>'[4]13нед'!X290</f>
        <v/>
      </c>
      <c r="H402" s="34"/>
      <c r="I402" s="71"/>
      <c r="J402" s="88"/>
      <c r="K402" s="14" t="s">
        <v>24</v>
      </c>
      <c r="L402" s="20">
        <f>'[5]14нед'!S290</f>
        <v>0</v>
      </c>
      <c r="M402" s="23">
        <f>'[5]14нед'!T290</f>
        <v>0</v>
      </c>
      <c r="N402" s="21">
        <f>'[5]14нед'!W290</f>
        <v>0</v>
      </c>
      <c r="O402" s="22" t="str">
        <f>'[5]14нед'!X290</f>
        <v/>
      </c>
      <c r="P402" s="34"/>
    </row>
    <row r="403" spans="1:16" ht="18.600000000000001" hidden="1" customHeight="1" thickBot="1" x14ac:dyDescent="0.25">
      <c r="A403" s="83"/>
      <c r="B403" s="86"/>
      <c r="C403" s="15"/>
      <c r="D403" s="24">
        <f>'[4]13нед'!S291</f>
        <v>0</v>
      </c>
      <c r="E403" s="25">
        <f>'[4]13нед'!T291</f>
        <v>0</v>
      </c>
      <c r="F403" s="26">
        <f>'[4]13нед'!W291</f>
        <v>0</v>
      </c>
      <c r="G403" s="27" t="str">
        <f>'[4]13нед'!X291</f>
        <v/>
      </c>
      <c r="H403" s="39"/>
      <c r="I403" s="72"/>
      <c r="J403" s="89"/>
      <c r="K403" s="15"/>
      <c r="L403" s="24">
        <f>'[5]14нед'!S291</f>
        <v>0</v>
      </c>
      <c r="M403" s="25">
        <f>'[5]14нед'!T291</f>
        <v>0</v>
      </c>
      <c r="N403" s="26">
        <f>'[5]14нед'!W291</f>
        <v>0</v>
      </c>
      <c r="O403" s="27" t="str">
        <f>'[5]14нед'!X291</f>
        <v/>
      </c>
      <c r="P403" s="39"/>
    </row>
    <row r="404" spans="1:16" ht="48" customHeight="1" thickTop="1" x14ac:dyDescent="0.2">
      <c r="A404" s="70">
        <v>46353</v>
      </c>
      <c r="B404" s="84" t="s">
        <v>28</v>
      </c>
      <c r="C404" s="29" t="s">
        <v>18</v>
      </c>
      <c r="D404" s="16">
        <f>'[4]13нед'!S292</f>
        <v>0</v>
      </c>
      <c r="E404" s="19">
        <f>'[4]13нед'!T292</f>
        <v>0</v>
      </c>
      <c r="F404" s="17">
        <f>'[4]13нед'!W292</f>
        <v>0</v>
      </c>
      <c r="G404" s="18" t="str">
        <f>'[4]13нед'!X292</f>
        <v/>
      </c>
      <c r="H404" s="40"/>
      <c r="I404" s="70">
        <v>46360</v>
      </c>
      <c r="J404" s="87" t="s">
        <v>28</v>
      </c>
      <c r="K404" s="29" t="s">
        <v>18</v>
      </c>
      <c r="L404" s="16">
        <f>'[5]14нед'!S292</f>
        <v>0</v>
      </c>
      <c r="M404" s="19">
        <f>'[5]14нед'!T292</f>
        <v>0</v>
      </c>
      <c r="N404" s="17">
        <f>'[5]14нед'!W292</f>
        <v>0</v>
      </c>
      <c r="O404" s="18" t="str">
        <f>'[5]14нед'!X292</f>
        <v/>
      </c>
      <c r="P404" s="40"/>
    </row>
    <row r="405" spans="1:16" ht="31.5" x14ac:dyDescent="0.2">
      <c r="A405" s="82"/>
      <c r="B405" s="85"/>
      <c r="C405" s="14" t="s">
        <v>19</v>
      </c>
      <c r="D405" s="20">
        <f>'[4]13нед'!S293</f>
        <v>0</v>
      </c>
      <c r="E405" s="23">
        <f>'[4]13нед'!T293</f>
        <v>0</v>
      </c>
      <c r="F405" s="21">
        <f>'[4]13нед'!W293</f>
        <v>0</v>
      </c>
      <c r="G405" s="22" t="str">
        <f>'[4]13нед'!X293</f>
        <v/>
      </c>
      <c r="H405" s="38"/>
      <c r="I405" s="71"/>
      <c r="J405" s="88"/>
      <c r="K405" s="14" t="s">
        <v>19</v>
      </c>
      <c r="L405" s="20">
        <f>'[5]14нед'!S293</f>
        <v>0</v>
      </c>
      <c r="M405" s="23">
        <f>'[5]14нед'!T293</f>
        <v>0</v>
      </c>
      <c r="N405" s="21">
        <f>'[5]14нед'!W293</f>
        <v>0</v>
      </c>
      <c r="O405" s="22" t="str">
        <f>'[5]14нед'!X293</f>
        <v/>
      </c>
      <c r="P405" s="38"/>
    </row>
    <row r="406" spans="1:16" ht="31.5" x14ac:dyDescent="0.2">
      <c r="A406" s="82"/>
      <c r="B406" s="85"/>
      <c r="C406" s="14" t="s">
        <v>20</v>
      </c>
      <c r="D406" s="20">
        <f>'[4]13нед'!S294</f>
        <v>0</v>
      </c>
      <c r="E406" s="23">
        <f>'[4]13нед'!T294</f>
        <v>0</v>
      </c>
      <c r="F406" s="21">
        <f>'[4]13нед'!W294</f>
        <v>0</v>
      </c>
      <c r="G406" s="22" t="str">
        <f>'[4]13нед'!X294</f>
        <v/>
      </c>
      <c r="H406" s="38"/>
      <c r="I406" s="71"/>
      <c r="J406" s="88"/>
      <c r="K406" s="14" t="s">
        <v>20</v>
      </c>
      <c r="L406" s="20">
        <f>'[5]14нед'!S294</f>
        <v>0</v>
      </c>
      <c r="M406" s="23">
        <f>'[5]14нед'!T294</f>
        <v>0</v>
      </c>
      <c r="N406" s="21">
        <f>'[5]14нед'!W294</f>
        <v>0</v>
      </c>
      <c r="O406" s="22" t="str">
        <f>'[5]14нед'!X294</f>
        <v/>
      </c>
      <c r="P406" s="38"/>
    </row>
    <row r="407" spans="1:16" ht="31.5" x14ac:dyDescent="0.2">
      <c r="A407" s="82"/>
      <c r="B407" s="85"/>
      <c r="C407" s="14" t="s">
        <v>21</v>
      </c>
      <c r="D407" s="20">
        <f>'[4]13нед'!S295</f>
        <v>0</v>
      </c>
      <c r="E407" s="23">
        <f>'[4]13нед'!T295</f>
        <v>0</v>
      </c>
      <c r="F407" s="21">
        <f>'[4]13нед'!W295</f>
        <v>0</v>
      </c>
      <c r="G407" s="22" t="str">
        <f>'[4]13нед'!X295</f>
        <v/>
      </c>
      <c r="H407" s="38"/>
      <c r="I407" s="71"/>
      <c r="J407" s="88"/>
      <c r="K407" s="14" t="s">
        <v>21</v>
      </c>
      <c r="L407" s="20">
        <f>'[5]14нед'!S295</f>
        <v>0</v>
      </c>
      <c r="M407" s="23">
        <f>'[5]14нед'!T295</f>
        <v>0</v>
      </c>
      <c r="N407" s="21">
        <f>'[5]14нед'!W295</f>
        <v>0</v>
      </c>
      <c r="O407" s="22" t="str">
        <f>'[5]14нед'!X295</f>
        <v/>
      </c>
      <c r="P407" s="38"/>
    </row>
    <row r="408" spans="1:16" ht="31.5" x14ac:dyDescent="0.2">
      <c r="A408" s="82"/>
      <c r="B408" s="85"/>
      <c r="C408" s="14" t="s">
        <v>22</v>
      </c>
      <c r="D408" s="20">
        <f>'[4]13нед'!S296</f>
        <v>0</v>
      </c>
      <c r="E408" s="23">
        <f>'[4]13нед'!T296</f>
        <v>0</v>
      </c>
      <c r="F408" s="21">
        <f>'[4]13нед'!W296</f>
        <v>0</v>
      </c>
      <c r="G408" s="22" t="str">
        <f>'[4]13нед'!X296</f>
        <v/>
      </c>
      <c r="H408" s="38"/>
      <c r="I408" s="71"/>
      <c r="J408" s="88"/>
      <c r="K408" s="14" t="s">
        <v>22</v>
      </c>
      <c r="L408" s="20">
        <f>'[5]14нед'!S296</f>
        <v>0</v>
      </c>
      <c r="M408" s="23">
        <f>'[5]14нед'!T296</f>
        <v>0</v>
      </c>
      <c r="N408" s="21">
        <f>'[5]14нед'!W296</f>
        <v>0</v>
      </c>
      <c r="O408" s="22" t="str">
        <f>'[5]14нед'!X296</f>
        <v/>
      </c>
      <c r="P408" s="38"/>
    </row>
    <row r="409" spans="1:16" ht="31.5" x14ac:dyDescent="0.2">
      <c r="A409" s="82"/>
      <c r="B409" s="85"/>
      <c r="C409" s="14" t="s">
        <v>23</v>
      </c>
      <c r="D409" s="20">
        <f>'[4]13нед'!S297</f>
        <v>0</v>
      </c>
      <c r="E409" s="23">
        <f>'[4]13нед'!T297</f>
        <v>0</v>
      </c>
      <c r="F409" s="21">
        <f>'[4]13нед'!W297</f>
        <v>0</v>
      </c>
      <c r="G409" s="22" t="str">
        <f>'[4]13нед'!X297</f>
        <v/>
      </c>
      <c r="H409" s="38"/>
      <c r="I409" s="71"/>
      <c r="J409" s="88"/>
      <c r="K409" s="14" t="s">
        <v>23</v>
      </c>
      <c r="L409" s="20">
        <f>'[5]14нед'!S297</f>
        <v>0</v>
      </c>
      <c r="M409" s="23">
        <f>'[5]14нед'!T297</f>
        <v>0</v>
      </c>
      <c r="N409" s="21">
        <f>'[5]14нед'!W297</f>
        <v>0</v>
      </c>
      <c r="O409" s="22" t="str">
        <f>'[5]14нед'!X297</f>
        <v/>
      </c>
      <c r="P409" s="38"/>
    </row>
    <row r="410" spans="1:16" ht="32.25" thickBot="1" x14ac:dyDescent="0.25">
      <c r="A410" s="82"/>
      <c r="B410" s="85"/>
      <c r="C410" s="14" t="s">
        <v>24</v>
      </c>
      <c r="D410" s="20">
        <f>'[4]13нед'!S298</f>
        <v>0</v>
      </c>
      <c r="E410" s="23">
        <f>'[4]13нед'!T298</f>
        <v>0</v>
      </c>
      <c r="F410" s="21">
        <f>'[4]13нед'!W298</f>
        <v>0</v>
      </c>
      <c r="G410" s="22" t="str">
        <f>'[4]13нед'!X298</f>
        <v/>
      </c>
      <c r="H410" s="38"/>
      <c r="I410" s="71"/>
      <c r="J410" s="88"/>
      <c r="K410" s="14" t="s">
        <v>24</v>
      </c>
      <c r="L410" s="20">
        <f>'[5]14нед'!S298</f>
        <v>0</v>
      </c>
      <c r="M410" s="23">
        <f>'[5]14нед'!T298</f>
        <v>0</v>
      </c>
      <c r="N410" s="21">
        <f>'[5]14нед'!W298</f>
        <v>0</v>
      </c>
      <c r="O410" s="22" t="str">
        <f>'[5]14нед'!X298</f>
        <v/>
      </c>
      <c r="P410" s="38"/>
    </row>
    <row r="411" spans="1:16" ht="18.600000000000001" hidden="1" customHeight="1" thickBot="1" x14ac:dyDescent="0.25">
      <c r="A411" s="83"/>
      <c r="B411" s="86"/>
      <c r="C411" s="15"/>
      <c r="D411" s="24">
        <f>'[4]13нед'!S299</f>
        <v>0</v>
      </c>
      <c r="E411" s="25">
        <f>'[4]13нед'!T299</f>
        <v>0</v>
      </c>
      <c r="F411" s="26">
        <f>'[4]13нед'!W299</f>
        <v>0</v>
      </c>
      <c r="G411" s="27" t="str">
        <f>'[4]13нед'!X299</f>
        <v/>
      </c>
      <c r="H411" s="39"/>
      <c r="I411" s="72"/>
      <c r="J411" s="89"/>
      <c r="K411" s="15"/>
      <c r="L411" s="24">
        <f>'[5]14нед'!S299</f>
        <v>0</v>
      </c>
      <c r="M411" s="25">
        <f>'[5]14нед'!T299</f>
        <v>0</v>
      </c>
      <c r="N411" s="26">
        <f>'[5]14нед'!W299</f>
        <v>0</v>
      </c>
      <c r="O411" s="27" t="str">
        <f>'[5]14нед'!X299</f>
        <v/>
      </c>
      <c r="P411" s="39"/>
    </row>
    <row r="412" spans="1:16" ht="48" customHeight="1" thickTop="1" x14ac:dyDescent="0.2">
      <c r="A412" s="70">
        <v>46354</v>
      </c>
      <c r="B412" s="84" t="s">
        <v>29</v>
      </c>
      <c r="C412" s="29" t="s">
        <v>18</v>
      </c>
      <c r="D412" s="16">
        <f>'[4]13нед'!S300</f>
        <v>0</v>
      </c>
      <c r="E412" s="19">
        <f>'[4]13нед'!T300</f>
        <v>0</v>
      </c>
      <c r="F412" s="17">
        <f>'[4]13нед'!W300</f>
        <v>0</v>
      </c>
      <c r="G412" s="18" t="str">
        <f>'[4]13нед'!X300</f>
        <v/>
      </c>
      <c r="H412" s="40"/>
      <c r="I412" s="70">
        <v>46361</v>
      </c>
      <c r="J412" s="87" t="s">
        <v>29</v>
      </c>
      <c r="K412" s="29" t="s">
        <v>18</v>
      </c>
      <c r="L412" s="16">
        <f>'[5]14нед'!S300</f>
        <v>0</v>
      </c>
      <c r="M412" s="19">
        <f>'[5]14нед'!T300</f>
        <v>0</v>
      </c>
      <c r="N412" s="17">
        <f>'[5]14нед'!W300</f>
        <v>0</v>
      </c>
      <c r="O412" s="18" t="str">
        <f>'[5]14нед'!X300</f>
        <v/>
      </c>
      <c r="P412" s="40"/>
    </row>
    <row r="413" spans="1:16" ht="31.5" x14ac:dyDescent="0.2">
      <c r="A413" s="82"/>
      <c r="B413" s="85"/>
      <c r="C413" s="14" t="s">
        <v>19</v>
      </c>
      <c r="D413" s="20">
        <f>'[4]13нед'!S301</f>
        <v>0</v>
      </c>
      <c r="E413" s="23">
        <f>'[4]13нед'!T301</f>
        <v>0</v>
      </c>
      <c r="F413" s="21">
        <f>'[4]13нед'!W301</f>
        <v>0</v>
      </c>
      <c r="G413" s="22" t="str">
        <f>'[4]13нед'!X301</f>
        <v/>
      </c>
      <c r="H413" s="38"/>
      <c r="I413" s="71"/>
      <c r="J413" s="88"/>
      <c r="K413" s="14" t="s">
        <v>19</v>
      </c>
      <c r="L413" s="20">
        <f>'[5]14нед'!S301</f>
        <v>0</v>
      </c>
      <c r="M413" s="23">
        <f>'[5]14нед'!T301</f>
        <v>0</v>
      </c>
      <c r="N413" s="21">
        <f>'[5]14нед'!W301</f>
        <v>0</v>
      </c>
      <c r="O413" s="22" t="str">
        <f>'[5]14нед'!X301</f>
        <v/>
      </c>
      <c r="P413" s="38"/>
    </row>
    <row r="414" spans="1:16" ht="31.5" x14ac:dyDescent="0.2">
      <c r="A414" s="82"/>
      <c r="B414" s="85"/>
      <c r="C414" s="14" t="s">
        <v>20</v>
      </c>
      <c r="D414" s="20">
        <f>'[4]13нед'!S302</f>
        <v>0</v>
      </c>
      <c r="E414" s="23">
        <f>'[4]13нед'!T302</f>
        <v>0</v>
      </c>
      <c r="F414" s="21">
        <f>'[4]13нед'!W302</f>
        <v>0</v>
      </c>
      <c r="G414" s="22" t="str">
        <f>'[4]13нед'!X302</f>
        <v/>
      </c>
      <c r="H414" s="43"/>
      <c r="I414" s="71"/>
      <c r="J414" s="88"/>
      <c r="K414" s="14" t="s">
        <v>20</v>
      </c>
      <c r="L414" s="20">
        <f>'[5]14нед'!S302</f>
        <v>0</v>
      </c>
      <c r="M414" s="23">
        <f>'[5]14нед'!T302</f>
        <v>0</v>
      </c>
      <c r="N414" s="21">
        <f>'[5]14нед'!W302</f>
        <v>0</v>
      </c>
      <c r="O414" s="22" t="str">
        <f>'[5]14нед'!X302</f>
        <v/>
      </c>
      <c r="P414" s="43"/>
    </row>
    <row r="415" spans="1:16" ht="31.5" x14ac:dyDescent="0.2">
      <c r="A415" s="82"/>
      <c r="B415" s="85"/>
      <c r="C415" s="14" t="s">
        <v>21</v>
      </c>
      <c r="D415" s="20">
        <f>'[4]13нед'!S303</f>
        <v>0</v>
      </c>
      <c r="E415" s="23">
        <f>'[4]13нед'!T303</f>
        <v>0</v>
      </c>
      <c r="F415" s="21">
        <f>'[4]13нед'!W303</f>
        <v>0</v>
      </c>
      <c r="G415" s="22" t="str">
        <f>'[4]13нед'!X303</f>
        <v/>
      </c>
      <c r="H415" s="38"/>
      <c r="I415" s="71"/>
      <c r="J415" s="88"/>
      <c r="K415" s="14" t="s">
        <v>21</v>
      </c>
      <c r="L415" s="20">
        <f>'[5]14нед'!S303</f>
        <v>0</v>
      </c>
      <c r="M415" s="23">
        <f>'[5]14нед'!T303</f>
        <v>0</v>
      </c>
      <c r="N415" s="21">
        <f>'[5]14нед'!W303</f>
        <v>0</v>
      </c>
      <c r="O415" s="22" t="str">
        <f>'[5]14нед'!X303</f>
        <v/>
      </c>
      <c r="P415" s="38"/>
    </row>
    <row r="416" spans="1:16" ht="31.5" x14ac:dyDescent="0.2">
      <c r="A416" s="82"/>
      <c r="B416" s="85"/>
      <c r="C416" s="14" t="s">
        <v>22</v>
      </c>
      <c r="D416" s="20">
        <f>'[4]13нед'!S304</f>
        <v>0</v>
      </c>
      <c r="E416" s="23">
        <f>'[4]13нед'!T304</f>
        <v>0</v>
      </c>
      <c r="F416" s="21">
        <f>'[4]13нед'!W304</f>
        <v>0</v>
      </c>
      <c r="G416" s="22" t="str">
        <f>'[4]13нед'!X304</f>
        <v/>
      </c>
      <c r="H416" s="38"/>
      <c r="I416" s="71"/>
      <c r="J416" s="88"/>
      <c r="K416" s="14" t="s">
        <v>22</v>
      </c>
      <c r="L416" s="20">
        <f>'[5]14нед'!S304</f>
        <v>0</v>
      </c>
      <c r="M416" s="23">
        <f>'[5]14нед'!T304</f>
        <v>0</v>
      </c>
      <c r="N416" s="21">
        <f>'[5]14нед'!W304</f>
        <v>0</v>
      </c>
      <c r="O416" s="22" t="str">
        <f>'[5]14нед'!X304</f>
        <v/>
      </c>
      <c r="P416" s="38"/>
    </row>
    <row r="417" spans="1:16" ht="31.5" x14ac:dyDescent="0.2">
      <c r="A417" s="82"/>
      <c r="B417" s="85"/>
      <c r="C417" s="14" t="s">
        <v>23</v>
      </c>
      <c r="D417" s="20">
        <f>'[4]13нед'!S305</f>
        <v>0</v>
      </c>
      <c r="E417" s="23">
        <f>'[4]13нед'!T305</f>
        <v>0</v>
      </c>
      <c r="F417" s="21">
        <f>'[4]13нед'!W305</f>
        <v>0</v>
      </c>
      <c r="G417" s="22" t="str">
        <f>'[4]13нед'!X305</f>
        <v/>
      </c>
      <c r="H417" s="38"/>
      <c r="I417" s="71"/>
      <c r="J417" s="88"/>
      <c r="K417" s="14" t="s">
        <v>23</v>
      </c>
      <c r="L417" s="20">
        <f>'[5]14нед'!S305</f>
        <v>0</v>
      </c>
      <c r="M417" s="23">
        <f>'[5]14нед'!T305</f>
        <v>0</v>
      </c>
      <c r="N417" s="21">
        <f>'[5]14нед'!W305</f>
        <v>0</v>
      </c>
      <c r="O417" s="22" t="str">
        <f>'[5]14нед'!X305</f>
        <v/>
      </c>
      <c r="P417" s="38"/>
    </row>
    <row r="418" spans="1:16" ht="32.25" thickBot="1" x14ac:dyDescent="0.25">
      <c r="A418" s="82"/>
      <c r="B418" s="85"/>
      <c r="C418" s="14" t="s">
        <v>24</v>
      </c>
      <c r="D418" s="20">
        <f>'[4]13нед'!S306</f>
        <v>0</v>
      </c>
      <c r="E418" s="23">
        <f>'[4]13нед'!T306</f>
        <v>0</v>
      </c>
      <c r="F418" s="21">
        <f>'[4]13нед'!W306</f>
        <v>0</v>
      </c>
      <c r="G418" s="22" t="str">
        <f>'[4]13нед'!X306</f>
        <v/>
      </c>
      <c r="H418" s="38"/>
      <c r="I418" s="71"/>
      <c r="J418" s="88"/>
      <c r="K418" s="14" t="s">
        <v>24</v>
      </c>
      <c r="L418" s="20">
        <f>'[5]14нед'!S306</f>
        <v>0</v>
      </c>
      <c r="M418" s="23">
        <f>'[5]14нед'!T306</f>
        <v>0</v>
      </c>
      <c r="N418" s="21">
        <f>'[5]14нед'!W306</f>
        <v>0</v>
      </c>
      <c r="O418" s="22" t="str">
        <f>'[5]14нед'!X306</f>
        <v/>
      </c>
      <c r="P418" s="38"/>
    </row>
    <row r="419" spans="1:16" ht="18.600000000000001" hidden="1" customHeight="1" thickBot="1" x14ac:dyDescent="0.25">
      <c r="A419" s="83"/>
      <c r="B419" s="86"/>
      <c r="C419" s="15"/>
      <c r="D419" s="24">
        <f>'[4]13нед'!S59</f>
        <v>0</v>
      </c>
      <c r="E419" s="25">
        <f>'[4]13нед'!T59</f>
        <v>0</v>
      </c>
      <c r="F419" s="26">
        <f>'[4]13нед'!W59</f>
        <v>0</v>
      </c>
      <c r="G419" s="27" t="str">
        <f>'[4]11нед'!X59</f>
        <v/>
      </c>
      <c r="H419" s="39"/>
      <c r="I419" s="72"/>
      <c r="J419" s="89"/>
      <c r="K419" s="15"/>
      <c r="L419" s="16">
        <f>'[5]14нед'!S307</f>
        <v>0</v>
      </c>
      <c r="M419" s="19">
        <f>'[5]14нед'!T307</f>
        <v>0</v>
      </c>
      <c r="N419" s="17">
        <f>'[5]14нед'!W307</f>
        <v>0</v>
      </c>
      <c r="O419" s="18" t="str">
        <f>'[5]14нед'!X307</f>
        <v/>
      </c>
      <c r="P419" s="39"/>
    </row>
    <row r="420" spans="1:16" ht="39" customHeight="1" thickTop="1" x14ac:dyDescent="0.2">
      <c r="A420" s="47"/>
      <c r="B420" s="30"/>
      <c r="C420" s="31"/>
      <c r="D420" s="32"/>
      <c r="E420" s="32" t="s">
        <v>30</v>
      </c>
      <c r="F420" s="32"/>
      <c r="G420" s="33" t="s">
        <v>31</v>
      </c>
      <c r="H420" s="41"/>
      <c r="I420" s="47"/>
      <c r="J420" s="30"/>
      <c r="K420" s="31"/>
      <c r="L420" s="32"/>
      <c r="M420" s="32" t="s">
        <v>30</v>
      </c>
      <c r="N420" s="32"/>
      <c r="O420" s="33" t="s">
        <v>31</v>
      </c>
      <c r="P420" s="41"/>
    </row>
    <row r="421" spans="1:16" ht="15.75" x14ac:dyDescent="0.25">
      <c r="A421" s="45"/>
      <c r="B421" s="1"/>
      <c r="C421" s="2"/>
      <c r="D421" s="3"/>
      <c r="E421" s="3"/>
      <c r="F421" s="3"/>
      <c r="G421" s="3"/>
      <c r="H421" s="4" t="s">
        <v>0</v>
      </c>
      <c r="I421" s="45"/>
      <c r="J421" s="1"/>
      <c r="K421" s="2"/>
      <c r="L421" s="3"/>
      <c r="M421" s="3"/>
      <c r="N421" s="3"/>
      <c r="O421" s="3"/>
      <c r="P421" s="4" t="s">
        <v>0</v>
      </c>
    </row>
    <row r="422" spans="1:16" ht="15.75" x14ac:dyDescent="0.25">
      <c r="A422" s="45"/>
      <c r="B422" s="1"/>
      <c r="C422" s="2"/>
      <c r="D422" s="3"/>
      <c r="E422" s="3"/>
      <c r="F422" s="3"/>
      <c r="G422" s="3"/>
      <c r="H422" s="4" t="s">
        <v>1</v>
      </c>
      <c r="I422" s="45"/>
      <c r="J422" s="1"/>
      <c r="K422" s="2"/>
      <c r="L422" s="3"/>
      <c r="M422" s="3"/>
      <c r="N422" s="3"/>
      <c r="O422" s="3"/>
      <c r="P422" s="4" t="s">
        <v>1</v>
      </c>
    </row>
    <row r="423" spans="1:16" ht="15.75" x14ac:dyDescent="0.25">
      <c r="A423" s="45"/>
      <c r="B423" s="1"/>
      <c r="C423" s="2"/>
      <c r="D423" s="3"/>
      <c r="E423" s="3"/>
      <c r="F423" s="3"/>
      <c r="G423" s="3"/>
      <c r="H423" s="4" t="s">
        <v>2</v>
      </c>
      <c r="I423" s="45"/>
      <c r="J423" s="1"/>
      <c r="K423" s="2"/>
      <c r="L423" s="3"/>
      <c r="M423" s="3"/>
      <c r="N423" s="3"/>
      <c r="O423" s="3"/>
      <c r="P423" s="4" t="s">
        <v>2</v>
      </c>
    </row>
    <row r="424" spans="1:16" ht="15.75" x14ac:dyDescent="0.25">
      <c r="A424" s="45"/>
      <c r="B424" s="1"/>
      <c r="C424" s="2"/>
      <c r="D424" s="3"/>
      <c r="E424" s="3"/>
      <c r="F424" s="3"/>
      <c r="G424" s="3"/>
      <c r="H424" s="4" t="s">
        <v>3</v>
      </c>
      <c r="I424" s="45"/>
      <c r="J424" s="1"/>
      <c r="K424" s="2"/>
      <c r="L424" s="3"/>
      <c r="M424" s="3"/>
      <c r="N424" s="3"/>
      <c r="O424" s="3"/>
      <c r="P424" s="4" t="s">
        <v>3</v>
      </c>
    </row>
    <row r="425" spans="1:16" ht="15.75" x14ac:dyDescent="0.25">
      <c r="A425" s="45"/>
      <c r="B425" s="5"/>
      <c r="C425" s="2"/>
      <c r="D425" s="3"/>
      <c r="E425" s="3"/>
      <c r="F425" s="3"/>
      <c r="G425" s="3"/>
      <c r="H425" s="3"/>
      <c r="I425" s="45"/>
      <c r="J425" s="5"/>
      <c r="K425" s="2"/>
      <c r="L425" s="3"/>
      <c r="M425" s="3"/>
      <c r="N425" s="3"/>
      <c r="O425" s="3"/>
      <c r="P425" s="3"/>
    </row>
    <row r="426" spans="1:16" ht="15.75" x14ac:dyDescent="0.25">
      <c r="A426" s="45"/>
      <c r="B426" s="90" t="s">
        <v>4</v>
      </c>
      <c r="C426" s="90"/>
      <c r="D426" s="90"/>
      <c r="E426" s="90"/>
      <c r="F426" s="90"/>
      <c r="G426" s="90"/>
      <c r="H426" s="90"/>
      <c r="I426" s="45"/>
      <c r="J426" s="90" t="s">
        <v>4</v>
      </c>
      <c r="K426" s="90"/>
      <c r="L426" s="90"/>
      <c r="M426" s="90"/>
      <c r="N426" s="90"/>
      <c r="O426" s="90"/>
      <c r="P426" s="90"/>
    </row>
    <row r="427" spans="1:16" ht="15.75" x14ac:dyDescent="0.2">
      <c r="A427" s="46"/>
      <c r="B427" s="62" t="str">
        <f>'[1]1нед'!$A$6</f>
        <v>Направление подготовки:</v>
      </c>
      <c r="C427" s="6"/>
      <c r="D427" s="7"/>
      <c r="E427" s="8" t="str">
        <f>E7</f>
        <v>09.03.04Программная инженерия (Программно-информационные системы)</v>
      </c>
      <c r="F427" s="7"/>
      <c r="G427" s="7"/>
      <c r="H427" s="36" t="str">
        <f>H7</f>
        <v>12-26ПИ1з</v>
      </c>
      <c r="I427" s="46"/>
      <c r="J427" s="62" t="str">
        <f>'[1]1нед'!$A$6</f>
        <v>Направление подготовки:</v>
      </c>
      <c r="K427" s="6"/>
      <c r="L427" s="7"/>
      <c r="M427" s="8" t="str">
        <f>E7</f>
        <v>09.03.04Программная инженерия (Программно-информационные системы)</v>
      </c>
      <c r="N427" s="7"/>
      <c r="O427" s="7"/>
      <c r="P427" s="36" t="str">
        <f>H7</f>
        <v>12-26ПИ1з</v>
      </c>
    </row>
    <row r="428" spans="1:16" ht="15.75" x14ac:dyDescent="0.25">
      <c r="A428" s="45"/>
      <c r="B428" s="81" t="s">
        <v>5</v>
      </c>
      <c r="C428" s="81"/>
      <c r="D428" s="81"/>
      <c r="E428" s="81" t="str">
        <f t="shared" ref="E428" si="6">E8</f>
        <v>очно-заочная</v>
      </c>
      <c r="F428" s="81"/>
      <c r="G428" s="81"/>
      <c r="H428" s="81"/>
      <c r="I428" s="45"/>
      <c r="J428" s="81" t="s">
        <v>5</v>
      </c>
      <c r="K428" s="81"/>
      <c r="L428" s="81"/>
      <c r="M428" s="81" t="str">
        <f t="shared" ref="M428" si="7">E8</f>
        <v>очно-заочная</v>
      </c>
      <c r="N428" s="81"/>
      <c r="O428" s="81"/>
      <c r="P428" s="81"/>
    </row>
    <row r="429" spans="1:16" ht="15.75" x14ac:dyDescent="0.25">
      <c r="A429" s="45"/>
      <c r="B429" s="81" t="s">
        <v>7</v>
      </c>
      <c r="C429" s="81"/>
      <c r="D429" s="81"/>
      <c r="E429" s="62">
        <f>E9</f>
        <v>3</v>
      </c>
      <c r="F429" s="62"/>
      <c r="G429" s="62"/>
      <c r="H429" s="35"/>
      <c r="I429" s="45"/>
      <c r="J429" s="81" t="s">
        <v>7</v>
      </c>
      <c r="K429" s="81"/>
      <c r="L429" s="81"/>
      <c r="M429" s="62">
        <f>E9</f>
        <v>3</v>
      </c>
      <c r="N429" s="62"/>
      <c r="O429" s="62"/>
      <c r="P429" s="35"/>
    </row>
    <row r="430" spans="1:16" ht="16.5" thickBot="1" x14ac:dyDescent="0.3">
      <c r="A430" s="45"/>
      <c r="B430" s="93" t="s">
        <v>8</v>
      </c>
      <c r="C430" s="93"/>
      <c r="D430" s="93"/>
      <c r="E430" s="63">
        <f>M370+1</f>
        <v>15</v>
      </c>
      <c r="F430" s="63"/>
      <c r="G430" s="63"/>
      <c r="H430" s="37"/>
      <c r="I430" s="45"/>
      <c r="J430" s="93" t="s">
        <v>8</v>
      </c>
      <c r="K430" s="93"/>
      <c r="L430" s="93"/>
      <c r="M430" s="63">
        <f>E430+1</f>
        <v>16</v>
      </c>
      <c r="N430" s="63"/>
      <c r="O430" s="63"/>
      <c r="P430" s="37"/>
    </row>
    <row r="431" spans="1:16" ht="54" customHeight="1" thickTop="1" thickBot="1" x14ac:dyDescent="0.25">
      <c r="A431" s="79" t="s">
        <v>9</v>
      </c>
      <c r="B431" s="80"/>
      <c r="C431" s="10" t="s">
        <v>10</v>
      </c>
      <c r="D431" s="11" t="s">
        <v>11</v>
      </c>
      <c r="E431" s="12" t="s">
        <v>12</v>
      </c>
      <c r="F431" s="91" t="s">
        <v>13</v>
      </c>
      <c r="G431" s="92"/>
      <c r="H431" s="13" t="s">
        <v>14</v>
      </c>
      <c r="I431" s="79" t="s">
        <v>9</v>
      </c>
      <c r="J431" s="80"/>
      <c r="K431" s="10" t="s">
        <v>10</v>
      </c>
      <c r="L431" s="11" t="s">
        <v>11</v>
      </c>
      <c r="M431" s="12" t="s">
        <v>12</v>
      </c>
      <c r="N431" s="91" t="s">
        <v>13</v>
      </c>
      <c r="O431" s="92"/>
      <c r="P431" s="13" t="s">
        <v>14</v>
      </c>
    </row>
    <row r="432" spans="1:16" ht="32.25" customHeight="1" thickTop="1" x14ac:dyDescent="0.2">
      <c r="A432" s="70">
        <v>46363</v>
      </c>
      <c r="B432" s="84" t="s">
        <v>17</v>
      </c>
      <c r="C432" s="14" t="s">
        <v>18</v>
      </c>
      <c r="D432" s="16">
        <f>'[5]15нед'!S260</f>
        <v>0</v>
      </c>
      <c r="E432" s="19">
        <f>'[5]15нед'!T260</f>
        <v>0</v>
      </c>
      <c r="F432" s="17">
        <f>'[5]15нед'!W260</f>
        <v>0</v>
      </c>
      <c r="G432" s="18" t="str">
        <f>'[5]15нед'!X260</f>
        <v/>
      </c>
      <c r="H432" s="40"/>
      <c r="I432" s="70">
        <v>46370</v>
      </c>
      <c r="J432" s="87" t="s">
        <v>17</v>
      </c>
      <c r="K432" s="14" t="s">
        <v>18</v>
      </c>
      <c r="L432" s="16">
        <f>'[5]16нед'!S260</f>
        <v>0</v>
      </c>
      <c r="M432" s="19">
        <f>'[5]16нед'!T260</f>
        <v>0</v>
      </c>
      <c r="N432" s="17">
        <f>'[5]16нед'!W260</f>
        <v>0</v>
      </c>
      <c r="O432" s="18" t="str">
        <f>'[5]16нед'!X260</f>
        <v/>
      </c>
      <c r="P432" s="40"/>
    </row>
    <row r="433" spans="1:16" ht="31.5" x14ac:dyDescent="0.2">
      <c r="A433" s="82"/>
      <c r="B433" s="85"/>
      <c r="C433" s="14" t="s">
        <v>19</v>
      </c>
      <c r="D433" s="20">
        <f>'[5]15нед'!S261</f>
        <v>0</v>
      </c>
      <c r="E433" s="23">
        <f>'[5]15нед'!T261</f>
        <v>0</v>
      </c>
      <c r="F433" s="21">
        <f>'[5]15нед'!W261</f>
        <v>0</v>
      </c>
      <c r="G433" s="22" t="str">
        <f>'[5]15нед'!X261</f>
        <v/>
      </c>
      <c r="H433" s="38"/>
      <c r="I433" s="71"/>
      <c r="J433" s="88"/>
      <c r="K433" s="14" t="s">
        <v>19</v>
      </c>
      <c r="L433" s="20">
        <f>'[5]16нед'!S261</f>
        <v>0</v>
      </c>
      <c r="M433" s="23">
        <f>'[5]16нед'!T261</f>
        <v>0</v>
      </c>
      <c r="N433" s="21">
        <f>'[5]16нед'!W261</f>
        <v>0</v>
      </c>
      <c r="O433" s="22" t="str">
        <f>'[5]16нед'!X261</f>
        <v/>
      </c>
      <c r="P433" s="38"/>
    </row>
    <row r="434" spans="1:16" ht="31.5" x14ac:dyDescent="0.2">
      <c r="A434" s="82"/>
      <c r="B434" s="85"/>
      <c r="C434" s="14" t="s">
        <v>20</v>
      </c>
      <c r="D434" s="20">
        <f>'[5]15нед'!S262</f>
        <v>0</v>
      </c>
      <c r="E434" s="23">
        <f>'[5]15нед'!T262</f>
        <v>0</v>
      </c>
      <c r="F434" s="21">
        <f>'[5]15нед'!W262</f>
        <v>0</v>
      </c>
      <c r="G434" s="22" t="str">
        <f>'[5]15нед'!X262</f>
        <v/>
      </c>
      <c r="H434" s="38"/>
      <c r="I434" s="71"/>
      <c r="J434" s="88"/>
      <c r="K434" s="14" t="s">
        <v>20</v>
      </c>
      <c r="L434" s="20">
        <f>'[5]16нед'!S262</f>
        <v>0</v>
      </c>
      <c r="M434" s="23">
        <f>'[5]16нед'!T262</f>
        <v>0</v>
      </c>
      <c r="N434" s="21">
        <f>'[5]16нед'!W262</f>
        <v>0</v>
      </c>
      <c r="O434" s="22" t="str">
        <f>'[5]16нед'!X262</f>
        <v/>
      </c>
      <c r="P434" s="38"/>
    </row>
    <row r="435" spans="1:16" ht="31.5" x14ac:dyDescent="0.2">
      <c r="A435" s="82"/>
      <c r="B435" s="85"/>
      <c r="C435" s="14" t="s">
        <v>21</v>
      </c>
      <c r="D435" s="20">
        <f>'[5]15нед'!S263</f>
        <v>0</v>
      </c>
      <c r="E435" s="23">
        <f>'[5]15нед'!T263</f>
        <v>0</v>
      </c>
      <c r="F435" s="21">
        <f>'[5]15нед'!W263</f>
        <v>0</v>
      </c>
      <c r="G435" s="22" t="str">
        <f>'[5]15нед'!X263</f>
        <v/>
      </c>
      <c r="H435" s="38"/>
      <c r="I435" s="71"/>
      <c r="J435" s="88"/>
      <c r="K435" s="14" t="s">
        <v>21</v>
      </c>
      <c r="L435" s="20">
        <f>'[5]16нед'!S263</f>
        <v>0</v>
      </c>
      <c r="M435" s="23">
        <f>'[5]16нед'!T263</f>
        <v>0</v>
      </c>
      <c r="N435" s="21">
        <f>'[5]16нед'!W263</f>
        <v>0</v>
      </c>
      <c r="O435" s="22" t="str">
        <f>'[5]16нед'!X263</f>
        <v/>
      </c>
      <c r="P435" s="38"/>
    </row>
    <row r="436" spans="1:16" ht="31.5" x14ac:dyDescent="0.2">
      <c r="A436" s="82"/>
      <c r="B436" s="85"/>
      <c r="C436" s="14" t="s">
        <v>22</v>
      </c>
      <c r="D436" s="20">
        <f>'[5]15нед'!S264</f>
        <v>0</v>
      </c>
      <c r="E436" s="23">
        <f>'[5]15нед'!T264</f>
        <v>0</v>
      </c>
      <c r="F436" s="21">
        <f>'[5]15нед'!W264</f>
        <v>0</v>
      </c>
      <c r="G436" s="22" t="str">
        <f>'[5]15нед'!X264</f>
        <v/>
      </c>
      <c r="H436" s="38"/>
      <c r="I436" s="71"/>
      <c r="J436" s="88"/>
      <c r="K436" s="14" t="s">
        <v>22</v>
      </c>
      <c r="L436" s="20">
        <f>'[5]16нед'!S264</f>
        <v>0</v>
      </c>
      <c r="M436" s="23">
        <f>'[5]16нед'!T264</f>
        <v>0</v>
      </c>
      <c r="N436" s="21">
        <f>'[5]16нед'!W264</f>
        <v>0</v>
      </c>
      <c r="O436" s="22" t="str">
        <f>'[5]16нед'!X264</f>
        <v/>
      </c>
      <c r="P436" s="38"/>
    </row>
    <row r="437" spans="1:16" ht="31.5" x14ac:dyDescent="0.2">
      <c r="A437" s="82"/>
      <c r="B437" s="85"/>
      <c r="C437" s="14" t="s">
        <v>23</v>
      </c>
      <c r="D437" s="20">
        <f>'[5]15нед'!S265</f>
        <v>0</v>
      </c>
      <c r="E437" s="23">
        <f>'[5]15нед'!T265</f>
        <v>0</v>
      </c>
      <c r="F437" s="21">
        <f>'[5]15нед'!W265</f>
        <v>0</v>
      </c>
      <c r="G437" s="22" t="str">
        <f>'[5]15нед'!X265</f>
        <v/>
      </c>
      <c r="H437" s="38"/>
      <c r="I437" s="71"/>
      <c r="J437" s="88"/>
      <c r="K437" s="14" t="s">
        <v>23</v>
      </c>
      <c r="L437" s="20">
        <f>'[5]16нед'!S265</f>
        <v>0</v>
      </c>
      <c r="M437" s="23">
        <f>'[5]16нед'!T265</f>
        <v>0</v>
      </c>
      <c r="N437" s="21">
        <f>'[5]16нед'!W265</f>
        <v>0</v>
      </c>
      <c r="O437" s="22" t="str">
        <f>'[5]16нед'!X265</f>
        <v/>
      </c>
      <c r="P437" s="38"/>
    </row>
    <row r="438" spans="1:16" ht="32.25" thickBot="1" x14ac:dyDescent="0.25">
      <c r="A438" s="82"/>
      <c r="B438" s="85"/>
      <c r="C438" s="14" t="s">
        <v>24</v>
      </c>
      <c r="D438" s="20">
        <f>'[5]15нед'!S266</f>
        <v>0</v>
      </c>
      <c r="E438" s="23">
        <f>'[5]15нед'!T266</f>
        <v>0</v>
      </c>
      <c r="F438" s="21">
        <f>'[5]15нед'!W266</f>
        <v>0</v>
      </c>
      <c r="G438" s="22" t="str">
        <f>'[5]15нед'!X266</f>
        <v/>
      </c>
      <c r="H438" s="38"/>
      <c r="I438" s="71"/>
      <c r="J438" s="88"/>
      <c r="K438" s="14" t="s">
        <v>24</v>
      </c>
      <c r="L438" s="20">
        <f>'[5]16нед'!S266</f>
        <v>0</v>
      </c>
      <c r="M438" s="23">
        <f>'[5]16нед'!T266</f>
        <v>0</v>
      </c>
      <c r="N438" s="21">
        <f>'[5]16нед'!W266</f>
        <v>0</v>
      </c>
      <c r="O438" s="22" t="str">
        <f>'[5]16нед'!X266</f>
        <v/>
      </c>
      <c r="P438" s="38"/>
    </row>
    <row r="439" spans="1:16" ht="18.399999999999999" hidden="1" customHeight="1" thickBot="1" x14ac:dyDescent="0.25">
      <c r="A439" s="83"/>
      <c r="B439" s="86"/>
      <c r="C439" s="15"/>
      <c r="D439" s="24">
        <f>'[5]15нед'!S267</f>
        <v>0</v>
      </c>
      <c r="E439" s="25">
        <f>'[5]15нед'!T267</f>
        <v>0</v>
      </c>
      <c r="F439" s="26">
        <f>'[5]15нед'!W267</f>
        <v>0</v>
      </c>
      <c r="G439" s="27" t="str">
        <f>'[5]15нед'!X267</f>
        <v/>
      </c>
      <c r="H439" s="39"/>
      <c r="I439" s="72"/>
      <c r="J439" s="89"/>
      <c r="K439" s="15"/>
      <c r="L439" s="24">
        <f>'[5]16нед'!S267</f>
        <v>0</v>
      </c>
      <c r="M439" s="25">
        <f>'[5]16нед'!T267</f>
        <v>0</v>
      </c>
      <c r="N439" s="26">
        <f>'[5]16нед'!W267</f>
        <v>0</v>
      </c>
      <c r="O439" s="27" t="str">
        <f>'[5]16нед'!X267</f>
        <v/>
      </c>
      <c r="P439" s="39"/>
    </row>
    <row r="440" spans="1:16" ht="32.25" customHeight="1" thickTop="1" x14ac:dyDescent="0.2">
      <c r="A440" s="70">
        <v>46364</v>
      </c>
      <c r="B440" s="84" t="s">
        <v>25</v>
      </c>
      <c r="C440" s="29" t="s">
        <v>18</v>
      </c>
      <c r="D440" s="16">
        <f>'[5]15нед'!S268</f>
        <v>0</v>
      </c>
      <c r="E440" s="19">
        <f>'[5]15нед'!T268</f>
        <v>0</v>
      </c>
      <c r="F440" s="17">
        <f>'[5]15нед'!W268</f>
        <v>0</v>
      </c>
      <c r="G440" s="18" t="str">
        <f>'[5]15нед'!X268</f>
        <v/>
      </c>
      <c r="H440" s="40"/>
      <c r="I440" s="70">
        <v>46371</v>
      </c>
      <c r="J440" s="87" t="s">
        <v>25</v>
      </c>
      <c r="K440" s="29" t="s">
        <v>18</v>
      </c>
      <c r="L440" s="16">
        <f>'[5]16нед'!S268</f>
        <v>0</v>
      </c>
      <c r="M440" s="19">
        <f>'[5]16нед'!T268</f>
        <v>0</v>
      </c>
      <c r="N440" s="17">
        <f>'[5]16нед'!W268</f>
        <v>0</v>
      </c>
      <c r="O440" s="18" t="str">
        <f>'[5]16нед'!X268</f>
        <v/>
      </c>
      <c r="P440" s="40"/>
    </row>
    <row r="441" spans="1:16" ht="31.5" x14ac:dyDescent="0.2">
      <c r="A441" s="82"/>
      <c r="B441" s="85"/>
      <c r="C441" s="14" t="s">
        <v>19</v>
      </c>
      <c r="D441" s="20">
        <f>'[5]15нед'!S269</f>
        <v>0</v>
      </c>
      <c r="E441" s="23">
        <f>'[5]15нед'!T269</f>
        <v>0</v>
      </c>
      <c r="F441" s="21">
        <f>'[5]15нед'!W269</f>
        <v>0</v>
      </c>
      <c r="G441" s="22" t="str">
        <f>'[5]15нед'!X269</f>
        <v/>
      </c>
      <c r="H441" s="38"/>
      <c r="I441" s="71"/>
      <c r="J441" s="88"/>
      <c r="K441" s="14" t="s">
        <v>19</v>
      </c>
      <c r="L441" s="20">
        <f>'[5]16нед'!S269</f>
        <v>0</v>
      </c>
      <c r="M441" s="23">
        <f>'[5]16нед'!T269</f>
        <v>0</v>
      </c>
      <c r="N441" s="21">
        <f>'[5]16нед'!W269</f>
        <v>0</v>
      </c>
      <c r="O441" s="22" t="str">
        <f>'[5]16нед'!X269</f>
        <v/>
      </c>
      <c r="P441" s="38"/>
    </row>
    <row r="442" spans="1:16" ht="31.5" x14ac:dyDescent="0.2">
      <c r="A442" s="82"/>
      <c r="B442" s="85"/>
      <c r="C442" s="14" t="s">
        <v>20</v>
      </c>
      <c r="D442" s="20">
        <f>'[5]15нед'!S270</f>
        <v>0</v>
      </c>
      <c r="E442" s="23">
        <f>'[5]15нед'!T270</f>
        <v>0</v>
      </c>
      <c r="F442" s="21">
        <f>'[5]15нед'!W270</f>
        <v>0</v>
      </c>
      <c r="G442" s="22" t="str">
        <f>'[5]15нед'!X270</f>
        <v/>
      </c>
      <c r="H442" s="38"/>
      <c r="I442" s="71"/>
      <c r="J442" s="88"/>
      <c r="K442" s="14" t="s">
        <v>20</v>
      </c>
      <c r="L442" s="20">
        <f>'[5]16нед'!S270</f>
        <v>0</v>
      </c>
      <c r="M442" s="23">
        <f>'[5]16нед'!T270</f>
        <v>0</v>
      </c>
      <c r="N442" s="21">
        <f>'[5]16нед'!W270</f>
        <v>0</v>
      </c>
      <c r="O442" s="22" t="str">
        <f>'[5]16нед'!X270</f>
        <v/>
      </c>
      <c r="P442" s="38"/>
    </row>
    <row r="443" spans="1:16" ht="31.5" x14ac:dyDescent="0.2">
      <c r="A443" s="82"/>
      <c r="B443" s="85"/>
      <c r="C443" s="14" t="s">
        <v>21</v>
      </c>
      <c r="D443" s="20">
        <f>'[5]15нед'!S271</f>
        <v>0</v>
      </c>
      <c r="E443" s="23">
        <f>'[5]15нед'!T271</f>
        <v>0</v>
      </c>
      <c r="F443" s="21">
        <f>'[5]15нед'!W271</f>
        <v>0</v>
      </c>
      <c r="G443" s="22" t="str">
        <f>'[5]15нед'!X271</f>
        <v/>
      </c>
      <c r="H443" s="38"/>
      <c r="I443" s="71"/>
      <c r="J443" s="88"/>
      <c r="K443" s="14" t="s">
        <v>21</v>
      </c>
      <c r="L443" s="20">
        <f>'[5]16нед'!S271</f>
        <v>0</v>
      </c>
      <c r="M443" s="23">
        <f>'[5]16нед'!T271</f>
        <v>0</v>
      </c>
      <c r="N443" s="21">
        <f>'[5]16нед'!W271</f>
        <v>0</v>
      </c>
      <c r="O443" s="22" t="str">
        <f>'[5]16нед'!X271</f>
        <v/>
      </c>
      <c r="P443" s="38"/>
    </row>
    <row r="444" spans="1:16" ht="31.5" x14ac:dyDescent="0.2">
      <c r="A444" s="82"/>
      <c r="B444" s="85"/>
      <c r="C444" s="14" t="s">
        <v>22</v>
      </c>
      <c r="D444" s="20">
        <f>'[5]15нед'!S272</f>
        <v>0</v>
      </c>
      <c r="E444" s="23">
        <f>'[5]15нед'!T272</f>
        <v>0</v>
      </c>
      <c r="F444" s="21">
        <f>'[5]15нед'!W272</f>
        <v>0</v>
      </c>
      <c r="G444" s="22" t="str">
        <f>'[5]15нед'!X272</f>
        <v/>
      </c>
      <c r="H444" s="38"/>
      <c r="I444" s="71"/>
      <c r="J444" s="88"/>
      <c r="K444" s="14" t="s">
        <v>22</v>
      </c>
      <c r="L444" s="20">
        <f>'[5]16нед'!S272</f>
        <v>0</v>
      </c>
      <c r="M444" s="23">
        <f>'[5]16нед'!T272</f>
        <v>0</v>
      </c>
      <c r="N444" s="21">
        <f>'[5]16нед'!W272</f>
        <v>0</v>
      </c>
      <c r="O444" s="22" t="str">
        <f>'[5]16нед'!X272</f>
        <v/>
      </c>
      <c r="P444" s="38"/>
    </row>
    <row r="445" spans="1:16" ht="31.5" x14ac:dyDescent="0.2">
      <c r="A445" s="82"/>
      <c r="B445" s="85"/>
      <c r="C445" s="14" t="s">
        <v>23</v>
      </c>
      <c r="D445" s="20">
        <f>'[5]15нед'!S273</f>
        <v>0</v>
      </c>
      <c r="E445" s="23">
        <f>'[5]15нед'!T273</f>
        <v>0</v>
      </c>
      <c r="F445" s="21">
        <f>'[5]15нед'!W273</f>
        <v>0</v>
      </c>
      <c r="G445" s="22" t="str">
        <f>'[5]15нед'!X273</f>
        <v/>
      </c>
      <c r="H445" s="34"/>
      <c r="I445" s="71"/>
      <c r="J445" s="88"/>
      <c r="K445" s="14" t="s">
        <v>23</v>
      </c>
      <c r="L445" s="20">
        <f>'[5]16нед'!S273</f>
        <v>0</v>
      </c>
      <c r="M445" s="23">
        <f>'[5]16нед'!T273</f>
        <v>0</v>
      </c>
      <c r="N445" s="21">
        <f>'[5]16нед'!W273</f>
        <v>0</v>
      </c>
      <c r="O445" s="22" t="str">
        <f>'[5]16нед'!X273</f>
        <v/>
      </c>
      <c r="P445" s="34"/>
    </row>
    <row r="446" spans="1:16" ht="32.25" thickBot="1" x14ac:dyDescent="0.25">
      <c r="A446" s="82"/>
      <c r="B446" s="85"/>
      <c r="C446" s="14" t="s">
        <v>24</v>
      </c>
      <c r="D446" s="20">
        <f>'[5]15нед'!S274</f>
        <v>0</v>
      </c>
      <c r="E446" s="23">
        <f>'[5]15нед'!T274</f>
        <v>0</v>
      </c>
      <c r="F446" s="21">
        <f>'[5]15нед'!W274</f>
        <v>0</v>
      </c>
      <c r="G446" s="22" t="str">
        <f>'[5]15нед'!X274</f>
        <v/>
      </c>
      <c r="H446" s="34"/>
      <c r="I446" s="71"/>
      <c r="J446" s="88"/>
      <c r="K446" s="14" t="s">
        <v>24</v>
      </c>
      <c r="L446" s="20">
        <f>'[5]16нед'!S274</f>
        <v>0</v>
      </c>
      <c r="M446" s="23">
        <f>'[5]16нед'!T274</f>
        <v>0</v>
      </c>
      <c r="N446" s="21">
        <f>'[5]16нед'!W274</f>
        <v>0</v>
      </c>
      <c r="O446" s="22" t="str">
        <f>'[5]16нед'!X274</f>
        <v/>
      </c>
      <c r="P446" s="34"/>
    </row>
    <row r="447" spans="1:16" ht="18.399999999999999" hidden="1" customHeight="1" thickBot="1" x14ac:dyDescent="0.25">
      <c r="A447" s="83"/>
      <c r="B447" s="86"/>
      <c r="C447" s="15"/>
      <c r="D447" s="24">
        <f>'[5]15нед'!S275</f>
        <v>0</v>
      </c>
      <c r="E447" s="25">
        <f>'[5]15нед'!T275</f>
        <v>0</v>
      </c>
      <c r="F447" s="26">
        <f>'[5]15нед'!W275</f>
        <v>0</v>
      </c>
      <c r="G447" s="27" t="str">
        <f>'[5]15нед'!X275</f>
        <v/>
      </c>
      <c r="H447" s="39"/>
      <c r="I447" s="72"/>
      <c r="J447" s="89"/>
      <c r="K447" s="15"/>
      <c r="L447" s="24">
        <f>'[5]16нед'!S275</f>
        <v>0</v>
      </c>
      <c r="M447" s="25">
        <f>'[5]16нед'!T275</f>
        <v>0</v>
      </c>
      <c r="N447" s="26">
        <f>'[5]16нед'!W275</f>
        <v>0</v>
      </c>
      <c r="O447" s="27" t="str">
        <f>'[5]16нед'!X275</f>
        <v/>
      </c>
      <c r="P447" s="39"/>
    </row>
    <row r="448" spans="1:16" ht="48" customHeight="1" thickTop="1" x14ac:dyDescent="0.2">
      <c r="A448" s="70">
        <v>46365</v>
      </c>
      <c r="B448" s="67" t="s">
        <v>26</v>
      </c>
      <c r="C448" s="29" t="s">
        <v>18</v>
      </c>
      <c r="D448" s="16">
        <f>'[5]15нед'!S276</f>
        <v>0</v>
      </c>
      <c r="E448" s="19">
        <f>'[5]15нед'!T276</f>
        <v>0</v>
      </c>
      <c r="F448" s="17">
        <f>'[5]15нед'!W276</f>
        <v>0</v>
      </c>
      <c r="G448" s="18" t="str">
        <f>'[5]15нед'!X276</f>
        <v/>
      </c>
      <c r="H448" s="40"/>
      <c r="I448" s="70">
        <v>46372</v>
      </c>
      <c r="J448" s="73" t="s">
        <v>26</v>
      </c>
      <c r="K448" s="29" t="s">
        <v>18</v>
      </c>
      <c r="L448" s="16">
        <f>'[5]16нед'!S276</f>
        <v>0</v>
      </c>
      <c r="M448" s="19">
        <f>'[5]16нед'!T276</f>
        <v>0</v>
      </c>
      <c r="N448" s="17">
        <f>'[5]16нед'!W276</f>
        <v>0</v>
      </c>
      <c r="O448" s="18" t="str">
        <f>'[5]16нед'!X276</f>
        <v/>
      </c>
      <c r="P448" s="40"/>
    </row>
    <row r="449" spans="1:16" ht="31.5" x14ac:dyDescent="0.2">
      <c r="A449" s="82"/>
      <c r="B449" s="68"/>
      <c r="C449" s="14" t="s">
        <v>19</v>
      </c>
      <c r="D449" s="20">
        <f>'[5]15нед'!S277</f>
        <v>0</v>
      </c>
      <c r="E449" s="23">
        <f>'[5]15нед'!T277</f>
        <v>0</v>
      </c>
      <c r="F449" s="21">
        <f>'[5]15нед'!W277</f>
        <v>0</v>
      </c>
      <c r="G449" s="22" t="str">
        <f>'[5]15нед'!X277</f>
        <v/>
      </c>
      <c r="H449" s="38"/>
      <c r="I449" s="71"/>
      <c r="J449" s="74"/>
      <c r="K449" s="14" t="s">
        <v>19</v>
      </c>
      <c r="L449" s="20">
        <f>'[5]16нед'!S277</f>
        <v>0</v>
      </c>
      <c r="M449" s="23">
        <f>'[5]16нед'!T277</f>
        <v>0</v>
      </c>
      <c r="N449" s="21">
        <f>'[5]16нед'!W277</f>
        <v>0</v>
      </c>
      <c r="O449" s="22" t="str">
        <f>'[5]16нед'!X277</f>
        <v/>
      </c>
      <c r="P449" s="38"/>
    </row>
    <row r="450" spans="1:16" ht="31.5" x14ac:dyDescent="0.2">
      <c r="A450" s="82"/>
      <c r="B450" s="68"/>
      <c r="C450" s="14" t="s">
        <v>20</v>
      </c>
      <c r="D450" s="20">
        <f>'[5]15нед'!S278</f>
        <v>0</v>
      </c>
      <c r="E450" s="23">
        <f>'[5]15нед'!T278</f>
        <v>0</v>
      </c>
      <c r="F450" s="21">
        <f>'[5]15нед'!W278</f>
        <v>0</v>
      </c>
      <c r="G450" s="22" t="str">
        <f>'[5]15нед'!X278</f>
        <v/>
      </c>
      <c r="H450" s="38"/>
      <c r="I450" s="71"/>
      <c r="J450" s="74"/>
      <c r="K450" s="14" t="s">
        <v>20</v>
      </c>
      <c r="L450" s="20">
        <f>'[5]16нед'!S278</f>
        <v>0</v>
      </c>
      <c r="M450" s="23">
        <f>'[5]16нед'!T278</f>
        <v>0</v>
      </c>
      <c r="N450" s="21">
        <f>'[5]16нед'!W278</f>
        <v>0</v>
      </c>
      <c r="O450" s="22" t="str">
        <f>'[5]16нед'!X278</f>
        <v/>
      </c>
      <c r="P450" s="38"/>
    </row>
    <row r="451" spans="1:16" ht="31.5" x14ac:dyDescent="0.2">
      <c r="A451" s="82"/>
      <c r="B451" s="68"/>
      <c r="C451" s="14" t="s">
        <v>21</v>
      </c>
      <c r="D451" s="20">
        <f>'[5]15нед'!S279</f>
        <v>0</v>
      </c>
      <c r="E451" s="23">
        <f>'[5]15нед'!T279</f>
        <v>0</v>
      </c>
      <c r="F451" s="21">
        <f>'[5]15нед'!W279</f>
        <v>0</v>
      </c>
      <c r="G451" s="22" t="str">
        <f>'[5]15нед'!X279</f>
        <v/>
      </c>
      <c r="H451" s="38"/>
      <c r="I451" s="71"/>
      <c r="J451" s="74"/>
      <c r="K451" s="14" t="s">
        <v>21</v>
      </c>
      <c r="L451" s="20">
        <f>'[5]16нед'!S279</f>
        <v>0</v>
      </c>
      <c r="M451" s="23">
        <f>'[5]16нед'!T279</f>
        <v>0</v>
      </c>
      <c r="N451" s="21">
        <f>'[5]16нед'!W279</f>
        <v>0</v>
      </c>
      <c r="O451" s="22" t="str">
        <f>'[5]16нед'!X279</f>
        <v/>
      </c>
      <c r="P451" s="38"/>
    </row>
    <row r="452" spans="1:16" ht="31.5" x14ac:dyDescent="0.2">
      <c r="A452" s="82"/>
      <c r="B452" s="68"/>
      <c r="C452" s="14" t="s">
        <v>22</v>
      </c>
      <c r="D452" s="20">
        <f>'[5]15нед'!S280</f>
        <v>0</v>
      </c>
      <c r="E452" s="23">
        <f>'[5]15нед'!T280</f>
        <v>0</v>
      </c>
      <c r="F452" s="21">
        <f>'[5]15нед'!W280</f>
        <v>0</v>
      </c>
      <c r="G452" s="22" t="str">
        <f>'[5]15нед'!X280</f>
        <v/>
      </c>
      <c r="H452" s="38"/>
      <c r="I452" s="71"/>
      <c r="J452" s="74"/>
      <c r="K452" s="14" t="s">
        <v>22</v>
      </c>
      <c r="L452" s="20">
        <f>'[5]16нед'!S280</f>
        <v>0</v>
      </c>
      <c r="M452" s="23">
        <f>'[5]16нед'!T280</f>
        <v>0</v>
      </c>
      <c r="N452" s="21">
        <f>'[5]16нед'!W280</f>
        <v>0</v>
      </c>
      <c r="O452" s="22" t="str">
        <f>'[5]16нед'!X280</f>
        <v/>
      </c>
      <c r="P452" s="38"/>
    </row>
    <row r="453" spans="1:16" ht="31.5" x14ac:dyDescent="0.2">
      <c r="A453" s="82"/>
      <c r="B453" s="68"/>
      <c r="C453" s="14" t="s">
        <v>23</v>
      </c>
      <c r="D453" s="20">
        <f>'[5]15нед'!S281</f>
        <v>0</v>
      </c>
      <c r="E453" s="23">
        <f>'[5]15нед'!T281</f>
        <v>0</v>
      </c>
      <c r="F453" s="21">
        <f>'[5]15нед'!W281</f>
        <v>0</v>
      </c>
      <c r="G453" s="22" t="str">
        <f>'[5]15нед'!X281</f>
        <v/>
      </c>
      <c r="H453" s="34"/>
      <c r="I453" s="71"/>
      <c r="J453" s="74"/>
      <c r="K453" s="14" t="s">
        <v>23</v>
      </c>
      <c r="L453" s="20">
        <f>'[5]16нед'!S281</f>
        <v>0</v>
      </c>
      <c r="M453" s="23">
        <f>'[5]16нед'!T281</f>
        <v>0</v>
      </c>
      <c r="N453" s="21">
        <f>'[5]16нед'!W281</f>
        <v>0</v>
      </c>
      <c r="O453" s="22" t="str">
        <f>'[5]16нед'!X281</f>
        <v/>
      </c>
      <c r="P453" s="34"/>
    </row>
    <row r="454" spans="1:16" ht="32.25" thickBot="1" x14ac:dyDescent="0.25">
      <c r="A454" s="82"/>
      <c r="B454" s="68"/>
      <c r="C454" s="14" t="s">
        <v>24</v>
      </c>
      <c r="D454" s="20">
        <f>'[5]15нед'!S282</f>
        <v>0</v>
      </c>
      <c r="E454" s="23">
        <f>'[5]15нед'!T282</f>
        <v>0</v>
      </c>
      <c r="F454" s="21">
        <f>'[5]15нед'!W282</f>
        <v>0</v>
      </c>
      <c r="G454" s="22" t="str">
        <f>'[5]15нед'!X282</f>
        <v/>
      </c>
      <c r="H454" s="34"/>
      <c r="I454" s="71"/>
      <c r="J454" s="74"/>
      <c r="K454" s="14" t="s">
        <v>24</v>
      </c>
      <c r="L454" s="20">
        <f>'[5]16нед'!S282</f>
        <v>0</v>
      </c>
      <c r="M454" s="23">
        <f>'[5]16нед'!T282</f>
        <v>0</v>
      </c>
      <c r="N454" s="21">
        <f>'[5]16нед'!W282</f>
        <v>0</v>
      </c>
      <c r="O454" s="22" t="str">
        <f>'[5]16нед'!X282</f>
        <v/>
      </c>
      <c r="P454" s="34"/>
    </row>
    <row r="455" spans="1:16" ht="18.399999999999999" hidden="1" customHeight="1" thickBot="1" x14ac:dyDescent="0.25">
      <c r="A455" s="83"/>
      <c r="B455" s="69"/>
      <c r="C455" s="15"/>
      <c r="D455" s="24">
        <f>'[5]15нед'!S283</f>
        <v>0</v>
      </c>
      <c r="E455" s="25">
        <f>'[5]15нед'!T283</f>
        <v>0</v>
      </c>
      <c r="F455" s="26">
        <f>'[5]15нед'!W283</f>
        <v>0</v>
      </c>
      <c r="G455" s="27" t="str">
        <f>'[5]15нед'!X283</f>
        <v/>
      </c>
      <c r="H455" s="39"/>
      <c r="I455" s="72"/>
      <c r="J455" s="75"/>
      <c r="K455" s="15"/>
      <c r="L455" s="24">
        <f>'[5]16нед'!S283</f>
        <v>0</v>
      </c>
      <c r="M455" s="25">
        <f>'[5]16нед'!T283</f>
        <v>0</v>
      </c>
      <c r="N455" s="26">
        <f>'[5]16нед'!W283</f>
        <v>0</v>
      </c>
      <c r="O455" s="27" t="str">
        <f>'[5]16нед'!X283</f>
        <v/>
      </c>
      <c r="P455" s="39"/>
    </row>
    <row r="456" spans="1:16" ht="48" customHeight="1" thickTop="1" x14ac:dyDescent="0.2">
      <c r="A456" s="70">
        <v>46366</v>
      </c>
      <c r="B456" s="84" t="s">
        <v>27</v>
      </c>
      <c r="C456" s="29" t="s">
        <v>18</v>
      </c>
      <c r="D456" s="16">
        <f>'[5]15нед'!S284</f>
        <v>0</v>
      </c>
      <c r="E456" s="19">
        <f>'[5]15нед'!T284</f>
        <v>0</v>
      </c>
      <c r="F456" s="17">
        <f>'[5]15нед'!W284</f>
        <v>0</v>
      </c>
      <c r="G456" s="18" t="str">
        <f>'[5]15нед'!X284</f>
        <v/>
      </c>
      <c r="H456" s="40"/>
      <c r="I456" s="70">
        <v>46373</v>
      </c>
      <c r="J456" s="87" t="s">
        <v>27</v>
      </c>
      <c r="K456" s="29" t="s">
        <v>18</v>
      </c>
      <c r="L456" s="16">
        <f>'[5]16нед'!S284</f>
        <v>0</v>
      </c>
      <c r="M456" s="19">
        <f>'[5]16нед'!T284</f>
        <v>0</v>
      </c>
      <c r="N456" s="17">
        <f>'[5]16нед'!W284</f>
        <v>0</v>
      </c>
      <c r="O456" s="18" t="str">
        <f>'[5]16нед'!X284</f>
        <v/>
      </c>
      <c r="P456" s="40"/>
    </row>
    <row r="457" spans="1:16" ht="31.5" x14ac:dyDescent="0.2">
      <c r="A457" s="82"/>
      <c r="B457" s="85"/>
      <c r="C457" s="14" t="s">
        <v>19</v>
      </c>
      <c r="D457" s="20">
        <f>'[5]15нед'!S285</f>
        <v>0</v>
      </c>
      <c r="E457" s="23">
        <f>'[5]15нед'!T285</f>
        <v>0</v>
      </c>
      <c r="F457" s="21">
        <f>'[5]15нед'!W285</f>
        <v>0</v>
      </c>
      <c r="G457" s="22" t="str">
        <f>'[5]15нед'!X285</f>
        <v/>
      </c>
      <c r="H457" s="38"/>
      <c r="I457" s="71"/>
      <c r="J457" s="88"/>
      <c r="K457" s="14" t="s">
        <v>19</v>
      </c>
      <c r="L457" s="20">
        <f>'[5]16нед'!S285</f>
        <v>0</v>
      </c>
      <c r="M457" s="23">
        <f>'[5]16нед'!T285</f>
        <v>0</v>
      </c>
      <c r="N457" s="21">
        <f>'[5]16нед'!W285</f>
        <v>0</v>
      </c>
      <c r="O457" s="22" t="str">
        <f>'[5]16нед'!X285</f>
        <v/>
      </c>
      <c r="P457" s="38"/>
    </row>
    <row r="458" spans="1:16" ht="31.5" x14ac:dyDescent="0.2">
      <c r="A458" s="82"/>
      <c r="B458" s="85"/>
      <c r="C458" s="14" t="s">
        <v>20</v>
      </c>
      <c r="D458" s="20">
        <f>'[5]15нед'!S286</f>
        <v>0</v>
      </c>
      <c r="E458" s="23">
        <f>'[5]15нед'!T286</f>
        <v>0</v>
      </c>
      <c r="F458" s="21">
        <f>'[5]15нед'!W286</f>
        <v>0</v>
      </c>
      <c r="G458" s="22" t="str">
        <f>'[5]15нед'!X286</f>
        <v/>
      </c>
      <c r="H458" s="38"/>
      <c r="I458" s="71"/>
      <c r="J458" s="88"/>
      <c r="K458" s="14" t="s">
        <v>20</v>
      </c>
      <c r="L458" s="20">
        <f>'[5]16нед'!S286</f>
        <v>0</v>
      </c>
      <c r="M458" s="23">
        <f>'[5]16нед'!T286</f>
        <v>0</v>
      </c>
      <c r="N458" s="21">
        <f>'[5]16нед'!W286</f>
        <v>0</v>
      </c>
      <c r="O458" s="22" t="str">
        <f>'[5]16нед'!X286</f>
        <v/>
      </c>
      <c r="P458" s="38"/>
    </row>
    <row r="459" spans="1:16" ht="31.5" x14ac:dyDescent="0.2">
      <c r="A459" s="82"/>
      <c r="B459" s="85"/>
      <c r="C459" s="14" t="s">
        <v>21</v>
      </c>
      <c r="D459" s="20">
        <f>'[5]15нед'!S287</f>
        <v>0</v>
      </c>
      <c r="E459" s="23">
        <f>'[5]15нед'!T287</f>
        <v>0</v>
      </c>
      <c r="F459" s="21">
        <f>'[5]15нед'!W287</f>
        <v>0</v>
      </c>
      <c r="G459" s="22" t="str">
        <f>'[5]15нед'!X287</f>
        <v/>
      </c>
      <c r="H459" s="38"/>
      <c r="I459" s="71"/>
      <c r="J459" s="88"/>
      <c r="K459" s="14" t="s">
        <v>21</v>
      </c>
      <c r="L459" s="20">
        <f>'[5]16нед'!S287</f>
        <v>0</v>
      </c>
      <c r="M459" s="23">
        <f>'[5]16нед'!T287</f>
        <v>0</v>
      </c>
      <c r="N459" s="21">
        <f>'[5]16нед'!W287</f>
        <v>0</v>
      </c>
      <c r="O459" s="22" t="str">
        <f>'[5]16нед'!X287</f>
        <v/>
      </c>
      <c r="P459" s="38"/>
    </row>
    <row r="460" spans="1:16" ht="31.5" x14ac:dyDescent="0.2">
      <c r="A460" s="82"/>
      <c r="B460" s="85"/>
      <c r="C460" s="14" t="s">
        <v>22</v>
      </c>
      <c r="D460" s="20">
        <f>'[5]15нед'!S288</f>
        <v>0</v>
      </c>
      <c r="E460" s="23">
        <f>'[5]15нед'!T288</f>
        <v>0</v>
      </c>
      <c r="F460" s="21">
        <f>'[5]15нед'!W288</f>
        <v>0</v>
      </c>
      <c r="G460" s="22" t="str">
        <f>'[5]15нед'!X288</f>
        <v/>
      </c>
      <c r="H460" s="38"/>
      <c r="I460" s="71"/>
      <c r="J460" s="88"/>
      <c r="K460" s="14" t="s">
        <v>22</v>
      </c>
      <c r="L460" s="20">
        <f>'[5]16нед'!S288</f>
        <v>0</v>
      </c>
      <c r="M460" s="23">
        <f>'[5]16нед'!T288</f>
        <v>0</v>
      </c>
      <c r="N460" s="21">
        <f>'[5]16нед'!W288</f>
        <v>0</v>
      </c>
      <c r="O460" s="22" t="str">
        <f>'[5]16нед'!X288</f>
        <v/>
      </c>
      <c r="P460" s="38"/>
    </row>
    <row r="461" spans="1:16" ht="31.5" x14ac:dyDescent="0.2">
      <c r="A461" s="82"/>
      <c r="B461" s="85"/>
      <c r="C461" s="14" t="s">
        <v>23</v>
      </c>
      <c r="D461" s="20">
        <f>'[5]15нед'!S289</f>
        <v>0</v>
      </c>
      <c r="E461" s="23">
        <f>'[5]15нед'!T289</f>
        <v>0</v>
      </c>
      <c r="F461" s="21">
        <f>'[5]15нед'!W289</f>
        <v>0</v>
      </c>
      <c r="G461" s="22" t="str">
        <f>'[5]15нед'!X289</f>
        <v/>
      </c>
      <c r="H461" s="34"/>
      <c r="I461" s="71"/>
      <c r="J461" s="88"/>
      <c r="K461" s="14" t="s">
        <v>23</v>
      </c>
      <c r="L461" s="20">
        <f>'[5]16нед'!S289</f>
        <v>0</v>
      </c>
      <c r="M461" s="23">
        <f>'[5]16нед'!T289</f>
        <v>0</v>
      </c>
      <c r="N461" s="21">
        <f>'[5]16нед'!W289</f>
        <v>0</v>
      </c>
      <c r="O461" s="22" t="str">
        <f>'[5]16нед'!X289</f>
        <v/>
      </c>
      <c r="P461" s="34"/>
    </row>
    <row r="462" spans="1:16" ht="32.25" thickBot="1" x14ac:dyDescent="0.25">
      <c r="A462" s="82"/>
      <c r="B462" s="85"/>
      <c r="C462" s="14" t="s">
        <v>24</v>
      </c>
      <c r="D462" s="20">
        <f>'[5]15нед'!S290</f>
        <v>0</v>
      </c>
      <c r="E462" s="23">
        <f>'[5]15нед'!T290</f>
        <v>0</v>
      </c>
      <c r="F462" s="21">
        <f>'[5]15нед'!W290</f>
        <v>0</v>
      </c>
      <c r="G462" s="22" t="str">
        <f>'[5]15нед'!X290</f>
        <v/>
      </c>
      <c r="H462" s="34"/>
      <c r="I462" s="71"/>
      <c r="J462" s="88"/>
      <c r="K462" s="14" t="s">
        <v>24</v>
      </c>
      <c r="L462" s="20">
        <f>'[5]16нед'!S290</f>
        <v>0</v>
      </c>
      <c r="M462" s="23">
        <f>'[5]16нед'!T290</f>
        <v>0</v>
      </c>
      <c r="N462" s="21">
        <f>'[5]16нед'!W290</f>
        <v>0</v>
      </c>
      <c r="O462" s="22" t="str">
        <f>'[5]16нед'!X290</f>
        <v/>
      </c>
      <c r="P462" s="34"/>
    </row>
    <row r="463" spans="1:16" ht="18.399999999999999" hidden="1" customHeight="1" thickBot="1" x14ac:dyDescent="0.25">
      <c r="A463" s="83"/>
      <c r="B463" s="86"/>
      <c r="C463" s="15"/>
      <c r="D463" s="24">
        <f>'[5]15нед'!S291</f>
        <v>0</v>
      </c>
      <c r="E463" s="25">
        <f>'[5]15нед'!T291</f>
        <v>0</v>
      </c>
      <c r="F463" s="26">
        <f>'[5]15нед'!W291</f>
        <v>0</v>
      </c>
      <c r="G463" s="27" t="str">
        <f>'[5]15нед'!X291</f>
        <v/>
      </c>
      <c r="H463" s="39"/>
      <c r="I463" s="72"/>
      <c r="J463" s="89"/>
      <c r="K463" s="15"/>
      <c r="L463" s="24">
        <f>'[5]16нед'!S291</f>
        <v>0</v>
      </c>
      <c r="M463" s="25">
        <f>'[5]16нед'!T291</f>
        <v>0</v>
      </c>
      <c r="N463" s="26">
        <f>'[5]16нед'!W291</f>
        <v>0</v>
      </c>
      <c r="O463" s="27" t="str">
        <f>'[5]16нед'!X291</f>
        <v/>
      </c>
      <c r="P463" s="39"/>
    </row>
    <row r="464" spans="1:16" ht="48" customHeight="1" thickTop="1" x14ac:dyDescent="0.2">
      <c r="A464" s="70">
        <v>46367</v>
      </c>
      <c r="B464" s="84" t="s">
        <v>28</v>
      </c>
      <c r="C464" s="29" t="s">
        <v>18</v>
      </c>
      <c r="D464" s="16">
        <f>'[5]15нед'!S292</f>
        <v>0</v>
      </c>
      <c r="E464" s="19">
        <f>'[5]15нед'!T292</f>
        <v>0</v>
      </c>
      <c r="F464" s="17">
        <f>'[5]15нед'!W292</f>
        <v>0</v>
      </c>
      <c r="G464" s="18" t="str">
        <f>'[5]15нед'!X292</f>
        <v/>
      </c>
      <c r="H464" s="40"/>
      <c r="I464" s="70">
        <v>46374</v>
      </c>
      <c r="J464" s="87" t="s">
        <v>28</v>
      </c>
      <c r="K464" s="29" t="s">
        <v>18</v>
      </c>
      <c r="L464" s="16">
        <f>'[5]16нед'!S292</f>
        <v>0</v>
      </c>
      <c r="M464" s="19">
        <f>'[5]16нед'!T292</f>
        <v>0</v>
      </c>
      <c r="N464" s="17">
        <f>'[5]16нед'!W292</f>
        <v>0</v>
      </c>
      <c r="O464" s="18" t="str">
        <f>'[5]16нед'!X292</f>
        <v/>
      </c>
      <c r="P464" s="40"/>
    </row>
    <row r="465" spans="1:16" ht="31.5" x14ac:dyDescent="0.2">
      <c r="A465" s="82"/>
      <c r="B465" s="85"/>
      <c r="C465" s="14" t="s">
        <v>19</v>
      </c>
      <c r="D465" s="20">
        <f>'[5]15нед'!S293</f>
        <v>0</v>
      </c>
      <c r="E465" s="23">
        <f>'[5]15нед'!T293</f>
        <v>0</v>
      </c>
      <c r="F465" s="21">
        <f>'[5]15нед'!W293</f>
        <v>0</v>
      </c>
      <c r="G465" s="22" t="str">
        <f>'[5]15нед'!X293</f>
        <v/>
      </c>
      <c r="H465" s="38"/>
      <c r="I465" s="71"/>
      <c r="J465" s="88"/>
      <c r="K465" s="14" t="s">
        <v>19</v>
      </c>
      <c r="L465" s="20">
        <f>'[5]16нед'!S293</f>
        <v>0</v>
      </c>
      <c r="M465" s="23">
        <f>'[5]16нед'!T293</f>
        <v>0</v>
      </c>
      <c r="N465" s="21">
        <f>'[5]16нед'!W293</f>
        <v>0</v>
      </c>
      <c r="O465" s="22" t="str">
        <f>'[5]16нед'!X293</f>
        <v/>
      </c>
      <c r="P465" s="38"/>
    </row>
    <row r="466" spans="1:16" ht="31.5" x14ac:dyDescent="0.2">
      <c r="A466" s="82"/>
      <c r="B466" s="85"/>
      <c r="C466" s="14" t="s">
        <v>20</v>
      </c>
      <c r="D466" s="20">
        <f>'[5]15нед'!S294</f>
        <v>0</v>
      </c>
      <c r="E466" s="23">
        <f>'[5]15нед'!T294</f>
        <v>0</v>
      </c>
      <c r="F466" s="21">
        <f>'[5]15нед'!W294</f>
        <v>0</v>
      </c>
      <c r="G466" s="22" t="str">
        <f>'[5]15нед'!X294</f>
        <v/>
      </c>
      <c r="H466" s="38"/>
      <c r="I466" s="71"/>
      <c r="J466" s="88"/>
      <c r="K466" s="14" t="s">
        <v>20</v>
      </c>
      <c r="L466" s="20">
        <f>'[5]16нед'!S294</f>
        <v>0</v>
      </c>
      <c r="M466" s="23">
        <f>'[5]16нед'!T294</f>
        <v>0</v>
      </c>
      <c r="N466" s="21">
        <f>'[5]16нед'!W294</f>
        <v>0</v>
      </c>
      <c r="O466" s="22" t="str">
        <f>'[5]16нед'!X294</f>
        <v/>
      </c>
      <c r="P466" s="38"/>
    </row>
    <row r="467" spans="1:16" ht="31.5" x14ac:dyDescent="0.2">
      <c r="A467" s="82"/>
      <c r="B467" s="85"/>
      <c r="C467" s="14" t="s">
        <v>21</v>
      </c>
      <c r="D467" s="20">
        <f>'[5]15нед'!S295</f>
        <v>0</v>
      </c>
      <c r="E467" s="23">
        <f>'[5]15нед'!T295</f>
        <v>0</v>
      </c>
      <c r="F467" s="21">
        <f>'[5]15нед'!W295</f>
        <v>0</v>
      </c>
      <c r="G467" s="22" t="str">
        <f>'[5]15нед'!X295</f>
        <v/>
      </c>
      <c r="H467" s="38"/>
      <c r="I467" s="71"/>
      <c r="J467" s="88"/>
      <c r="K467" s="14" t="s">
        <v>21</v>
      </c>
      <c r="L467" s="20">
        <f>'[5]16нед'!S295</f>
        <v>0</v>
      </c>
      <c r="M467" s="23">
        <f>'[5]16нед'!T295</f>
        <v>0</v>
      </c>
      <c r="N467" s="21">
        <f>'[5]16нед'!W295</f>
        <v>0</v>
      </c>
      <c r="O467" s="22" t="str">
        <f>'[5]16нед'!X295</f>
        <v/>
      </c>
      <c r="P467" s="38"/>
    </row>
    <row r="468" spans="1:16" ht="31.5" x14ac:dyDescent="0.2">
      <c r="A468" s="82"/>
      <c r="B468" s="85"/>
      <c r="C468" s="14" t="s">
        <v>22</v>
      </c>
      <c r="D468" s="20">
        <f>'[5]15нед'!S296</f>
        <v>0</v>
      </c>
      <c r="E468" s="23">
        <f>'[5]15нед'!T296</f>
        <v>0</v>
      </c>
      <c r="F468" s="21">
        <f>'[5]15нед'!W296</f>
        <v>0</v>
      </c>
      <c r="G468" s="22" t="str">
        <f>'[5]15нед'!X296</f>
        <v/>
      </c>
      <c r="H468" s="38"/>
      <c r="I468" s="71"/>
      <c r="J468" s="88"/>
      <c r="K468" s="14" t="s">
        <v>22</v>
      </c>
      <c r="L468" s="20">
        <f>'[5]16нед'!S296</f>
        <v>0</v>
      </c>
      <c r="M468" s="23">
        <f>'[5]16нед'!T296</f>
        <v>0</v>
      </c>
      <c r="N468" s="21">
        <f>'[5]16нед'!W296</f>
        <v>0</v>
      </c>
      <c r="O468" s="22" t="str">
        <f>'[5]16нед'!X296</f>
        <v/>
      </c>
      <c r="P468" s="38"/>
    </row>
    <row r="469" spans="1:16" ht="31.5" x14ac:dyDescent="0.2">
      <c r="A469" s="82"/>
      <c r="B469" s="85"/>
      <c r="C469" s="14" t="s">
        <v>23</v>
      </c>
      <c r="D469" s="20">
        <f>'[5]15нед'!S297</f>
        <v>0</v>
      </c>
      <c r="E469" s="23">
        <f>'[5]15нед'!T297</f>
        <v>0</v>
      </c>
      <c r="F469" s="21">
        <f>'[5]15нед'!W297</f>
        <v>0</v>
      </c>
      <c r="G469" s="22" t="str">
        <f>'[5]15нед'!X297</f>
        <v/>
      </c>
      <c r="H469" s="38"/>
      <c r="I469" s="71"/>
      <c r="J469" s="88"/>
      <c r="K469" s="14" t="s">
        <v>23</v>
      </c>
      <c r="L469" s="20">
        <f>'[5]16нед'!S297</f>
        <v>0</v>
      </c>
      <c r="M469" s="23">
        <f>'[5]16нед'!T297</f>
        <v>0</v>
      </c>
      <c r="N469" s="21">
        <f>'[5]16нед'!W297</f>
        <v>0</v>
      </c>
      <c r="O469" s="22" t="str">
        <f>'[5]16нед'!X297</f>
        <v/>
      </c>
      <c r="P469" s="38"/>
    </row>
    <row r="470" spans="1:16" ht="32.25" thickBot="1" x14ac:dyDescent="0.25">
      <c r="A470" s="82"/>
      <c r="B470" s="85"/>
      <c r="C470" s="14" t="s">
        <v>24</v>
      </c>
      <c r="D470" s="20">
        <f>'[5]15нед'!S298</f>
        <v>0</v>
      </c>
      <c r="E470" s="23">
        <f>'[5]15нед'!T298</f>
        <v>0</v>
      </c>
      <c r="F470" s="21">
        <f>'[5]15нед'!W298</f>
        <v>0</v>
      </c>
      <c r="G470" s="22" t="str">
        <f>'[5]15нед'!X298</f>
        <v/>
      </c>
      <c r="H470" s="38"/>
      <c r="I470" s="71"/>
      <c r="J470" s="88"/>
      <c r="K470" s="14" t="s">
        <v>24</v>
      </c>
      <c r="L470" s="20">
        <f>'[5]16нед'!S298</f>
        <v>0</v>
      </c>
      <c r="M470" s="23">
        <f>'[5]16нед'!T298</f>
        <v>0</v>
      </c>
      <c r="N470" s="21">
        <f>'[5]16нед'!W298</f>
        <v>0</v>
      </c>
      <c r="O470" s="22" t="str">
        <f>'[5]16нед'!X298</f>
        <v/>
      </c>
      <c r="P470" s="38"/>
    </row>
    <row r="471" spans="1:16" ht="18.399999999999999" hidden="1" customHeight="1" thickBot="1" x14ac:dyDescent="0.25">
      <c r="A471" s="83"/>
      <c r="B471" s="86"/>
      <c r="C471" s="15"/>
      <c r="D471" s="24">
        <f>'[5]15нед'!S299</f>
        <v>0</v>
      </c>
      <c r="E471" s="25">
        <f>'[5]15нед'!T299</f>
        <v>0</v>
      </c>
      <c r="F471" s="26">
        <f>'[5]15нед'!W299</f>
        <v>0</v>
      </c>
      <c r="G471" s="27" t="str">
        <f>'[5]15нед'!X299</f>
        <v/>
      </c>
      <c r="H471" s="39"/>
      <c r="I471" s="72"/>
      <c r="J471" s="89"/>
      <c r="K471" s="15"/>
      <c r="L471" s="24">
        <f>'[5]16нед'!S299</f>
        <v>0</v>
      </c>
      <c r="M471" s="25">
        <f>'[5]16нед'!T299</f>
        <v>0</v>
      </c>
      <c r="N471" s="26">
        <f>'[5]16нед'!W299</f>
        <v>0</v>
      </c>
      <c r="O471" s="27" t="str">
        <f>'[5]16нед'!X299</f>
        <v/>
      </c>
      <c r="P471" s="39"/>
    </row>
    <row r="472" spans="1:16" ht="48" customHeight="1" thickTop="1" x14ac:dyDescent="0.2">
      <c r="A472" s="70">
        <v>46368</v>
      </c>
      <c r="B472" s="84" t="s">
        <v>29</v>
      </c>
      <c r="C472" s="29" t="s">
        <v>18</v>
      </c>
      <c r="D472" s="16">
        <f>'[5]15нед'!S300</f>
        <v>0</v>
      </c>
      <c r="E472" s="19">
        <f>'[5]15нед'!T300</f>
        <v>0</v>
      </c>
      <c r="F472" s="17">
        <f>'[5]15нед'!W300</f>
        <v>0</v>
      </c>
      <c r="G472" s="18" t="str">
        <f>'[5]15нед'!X300</f>
        <v/>
      </c>
      <c r="H472" s="40"/>
      <c r="I472" s="70">
        <v>46375</v>
      </c>
      <c r="J472" s="87" t="s">
        <v>29</v>
      </c>
      <c r="K472" s="29" t="s">
        <v>18</v>
      </c>
      <c r="L472" s="16">
        <f>'[5]16нед'!S300</f>
        <v>0</v>
      </c>
      <c r="M472" s="19">
        <f>'[5]16нед'!T300</f>
        <v>0</v>
      </c>
      <c r="N472" s="17">
        <f>'[5]16нед'!W300</f>
        <v>0</v>
      </c>
      <c r="O472" s="18" t="str">
        <f>'[5]16нед'!X300</f>
        <v/>
      </c>
      <c r="P472" s="40"/>
    </row>
    <row r="473" spans="1:16" ht="31.5" x14ac:dyDescent="0.2">
      <c r="A473" s="82"/>
      <c r="B473" s="85"/>
      <c r="C473" s="14" t="s">
        <v>19</v>
      </c>
      <c r="D473" s="20">
        <f>'[5]15нед'!S301</f>
        <v>0</v>
      </c>
      <c r="E473" s="23">
        <f>'[5]15нед'!T301</f>
        <v>0</v>
      </c>
      <c r="F473" s="21">
        <f>'[5]15нед'!W301</f>
        <v>0</v>
      </c>
      <c r="G473" s="22" t="str">
        <f>'[5]15нед'!X301</f>
        <v/>
      </c>
      <c r="H473" s="38"/>
      <c r="I473" s="71"/>
      <c r="J473" s="88"/>
      <c r="K473" s="14" t="s">
        <v>19</v>
      </c>
      <c r="L473" s="20">
        <f>'[5]16нед'!S301</f>
        <v>0</v>
      </c>
      <c r="M473" s="23">
        <f>'[5]16нед'!T301</f>
        <v>0</v>
      </c>
      <c r="N473" s="21">
        <f>'[5]16нед'!W301</f>
        <v>0</v>
      </c>
      <c r="O473" s="22" t="str">
        <f>'[5]16нед'!X301</f>
        <v/>
      </c>
      <c r="P473" s="38"/>
    </row>
    <row r="474" spans="1:16" ht="31.5" x14ac:dyDescent="0.2">
      <c r="A474" s="82"/>
      <c r="B474" s="85"/>
      <c r="C474" s="14" t="s">
        <v>20</v>
      </c>
      <c r="D474" s="20">
        <f>'[5]15нед'!S302</f>
        <v>0</v>
      </c>
      <c r="E474" s="23">
        <f>'[5]15нед'!T302</f>
        <v>0</v>
      </c>
      <c r="F474" s="21">
        <f>'[5]15нед'!W302</f>
        <v>0</v>
      </c>
      <c r="G474" s="22" t="str">
        <f>'[5]15нед'!X302</f>
        <v/>
      </c>
      <c r="H474" s="43"/>
      <c r="I474" s="71"/>
      <c r="J474" s="88"/>
      <c r="K474" s="14" t="s">
        <v>20</v>
      </c>
      <c r="L474" s="20">
        <f>'[5]16нед'!S302</f>
        <v>0</v>
      </c>
      <c r="M474" s="23">
        <f>'[5]16нед'!T302</f>
        <v>0</v>
      </c>
      <c r="N474" s="21">
        <f>'[5]16нед'!W302</f>
        <v>0</v>
      </c>
      <c r="O474" s="22" t="str">
        <f>'[5]16нед'!X302</f>
        <v/>
      </c>
      <c r="P474" s="43"/>
    </row>
    <row r="475" spans="1:16" ht="31.5" x14ac:dyDescent="0.2">
      <c r="A475" s="82"/>
      <c r="B475" s="85"/>
      <c r="C475" s="14" t="s">
        <v>21</v>
      </c>
      <c r="D475" s="20">
        <f>'[5]15нед'!S303</f>
        <v>0</v>
      </c>
      <c r="E475" s="23">
        <f>'[5]15нед'!T303</f>
        <v>0</v>
      </c>
      <c r="F475" s="21">
        <f>'[5]15нед'!W303</f>
        <v>0</v>
      </c>
      <c r="G475" s="22" t="str">
        <f>'[5]15нед'!X303</f>
        <v/>
      </c>
      <c r="H475" s="38"/>
      <c r="I475" s="71"/>
      <c r="J475" s="88"/>
      <c r="K475" s="14" t="s">
        <v>21</v>
      </c>
      <c r="L475" s="20">
        <f>'[5]16нед'!S303</f>
        <v>0</v>
      </c>
      <c r="M475" s="23">
        <f>'[5]16нед'!T303</f>
        <v>0</v>
      </c>
      <c r="N475" s="21">
        <f>'[5]16нед'!W303</f>
        <v>0</v>
      </c>
      <c r="O475" s="22" t="str">
        <f>'[5]16нед'!X303</f>
        <v/>
      </c>
      <c r="P475" s="38"/>
    </row>
    <row r="476" spans="1:16" ht="31.5" x14ac:dyDescent="0.2">
      <c r="A476" s="82"/>
      <c r="B476" s="85"/>
      <c r="C476" s="14" t="s">
        <v>22</v>
      </c>
      <c r="D476" s="20">
        <f>'[5]15нед'!S304</f>
        <v>0</v>
      </c>
      <c r="E476" s="23">
        <f>'[5]15нед'!T304</f>
        <v>0</v>
      </c>
      <c r="F476" s="21">
        <f>'[5]15нед'!W304</f>
        <v>0</v>
      </c>
      <c r="G476" s="22" t="str">
        <f>'[5]15нед'!X304</f>
        <v/>
      </c>
      <c r="H476" s="38"/>
      <c r="I476" s="71"/>
      <c r="J476" s="88"/>
      <c r="K476" s="14" t="s">
        <v>22</v>
      </c>
      <c r="L476" s="20">
        <f>'[5]16нед'!S304</f>
        <v>0</v>
      </c>
      <c r="M476" s="23">
        <f>'[5]16нед'!T304</f>
        <v>0</v>
      </c>
      <c r="N476" s="21">
        <f>'[5]16нед'!W304</f>
        <v>0</v>
      </c>
      <c r="O476" s="22" t="str">
        <f>'[5]16нед'!X304</f>
        <v/>
      </c>
      <c r="P476" s="38"/>
    </row>
    <row r="477" spans="1:16" ht="31.5" x14ac:dyDescent="0.2">
      <c r="A477" s="82"/>
      <c r="B477" s="85"/>
      <c r="C477" s="14" t="s">
        <v>23</v>
      </c>
      <c r="D477" s="20">
        <f>'[5]15нед'!S305</f>
        <v>0</v>
      </c>
      <c r="E477" s="23">
        <f>'[5]15нед'!T305</f>
        <v>0</v>
      </c>
      <c r="F477" s="21">
        <f>'[5]15нед'!W305</f>
        <v>0</v>
      </c>
      <c r="G477" s="22" t="str">
        <f>'[5]15нед'!X305</f>
        <v/>
      </c>
      <c r="H477" s="38"/>
      <c r="I477" s="71"/>
      <c r="J477" s="88"/>
      <c r="K477" s="14" t="s">
        <v>23</v>
      </c>
      <c r="L477" s="20">
        <f>'[5]16нед'!S305</f>
        <v>0</v>
      </c>
      <c r="M477" s="23">
        <f>'[5]16нед'!T305</f>
        <v>0</v>
      </c>
      <c r="N477" s="21">
        <f>'[5]16нед'!W305</f>
        <v>0</v>
      </c>
      <c r="O477" s="22" t="str">
        <f>'[5]16нед'!X305</f>
        <v/>
      </c>
      <c r="P477" s="38"/>
    </row>
    <row r="478" spans="1:16" ht="32.25" thickBot="1" x14ac:dyDescent="0.25">
      <c r="A478" s="82"/>
      <c r="B478" s="85"/>
      <c r="C478" s="14" t="s">
        <v>24</v>
      </c>
      <c r="D478" s="20">
        <f>'[5]15нед'!S306</f>
        <v>0</v>
      </c>
      <c r="E478" s="23">
        <f>'[5]15нед'!T306</f>
        <v>0</v>
      </c>
      <c r="F478" s="21">
        <f>'[5]15нед'!W306</f>
        <v>0</v>
      </c>
      <c r="G478" s="22" t="str">
        <f>'[5]15нед'!X306</f>
        <v/>
      </c>
      <c r="H478" s="38"/>
      <c r="I478" s="71"/>
      <c r="J478" s="88"/>
      <c r="K478" s="14" t="s">
        <v>24</v>
      </c>
      <c r="L478" s="20">
        <f>'[5]16нед'!S306</f>
        <v>0</v>
      </c>
      <c r="M478" s="23">
        <f>'[5]16нед'!T306</f>
        <v>0</v>
      </c>
      <c r="N478" s="21">
        <f>'[5]16нед'!W306</f>
        <v>0</v>
      </c>
      <c r="O478" s="22" t="str">
        <f>'[5]16нед'!X306</f>
        <v/>
      </c>
      <c r="P478" s="38"/>
    </row>
    <row r="479" spans="1:16" ht="18.399999999999999" hidden="1" customHeight="1" thickBot="1" x14ac:dyDescent="0.25">
      <c r="A479" s="83"/>
      <c r="B479" s="86"/>
      <c r="C479" s="15"/>
      <c r="D479" s="24">
        <f>'[5]15нед'!S183</f>
        <v>0</v>
      </c>
      <c r="E479" s="25">
        <f>'[5]15нед'!T183</f>
        <v>0</v>
      </c>
      <c r="F479" s="26">
        <f>'[5]15нед'!W183</f>
        <v>0</v>
      </c>
      <c r="G479" s="27" t="str">
        <f>'[5]15нед'!X183</f>
        <v/>
      </c>
      <c r="H479" s="39"/>
      <c r="I479" s="72"/>
      <c r="J479" s="89"/>
      <c r="K479" s="15"/>
      <c r="L479" s="24">
        <f>'[5]16нед'!S59</f>
        <v>0</v>
      </c>
      <c r="M479" s="25">
        <f>'[5]16нед'!T59</f>
        <v>0</v>
      </c>
      <c r="N479" s="26">
        <f>'[5]16нед'!W59</f>
        <v>0</v>
      </c>
      <c r="O479" s="27" t="str">
        <f>'[5]16нед'!X59</f>
        <v/>
      </c>
      <c r="P479" s="39"/>
    </row>
    <row r="480" spans="1:16" ht="39" customHeight="1" thickTop="1" x14ac:dyDescent="0.2">
      <c r="A480" s="47"/>
      <c r="B480" s="30"/>
      <c r="C480" s="31"/>
      <c r="D480" s="32"/>
      <c r="E480" s="32" t="s">
        <v>30</v>
      </c>
      <c r="F480" s="32"/>
      <c r="G480" s="33" t="s">
        <v>31</v>
      </c>
      <c r="H480" s="41"/>
      <c r="I480" s="47"/>
      <c r="J480" s="30"/>
      <c r="K480" s="31"/>
      <c r="L480" s="32"/>
      <c r="M480" s="32" t="s">
        <v>30</v>
      </c>
      <c r="N480" s="32"/>
      <c r="O480" s="33" t="s">
        <v>31</v>
      </c>
      <c r="P480" s="41"/>
    </row>
    <row r="481" spans="1:16" ht="15.75" x14ac:dyDescent="0.25">
      <c r="A481" s="45"/>
      <c r="B481" s="1"/>
      <c r="C481" s="2"/>
      <c r="D481" s="3"/>
      <c r="E481" s="3"/>
      <c r="F481" s="3"/>
      <c r="G481" s="3"/>
      <c r="H481" s="4" t="s">
        <v>0</v>
      </c>
      <c r="I481" s="45"/>
      <c r="J481" s="1"/>
      <c r="K481" s="2"/>
      <c r="L481" s="3"/>
      <c r="M481" s="3"/>
      <c r="N481" s="3"/>
      <c r="O481" s="3"/>
      <c r="P481" s="4" t="s">
        <v>0</v>
      </c>
    </row>
    <row r="482" spans="1:16" ht="15.75" x14ac:dyDescent="0.25">
      <c r="A482" s="45"/>
      <c r="B482" s="1"/>
      <c r="C482" s="2"/>
      <c r="D482" s="3"/>
      <c r="E482" s="3"/>
      <c r="F482" s="3"/>
      <c r="G482" s="3"/>
      <c r="H482" s="4" t="s">
        <v>1</v>
      </c>
      <c r="I482" s="45"/>
      <c r="J482" s="1"/>
      <c r="K482" s="2"/>
      <c r="L482" s="3"/>
      <c r="M482" s="3"/>
      <c r="N482" s="3"/>
      <c r="O482" s="3"/>
      <c r="P482" s="4" t="s">
        <v>1</v>
      </c>
    </row>
    <row r="483" spans="1:16" ht="15.75" x14ac:dyDescent="0.25">
      <c r="A483" s="45"/>
      <c r="B483" s="1"/>
      <c r="C483" s="2"/>
      <c r="D483" s="3"/>
      <c r="E483" s="3"/>
      <c r="F483" s="3"/>
      <c r="G483" s="3"/>
      <c r="H483" s="4" t="s">
        <v>2</v>
      </c>
      <c r="I483" s="45"/>
      <c r="J483" s="1"/>
      <c r="K483" s="2"/>
      <c r="L483" s="3"/>
      <c r="M483" s="3"/>
      <c r="N483" s="3"/>
      <c r="O483" s="3"/>
      <c r="P483" s="4" t="s">
        <v>2</v>
      </c>
    </row>
    <row r="484" spans="1:16" ht="15.75" x14ac:dyDescent="0.25">
      <c r="A484" s="45"/>
      <c r="B484" s="1"/>
      <c r="C484" s="2"/>
      <c r="D484" s="3"/>
      <c r="E484" s="3"/>
      <c r="F484" s="3"/>
      <c r="G484" s="3"/>
      <c r="H484" s="4" t="s">
        <v>3</v>
      </c>
      <c r="I484" s="45"/>
      <c r="J484" s="1"/>
      <c r="K484" s="2"/>
      <c r="L484" s="3"/>
      <c r="M484" s="3"/>
      <c r="N484" s="3"/>
      <c r="O484" s="3"/>
      <c r="P484" s="4" t="s">
        <v>3</v>
      </c>
    </row>
    <row r="485" spans="1:16" ht="15.75" x14ac:dyDescent="0.25">
      <c r="A485" s="45"/>
      <c r="B485" s="5"/>
      <c r="C485" s="2"/>
      <c r="D485" s="3"/>
      <c r="E485" s="3"/>
      <c r="F485" s="3"/>
      <c r="G485" s="3"/>
      <c r="H485" s="3"/>
      <c r="I485" s="45"/>
      <c r="J485" s="5"/>
      <c r="K485" s="2"/>
      <c r="L485" s="3"/>
      <c r="M485" s="3"/>
      <c r="N485" s="3"/>
      <c r="O485" s="3"/>
      <c r="P485" s="3"/>
    </row>
    <row r="486" spans="1:16" ht="15.75" x14ac:dyDescent="0.25">
      <c r="A486" s="45"/>
      <c r="B486" s="90" t="s">
        <v>4</v>
      </c>
      <c r="C486" s="90"/>
      <c r="D486" s="90"/>
      <c r="E486" s="90"/>
      <c r="F486" s="90"/>
      <c r="G486" s="90"/>
      <c r="H486" s="90"/>
      <c r="I486" s="45"/>
      <c r="J486" s="90" t="s">
        <v>4</v>
      </c>
      <c r="K486" s="90"/>
      <c r="L486" s="90"/>
      <c r="M486" s="90"/>
      <c r="N486" s="90"/>
      <c r="O486" s="90"/>
      <c r="P486" s="90"/>
    </row>
    <row r="487" spans="1:16" ht="15.75" x14ac:dyDescent="0.2">
      <c r="A487" s="46"/>
      <c r="B487" s="62" t="str">
        <f>'[1]1нед'!$A$6</f>
        <v>Направление подготовки:</v>
      </c>
      <c r="C487" s="6"/>
      <c r="D487" s="7"/>
      <c r="E487" s="8" t="str">
        <f>E67</f>
        <v>09.03.04Программная инженерия (Программно-информационные системы)</v>
      </c>
      <c r="F487" s="7"/>
      <c r="G487" s="7"/>
      <c r="H487" s="36" t="str">
        <f>H7</f>
        <v>12-26ПИ1з</v>
      </c>
      <c r="I487" s="46"/>
      <c r="J487" s="62" t="str">
        <f>'[1]1нед'!$A$6</f>
        <v>Направление подготовки:</v>
      </c>
      <c r="K487" s="6"/>
      <c r="L487" s="7"/>
      <c r="M487" s="8" t="str">
        <f>E67</f>
        <v>09.03.04Программная инженерия (Программно-информационные системы)</v>
      </c>
      <c r="N487" s="7"/>
      <c r="O487" s="7"/>
      <c r="P487" s="36" t="str">
        <f>H7</f>
        <v>12-26ПИ1з</v>
      </c>
    </row>
    <row r="488" spans="1:16" ht="15.75" x14ac:dyDescent="0.25">
      <c r="A488" s="45"/>
      <c r="B488" s="81" t="s">
        <v>5</v>
      </c>
      <c r="C488" s="81"/>
      <c r="D488" s="81"/>
      <c r="E488" s="81" t="str">
        <f t="shared" ref="E488" si="8">E8</f>
        <v>очно-заочная</v>
      </c>
      <c r="F488" s="81"/>
      <c r="G488" s="81"/>
      <c r="H488" s="81"/>
      <c r="I488" s="45"/>
      <c r="J488" s="81" t="s">
        <v>5</v>
      </c>
      <c r="K488" s="81"/>
      <c r="L488" s="81"/>
      <c r="M488" s="81" t="str">
        <f t="shared" ref="M488" si="9">E8</f>
        <v>очно-заочная</v>
      </c>
      <c r="N488" s="81"/>
      <c r="O488" s="81"/>
      <c r="P488" s="81"/>
    </row>
    <row r="489" spans="1:16" ht="15.75" x14ac:dyDescent="0.25">
      <c r="A489" s="45"/>
      <c r="B489" s="81" t="s">
        <v>7</v>
      </c>
      <c r="C489" s="81"/>
      <c r="D489" s="81"/>
      <c r="E489" s="62">
        <f>E9</f>
        <v>3</v>
      </c>
      <c r="F489" s="62"/>
      <c r="G489" s="62"/>
      <c r="H489" s="35"/>
      <c r="I489" s="45"/>
      <c r="J489" s="81" t="s">
        <v>7</v>
      </c>
      <c r="K489" s="81"/>
      <c r="L489" s="81"/>
      <c r="M489" s="62">
        <f>E9</f>
        <v>3</v>
      </c>
      <c r="N489" s="62"/>
      <c r="O489" s="62"/>
      <c r="P489" s="35"/>
    </row>
    <row r="490" spans="1:16" ht="16.5" thickBot="1" x14ac:dyDescent="0.3">
      <c r="A490" s="45"/>
      <c r="B490" s="93" t="s">
        <v>8</v>
      </c>
      <c r="C490" s="93"/>
      <c r="D490" s="93"/>
      <c r="E490" s="63">
        <f>M430+1</f>
        <v>17</v>
      </c>
      <c r="F490" s="63"/>
      <c r="G490" s="63"/>
      <c r="H490" s="37"/>
      <c r="I490" s="45"/>
      <c r="J490" s="93" t="s">
        <v>8</v>
      </c>
      <c r="K490" s="93"/>
      <c r="L490" s="93"/>
      <c r="M490" s="63">
        <f>E490+1</f>
        <v>18</v>
      </c>
      <c r="N490" s="63"/>
      <c r="O490" s="63"/>
      <c r="P490" s="37"/>
    </row>
    <row r="491" spans="1:16" ht="60.75" customHeight="1" thickTop="1" thickBot="1" x14ac:dyDescent="0.25">
      <c r="A491" s="79" t="s">
        <v>9</v>
      </c>
      <c r="B491" s="80"/>
      <c r="C491" s="10" t="s">
        <v>10</v>
      </c>
      <c r="D491" s="11" t="s">
        <v>11</v>
      </c>
      <c r="E491" s="12" t="s">
        <v>12</v>
      </c>
      <c r="F491" s="91" t="s">
        <v>13</v>
      </c>
      <c r="G491" s="92"/>
      <c r="H491" s="13" t="s">
        <v>14</v>
      </c>
      <c r="I491" s="79" t="s">
        <v>9</v>
      </c>
      <c r="J491" s="80"/>
      <c r="K491" s="10" t="s">
        <v>10</v>
      </c>
      <c r="L491" s="11" t="s">
        <v>11</v>
      </c>
      <c r="M491" s="12" t="s">
        <v>12</v>
      </c>
      <c r="N491" s="91" t="s">
        <v>13</v>
      </c>
      <c r="O491" s="92"/>
      <c r="P491" s="13" t="s">
        <v>14</v>
      </c>
    </row>
    <row r="492" spans="1:16" ht="32.25" customHeight="1" thickTop="1" x14ac:dyDescent="0.2">
      <c r="A492" s="70">
        <v>46377</v>
      </c>
      <c r="B492" s="84" t="s">
        <v>17</v>
      </c>
      <c r="C492" s="14" t="s">
        <v>18</v>
      </c>
      <c r="D492" s="16">
        <f>'[5]17нед'!S260</f>
        <v>0</v>
      </c>
      <c r="E492" s="19">
        <f>'[5]17нед'!T260</f>
        <v>0</v>
      </c>
      <c r="F492" s="17">
        <f>'[5]17нед'!W260</f>
        <v>0</v>
      </c>
      <c r="G492" s="18" t="str">
        <f>'[5]17нед'!X260</f>
        <v/>
      </c>
      <c r="H492" s="40"/>
      <c r="I492" s="70">
        <v>46384</v>
      </c>
      <c r="J492" s="87" t="s">
        <v>17</v>
      </c>
      <c r="K492" s="14" t="s">
        <v>18</v>
      </c>
      <c r="L492" s="16">
        <f>'[5]18нед'!S260</f>
        <v>0</v>
      </c>
      <c r="M492" s="19">
        <f>'[5]18нед'!T260</f>
        <v>0</v>
      </c>
      <c r="N492" s="17">
        <f>'[5]18нед'!W260</f>
        <v>0</v>
      </c>
      <c r="O492" s="18" t="str">
        <f>'[5]18нед'!X260</f>
        <v/>
      </c>
      <c r="P492" s="40"/>
    </row>
    <row r="493" spans="1:16" ht="31.5" x14ac:dyDescent="0.2">
      <c r="A493" s="82"/>
      <c r="B493" s="85"/>
      <c r="C493" s="14" t="s">
        <v>19</v>
      </c>
      <c r="D493" s="20">
        <f>'[5]17нед'!S261</f>
        <v>0</v>
      </c>
      <c r="E493" s="23">
        <f>'[5]17нед'!T261</f>
        <v>0</v>
      </c>
      <c r="F493" s="21">
        <f>'[5]17нед'!W261</f>
        <v>0</v>
      </c>
      <c r="G493" s="22" t="str">
        <f>'[5]17нед'!X261</f>
        <v/>
      </c>
      <c r="H493" s="38"/>
      <c r="I493" s="71"/>
      <c r="J493" s="88"/>
      <c r="K493" s="14" t="s">
        <v>19</v>
      </c>
      <c r="L493" s="20">
        <f>'[5]18нед'!S261</f>
        <v>0</v>
      </c>
      <c r="M493" s="23">
        <f>'[5]18нед'!T261</f>
        <v>0</v>
      </c>
      <c r="N493" s="21">
        <f>'[5]18нед'!W261</f>
        <v>0</v>
      </c>
      <c r="O493" s="22" t="str">
        <f>'[5]18нед'!X261</f>
        <v/>
      </c>
      <c r="P493" s="38"/>
    </row>
    <row r="494" spans="1:16" ht="31.5" x14ac:dyDescent="0.2">
      <c r="A494" s="82"/>
      <c r="B494" s="85"/>
      <c r="C494" s="14" t="s">
        <v>20</v>
      </c>
      <c r="D494" s="20">
        <f>'[5]17нед'!S262</f>
        <v>0</v>
      </c>
      <c r="E494" s="23">
        <f>'[5]17нед'!T262</f>
        <v>0</v>
      </c>
      <c r="F494" s="21">
        <f>'[5]17нед'!W262</f>
        <v>0</v>
      </c>
      <c r="G494" s="22" t="str">
        <f>'[5]17нед'!X262</f>
        <v/>
      </c>
      <c r="H494" s="38"/>
      <c r="I494" s="71"/>
      <c r="J494" s="88"/>
      <c r="K494" s="14" t="s">
        <v>20</v>
      </c>
      <c r="L494" s="20">
        <f>'[5]18нед'!S262</f>
        <v>0</v>
      </c>
      <c r="M494" s="23">
        <f>'[5]18нед'!T262</f>
        <v>0</v>
      </c>
      <c r="N494" s="21">
        <f>'[5]18нед'!W262</f>
        <v>0</v>
      </c>
      <c r="O494" s="22" t="str">
        <f>'[5]18нед'!X262</f>
        <v/>
      </c>
      <c r="P494" s="38"/>
    </row>
    <row r="495" spans="1:16" ht="31.5" x14ac:dyDescent="0.2">
      <c r="A495" s="82"/>
      <c r="B495" s="85"/>
      <c r="C495" s="14" t="s">
        <v>21</v>
      </c>
      <c r="D495" s="20">
        <f>'[5]17нед'!S263</f>
        <v>0</v>
      </c>
      <c r="E495" s="23">
        <f>'[5]17нед'!T263</f>
        <v>0</v>
      </c>
      <c r="F495" s="21">
        <f>'[5]17нед'!W263</f>
        <v>0</v>
      </c>
      <c r="G495" s="22" t="str">
        <f>'[5]17нед'!X263</f>
        <v/>
      </c>
      <c r="H495" s="38"/>
      <c r="I495" s="71"/>
      <c r="J495" s="88"/>
      <c r="K495" s="14" t="s">
        <v>21</v>
      </c>
      <c r="L495" s="20">
        <f>'[5]18нед'!S263</f>
        <v>0</v>
      </c>
      <c r="M495" s="23">
        <f>'[5]18нед'!T263</f>
        <v>0</v>
      </c>
      <c r="N495" s="21">
        <f>'[5]18нед'!W263</f>
        <v>0</v>
      </c>
      <c r="O495" s="22" t="str">
        <f>'[5]18нед'!X263</f>
        <v/>
      </c>
      <c r="P495" s="38"/>
    </row>
    <row r="496" spans="1:16" ht="31.5" x14ac:dyDescent="0.2">
      <c r="A496" s="82"/>
      <c r="B496" s="85"/>
      <c r="C496" s="14" t="s">
        <v>22</v>
      </c>
      <c r="D496" s="20">
        <f>'[5]17нед'!S264</f>
        <v>0</v>
      </c>
      <c r="E496" s="23">
        <f>'[5]17нед'!T264</f>
        <v>0</v>
      </c>
      <c r="F496" s="21">
        <f>'[5]17нед'!W264</f>
        <v>0</v>
      </c>
      <c r="G496" s="22" t="str">
        <f>'[5]17нед'!X264</f>
        <v/>
      </c>
      <c r="H496" s="38"/>
      <c r="I496" s="71"/>
      <c r="J496" s="88"/>
      <c r="K496" s="14" t="s">
        <v>22</v>
      </c>
      <c r="L496" s="20">
        <f>'[5]18нед'!S264</f>
        <v>0</v>
      </c>
      <c r="M496" s="23">
        <f>'[5]18нед'!T264</f>
        <v>0</v>
      </c>
      <c r="N496" s="21">
        <f>'[5]18нед'!W264</f>
        <v>0</v>
      </c>
      <c r="O496" s="22" t="str">
        <f>'[5]18нед'!X264</f>
        <v/>
      </c>
      <c r="P496" s="38"/>
    </row>
    <row r="497" spans="1:16" ht="31.5" x14ac:dyDescent="0.2">
      <c r="A497" s="82"/>
      <c r="B497" s="85"/>
      <c r="C497" s="14" t="s">
        <v>23</v>
      </c>
      <c r="D497" s="20">
        <f>'[5]17нед'!S265</f>
        <v>0</v>
      </c>
      <c r="E497" s="23">
        <f>'[5]17нед'!T265</f>
        <v>0</v>
      </c>
      <c r="F497" s="21">
        <f>'[5]17нед'!W265</f>
        <v>0</v>
      </c>
      <c r="G497" s="22" t="str">
        <f>'[5]17нед'!X265</f>
        <v/>
      </c>
      <c r="H497" s="38"/>
      <c r="I497" s="71"/>
      <c r="J497" s="88"/>
      <c r="K497" s="14" t="s">
        <v>23</v>
      </c>
      <c r="L497" s="20">
        <f>'[5]18нед'!S265</f>
        <v>0</v>
      </c>
      <c r="M497" s="23">
        <f>'[5]18нед'!T265</f>
        <v>0</v>
      </c>
      <c r="N497" s="21">
        <f>'[5]18нед'!W265</f>
        <v>0</v>
      </c>
      <c r="O497" s="22" t="str">
        <f>'[5]18нед'!X265</f>
        <v/>
      </c>
      <c r="P497" s="38"/>
    </row>
    <row r="498" spans="1:16" ht="32.25" thickBot="1" x14ac:dyDescent="0.25">
      <c r="A498" s="82"/>
      <c r="B498" s="85"/>
      <c r="C498" s="14" t="s">
        <v>24</v>
      </c>
      <c r="D498" s="20">
        <f>'[5]17нед'!S266</f>
        <v>0</v>
      </c>
      <c r="E498" s="23">
        <f>'[5]17нед'!T266</f>
        <v>0</v>
      </c>
      <c r="F498" s="21">
        <f>'[5]17нед'!W266</f>
        <v>0</v>
      </c>
      <c r="G498" s="22" t="str">
        <f>'[5]17нед'!X266</f>
        <v/>
      </c>
      <c r="H498" s="38"/>
      <c r="I498" s="71"/>
      <c r="J498" s="88"/>
      <c r="K498" s="14" t="s">
        <v>24</v>
      </c>
      <c r="L498" s="20">
        <f>'[5]18нед'!S266</f>
        <v>0</v>
      </c>
      <c r="M498" s="23">
        <f>'[5]18нед'!T266</f>
        <v>0</v>
      </c>
      <c r="N498" s="21">
        <f>'[5]18нед'!W266</f>
        <v>0</v>
      </c>
      <c r="O498" s="22" t="str">
        <f>'[5]18нед'!X266</f>
        <v/>
      </c>
      <c r="P498" s="38"/>
    </row>
    <row r="499" spans="1:16" ht="18.399999999999999" hidden="1" customHeight="1" thickBot="1" x14ac:dyDescent="0.25">
      <c r="A499" s="83"/>
      <c r="B499" s="86"/>
      <c r="C499" s="15"/>
      <c r="D499" s="24">
        <f>'[5]17нед'!S267</f>
        <v>0</v>
      </c>
      <c r="E499" s="25">
        <f>'[5]17нед'!T267</f>
        <v>0</v>
      </c>
      <c r="F499" s="26">
        <f>'[5]17нед'!W267</f>
        <v>0</v>
      </c>
      <c r="G499" s="27" t="str">
        <f>'[5]17нед'!X267</f>
        <v/>
      </c>
      <c r="H499" s="39"/>
      <c r="I499" s="72"/>
      <c r="J499" s="89"/>
      <c r="K499" s="15"/>
      <c r="L499" s="24">
        <f>'[5]18нед'!S267</f>
        <v>0</v>
      </c>
      <c r="M499" s="25">
        <f>'[5]18нед'!T267</f>
        <v>0</v>
      </c>
      <c r="N499" s="26">
        <f>'[5]18нед'!W267</f>
        <v>0</v>
      </c>
      <c r="O499" s="27" t="str">
        <f>'[5]18нед'!X267</f>
        <v/>
      </c>
      <c r="P499" s="39"/>
    </row>
    <row r="500" spans="1:16" ht="32.25" customHeight="1" thickTop="1" x14ac:dyDescent="0.2">
      <c r="A500" s="70">
        <v>46378</v>
      </c>
      <c r="B500" s="84" t="s">
        <v>25</v>
      </c>
      <c r="C500" s="29" t="s">
        <v>18</v>
      </c>
      <c r="D500" s="16">
        <f>'[5]17нед'!S268</f>
        <v>0</v>
      </c>
      <c r="E500" s="19">
        <f>'[5]17нед'!T268</f>
        <v>0</v>
      </c>
      <c r="F500" s="17">
        <f>'[5]17нед'!W268</f>
        <v>0</v>
      </c>
      <c r="G500" s="18" t="str">
        <f>'[5]17нед'!X268</f>
        <v/>
      </c>
      <c r="H500" s="40"/>
      <c r="I500" s="70">
        <v>46385</v>
      </c>
      <c r="J500" s="87" t="s">
        <v>25</v>
      </c>
      <c r="K500" s="29" t="s">
        <v>18</v>
      </c>
      <c r="L500" s="16">
        <f>'[5]18нед'!S268</f>
        <v>0</v>
      </c>
      <c r="M500" s="19">
        <f>'[5]18нед'!T268</f>
        <v>0</v>
      </c>
      <c r="N500" s="17">
        <f>'[5]18нед'!W268</f>
        <v>0</v>
      </c>
      <c r="O500" s="18" t="str">
        <f>'[5]18нед'!X268</f>
        <v/>
      </c>
      <c r="P500" s="40"/>
    </row>
    <row r="501" spans="1:16" ht="31.5" x14ac:dyDescent="0.2">
      <c r="A501" s="82"/>
      <c r="B501" s="85"/>
      <c r="C501" s="14" t="s">
        <v>19</v>
      </c>
      <c r="D501" s="20">
        <f>'[5]17нед'!S269</f>
        <v>0</v>
      </c>
      <c r="E501" s="23">
        <f>'[5]17нед'!T269</f>
        <v>0</v>
      </c>
      <c r="F501" s="21">
        <f>'[5]17нед'!W269</f>
        <v>0</v>
      </c>
      <c r="G501" s="22" t="str">
        <f>'[5]17нед'!X269</f>
        <v/>
      </c>
      <c r="H501" s="38"/>
      <c r="I501" s="71"/>
      <c r="J501" s="88"/>
      <c r="K501" s="14" t="s">
        <v>19</v>
      </c>
      <c r="L501" s="20">
        <f>'[5]18нед'!S269</f>
        <v>0</v>
      </c>
      <c r="M501" s="23">
        <f>'[5]18нед'!T269</f>
        <v>0</v>
      </c>
      <c r="N501" s="21">
        <f>'[5]18нед'!W269</f>
        <v>0</v>
      </c>
      <c r="O501" s="22" t="str">
        <f>'[5]18нед'!X269</f>
        <v/>
      </c>
      <c r="P501" s="38"/>
    </row>
    <row r="502" spans="1:16" ht="31.5" x14ac:dyDescent="0.2">
      <c r="A502" s="82"/>
      <c r="B502" s="85"/>
      <c r="C502" s="14" t="s">
        <v>20</v>
      </c>
      <c r="D502" s="20">
        <f>'[5]17нед'!S270</f>
        <v>0</v>
      </c>
      <c r="E502" s="23">
        <f>'[5]17нед'!T270</f>
        <v>0</v>
      </c>
      <c r="F502" s="21">
        <f>'[5]17нед'!W270</f>
        <v>0</v>
      </c>
      <c r="G502" s="22" t="str">
        <f>'[5]17нед'!X270</f>
        <v/>
      </c>
      <c r="H502" s="38"/>
      <c r="I502" s="71"/>
      <c r="J502" s="88"/>
      <c r="K502" s="14" t="s">
        <v>20</v>
      </c>
      <c r="L502" s="20">
        <f>'[5]18нед'!S270</f>
        <v>0</v>
      </c>
      <c r="M502" s="23">
        <f>'[5]18нед'!T270</f>
        <v>0</v>
      </c>
      <c r="N502" s="21">
        <f>'[5]18нед'!W270</f>
        <v>0</v>
      </c>
      <c r="O502" s="22" t="str">
        <f>'[5]18нед'!X270</f>
        <v/>
      </c>
      <c r="P502" s="38"/>
    </row>
    <row r="503" spans="1:16" ht="31.5" x14ac:dyDescent="0.2">
      <c r="A503" s="82"/>
      <c r="B503" s="85"/>
      <c r="C503" s="14" t="s">
        <v>21</v>
      </c>
      <c r="D503" s="20">
        <f>'[5]17нед'!S271</f>
        <v>0</v>
      </c>
      <c r="E503" s="23">
        <f>'[5]17нед'!T271</f>
        <v>0</v>
      </c>
      <c r="F503" s="21">
        <f>'[5]17нед'!W271</f>
        <v>0</v>
      </c>
      <c r="G503" s="22" t="str">
        <f>'[5]17нед'!X271</f>
        <v/>
      </c>
      <c r="H503" s="38"/>
      <c r="I503" s="71"/>
      <c r="J503" s="88"/>
      <c r="K503" s="14" t="s">
        <v>21</v>
      </c>
      <c r="L503" s="20">
        <f>'[5]18нед'!S271</f>
        <v>0</v>
      </c>
      <c r="M503" s="23">
        <f>'[5]18нед'!T271</f>
        <v>0</v>
      </c>
      <c r="N503" s="21">
        <f>'[5]18нед'!W271</f>
        <v>0</v>
      </c>
      <c r="O503" s="22" t="str">
        <f>'[5]18нед'!X271</f>
        <v/>
      </c>
      <c r="P503" s="38"/>
    </row>
    <row r="504" spans="1:16" ht="31.5" x14ac:dyDescent="0.2">
      <c r="A504" s="82"/>
      <c r="B504" s="85"/>
      <c r="C504" s="14" t="s">
        <v>22</v>
      </c>
      <c r="D504" s="20">
        <f>'[5]17нед'!S272</f>
        <v>0</v>
      </c>
      <c r="E504" s="23">
        <f>'[5]17нед'!T272</f>
        <v>0</v>
      </c>
      <c r="F504" s="21">
        <f>'[5]17нед'!W272</f>
        <v>0</v>
      </c>
      <c r="G504" s="22" t="str">
        <f>'[5]17нед'!X272</f>
        <v/>
      </c>
      <c r="H504" s="38"/>
      <c r="I504" s="71"/>
      <c r="J504" s="88"/>
      <c r="K504" s="14" t="s">
        <v>22</v>
      </c>
      <c r="L504" s="20">
        <f>'[5]18нед'!S272</f>
        <v>0</v>
      </c>
      <c r="M504" s="23">
        <f>'[5]18нед'!T272</f>
        <v>0</v>
      </c>
      <c r="N504" s="21">
        <f>'[5]18нед'!W272</f>
        <v>0</v>
      </c>
      <c r="O504" s="22" t="str">
        <f>'[5]18нед'!X272</f>
        <v/>
      </c>
      <c r="P504" s="38"/>
    </row>
    <row r="505" spans="1:16" ht="31.5" x14ac:dyDescent="0.2">
      <c r="A505" s="82"/>
      <c r="B505" s="85"/>
      <c r="C505" s="14" t="s">
        <v>23</v>
      </c>
      <c r="D505" s="20">
        <f>'[5]17нед'!S273</f>
        <v>0</v>
      </c>
      <c r="E505" s="23">
        <f>'[5]17нед'!T273</f>
        <v>0</v>
      </c>
      <c r="F505" s="21">
        <f>'[5]17нед'!W273</f>
        <v>0</v>
      </c>
      <c r="G505" s="22" t="str">
        <f>'[5]17нед'!X273</f>
        <v/>
      </c>
      <c r="H505" s="34"/>
      <c r="I505" s="71"/>
      <c r="J505" s="88"/>
      <c r="K505" s="14" t="s">
        <v>23</v>
      </c>
      <c r="L505" s="20">
        <f>'[5]18нед'!S273</f>
        <v>0</v>
      </c>
      <c r="M505" s="23">
        <f>'[5]18нед'!T273</f>
        <v>0</v>
      </c>
      <c r="N505" s="21">
        <f>'[5]18нед'!W273</f>
        <v>0</v>
      </c>
      <c r="O505" s="22" t="str">
        <f>'[5]18нед'!X273</f>
        <v/>
      </c>
      <c r="P505" s="34"/>
    </row>
    <row r="506" spans="1:16" ht="32.25" thickBot="1" x14ac:dyDescent="0.25">
      <c r="A506" s="82"/>
      <c r="B506" s="85"/>
      <c r="C506" s="14" t="s">
        <v>24</v>
      </c>
      <c r="D506" s="20">
        <f>'[5]17нед'!S274</f>
        <v>0</v>
      </c>
      <c r="E506" s="23">
        <f>'[5]17нед'!T274</f>
        <v>0</v>
      </c>
      <c r="F506" s="21">
        <f>'[5]17нед'!W274</f>
        <v>0</v>
      </c>
      <c r="G506" s="22" t="str">
        <f>'[5]17нед'!X274</f>
        <v/>
      </c>
      <c r="H506" s="34"/>
      <c r="I506" s="71"/>
      <c r="J506" s="88"/>
      <c r="K506" s="14" t="s">
        <v>24</v>
      </c>
      <c r="L506" s="20">
        <f>'[5]18нед'!S274</f>
        <v>0</v>
      </c>
      <c r="M506" s="23">
        <f>'[5]18нед'!T274</f>
        <v>0</v>
      </c>
      <c r="N506" s="21">
        <f>'[5]18нед'!W274</f>
        <v>0</v>
      </c>
      <c r="O506" s="22" t="str">
        <f>'[5]18нед'!X274</f>
        <v/>
      </c>
      <c r="P506" s="34"/>
    </row>
    <row r="507" spans="1:16" ht="18.399999999999999" hidden="1" customHeight="1" thickBot="1" x14ac:dyDescent="0.25">
      <c r="A507" s="83"/>
      <c r="B507" s="86"/>
      <c r="C507" s="15"/>
      <c r="D507" s="24">
        <f>'[5]17нед'!S275</f>
        <v>0</v>
      </c>
      <c r="E507" s="25">
        <f>'[5]17нед'!T275</f>
        <v>0</v>
      </c>
      <c r="F507" s="26">
        <f>'[5]17нед'!W275</f>
        <v>0</v>
      </c>
      <c r="G507" s="27" t="str">
        <f>'[5]17нед'!X275</f>
        <v/>
      </c>
      <c r="H507" s="39"/>
      <c r="I507" s="72"/>
      <c r="J507" s="89"/>
      <c r="K507" s="15"/>
      <c r="L507" s="24">
        <f>'[5]18нед'!S275</f>
        <v>0</v>
      </c>
      <c r="M507" s="25">
        <f>'[5]18нед'!T275</f>
        <v>0</v>
      </c>
      <c r="N507" s="26">
        <f>'[5]18нед'!W275</f>
        <v>0</v>
      </c>
      <c r="O507" s="27" t="str">
        <f>'[5]18нед'!X275</f>
        <v/>
      </c>
      <c r="P507" s="39"/>
    </row>
    <row r="508" spans="1:16" ht="48" customHeight="1" thickTop="1" x14ac:dyDescent="0.2">
      <c r="A508" s="70">
        <v>46379</v>
      </c>
      <c r="B508" s="67" t="s">
        <v>26</v>
      </c>
      <c r="C508" s="29" t="s">
        <v>18</v>
      </c>
      <c r="D508" s="16">
        <f>'[5]17нед'!S276</f>
        <v>0</v>
      </c>
      <c r="E508" s="19">
        <f>'[5]17нед'!T276</f>
        <v>0</v>
      </c>
      <c r="F508" s="17">
        <f>'[5]17нед'!W276</f>
        <v>0</v>
      </c>
      <c r="G508" s="18" t="str">
        <f>'[5]17нед'!X276</f>
        <v/>
      </c>
      <c r="H508" s="40"/>
      <c r="I508" s="70">
        <v>46386</v>
      </c>
      <c r="J508" s="73" t="s">
        <v>26</v>
      </c>
      <c r="K508" s="29" t="s">
        <v>18</v>
      </c>
      <c r="L508" s="16">
        <f>'[5]18нед'!S276</f>
        <v>0</v>
      </c>
      <c r="M508" s="19">
        <f>'[5]18нед'!T276</f>
        <v>0</v>
      </c>
      <c r="N508" s="17">
        <f>'[5]18нед'!W276</f>
        <v>0</v>
      </c>
      <c r="O508" s="18" t="str">
        <f>'[5]18нед'!X276</f>
        <v/>
      </c>
      <c r="P508" s="40"/>
    </row>
    <row r="509" spans="1:16" ht="31.5" x14ac:dyDescent="0.2">
      <c r="A509" s="82"/>
      <c r="B509" s="68"/>
      <c r="C509" s="14" t="s">
        <v>19</v>
      </c>
      <c r="D509" s="20">
        <f>'[5]17нед'!S277</f>
        <v>0</v>
      </c>
      <c r="E509" s="23">
        <f>'[5]17нед'!T277</f>
        <v>0</v>
      </c>
      <c r="F509" s="21">
        <f>'[5]17нед'!W277</f>
        <v>0</v>
      </c>
      <c r="G509" s="22" t="str">
        <f>'[5]17нед'!X277</f>
        <v/>
      </c>
      <c r="H509" s="38"/>
      <c r="I509" s="71"/>
      <c r="J509" s="74"/>
      <c r="K509" s="14" t="s">
        <v>19</v>
      </c>
      <c r="L509" s="20">
        <f>'[5]18нед'!S277</f>
        <v>0</v>
      </c>
      <c r="M509" s="23">
        <f>'[5]18нед'!T277</f>
        <v>0</v>
      </c>
      <c r="N509" s="21">
        <f>'[5]18нед'!W277</f>
        <v>0</v>
      </c>
      <c r="O509" s="22" t="str">
        <f>'[5]18нед'!X277</f>
        <v/>
      </c>
      <c r="P509" s="38"/>
    </row>
    <row r="510" spans="1:16" ht="31.5" x14ac:dyDescent="0.2">
      <c r="A510" s="82"/>
      <c r="B510" s="68"/>
      <c r="C510" s="14" t="s">
        <v>20</v>
      </c>
      <c r="D510" s="20">
        <f>'[5]17нед'!S278</f>
        <v>0</v>
      </c>
      <c r="E510" s="23">
        <f>'[5]17нед'!T278</f>
        <v>0</v>
      </c>
      <c r="F510" s="21">
        <f>'[5]17нед'!W278</f>
        <v>0</v>
      </c>
      <c r="G510" s="22" t="str">
        <f>'[5]17нед'!X278</f>
        <v/>
      </c>
      <c r="H510" s="38"/>
      <c r="I510" s="71"/>
      <c r="J510" s="74"/>
      <c r="K510" s="14" t="s">
        <v>20</v>
      </c>
      <c r="L510" s="20">
        <f>'[5]18нед'!S278</f>
        <v>0</v>
      </c>
      <c r="M510" s="23">
        <f>'[5]18нед'!T278</f>
        <v>0</v>
      </c>
      <c r="N510" s="21">
        <f>'[5]18нед'!W278</f>
        <v>0</v>
      </c>
      <c r="O510" s="22" t="str">
        <f>'[5]18нед'!X278</f>
        <v/>
      </c>
      <c r="P510" s="38"/>
    </row>
    <row r="511" spans="1:16" ht="31.5" x14ac:dyDescent="0.2">
      <c r="A511" s="82"/>
      <c r="B511" s="68"/>
      <c r="C511" s="14" t="s">
        <v>21</v>
      </c>
      <c r="D511" s="20">
        <f>'[5]17нед'!S279</f>
        <v>0</v>
      </c>
      <c r="E511" s="23">
        <f>'[5]17нед'!T279</f>
        <v>0</v>
      </c>
      <c r="F511" s="21">
        <f>'[5]17нед'!W279</f>
        <v>0</v>
      </c>
      <c r="G511" s="22" t="str">
        <f>'[5]17нед'!X279</f>
        <v/>
      </c>
      <c r="H511" s="38"/>
      <c r="I511" s="71"/>
      <c r="J511" s="74"/>
      <c r="K511" s="14" t="s">
        <v>21</v>
      </c>
      <c r="L511" s="20">
        <f>'[5]18нед'!S279</f>
        <v>0</v>
      </c>
      <c r="M511" s="23">
        <f>'[5]18нед'!T279</f>
        <v>0</v>
      </c>
      <c r="N511" s="21">
        <f>'[5]18нед'!W279</f>
        <v>0</v>
      </c>
      <c r="O511" s="22" t="str">
        <f>'[5]18нед'!X279</f>
        <v/>
      </c>
      <c r="P511" s="38"/>
    </row>
    <row r="512" spans="1:16" ht="31.5" x14ac:dyDescent="0.2">
      <c r="A512" s="82"/>
      <c r="B512" s="68"/>
      <c r="C512" s="14" t="s">
        <v>22</v>
      </c>
      <c r="D512" s="20">
        <f>'[5]17нед'!S280</f>
        <v>0</v>
      </c>
      <c r="E512" s="23">
        <f>'[5]17нед'!T280</f>
        <v>0</v>
      </c>
      <c r="F512" s="21">
        <f>'[5]17нед'!W280</f>
        <v>0</v>
      </c>
      <c r="G512" s="22" t="str">
        <f>'[5]17нед'!X280</f>
        <v/>
      </c>
      <c r="H512" s="38"/>
      <c r="I512" s="71"/>
      <c r="J512" s="74"/>
      <c r="K512" s="14" t="s">
        <v>22</v>
      </c>
      <c r="L512" s="20">
        <f>'[5]18нед'!S280</f>
        <v>0</v>
      </c>
      <c r="M512" s="23">
        <f>'[5]18нед'!T280</f>
        <v>0</v>
      </c>
      <c r="N512" s="21">
        <f>'[5]18нед'!W280</f>
        <v>0</v>
      </c>
      <c r="O512" s="22" t="str">
        <f>'[5]18нед'!X280</f>
        <v/>
      </c>
      <c r="P512" s="38"/>
    </row>
    <row r="513" spans="1:16" ht="31.5" x14ac:dyDescent="0.2">
      <c r="A513" s="82"/>
      <c r="B513" s="68"/>
      <c r="C513" s="14" t="s">
        <v>23</v>
      </c>
      <c r="D513" s="20">
        <f>'[5]17нед'!S281</f>
        <v>0</v>
      </c>
      <c r="E513" s="23">
        <f>'[5]17нед'!T281</f>
        <v>0</v>
      </c>
      <c r="F513" s="21">
        <f>'[5]17нед'!W281</f>
        <v>0</v>
      </c>
      <c r="G513" s="22" t="str">
        <f>'[5]17нед'!X281</f>
        <v/>
      </c>
      <c r="H513" s="34"/>
      <c r="I513" s="71"/>
      <c r="J513" s="74"/>
      <c r="K513" s="14" t="s">
        <v>23</v>
      </c>
      <c r="L513" s="20">
        <f>'[5]18нед'!S281</f>
        <v>0</v>
      </c>
      <c r="M513" s="23">
        <f>'[5]18нед'!T281</f>
        <v>0</v>
      </c>
      <c r="N513" s="21">
        <f>'[5]18нед'!W281</f>
        <v>0</v>
      </c>
      <c r="O513" s="22" t="str">
        <f>'[5]18нед'!X281</f>
        <v/>
      </c>
      <c r="P513" s="34"/>
    </row>
    <row r="514" spans="1:16" ht="32.25" thickBot="1" x14ac:dyDescent="0.25">
      <c r="A514" s="82"/>
      <c r="B514" s="68"/>
      <c r="C514" s="14" t="s">
        <v>24</v>
      </c>
      <c r="D514" s="20">
        <f>'[5]17нед'!S282</f>
        <v>0</v>
      </c>
      <c r="E514" s="23">
        <f>'[5]17нед'!T282</f>
        <v>0</v>
      </c>
      <c r="F514" s="21">
        <f>'[5]17нед'!W282</f>
        <v>0</v>
      </c>
      <c r="G514" s="22" t="str">
        <f>'[5]17нед'!X282</f>
        <v/>
      </c>
      <c r="H514" s="34"/>
      <c r="I514" s="71"/>
      <c r="J514" s="74"/>
      <c r="K514" s="14" t="s">
        <v>24</v>
      </c>
      <c r="L514" s="20">
        <f>'[5]18нед'!S282</f>
        <v>0</v>
      </c>
      <c r="M514" s="23">
        <f>'[5]18нед'!T282</f>
        <v>0</v>
      </c>
      <c r="N514" s="21">
        <f>'[5]18нед'!W282</f>
        <v>0</v>
      </c>
      <c r="O514" s="22" t="str">
        <f>'[5]18нед'!X282</f>
        <v/>
      </c>
      <c r="P514" s="34"/>
    </row>
    <row r="515" spans="1:16" ht="18.399999999999999" hidden="1" customHeight="1" thickBot="1" x14ac:dyDescent="0.25">
      <c r="A515" s="83"/>
      <c r="B515" s="69"/>
      <c r="C515" s="15"/>
      <c r="D515" s="24">
        <f>'[5]17нед'!S283</f>
        <v>0</v>
      </c>
      <c r="E515" s="25">
        <f>'[5]17нед'!T283</f>
        <v>0</v>
      </c>
      <c r="F515" s="26">
        <f>'[5]17нед'!W283</f>
        <v>0</v>
      </c>
      <c r="G515" s="27" t="str">
        <f>'[5]17нед'!X283</f>
        <v/>
      </c>
      <c r="H515" s="39"/>
      <c r="I515" s="72"/>
      <c r="J515" s="75"/>
      <c r="K515" s="15"/>
      <c r="L515" s="24">
        <f>'[5]18нед'!S283</f>
        <v>0</v>
      </c>
      <c r="M515" s="25">
        <f>'[5]18нед'!T283</f>
        <v>0</v>
      </c>
      <c r="N515" s="26">
        <f>'[5]18нед'!W283</f>
        <v>0</v>
      </c>
      <c r="O515" s="27" t="str">
        <f>'[5]18нед'!X283</f>
        <v/>
      </c>
      <c r="P515" s="39"/>
    </row>
    <row r="516" spans="1:16" ht="48" customHeight="1" thickTop="1" x14ac:dyDescent="0.2">
      <c r="A516" s="70">
        <v>46380</v>
      </c>
      <c r="B516" s="84" t="s">
        <v>27</v>
      </c>
      <c r="C516" s="29" t="s">
        <v>18</v>
      </c>
      <c r="D516" s="16">
        <f>'[5]17нед'!S284</f>
        <v>0</v>
      </c>
      <c r="E516" s="19">
        <f>'[5]17нед'!T284</f>
        <v>0</v>
      </c>
      <c r="F516" s="17">
        <f>'[5]17нед'!W284</f>
        <v>0</v>
      </c>
      <c r="G516" s="18" t="str">
        <f>'[5]17нед'!X284</f>
        <v/>
      </c>
      <c r="H516" s="40"/>
      <c r="I516" s="70">
        <v>46387</v>
      </c>
      <c r="J516" s="87" t="s">
        <v>27</v>
      </c>
      <c r="K516" s="29" t="s">
        <v>18</v>
      </c>
      <c r="L516" s="16">
        <f>'[5]18нед'!S284</f>
        <v>0</v>
      </c>
      <c r="M516" s="19">
        <f>'[5]18нед'!T284</f>
        <v>0</v>
      </c>
      <c r="N516" s="17">
        <f>'[5]18нед'!W284</f>
        <v>0</v>
      </c>
      <c r="O516" s="18" t="str">
        <f>'[5]18нед'!X284</f>
        <v/>
      </c>
      <c r="P516" s="40"/>
    </row>
    <row r="517" spans="1:16" ht="31.5" x14ac:dyDescent="0.2">
      <c r="A517" s="82"/>
      <c r="B517" s="85"/>
      <c r="C517" s="14" t="s">
        <v>19</v>
      </c>
      <c r="D517" s="20">
        <f>'[5]17нед'!S285</f>
        <v>0</v>
      </c>
      <c r="E517" s="23">
        <f>'[5]17нед'!T285</f>
        <v>0</v>
      </c>
      <c r="F517" s="21">
        <f>'[5]17нед'!W285</f>
        <v>0</v>
      </c>
      <c r="G517" s="22" t="str">
        <f>'[5]17нед'!X285</f>
        <v/>
      </c>
      <c r="H517" s="38"/>
      <c r="I517" s="71"/>
      <c r="J517" s="88"/>
      <c r="K517" s="14" t="s">
        <v>19</v>
      </c>
      <c r="L517" s="20">
        <f>'[5]18нед'!S285</f>
        <v>0</v>
      </c>
      <c r="M517" s="23">
        <f>'[5]18нед'!T285</f>
        <v>0</v>
      </c>
      <c r="N517" s="21">
        <f>'[5]18нед'!W285</f>
        <v>0</v>
      </c>
      <c r="O517" s="22" t="str">
        <f>'[5]18нед'!X285</f>
        <v/>
      </c>
      <c r="P517" s="38"/>
    </row>
    <row r="518" spans="1:16" ht="31.5" x14ac:dyDescent="0.2">
      <c r="A518" s="82"/>
      <c r="B518" s="85"/>
      <c r="C518" s="14" t="s">
        <v>20</v>
      </c>
      <c r="D518" s="20">
        <f>'[5]17нед'!S286</f>
        <v>0</v>
      </c>
      <c r="E518" s="23">
        <f>'[5]17нед'!T286</f>
        <v>0</v>
      </c>
      <c r="F518" s="21">
        <f>'[5]17нед'!W286</f>
        <v>0</v>
      </c>
      <c r="G518" s="22" t="str">
        <f>'[5]17нед'!X286</f>
        <v/>
      </c>
      <c r="H518" s="38"/>
      <c r="I518" s="71"/>
      <c r="J518" s="88"/>
      <c r="K518" s="14" t="s">
        <v>20</v>
      </c>
      <c r="L518" s="20">
        <f>'[5]18нед'!S286</f>
        <v>0</v>
      </c>
      <c r="M518" s="23">
        <f>'[5]18нед'!T286</f>
        <v>0</v>
      </c>
      <c r="N518" s="21">
        <f>'[5]18нед'!W286</f>
        <v>0</v>
      </c>
      <c r="O518" s="22" t="str">
        <f>'[5]18нед'!X286</f>
        <v/>
      </c>
      <c r="P518" s="38"/>
    </row>
    <row r="519" spans="1:16" ht="31.5" x14ac:dyDescent="0.2">
      <c r="A519" s="82"/>
      <c r="B519" s="85"/>
      <c r="C519" s="14" t="s">
        <v>21</v>
      </c>
      <c r="D519" s="20">
        <f>'[5]17нед'!S287</f>
        <v>0</v>
      </c>
      <c r="E519" s="23">
        <f>'[5]17нед'!T287</f>
        <v>0</v>
      </c>
      <c r="F519" s="21">
        <f>'[5]17нед'!W287</f>
        <v>0</v>
      </c>
      <c r="G519" s="22" t="str">
        <f>'[5]17нед'!X287</f>
        <v/>
      </c>
      <c r="H519" s="38"/>
      <c r="I519" s="71"/>
      <c r="J519" s="88"/>
      <c r="K519" s="14" t="s">
        <v>21</v>
      </c>
      <c r="L519" s="20">
        <f>'[5]18нед'!S287</f>
        <v>0</v>
      </c>
      <c r="M519" s="23">
        <f>'[5]18нед'!T287</f>
        <v>0</v>
      </c>
      <c r="N519" s="21">
        <f>'[5]18нед'!W287</f>
        <v>0</v>
      </c>
      <c r="O519" s="22" t="str">
        <f>'[5]18нед'!X287</f>
        <v/>
      </c>
      <c r="P519" s="38"/>
    </row>
    <row r="520" spans="1:16" ht="31.5" x14ac:dyDescent="0.2">
      <c r="A520" s="82"/>
      <c r="B520" s="85"/>
      <c r="C520" s="14" t="s">
        <v>22</v>
      </c>
      <c r="D520" s="20">
        <f>'[5]17нед'!S288</f>
        <v>0</v>
      </c>
      <c r="E520" s="23">
        <f>'[5]17нед'!T288</f>
        <v>0</v>
      </c>
      <c r="F520" s="21">
        <f>'[5]17нед'!W288</f>
        <v>0</v>
      </c>
      <c r="G520" s="22" t="str">
        <f>'[5]17нед'!X288</f>
        <v/>
      </c>
      <c r="H520" s="38"/>
      <c r="I520" s="71"/>
      <c r="J520" s="88"/>
      <c r="K520" s="14" t="s">
        <v>22</v>
      </c>
      <c r="L520" s="20">
        <f>'[5]18нед'!S288</f>
        <v>0</v>
      </c>
      <c r="M520" s="23">
        <f>'[5]18нед'!T288</f>
        <v>0</v>
      </c>
      <c r="N520" s="21">
        <f>'[5]18нед'!W288</f>
        <v>0</v>
      </c>
      <c r="O520" s="22" t="str">
        <f>'[5]18нед'!X288</f>
        <v/>
      </c>
      <c r="P520" s="38"/>
    </row>
    <row r="521" spans="1:16" ht="31.5" x14ac:dyDescent="0.2">
      <c r="A521" s="82"/>
      <c r="B521" s="85"/>
      <c r="C521" s="14" t="s">
        <v>23</v>
      </c>
      <c r="D521" s="20">
        <f>'[5]17нед'!S289</f>
        <v>0</v>
      </c>
      <c r="E521" s="23">
        <f>'[5]17нед'!T289</f>
        <v>0</v>
      </c>
      <c r="F521" s="21">
        <f>'[5]17нед'!W289</f>
        <v>0</v>
      </c>
      <c r="G521" s="22" t="str">
        <f>'[5]17нед'!X289</f>
        <v/>
      </c>
      <c r="H521" s="34"/>
      <c r="I521" s="71"/>
      <c r="J521" s="88"/>
      <c r="K521" s="14" t="s">
        <v>23</v>
      </c>
      <c r="L521" s="20">
        <f>'[5]18нед'!S289</f>
        <v>0</v>
      </c>
      <c r="M521" s="23">
        <f>'[5]18нед'!T289</f>
        <v>0</v>
      </c>
      <c r="N521" s="21">
        <f>'[5]18нед'!W289</f>
        <v>0</v>
      </c>
      <c r="O521" s="22" t="str">
        <f>'[5]18нед'!X289</f>
        <v/>
      </c>
      <c r="P521" s="34"/>
    </row>
    <row r="522" spans="1:16" ht="32.25" thickBot="1" x14ac:dyDescent="0.25">
      <c r="A522" s="82"/>
      <c r="B522" s="85"/>
      <c r="C522" s="14" t="s">
        <v>24</v>
      </c>
      <c r="D522" s="20">
        <f>'[5]17нед'!S290</f>
        <v>0</v>
      </c>
      <c r="E522" s="23">
        <f>'[5]17нед'!T290</f>
        <v>0</v>
      </c>
      <c r="F522" s="21">
        <f>'[5]17нед'!W290</f>
        <v>0</v>
      </c>
      <c r="G522" s="22" t="str">
        <f>'[5]17нед'!X290</f>
        <v/>
      </c>
      <c r="H522" s="34"/>
      <c r="I522" s="71"/>
      <c r="J522" s="88"/>
      <c r="K522" s="14" t="s">
        <v>24</v>
      </c>
      <c r="L522" s="20">
        <f>'[5]18нед'!S290</f>
        <v>0</v>
      </c>
      <c r="M522" s="23">
        <f>'[5]18нед'!T290</f>
        <v>0</v>
      </c>
      <c r="N522" s="21">
        <f>'[5]18нед'!W290</f>
        <v>0</v>
      </c>
      <c r="O522" s="22" t="str">
        <f>'[5]18нед'!X290</f>
        <v/>
      </c>
      <c r="P522" s="34"/>
    </row>
    <row r="523" spans="1:16" ht="18.399999999999999" hidden="1" customHeight="1" thickBot="1" x14ac:dyDescent="0.25">
      <c r="A523" s="83"/>
      <c r="B523" s="86"/>
      <c r="C523" s="15"/>
      <c r="D523" s="24">
        <f>'[5]17нед'!S291</f>
        <v>0</v>
      </c>
      <c r="E523" s="25">
        <f>'[5]17нед'!T291</f>
        <v>0</v>
      </c>
      <c r="F523" s="26">
        <f>'[5]17нед'!W291</f>
        <v>0</v>
      </c>
      <c r="G523" s="27" t="str">
        <f>'[5]17нед'!X291</f>
        <v/>
      </c>
      <c r="H523" s="39"/>
      <c r="I523" s="72"/>
      <c r="J523" s="89"/>
      <c r="K523" s="15"/>
      <c r="L523" s="24">
        <f>'[5]18нед'!S291</f>
        <v>0</v>
      </c>
      <c r="M523" s="25">
        <f>'[5]18нед'!T291</f>
        <v>0</v>
      </c>
      <c r="N523" s="26">
        <f>'[5]18нед'!W291</f>
        <v>0</v>
      </c>
      <c r="O523" s="27" t="str">
        <f>'[5]18нед'!X291</f>
        <v/>
      </c>
      <c r="P523" s="39"/>
    </row>
    <row r="524" spans="1:16" ht="48" customHeight="1" thickTop="1" x14ac:dyDescent="0.2">
      <c r="A524" s="70">
        <v>46381</v>
      </c>
      <c r="B524" s="84" t="s">
        <v>28</v>
      </c>
      <c r="C524" s="29" t="s">
        <v>18</v>
      </c>
      <c r="D524" s="16">
        <f>'[5]17нед'!S292</f>
        <v>0</v>
      </c>
      <c r="E524" s="19">
        <f>'[5]17нед'!T292</f>
        <v>0</v>
      </c>
      <c r="F524" s="17">
        <f>'[5]17нед'!W292</f>
        <v>0</v>
      </c>
      <c r="G524" s="18" t="str">
        <f>'[5]17нед'!X292</f>
        <v/>
      </c>
      <c r="H524" s="40"/>
      <c r="I524" s="70">
        <v>46388</v>
      </c>
      <c r="J524" s="87" t="s">
        <v>28</v>
      </c>
      <c r="K524" s="29" t="s">
        <v>18</v>
      </c>
      <c r="L524" s="16">
        <f>'[5]18нед'!S292</f>
        <v>0</v>
      </c>
      <c r="M524" s="19">
        <f>'[5]18нед'!T292</f>
        <v>0</v>
      </c>
      <c r="N524" s="17">
        <f>'[5]18нед'!W292</f>
        <v>0</v>
      </c>
      <c r="O524" s="18" t="str">
        <f>'[5]18нед'!X292</f>
        <v/>
      </c>
      <c r="P524" s="40"/>
    </row>
    <row r="525" spans="1:16" ht="31.5" x14ac:dyDescent="0.2">
      <c r="A525" s="82"/>
      <c r="B525" s="85"/>
      <c r="C525" s="14" t="s">
        <v>19</v>
      </c>
      <c r="D525" s="20">
        <f>'[5]17нед'!S293</f>
        <v>0</v>
      </c>
      <c r="E525" s="23">
        <f>'[5]17нед'!T293</f>
        <v>0</v>
      </c>
      <c r="F525" s="21">
        <f>'[5]17нед'!W293</f>
        <v>0</v>
      </c>
      <c r="G525" s="22" t="str">
        <f>'[5]17нед'!X293</f>
        <v/>
      </c>
      <c r="H525" s="38"/>
      <c r="I525" s="71"/>
      <c r="J525" s="88"/>
      <c r="K525" s="14" t="s">
        <v>19</v>
      </c>
      <c r="L525" s="20">
        <f>'[5]18нед'!S293</f>
        <v>0</v>
      </c>
      <c r="M525" s="23">
        <f>'[5]18нед'!T293</f>
        <v>0</v>
      </c>
      <c r="N525" s="21">
        <f>'[5]18нед'!W293</f>
        <v>0</v>
      </c>
      <c r="O525" s="22" t="str">
        <f>'[5]18нед'!X293</f>
        <v/>
      </c>
      <c r="P525" s="38"/>
    </row>
    <row r="526" spans="1:16" ht="31.5" x14ac:dyDescent="0.2">
      <c r="A526" s="82"/>
      <c r="B526" s="85"/>
      <c r="C526" s="14" t="s">
        <v>20</v>
      </c>
      <c r="D526" s="20">
        <f>'[5]17нед'!S294</f>
        <v>0</v>
      </c>
      <c r="E526" s="23">
        <f>'[5]17нед'!T294</f>
        <v>0</v>
      </c>
      <c r="F526" s="21">
        <f>'[5]17нед'!W294</f>
        <v>0</v>
      </c>
      <c r="G526" s="22" t="str">
        <f>'[5]17нед'!X294</f>
        <v/>
      </c>
      <c r="H526" s="38"/>
      <c r="I526" s="71"/>
      <c r="J526" s="88"/>
      <c r="K526" s="14" t="s">
        <v>20</v>
      </c>
      <c r="L526" s="20">
        <f>'[5]18нед'!S294</f>
        <v>0</v>
      </c>
      <c r="M526" s="23">
        <f>'[5]18нед'!T294</f>
        <v>0</v>
      </c>
      <c r="N526" s="21">
        <f>'[5]18нед'!W294</f>
        <v>0</v>
      </c>
      <c r="O526" s="22" t="str">
        <f>'[5]18нед'!X294</f>
        <v/>
      </c>
      <c r="P526" s="38"/>
    </row>
    <row r="527" spans="1:16" ht="31.5" x14ac:dyDescent="0.2">
      <c r="A527" s="82"/>
      <c r="B527" s="85"/>
      <c r="C527" s="14" t="s">
        <v>21</v>
      </c>
      <c r="D527" s="20">
        <f>'[5]17нед'!S295</f>
        <v>0</v>
      </c>
      <c r="E527" s="23">
        <f>'[5]17нед'!T295</f>
        <v>0</v>
      </c>
      <c r="F527" s="21">
        <f>'[5]17нед'!W295</f>
        <v>0</v>
      </c>
      <c r="G527" s="22" t="str">
        <f>'[5]17нед'!X295</f>
        <v/>
      </c>
      <c r="H527" s="38"/>
      <c r="I527" s="71"/>
      <c r="J527" s="88"/>
      <c r="K527" s="14" t="s">
        <v>21</v>
      </c>
      <c r="L527" s="20">
        <f>'[5]18нед'!S295</f>
        <v>0</v>
      </c>
      <c r="M527" s="23">
        <f>'[5]18нед'!T295</f>
        <v>0</v>
      </c>
      <c r="N527" s="21">
        <f>'[5]18нед'!W295</f>
        <v>0</v>
      </c>
      <c r="O527" s="22" t="str">
        <f>'[5]18нед'!X295</f>
        <v/>
      </c>
      <c r="P527" s="38"/>
    </row>
    <row r="528" spans="1:16" ht="31.5" x14ac:dyDescent="0.2">
      <c r="A528" s="82"/>
      <c r="B528" s="85"/>
      <c r="C528" s="14" t="s">
        <v>22</v>
      </c>
      <c r="D528" s="20">
        <f>'[5]17нед'!S296</f>
        <v>0</v>
      </c>
      <c r="E528" s="23">
        <f>'[5]17нед'!T296</f>
        <v>0</v>
      </c>
      <c r="F528" s="21">
        <f>'[5]17нед'!W296</f>
        <v>0</v>
      </c>
      <c r="G528" s="22" t="str">
        <f>'[5]17нед'!X296</f>
        <v/>
      </c>
      <c r="H528" s="38"/>
      <c r="I528" s="71"/>
      <c r="J528" s="88"/>
      <c r="K528" s="14" t="s">
        <v>22</v>
      </c>
      <c r="L528" s="20">
        <f>'[5]18нед'!S296</f>
        <v>0</v>
      </c>
      <c r="M528" s="23">
        <f>'[5]18нед'!T296</f>
        <v>0</v>
      </c>
      <c r="N528" s="21">
        <f>'[5]18нед'!W296</f>
        <v>0</v>
      </c>
      <c r="O528" s="22" t="str">
        <f>'[5]18нед'!X296</f>
        <v/>
      </c>
      <c r="P528" s="38"/>
    </row>
    <row r="529" spans="1:16" ht="31.5" x14ac:dyDescent="0.2">
      <c r="A529" s="82"/>
      <c r="B529" s="85"/>
      <c r="C529" s="14" t="s">
        <v>23</v>
      </c>
      <c r="D529" s="20">
        <f>'[5]17нед'!S297</f>
        <v>0</v>
      </c>
      <c r="E529" s="23">
        <f>'[5]17нед'!T297</f>
        <v>0</v>
      </c>
      <c r="F529" s="21">
        <f>'[5]17нед'!W297</f>
        <v>0</v>
      </c>
      <c r="G529" s="22" t="str">
        <f>'[5]17нед'!X297</f>
        <v/>
      </c>
      <c r="H529" s="38"/>
      <c r="I529" s="71"/>
      <c r="J529" s="88"/>
      <c r="K529" s="14" t="s">
        <v>23</v>
      </c>
      <c r="L529" s="20">
        <f>'[5]18нед'!S297</f>
        <v>0</v>
      </c>
      <c r="M529" s="23">
        <f>'[5]18нед'!T297</f>
        <v>0</v>
      </c>
      <c r="N529" s="21">
        <f>'[5]18нед'!W297</f>
        <v>0</v>
      </c>
      <c r="O529" s="22" t="str">
        <f>'[5]18нед'!X297</f>
        <v/>
      </c>
      <c r="P529" s="38"/>
    </row>
    <row r="530" spans="1:16" ht="32.25" thickBot="1" x14ac:dyDescent="0.25">
      <c r="A530" s="82"/>
      <c r="B530" s="85"/>
      <c r="C530" s="14" t="s">
        <v>24</v>
      </c>
      <c r="D530" s="20">
        <f>'[5]17нед'!S298</f>
        <v>0</v>
      </c>
      <c r="E530" s="23">
        <f>'[5]17нед'!T298</f>
        <v>0</v>
      </c>
      <c r="F530" s="21">
        <f>'[5]17нед'!W298</f>
        <v>0</v>
      </c>
      <c r="G530" s="22" t="str">
        <f>'[5]17нед'!X298</f>
        <v/>
      </c>
      <c r="H530" s="38"/>
      <c r="I530" s="71"/>
      <c r="J530" s="88"/>
      <c r="K530" s="14" t="s">
        <v>24</v>
      </c>
      <c r="L530" s="20">
        <f>'[5]18нед'!S298</f>
        <v>0</v>
      </c>
      <c r="M530" s="23">
        <f>'[5]18нед'!T298</f>
        <v>0</v>
      </c>
      <c r="N530" s="21">
        <f>'[5]18нед'!W298</f>
        <v>0</v>
      </c>
      <c r="O530" s="22" t="str">
        <f>'[5]18нед'!X298</f>
        <v/>
      </c>
      <c r="P530" s="38"/>
    </row>
    <row r="531" spans="1:16" ht="18.399999999999999" hidden="1" customHeight="1" thickBot="1" x14ac:dyDescent="0.25">
      <c r="A531" s="83"/>
      <c r="B531" s="86"/>
      <c r="C531" s="15"/>
      <c r="D531" s="24">
        <f>'[5]17нед'!S299</f>
        <v>0</v>
      </c>
      <c r="E531" s="25">
        <f>'[5]17нед'!T299</f>
        <v>0</v>
      </c>
      <c r="F531" s="26">
        <f>'[5]17нед'!W299</f>
        <v>0</v>
      </c>
      <c r="G531" s="27" t="str">
        <f>'[5]17нед'!X299</f>
        <v/>
      </c>
      <c r="H531" s="39"/>
      <c r="I531" s="72"/>
      <c r="J531" s="89"/>
      <c r="K531" s="15"/>
      <c r="L531" s="24">
        <f>'[5]18нед'!S299</f>
        <v>0</v>
      </c>
      <c r="M531" s="25">
        <f>'[5]18нед'!T299</f>
        <v>0</v>
      </c>
      <c r="N531" s="26">
        <f>'[5]18нед'!W299</f>
        <v>0</v>
      </c>
      <c r="O531" s="27" t="str">
        <f>'[5]18нед'!X299</f>
        <v/>
      </c>
      <c r="P531" s="39"/>
    </row>
    <row r="532" spans="1:16" ht="48" customHeight="1" thickTop="1" x14ac:dyDescent="0.2">
      <c r="A532" s="70">
        <v>46382</v>
      </c>
      <c r="B532" s="84" t="s">
        <v>29</v>
      </c>
      <c r="C532" s="29" t="s">
        <v>18</v>
      </c>
      <c r="D532" s="16">
        <f>'[5]17нед'!S300</f>
        <v>0</v>
      </c>
      <c r="E532" s="19">
        <f>'[5]17нед'!T300</f>
        <v>0</v>
      </c>
      <c r="F532" s="17">
        <f>'[5]17нед'!W300</f>
        <v>0</v>
      </c>
      <c r="G532" s="18" t="str">
        <f>'[5]17нед'!X300</f>
        <v/>
      </c>
      <c r="H532" s="40"/>
      <c r="I532" s="70">
        <v>46389</v>
      </c>
      <c r="J532" s="87" t="s">
        <v>29</v>
      </c>
      <c r="K532" s="29" t="s">
        <v>18</v>
      </c>
      <c r="L532" s="16">
        <f>'[5]18нед'!S300</f>
        <v>0</v>
      </c>
      <c r="M532" s="19">
        <f>'[5]18нед'!T300</f>
        <v>0</v>
      </c>
      <c r="N532" s="17">
        <f>'[5]18нед'!W300</f>
        <v>0</v>
      </c>
      <c r="O532" s="18" t="str">
        <f>'[5]18нед'!X300</f>
        <v/>
      </c>
      <c r="P532" s="40"/>
    </row>
    <row r="533" spans="1:16" ht="31.5" x14ac:dyDescent="0.2">
      <c r="A533" s="82"/>
      <c r="B533" s="85"/>
      <c r="C533" s="14" t="s">
        <v>19</v>
      </c>
      <c r="D533" s="20">
        <f>'[5]17нед'!S301</f>
        <v>0</v>
      </c>
      <c r="E533" s="23">
        <f>'[5]17нед'!T301</f>
        <v>0</v>
      </c>
      <c r="F533" s="21">
        <f>'[5]17нед'!W301</f>
        <v>0</v>
      </c>
      <c r="G533" s="22" t="str">
        <f>'[5]17нед'!X301</f>
        <v/>
      </c>
      <c r="H533" s="38"/>
      <c r="I533" s="71"/>
      <c r="J533" s="88"/>
      <c r="K533" s="14" t="s">
        <v>19</v>
      </c>
      <c r="L533" s="20">
        <f>'[5]18нед'!S301</f>
        <v>0</v>
      </c>
      <c r="M533" s="23">
        <f>'[5]18нед'!T301</f>
        <v>0</v>
      </c>
      <c r="N533" s="21">
        <f>'[5]18нед'!W301</f>
        <v>0</v>
      </c>
      <c r="O533" s="22" t="str">
        <f>'[5]18нед'!X301</f>
        <v/>
      </c>
      <c r="P533" s="38"/>
    </row>
    <row r="534" spans="1:16" ht="31.5" x14ac:dyDescent="0.2">
      <c r="A534" s="82"/>
      <c r="B534" s="85"/>
      <c r="C534" s="14" t="s">
        <v>20</v>
      </c>
      <c r="D534" s="20">
        <f>'[5]17нед'!S302</f>
        <v>0</v>
      </c>
      <c r="E534" s="23">
        <f>'[5]17нед'!T302</f>
        <v>0</v>
      </c>
      <c r="F534" s="21">
        <f>'[5]17нед'!W302</f>
        <v>0</v>
      </c>
      <c r="G534" s="22" t="str">
        <f>'[5]17нед'!X302</f>
        <v/>
      </c>
      <c r="H534" s="43"/>
      <c r="I534" s="71"/>
      <c r="J534" s="88"/>
      <c r="K534" s="14" t="s">
        <v>20</v>
      </c>
      <c r="L534" s="20">
        <f>'[5]18нед'!S302</f>
        <v>0</v>
      </c>
      <c r="M534" s="23">
        <f>'[5]18нед'!T302</f>
        <v>0</v>
      </c>
      <c r="N534" s="21">
        <f>'[5]18нед'!W302</f>
        <v>0</v>
      </c>
      <c r="O534" s="22" t="str">
        <f>'[5]18нед'!X302</f>
        <v/>
      </c>
      <c r="P534" s="43"/>
    </row>
    <row r="535" spans="1:16" ht="31.5" x14ac:dyDescent="0.2">
      <c r="A535" s="82"/>
      <c r="B535" s="85"/>
      <c r="C535" s="14" t="s">
        <v>21</v>
      </c>
      <c r="D535" s="20">
        <f>'[5]17нед'!S303</f>
        <v>0</v>
      </c>
      <c r="E535" s="23">
        <f>'[5]17нед'!T303</f>
        <v>0</v>
      </c>
      <c r="F535" s="21">
        <f>'[5]17нед'!W303</f>
        <v>0</v>
      </c>
      <c r="G535" s="22" t="str">
        <f>'[5]17нед'!X303</f>
        <v/>
      </c>
      <c r="H535" s="38"/>
      <c r="I535" s="71"/>
      <c r="J535" s="88"/>
      <c r="K535" s="14" t="s">
        <v>21</v>
      </c>
      <c r="L535" s="20">
        <f>'[5]18нед'!S303</f>
        <v>0</v>
      </c>
      <c r="M535" s="23">
        <f>'[5]18нед'!T303</f>
        <v>0</v>
      </c>
      <c r="N535" s="21">
        <f>'[5]18нед'!W303</f>
        <v>0</v>
      </c>
      <c r="O535" s="22" t="str">
        <f>'[5]18нед'!X303</f>
        <v/>
      </c>
      <c r="P535" s="38"/>
    </row>
    <row r="536" spans="1:16" ht="31.5" x14ac:dyDescent="0.2">
      <c r="A536" s="82"/>
      <c r="B536" s="85"/>
      <c r="C536" s="14" t="s">
        <v>22</v>
      </c>
      <c r="D536" s="20">
        <f>'[5]17нед'!S304</f>
        <v>0</v>
      </c>
      <c r="E536" s="23">
        <f>'[5]17нед'!T304</f>
        <v>0</v>
      </c>
      <c r="F536" s="21">
        <f>'[5]17нед'!W304</f>
        <v>0</v>
      </c>
      <c r="G536" s="22" t="str">
        <f>'[5]17нед'!X304</f>
        <v/>
      </c>
      <c r="H536" s="38"/>
      <c r="I536" s="71"/>
      <c r="J536" s="88"/>
      <c r="K536" s="14" t="s">
        <v>22</v>
      </c>
      <c r="L536" s="20">
        <f>'[5]18нед'!S304</f>
        <v>0</v>
      </c>
      <c r="M536" s="23">
        <f>'[5]18нед'!T304</f>
        <v>0</v>
      </c>
      <c r="N536" s="21">
        <f>'[5]18нед'!W304</f>
        <v>0</v>
      </c>
      <c r="O536" s="22" t="str">
        <f>'[5]18нед'!X304</f>
        <v/>
      </c>
      <c r="P536" s="38"/>
    </row>
    <row r="537" spans="1:16" ht="31.5" x14ac:dyDescent="0.2">
      <c r="A537" s="82"/>
      <c r="B537" s="85"/>
      <c r="C537" s="14" t="s">
        <v>23</v>
      </c>
      <c r="D537" s="20">
        <f>'[5]17нед'!S305</f>
        <v>0</v>
      </c>
      <c r="E537" s="23">
        <f>'[5]17нед'!T305</f>
        <v>0</v>
      </c>
      <c r="F537" s="21">
        <f>'[5]17нед'!W305</f>
        <v>0</v>
      </c>
      <c r="G537" s="22" t="str">
        <f>'[5]17нед'!X305</f>
        <v/>
      </c>
      <c r="H537" s="38"/>
      <c r="I537" s="71"/>
      <c r="J537" s="88"/>
      <c r="K537" s="14" t="s">
        <v>23</v>
      </c>
      <c r="L537" s="20">
        <f>'[5]18нед'!S305</f>
        <v>0</v>
      </c>
      <c r="M537" s="23">
        <f>'[5]18нед'!T305</f>
        <v>0</v>
      </c>
      <c r="N537" s="21">
        <f>'[5]18нед'!W305</f>
        <v>0</v>
      </c>
      <c r="O537" s="22" t="str">
        <f>'[5]18нед'!X305</f>
        <v/>
      </c>
      <c r="P537" s="38"/>
    </row>
    <row r="538" spans="1:16" ht="32.25" thickBot="1" x14ac:dyDescent="0.25">
      <c r="A538" s="82"/>
      <c r="B538" s="85"/>
      <c r="C538" s="14" t="s">
        <v>24</v>
      </c>
      <c r="D538" s="20">
        <f>'[5]17нед'!S306</f>
        <v>0</v>
      </c>
      <c r="E538" s="23">
        <f>'[5]17нед'!T306</f>
        <v>0</v>
      </c>
      <c r="F538" s="21">
        <f>'[5]17нед'!W306</f>
        <v>0</v>
      </c>
      <c r="G538" s="22" t="str">
        <f>'[5]17нед'!X306</f>
        <v/>
      </c>
      <c r="H538" s="38"/>
      <c r="I538" s="71"/>
      <c r="J538" s="88"/>
      <c r="K538" s="14" t="s">
        <v>24</v>
      </c>
      <c r="L538" s="20">
        <f>'[5]18нед'!S306</f>
        <v>0</v>
      </c>
      <c r="M538" s="23">
        <f>'[5]18нед'!T306</f>
        <v>0</v>
      </c>
      <c r="N538" s="21">
        <f>'[5]18нед'!W306</f>
        <v>0</v>
      </c>
      <c r="O538" s="22" t="str">
        <f>'[5]18нед'!X306</f>
        <v/>
      </c>
      <c r="P538" s="38"/>
    </row>
    <row r="539" spans="1:16" ht="18.399999999999999" hidden="1" customHeight="1" thickBot="1" x14ac:dyDescent="0.25">
      <c r="A539" s="83"/>
      <c r="B539" s="86"/>
      <c r="C539" s="15"/>
      <c r="D539" s="24">
        <f>'[5]17нед'!S59</f>
        <v>0</v>
      </c>
      <c r="E539" s="25">
        <f>'[5]17нед'!T59</f>
        <v>0</v>
      </c>
      <c r="F539" s="26">
        <f>'[5]17нед'!W59</f>
        <v>0</v>
      </c>
      <c r="G539" s="27" t="str">
        <f>'[5]17нед'!X59</f>
        <v/>
      </c>
      <c r="H539" s="39"/>
      <c r="I539" s="72"/>
      <c r="J539" s="89"/>
      <c r="K539" s="15"/>
      <c r="L539" s="24">
        <f>'[5]18нед'!S183</f>
        <v>0</v>
      </c>
      <c r="M539" s="25">
        <f>'[5]18нед'!T183</f>
        <v>0</v>
      </c>
      <c r="N539" s="26">
        <f>'[5]18нед'!W183</f>
        <v>0</v>
      </c>
      <c r="O539" s="27" t="str">
        <f>'[5]18нед'!X183</f>
        <v/>
      </c>
      <c r="P539" s="39"/>
    </row>
    <row r="540" spans="1:16" ht="39" customHeight="1" thickTop="1" x14ac:dyDescent="0.2">
      <c r="A540" s="47"/>
      <c r="B540" s="30"/>
      <c r="C540" s="31"/>
      <c r="D540" s="32"/>
      <c r="E540" s="32" t="s">
        <v>30</v>
      </c>
      <c r="F540" s="32"/>
      <c r="G540" s="33" t="s">
        <v>31</v>
      </c>
      <c r="H540" s="41"/>
      <c r="I540" s="47"/>
      <c r="J540" s="30"/>
      <c r="K540" s="31"/>
      <c r="L540" s="32"/>
      <c r="M540" s="32" t="s">
        <v>30</v>
      </c>
      <c r="N540" s="32"/>
      <c r="O540" s="33" t="s">
        <v>31</v>
      </c>
      <c r="P540" s="41"/>
    </row>
  </sheetData>
  <mergeCells count="342">
    <mergeCell ref="A532:A539"/>
    <mergeCell ref="B532:B539"/>
    <mergeCell ref="I532:I539"/>
    <mergeCell ref="J532:J539"/>
    <mergeCell ref="A508:A515"/>
    <mergeCell ref="B508:B515"/>
    <mergeCell ref="I508:I515"/>
    <mergeCell ref="J508:J515"/>
    <mergeCell ref="A516:A523"/>
    <mergeCell ref="B516:B523"/>
    <mergeCell ref="I516:I523"/>
    <mergeCell ref="J516:J523"/>
    <mergeCell ref="A492:A499"/>
    <mergeCell ref="B492:B499"/>
    <mergeCell ref="I492:I499"/>
    <mergeCell ref="J492:J499"/>
    <mergeCell ref="A500:A507"/>
    <mergeCell ref="B500:B507"/>
    <mergeCell ref="I500:I507"/>
    <mergeCell ref="J500:J507"/>
    <mergeCell ref="A524:A531"/>
    <mergeCell ref="B524:B531"/>
    <mergeCell ref="I524:I531"/>
    <mergeCell ref="J524:J531"/>
    <mergeCell ref="B489:D489"/>
    <mergeCell ref="J489:L489"/>
    <mergeCell ref="B490:D490"/>
    <mergeCell ref="J490:L490"/>
    <mergeCell ref="A491:B491"/>
    <mergeCell ref="F491:G491"/>
    <mergeCell ref="I491:J491"/>
    <mergeCell ref="B486:H486"/>
    <mergeCell ref="J486:P486"/>
    <mergeCell ref="B488:D488"/>
    <mergeCell ref="E488:H488"/>
    <mergeCell ref="J488:L488"/>
    <mergeCell ref="M488:P488"/>
    <mergeCell ref="N491:O491"/>
    <mergeCell ref="A472:A479"/>
    <mergeCell ref="B472:B479"/>
    <mergeCell ref="I472:I479"/>
    <mergeCell ref="J472:J479"/>
    <mergeCell ref="A448:A455"/>
    <mergeCell ref="B448:B455"/>
    <mergeCell ref="I448:I455"/>
    <mergeCell ref="J448:J455"/>
    <mergeCell ref="A456:A463"/>
    <mergeCell ref="B456:B463"/>
    <mergeCell ref="I456:I463"/>
    <mergeCell ref="J456:J463"/>
    <mergeCell ref="A432:A439"/>
    <mergeCell ref="B432:B439"/>
    <mergeCell ref="I432:I439"/>
    <mergeCell ref="J432:J439"/>
    <mergeCell ref="A440:A447"/>
    <mergeCell ref="B440:B447"/>
    <mergeCell ref="I440:I447"/>
    <mergeCell ref="J440:J447"/>
    <mergeCell ref="A464:A471"/>
    <mergeCell ref="B464:B471"/>
    <mergeCell ref="I464:I471"/>
    <mergeCell ref="J464:J471"/>
    <mergeCell ref="B429:D429"/>
    <mergeCell ref="J429:L429"/>
    <mergeCell ref="B430:D430"/>
    <mergeCell ref="J430:L430"/>
    <mergeCell ref="A431:B431"/>
    <mergeCell ref="F431:G431"/>
    <mergeCell ref="I431:J431"/>
    <mergeCell ref="B426:H426"/>
    <mergeCell ref="J426:P426"/>
    <mergeCell ref="B428:D428"/>
    <mergeCell ref="E428:H428"/>
    <mergeCell ref="J428:L428"/>
    <mergeCell ref="M428:P428"/>
    <mergeCell ref="N431:O431"/>
    <mergeCell ref="A412:A419"/>
    <mergeCell ref="B412:B419"/>
    <mergeCell ref="I412:I419"/>
    <mergeCell ref="J412:J419"/>
    <mergeCell ref="A388:A395"/>
    <mergeCell ref="B388:B395"/>
    <mergeCell ref="I388:I395"/>
    <mergeCell ref="J388:J395"/>
    <mergeCell ref="A396:A403"/>
    <mergeCell ref="B396:B403"/>
    <mergeCell ref="I396:I403"/>
    <mergeCell ref="J396:J403"/>
    <mergeCell ref="A372:A379"/>
    <mergeCell ref="B372:B379"/>
    <mergeCell ref="I372:I379"/>
    <mergeCell ref="J372:J379"/>
    <mergeCell ref="A380:A387"/>
    <mergeCell ref="B380:B387"/>
    <mergeCell ref="I380:I387"/>
    <mergeCell ref="J380:J387"/>
    <mergeCell ref="A404:A411"/>
    <mergeCell ref="B404:B411"/>
    <mergeCell ref="I404:I411"/>
    <mergeCell ref="J404:J411"/>
    <mergeCell ref="B369:D369"/>
    <mergeCell ref="J369:L369"/>
    <mergeCell ref="B370:D370"/>
    <mergeCell ref="J370:L370"/>
    <mergeCell ref="A371:B371"/>
    <mergeCell ref="F371:G371"/>
    <mergeCell ref="I371:J371"/>
    <mergeCell ref="B366:H366"/>
    <mergeCell ref="J366:P366"/>
    <mergeCell ref="B368:D368"/>
    <mergeCell ref="E368:H368"/>
    <mergeCell ref="J368:L368"/>
    <mergeCell ref="M368:P368"/>
    <mergeCell ref="N371:O371"/>
    <mergeCell ref="A352:A359"/>
    <mergeCell ref="B352:B359"/>
    <mergeCell ref="I352:I359"/>
    <mergeCell ref="J352:J359"/>
    <mergeCell ref="A328:A335"/>
    <mergeCell ref="B328:B335"/>
    <mergeCell ref="I328:I335"/>
    <mergeCell ref="J328:J335"/>
    <mergeCell ref="A336:A343"/>
    <mergeCell ref="B336:B343"/>
    <mergeCell ref="I336:I343"/>
    <mergeCell ref="J336:J343"/>
    <mergeCell ref="A312:A319"/>
    <mergeCell ref="B312:B319"/>
    <mergeCell ref="I312:I319"/>
    <mergeCell ref="J312:J319"/>
    <mergeCell ref="A320:A327"/>
    <mergeCell ref="B320:B327"/>
    <mergeCell ref="I320:I327"/>
    <mergeCell ref="J320:J327"/>
    <mergeCell ref="A344:A351"/>
    <mergeCell ref="B344:B351"/>
    <mergeCell ref="I344:I351"/>
    <mergeCell ref="J344:J351"/>
    <mergeCell ref="B309:D309"/>
    <mergeCell ref="J309:L309"/>
    <mergeCell ref="B310:D310"/>
    <mergeCell ref="J310:L310"/>
    <mergeCell ref="A311:B311"/>
    <mergeCell ref="F311:G311"/>
    <mergeCell ref="I311:J311"/>
    <mergeCell ref="B306:H306"/>
    <mergeCell ref="J306:P306"/>
    <mergeCell ref="B308:D308"/>
    <mergeCell ref="E308:H308"/>
    <mergeCell ref="J308:L308"/>
    <mergeCell ref="M308:P308"/>
    <mergeCell ref="N311:O311"/>
    <mergeCell ref="A292:A299"/>
    <mergeCell ref="B292:B299"/>
    <mergeCell ref="I292:I299"/>
    <mergeCell ref="J292:J299"/>
    <mergeCell ref="A268:A275"/>
    <mergeCell ref="B268:B275"/>
    <mergeCell ref="I268:I275"/>
    <mergeCell ref="J268:J275"/>
    <mergeCell ref="A276:A283"/>
    <mergeCell ref="B276:B283"/>
    <mergeCell ref="I276:I283"/>
    <mergeCell ref="J276:J283"/>
    <mergeCell ref="A252:A259"/>
    <mergeCell ref="B252:B259"/>
    <mergeCell ref="I252:I259"/>
    <mergeCell ref="J252:J259"/>
    <mergeCell ref="A260:A267"/>
    <mergeCell ref="B260:B267"/>
    <mergeCell ref="I260:I267"/>
    <mergeCell ref="J260:J267"/>
    <mergeCell ref="A284:A291"/>
    <mergeCell ref="B284:B291"/>
    <mergeCell ref="I284:I291"/>
    <mergeCell ref="J284:J291"/>
    <mergeCell ref="B249:D249"/>
    <mergeCell ref="J249:L249"/>
    <mergeCell ref="B250:D250"/>
    <mergeCell ref="J250:L250"/>
    <mergeCell ref="A251:B251"/>
    <mergeCell ref="F251:G251"/>
    <mergeCell ref="I251:J251"/>
    <mergeCell ref="B246:H246"/>
    <mergeCell ref="J246:P246"/>
    <mergeCell ref="B248:D248"/>
    <mergeCell ref="E248:H248"/>
    <mergeCell ref="J248:L248"/>
    <mergeCell ref="M248:P248"/>
    <mergeCell ref="N251:O251"/>
    <mergeCell ref="A232:A239"/>
    <mergeCell ref="B232:B239"/>
    <mergeCell ref="I232:I239"/>
    <mergeCell ref="J232:J239"/>
    <mergeCell ref="A208:A215"/>
    <mergeCell ref="B208:B215"/>
    <mergeCell ref="I208:I215"/>
    <mergeCell ref="J208:J215"/>
    <mergeCell ref="A216:A223"/>
    <mergeCell ref="B216:B223"/>
    <mergeCell ref="I216:I223"/>
    <mergeCell ref="J216:J223"/>
    <mergeCell ref="A192:A199"/>
    <mergeCell ref="B192:B199"/>
    <mergeCell ref="I192:I199"/>
    <mergeCell ref="J192:J199"/>
    <mergeCell ref="A200:A207"/>
    <mergeCell ref="B200:B207"/>
    <mergeCell ref="I200:I207"/>
    <mergeCell ref="J200:J207"/>
    <mergeCell ref="A224:A231"/>
    <mergeCell ref="B224:B231"/>
    <mergeCell ref="I224:I231"/>
    <mergeCell ref="J224:J231"/>
    <mergeCell ref="B189:D189"/>
    <mergeCell ref="J189:L189"/>
    <mergeCell ref="B190:D190"/>
    <mergeCell ref="J190:L190"/>
    <mergeCell ref="A191:B191"/>
    <mergeCell ref="F191:G191"/>
    <mergeCell ref="I191:J191"/>
    <mergeCell ref="B186:H186"/>
    <mergeCell ref="J186:P186"/>
    <mergeCell ref="B188:D188"/>
    <mergeCell ref="E188:H188"/>
    <mergeCell ref="J188:L188"/>
    <mergeCell ref="M188:P188"/>
    <mergeCell ref="N191:O191"/>
    <mergeCell ref="A172:A179"/>
    <mergeCell ref="B172:B179"/>
    <mergeCell ref="I172:I179"/>
    <mergeCell ref="J172:J179"/>
    <mergeCell ref="A148:A155"/>
    <mergeCell ref="B148:B155"/>
    <mergeCell ref="I148:I155"/>
    <mergeCell ref="J148:J155"/>
    <mergeCell ref="A156:A163"/>
    <mergeCell ref="B156:B163"/>
    <mergeCell ref="I156:I163"/>
    <mergeCell ref="J156:J163"/>
    <mergeCell ref="A132:A139"/>
    <mergeCell ref="B132:B139"/>
    <mergeCell ref="I132:I139"/>
    <mergeCell ref="J132:J139"/>
    <mergeCell ref="A140:A147"/>
    <mergeCell ref="B140:B147"/>
    <mergeCell ref="I140:I147"/>
    <mergeCell ref="J140:J147"/>
    <mergeCell ref="A164:A171"/>
    <mergeCell ref="B164:B171"/>
    <mergeCell ref="I164:I171"/>
    <mergeCell ref="J164:J171"/>
    <mergeCell ref="B129:D129"/>
    <mergeCell ref="J129:L129"/>
    <mergeCell ref="B130:D130"/>
    <mergeCell ref="J130:L130"/>
    <mergeCell ref="A131:B131"/>
    <mergeCell ref="F131:G131"/>
    <mergeCell ref="I131:J131"/>
    <mergeCell ref="B126:H126"/>
    <mergeCell ref="J126:P126"/>
    <mergeCell ref="B128:D128"/>
    <mergeCell ref="E128:H128"/>
    <mergeCell ref="J128:L128"/>
    <mergeCell ref="M128:P128"/>
    <mergeCell ref="N131:O131"/>
    <mergeCell ref="A112:A119"/>
    <mergeCell ref="B112:B119"/>
    <mergeCell ref="I112:I119"/>
    <mergeCell ref="J112:J119"/>
    <mergeCell ref="A88:A95"/>
    <mergeCell ref="B88:B95"/>
    <mergeCell ref="I88:I95"/>
    <mergeCell ref="J88:J95"/>
    <mergeCell ref="A96:A103"/>
    <mergeCell ref="B96:B103"/>
    <mergeCell ref="I96:I103"/>
    <mergeCell ref="J96:J103"/>
    <mergeCell ref="A72:A79"/>
    <mergeCell ref="B72:B79"/>
    <mergeCell ref="I72:I79"/>
    <mergeCell ref="J72:J79"/>
    <mergeCell ref="A80:A87"/>
    <mergeCell ref="B80:B87"/>
    <mergeCell ref="I80:I87"/>
    <mergeCell ref="J80:J87"/>
    <mergeCell ref="A104:A111"/>
    <mergeCell ref="B104:B111"/>
    <mergeCell ref="I104:I111"/>
    <mergeCell ref="J104:J111"/>
    <mergeCell ref="B69:D69"/>
    <mergeCell ref="J69:L69"/>
    <mergeCell ref="B70:D70"/>
    <mergeCell ref="J70:L70"/>
    <mergeCell ref="A71:B71"/>
    <mergeCell ref="F71:G71"/>
    <mergeCell ref="I71:J71"/>
    <mergeCell ref="B66:H66"/>
    <mergeCell ref="J66:P66"/>
    <mergeCell ref="B68:D68"/>
    <mergeCell ref="E68:H68"/>
    <mergeCell ref="J68:L68"/>
    <mergeCell ref="M68:P68"/>
    <mergeCell ref="N71:O71"/>
    <mergeCell ref="A52:A59"/>
    <mergeCell ref="B52:B59"/>
    <mergeCell ref="I52:I59"/>
    <mergeCell ref="J52:J59"/>
    <mergeCell ref="A28:A35"/>
    <mergeCell ref="B28:B35"/>
    <mergeCell ref="I28:I35"/>
    <mergeCell ref="J28:J35"/>
    <mergeCell ref="A36:A43"/>
    <mergeCell ref="B36:B43"/>
    <mergeCell ref="I36:I43"/>
    <mergeCell ref="J36:J43"/>
    <mergeCell ref="A12:A19"/>
    <mergeCell ref="B12:B19"/>
    <mergeCell ref="I12:I19"/>
    <mergeCell ref="J12:J19"/>
    <mergeCell ref="A20:A27"/>
    <mergeCell ref="B20:B27"/>
    <mergeCell ref="I20:I27"/>
    <mergeCell ref="J20:J27"/>
    <mergeCell ref="A44:A51"/>
    <mergeCell ref="B44:B51"/>
    <mergeCell ref="I44:I51"/>
    <mergeCell ref="J44:J51"/>
    <mergeCell ref="B9:D9"/>
    <mergeCell ref="J9:L9"/>
    <mergeCell ref="B10:D10"/>
    <mergeCell ref="J10:L10"/>
    <mergeCell ref="A11:B11"/>
    <mergeCell ref="F11:G11"/>
    <mergeCell ref="I11:J11"/>
    <mergeCell ref="B6:H6"/>
    <mergeCell ref="J6:P6"/>
    <mergeCell ref="B8:D8"/>
    <mergeCell ref="E8:H8"/>
    <mergeCell ref="J8:L8"/>
    <mergeCell ref="M8:P8"/>
    <mergeCell ref="N11:O11"/>
  </mergeCells>
  <pageMargins left="0.70866141732283472" right="0.70866141732283472" top="0.74803149606299213" bottom="0.74803149606299213" header="0.31496062992125984" footer="0.31496062992125984"/>
  <pageSetup paperSize="9" scale="33" orientation="portrait" r:id="rId1"/>
  <rowBreaks count="8" manualBreakCount="8">
    <brk id="60" max="16383" man="1"/>
    <brk id="120" max="15" man="1"/>
    <brk id="180" max="15" man="1"/>
    <brk id="240" max="15" man="1"/>
    <brk id="300" max="15" man="1"/>
    <brk id="360" max="15" man="1"/>
    <brk id="420" max="15" man="1"/>
    <brk id="480" max="15" man="1"/>
  </rowBreaks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15</vt:i4>
      </vt:variant>
    </vt:vector>
  </HeadingPairs>
  <TitlesOfParts>
    <vt:vector size="30" baseType="lpstr">
      <vt:lpstr>12-26</vt:lpstr>
      <vt:lpstr>12-26ПИ</vt:lpstr>
      <vt:lpstr>12-26МИ</vt:lpstr>
      <vt:lpstr>12-26ФИ</vt:lpstr>
      <vt:lpstr>12-25ПИ</vt:lpstr>
      <vt:lpstr>12-24ПИ</vt:lpstr>
      <vt:lpstr>12-23ПИ</vt:lpstr>
      <vt:lpstr>12-25РПм</vt:lpstr>
      <vt:lpstr>12-25ПИоз</vt:lpstr>
      <vt:lpstr>12-25МИоз</vt:lpstr>
      <vt:lpstr>12-25МЭоз</vt:lpstr>
      <vt:lpstr>12-24ПИоз</vt:lpstr>
      <vt:lpstr>12-24МИоз</vt:lpstr>
      <vt:lpstr>12-24МЭоз</vt:lpstr>
      <vt:lpstr>2</vt:lpstr>
      <vt:lpstr>'12-23ПИ'!Область_печати</vt:lpstr>
      <vt:lpstr>'12-24МИоз'!Область_печати</vt:lpstr>
      <vt:lpstr>'12-24МЭоз'!Область_печати</vt:lpstr>
      <vt:lpstr>'12-24ПИ'!Область_печати</vt:lpstr>
      <vt:lpstr>'12-24ПИоз'!Область_печати</vt:lpstr>
      <vt:lpstr>'12-25МИоз'!Область_печати</vt:lpstr>
      <vt:lpstr>'12-25МЭоз'!Область_печати</vt:lpstr>
      <vt:lpstr>'12-25ПИ'!Область_печати</vt:lpstr>
      <vt:lpstr>'12-25ПИоз'!Область_печати</vt:lpstr>
      <vt:lpstr>'12-25РПм'!Область_печати</vt:lpstr>
      <vt:lpstr>'12-26'!Область_печати</vt:lpstr>
      <vt:lpstr>'12-26МИ'!Область_печати</vt:lpstr>
      <vt:lpstr>'12-26ПИ'!Область_печати</vt:lpstr>
      <vt:lpstr>'12-26ФИ'!Область_печати</vt:lpstr>
      <vt:lpstr>'2'!Область_печати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Виктория</dc:creator>
  <cp:keywords/>
  <dc:description/>
  <cp:lastModifiedBy>Абалдуй</cp:lastModifiedBy>
  <cp:revision/>
  <dcterms:created xsi:type="dcterms:W3CDTF">2019-11-04T14:27:48Z</dcterms:created>
  <dcterms:modified xsi:type="dcterms:W3CDTF">2026-10-02T08:59:00Z</dcterms:modified>
  <cp:category/>
  <cp:contentStatus/>
</cp:coreProperties>
</file>