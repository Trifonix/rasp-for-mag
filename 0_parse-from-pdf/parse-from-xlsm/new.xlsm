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 defaultThemeVersion="124226"/>
  <bookViews>
    <workbookView xWindow="-108" yWindow="-108" windowWidth="23256" windowHeight="12576" tabRatio="595"/>
  </bookViews>
  <sheets>
    <sheet name="12-25РПм" sheetId="39" r:id="rId1"/>
  </sheets>
  <externalReferences>
    <externalReference r:id="rId2"/>
    <externalReference r:id="rId3"/>
    <externalReference r:id="rId4"/>
    <externalReference r:id="rId5"/>
  </externalReferences>
  <definedNames>
    <definedName name="абрамочкина" localSheetId="0">#REF!</definedName>
    <definedName name="абрамочкина">#REF!</definedName>
    <definedName name="б1" localSheetId="0">#REF!</definedName>
    <definedName name="б1">#REF!</definedName>
    <definedName name="б2" localSheetId="0">#REF!</definedName>
    <definedName name="б2">#REF!</definedName>
    <definedName name="выбор_кабинета" localSheetId="0">#REF!</definedName>
    <definedName name="выбор_кабинета">#REF!</definedName>
    <definedName name="к1" localSheetId="0">#REF!</definedName>
    <definedName name="к1">#REF!</definedName>
    <definedName name="к10" localSheetId="0">#REF!</definedName>
    <definedName name="к10">#REF!</definedName>
    <definedName name="к11" localSheetId="0">#REF!</definedName>
    <definedName name="к11">#REF!</definedName>
    <definedName name="к12" localSheetId="0">#REF!</definedName>
    <definedName name="к12">#REF!</definedName>
    <definedName name="к13" localSheetId="0">#REF!</definedName>
    <definedName name="к13">#REF!</definedName>
    <definedName name="к14" localSheetId="0">#REF!</definedName>
    <definedName name="к14">#REF!</definedName>
    <definedName name="к15" localSheetId="0">#REF!</definedName>
    <definedName name="к15">#REF!</definedName>
    <definedName name="к16" localSheetId="0">#REF!</definedName>
    <definedName name="к16">#REF!</definedName>
    <definedName name="к17" localSheetId="0">#REF!</definedName>
    <definedName name="к17">#REF!</definedName>
    <definedName name="к18" localSheetId="0">#REF!</definedName>
    <definedName name="к18">#REF!</definedName>
    <definedName name="к19" localSheetId="0">#REF!</definedName>
    <definedName name="к19">#REF!</definedName>
    <definedName name="к2" localSheetId="0">#REF!</definedName>
    <definedName name="к2">#REF!</definedName>
    <definedName name="к20" localSheetId="0">#REF!</definedName>
    <definedName name="к20">#REF!</definedName>
    <definedName name="к21" localSheetId="0">#REF!</definedName>
    <definedName name="к21">#REF!</definedName>
    <definedName name="к22" localSheetId="0">#REF!</definedName>
    <definedName name="к22">#REF!</definedName>
    <definedName name="к23" localSheetId="0">#REF!</definedName>
    <definedName name="к23">#REF!</definedName>
    <definedName name="к24" localSheetId="0">#REF!</definedName>
    <definedName name="к24">#REF!</definedName>
    <definedName name="к25" localSheetId="0">#REF!</definedName>
    <definedName name="к25">#REF!</definedName>
    <definedName name="к26" localSheetId="0">#REF!</definedName>
    <definedName name="к26">#REF!</definedName>
    <definedName name="к27" localSheetId="0">#REF!</definedName>
    <definedName name="к27">#REF!</definedName>
    <definedName name="к28" localSheetId="0">#REF!</definedName>
    <definedName name="к28">#REF!</definedName>
    <definedName name="к29" localSheetId="0">#REF!</definedName>
    <definedName name="к29">#REF!</definedName>
    <definedName name="к3" localSheetId="0">#REF!</definedName>
    <definedName name="к3">#REF!</definedName>
    <definedName name="к30" localSheetId="0">#REF!</definedName>
    <definedName name="к30">#REF!</definedName>
    <definedName name="к31" localSheetId="0">#REF!</definedName>
    <definedName name="к31">#REF!</definedName>
    <definedName name="к32" localSheetId="0">#REF!</definedName>
    <definedName name="к32">#REF!</definedName>
    <definedName name="к33" localSheetId="0">#REF!</definedName>
    <definedName name="к33">#REF!</definedName>
    <definedName name="к34" localSheetId="0">#REF!</definedName>
    <definedName name="к34">#REF!</definedName>
    <definedName name="к35" localSheetId="0">#REF!</definedName>
    <definedName name="к35">#REF!</definedName>
    <definedName name="к36" localSheetId="0">#REF!</definedName>
    <definedName name="к36">#REF!</definedName>
    <definedName name="к37" localSheetId="0">#REF!</definedName>
    <definedName name="к37">#REF!</definedName>
    <definedName name="к38" localSheetId="0">#REF!</definedName>
    <definedName name="к38">#REF!</definedName>
    <definedName name="к39" localSheetId="0">#REF!</definedName>
    <definedName name="к39">#REF!</definedName>
    <definedName name="к4" localSheetId="0">#REF!</definedName>
    <definedName name="к4">#REF!</definedName>
    <definedName name="к40" localSheetId="0">#REF!</definedName>
    <definedName name="к40">#REF!</definedName>
    <definedName name="к41" localSheetId="0">#REF!</definedName>
    <definedName name="к41">#REF!</definedName>
    <definedName name="к42" localSheetId="0">#REF!</definedName>
    <definedName name="к42">#REF!</definedName>
    <definedName name="к5" localSheetId="0">#REF!</definedName>
    <definedName name="к5">#REF!</definedName>
    <definedName name="к6" localSheetId="0">#REF!</definedName>
    <definedName name="к6">#REF!</definedName>
    <definedName name="к7" localSheetId="0">#REF!</definedName>
    <definedName name="к7">#REF!</definedName>
    <definedName name="к8" localSheetId="0">#REF!</definedName>
    <definedName name="к8">#REF!</definedName>
    <definedName name="к9" localSheetId="0">#REF!</definedName>
    <definedName name="к9">#REF!</definedName>
    <definedName name="каб" localSheetId="0">#REF!</definedName>
    <definedName name="каб">#REF!</definedName>
    <definedName name="_xlnm.Print_Area" localSheetId="0">'12-25РПм'!$A$1:$P$540</definedName>
    <definedName name="ОЛОЛО" localSheetId="0">#REF!</definedName>
    <definedName name="ОЛОЛО">#REF!</definedName>
    <definedName name="п1" localSheetId="0">#REF!</definedName>
    <definedName name="п1">#REF!</definedName>
    <definedName name="п21" localSheetId="0">#REF!</definedName>
    <definedName name="п21">#REF!</definedName>
    <definedName name="преп" localSheetId="0">#REF!</definedName>
    <definedName name="преп">#REF!</definedName>
    <definedName name="препод" localSheetId="0">#REF!</definedName>
    <definedName name="препод">#REF!</definedName>
    <definedName name="спец" localSheetId="0">#REF!</definedName>
    <definedName name="спец">#REF!</definedName>
  </definedNames>
  <calcPr calcId="181029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39"/>
  <c r="H427" s="1"/>
  <c r="H127" l="1"/>
  <c r="H367"/>
  <c r="P7"/>
  <c r="P247"/>
  <c r="P487"/>
  <c r="P67"/>
  <c r="H187"/>
  <c r="H307"/>
  <c r="P427"/>
  <c r="H247"/>
  <c r="H487"/>
  <c r="P127"/>
  <c r="P367"/>
  <c r="H67"/>
  <c r="P187"/>
  <c r="P307"/>
  <c r="E7" l="1"/>
  <c r="E427" s="1"/>
  <c r="N539"/>
  <c r="F539"/>
  <c r="N538"/>
  <c r="F538"/>
  <c r="N537"/>
  <c r="F537"/>
  <c r="N536"/>
  <c r="F536"/>
  <c r="N535"/>
  <c r="F535"/>
  <c r="N534"/>
  <c r="F534"/>
  <c r="N533"/>
  <c r="F533"/>
  <c r="N532"/>
  <c r="F532"/>
  <c r="N531"/>
  <c r="F531"/>
  <c r="N530"/>
  <c r="F530"/>
  <c r="N529"/>
  <c r="F529"/>
  <c r="N528"/>
  <c r="F528"/>
  <c r="N527"/>
  <c r="F527"/>
  <c r="F526"/>
  <c r="F525"/>
  <c r="N524"/>
  <c r="F524"/>
  <c r="N523"/>
  <c r="F523"/>
  <c r="N522"/>
  <c r="F522"/>
  <c r="N521"/>
  <c r="F521"/>
  <c r="N520"/>
  <c r="F520"/>
  <c r="N519"/>
  <c r="F519"/>
  <c r="N518"/>
  <c r="F518"/>
  <c r="N517"/>
  <c r="F517"/>
  <c r="N516"/>
  <c r="F516"/>
  <c r="N515"/>
  <c r="F515"/>
  <c r="N514"/>
  <c r="F514"/>
  <c r="N513"/>
  <c r="F513"/>
  <c r="N512"/>
  <c r="F512"/>
  <c r="N511"/>
  <c r="F511"/>
  <c r="N510"/>
  <c r="F510"/>
  <c r="N509"/>
  <c r="F509"/>
  <c r="N508"/>
  <c r="F508"/>
  <c r="N507"/>
  <c r="F507"/>
  <c r="N506"/>
  <c r="F506"/>
  <c r="N505"/>
  <c r="F505"/>
  <c r="N504"/>
  <c r="F504"/>
  <c r="N503"/>
  <c r="F503"/>
  <c r="N502"/>
  <c r="F502"/>
  <c r="N501"/>
  <c r="F501"/>
  <c r="N500"/>
  <c r="F500"/>
  <c r="N499"/>
  <c r="F499"/>
  <c r="N498"/>
  <c r="F498"/>
  <c r="N497"/>
  <c r="F497"/>
  <c r="N496"/>
  <c r="F496"/>
  <c r="N495"/>
  <c r="F495"/>
  <c r="N494"/>
  <c r="F494"/>
  <c r="N493"/>
  <c r="F493"/>
  <c r="N492"/>
  <c r="F492"/>
  <c r="N479"/>
  <c r="F479"/>
  <c r="N478"/>
  <c r="F478"/>
  <c r="N477"/>
  <c r="F477"/>
  <c r="N476"/>
  <c r="F476"/>
  <c r="N475"/>
  <c r="F475"/>
  <c r="N474"/>
  <c r="F474"/>
  <c r="N473"/>
  <c r="F473"/>
  <c r="N472"/>
  <c r="F472"/>
  <c r="N471"/>
  <c r="F471"/>
  <c r="N470"/>
  <c r="F470"/>
  <c r="N469"/>
  <c r="F469"/>
  <c r="N468"/>
  <c r="F468"/>
  <c r="N467"/>
  <c r="F467"/>
  <c r="N466"/>
  <c r="F466"/>
  <c r="N465"/>
  <c r="F465"/>
  <c r="N464"/>
  <c r="F464"/>
  <c r="N463"/>
  <c r="F463"/>
  <c r="N462"/>
  <c r="F462"/>
  <c r="N461"/>
  <c r="F461"/>
  <c r="N460"/>
  <c r="F460"/>
  <c r="N459"/>
  <c r="F459"/>
  <c r="N458"/>
  <c r="F458"/>
  <c r="N457"/>
  <c r="F457"/>
  <c r="N456"/>
  <c r="F456"/>
  <c r="N455"/>
  <c r="F455"/>
  <c r="N454"/>
  <c r="F454"/>
  <c r="N453"/>
  <c r="F453"/>
  <c r="N452"/>
  <c r="F452"/>
  <c r="N451"/>
  <c r="F451"/>
  <c r="N450"/>
  <c r="F450"/>
  <c r="N449"/>
  <c r="F449"/>
  <c r="N448"/>
  <c r="F448"/>
  <c r="N447"/>
  <c r="F447"/>
  <c r="N446"/>
  <c r="F446"/>
  <c r="N445"/>
  <c r="F445"/>
  <c r="N444"/>
  <c r="F444"/>
  <c r="N443"/>
  <c r="F443"/>
  <c r="N442"/>
  <c r="F442"/>
  <c r="N441"/>
  <c r="F441"/>
  <c r="N440"/>
  <c r="F440"/>
  <c r="N439"/>
  <c r="F439"/>
  <c r="N438"/>
  <c r="F438"/>
  <c r="N437"/>
  <c r="F437"/>
  <c r="N436"/>
  <c r="F436"/>
  <c r="N435"/>
  <c r="F435"/>
  <c r="N434"/>
  <c r="F434"/>
  <c r="N433"/>
  <c r="F433"/>
  <c r="N432"/>
  <c r="F432"/>
  <c r="N419"/>
  <c r="F419"/>
  <c r="N418"/>
  <c r="F418"/>
  <c r="N417"/>
  <c r="F417"/>
  <c r="N416"/>
  <c r="F416"/>
  <c r="N415"/>
  <c r="F415"/>
  <c r="N414"/>
  <c r="F414"/>
  <c r="N413"/>
  <c r="F413"/>
  <c r="N412"/>
  <c r="F412"/>
  <c r="N411"/>
  <c r="F411"/>
  <c r="N410"/>
  <c r="F410"/>
  <c r="N409"/>
  <c r="F409"/>
  <c r="N408"/>
  <c r="F408"/>
  <c r="N407"/>
  <c r="F407"/>
  <c r="N406"/>
  <c r="F406"/>
  <c r="N405"/>
  <c r="F405"/>
  <c r="N404"/>
  <c r="F404"/>
  <c r="N403"/>
  <c r="F403"/>
  <c r="N402"/>
  <c r="F402"/>
  <c r="N401"/>
  <c r="F401"/>
  <c r="N400"/>
  <c r="F400"/>
  <c r="N399"/>
  <c r="F399"/>
  <c r="N398"/>
  <c r="F398"/>
  <c r="N397"/>
  <c r="F397"/>
  <c r="N396"/>
  <c r="F396"/>
  <c r="N395"/>
  <c r="F395"/>
  <c r="N394"/>
  <c r="F394"/>
  <c r="N393"/>
  <c r="F393"/>
  <c r="N392"/>
  <c r="F392"/>
  <c r="N391"/>
  <c r="F391"/>
  <c r="N390"/>
  <c r="F390"/>
  <c r="N389"/>
  <c r="F389"/>
  <c r="N388"/>
  <c r="F388"/>
  <c r="N387"/>
  <c r="F387"/>
  <c r="N386"/>
  <c r="F386"/>
  <c r="N385"/>
  <c r="F385"/>
  <c r="N384"/>
  <c r="F384"/>
  <c r="N383"/>
  <c r="F383"/>
  <c r="N382"/>
  <c r="F382"/>
  <c r="N381"/>
  <c r="F381"/>
  <c r="N380"/>
  <c r="F380"/>
  <c r="N379"/>
  <c r="F379"/>
  <c r="N378"/>
  <c r="F378"/>
  <c r="N377"/>
  <c r="F377"/>
  <c r="N376"/>
  <c r="F376"/>
  <c r="N375"/>
  <c r="F375"/>
  <c r="N374"/>
  <c r="F374"/>
  <c r="N373"/>
  <c r="F373"/>
  <c r="N372"/>
  <c r="F372"/>
  <c r="N359"/>
  <c r="F359"/>
  <c r="N358"/>
  <c r="F358"/>
  <c r="N357"/>
  <c r="F357"/>
  <c r="N356"/>
  <c r="F356"/>
  <c r="N355"/>
  <c r="F355"/>
  <c r="N354"/>
  <c r="F354"/>
  <c r="N353"/>
  <c r="F353"/>
  <c r="N352"/>
  <c r="F352"/>
  <c r="N351"/>
  <c r="F351"/>
  <c r="N350"/>
  <c r="F350"/>
  <c r="N349"/>
  <c r="F349"/>
  <c r="N348"/>
  <c r="F348"/>
  <c r="N347"/>
  <c r="F347"/>
  <c r="N346"/>
  <c r="F346"/>
  <c r="N345"/>
  <c r="F345"/>
  <c r="N344"/>
  <c r="F344"/>
  <c r="N343"/>
  <c r="F343"/>
  <c r="N342"/>
  <c r="F342"/>
  <c r="N341"/>
  <c r="F341"/>
  <c r="N340"/>
  <c r="F340"/>
  <c r="N339"/>
  <c r="F339"/>
  <c r="N338"/>
  <c r="F338"/>
  <c r="N337"/>
  <c r="F337"/>
  <c r="N336"/>
  <c r="F336"/>
  <c r="N335"/>
  <c r="F335"/>
  <c r="N334"/>
  <c r="F334"/>
  <c r="N333"/>
  <c r="F333"/>
  <c r="N332"/>
  <c r="F332"/>
  <c r="N331"/>
  <c r="F331"/>
  <c r="N330"/>
  <c r="F330"/>
  <c r="N329"/>
  <c r="F329"/>
  <c r="N328"/>
  <c r="F328"/>
  <c r="N327"/>
  <c r="F327"/>
  <c r="N326"/>
  <c r="F326"/>
  <c r="N325"/>
  <c r="F325"/>
  <c r="N324"/>
  <c r="F324"/>
  <c r="N323"/>
  <c r="F323"/>
  <c r="N322"/>
  <c r="F322"/>
  <c r="N321"/>
  <c r="F321"/>
  <c r="N320"/>
  <c r="F320"/>
  <c r="N319"/>
  <c r="F319"/>
  <c r="N318"/>
  <c r="F318"/>
  <c r="N317"/>
  <c r="F317"/>
  <c r="N316"/>
  <c r="F316"/>
  <c r="N315"/>
  <c r="F315"/>
  <c r="N314"/>
  <c r="F314"/>
  <c r="N313"/>
  <c r="F313"/>
  <c r="N312"/>
  <c r="F312"/>
  <c r="N299"/>
  <c r="F299"/>
  <c r="N298"/>
  <c r="F298"/>
  <c r="N297"/>
  <c r="F297"/>
  <c r="N296"/>
  <c r="F296"/>
  <c r="N295"/>
  <c r="F295"/>
  <c r="N294"/>
  <c r="F294"/>
  <c r="N293"/>
  <c r="F293"/>
  <c r="N292"/>
  <c r="F292"/>
  <c r="N291"/>
  <c r="F291"/>
  <c r="N290"/>
  <c r="F290"/>
  <c r="N289"/>
  <c r="F289"/>
  <c r="N288"/>
  <c r="F288"/>
  <c r="N287"/>
  <c r="F287"/>
  <c r="N286"/>
  <c r="F286"/>
  <c r="N285"/>
  <c r="F285"/>
  <c r="N284"/>
  <c r="F284"/>
  <c r="N283"/>
  <c r="F283"/>
  <c r="N282"/>
  <c r="F282"/>
  <c r="N281"/>
  <c r="F281"/>
  <c r="N280"/>
  <c r="F280"/>
  <c r="N279"/>
  <c r="F279"/>
  <c r="N278"/>
  <c r="F278"/>
  <c r="N277"/>
  <c r="F277"/>
  <c r="N276"/>
  <c r="F276"/>
  <c r="N275"/>
  <c r="F275"/>
  <c r="N274"/>
  <c r="F274"/>
  <c r="N273"/>
  <c r="F273"/>
  <c r="N272"/>
  <c r="F272"/>
  <c r="N271"/>
  <c r="F271"/>
  <c r="N270"/>
  <c r="F270"/>
  <c r="N269"/>
  <c r="F269"/>
  <c r="N268"/>
  <c r="F268"/>
  <c r="N267"/>
  <c r="F267"/>
  <c r="N266"/>
  <c r="F266"/>
  <c r="N265"/>
  <c r="F265"/>
  <c r="N264"/>
  <c r="F264"/>
  <c r="N263"/>
  <c r="F263"/>
  <c r="N262"/>
  <c r="F262"/>
  <c r="N261"/>
  <c r="F261"/>
  <c r="N260"/>
  <c r="F260"/>
  <c r="N259"/>
  <c r="F259"/>
  <c r="N258"/>
  <c r="F258"/>
  <c r="N257"/>
  <c r="F257"/>
  <c r="N256"/>
  <c r="F256"/>
  <c r="N255"/>
  <c r="F255"/>
  <c r="N254"/>
  <c r="F254"/>
  <c r="N253"/>
  <c r="F253"/>
  <c r="N252"/>
  <c r="F252"/>
  <c r="N239"/>
  <c r="F239"/>
  <c r="N238"/>
  <c r="F238"/>
  <c r="N237"/>
  <c r="F237"/>
  <c r="N236"/>
  <c r="F236"/>
  <c r="N235"/>
  <c r="F235"/>
  <c r="N234"/>
  <c r="F234"/>
  <c r="N233"/>
  <c r="F233"/>
  <c r="N232"/>
  <c r="F232"/>
  <c r="N231"/>
  <c r="F231"/>
  <c r="N230"/>
  <c r="F230"/>
  <c r="N229"/>
  <c r="F229"/>
  <c r="N228"/>
  <c r="F228"/>
  <c r="N227"/>
  <c r="F227"/>
  <c r="N226"/>
  <c r="F226"/>
  <c r="N225"/>
  <c r="F225"/>
  <c r="N224"/>
  <c r="F224"/>
  <c r="N223"/>
  <c r="F223"/>
  <c r="N222"/>
  <c r="F222"/>
  <c r="N221"/>
  <c r="F221"/>
  <c r="N220"/>
  <c r="F220"/>
  <c r="N219"/>
  <c r="F219"/>
  <c r="N218"/>
  <c r="F218"/>
  <c r="N217"/>
  <c r="F217"/>
  <c r="N216"/>
  <c r="F216"/>
  <c r="N215"/>
  <c r="F215"/>
  <c r="N214"/>
  <c r="F214"/>
  <c r="N213"/>
  <c r="F213"/>
  <c r="N212"/>
  <c r="F212"/>
  <c r="N211"/>
  <c r="F211"/>
  <c r="N210"/>
  <c r="F210"/>
  <c r="N209"/>
  <c r="F209"/>
  <c r="N208"/>
  <c r="F208"/>
  <c r="N207"/>
  <c r="F207"/>
  <c r="N206"/>
  <c r="F206"/>
  <c r="N205"/>
  <c r="F205"/>
  <c r="N204"/>
  <c r="F204"/>
  <c r="N203"/>
  <c r="F203"/>
  <c r="N202"/>
  <c r="F202"/>
  <c r="N201"/>
  <c r="F201"/>
  <c r="N200"/>
  <c r="F200"/>
  <c r="N199"/>
  <c r="F199"/>
  <c r="N198"/>
  <c r="F198"/>
  <c r="N197"/>
  <c r="F197"/>
  <c r="N196"/>
  <c r="F196"/>
  <c r="N195"/>
  <c r="F195"/>
  <c r="N194"/>
  <c r="F194"/>
  <c r="N193"/>
  <c r="F193"/>
  <c r="N192"/>
  <c r="F192"/>
  <c r="N179"/>
  <c r="F179"/>
  <c r="N178"/>
  <c r="F178"/>
  <c r="N177"/>
  <c r="F177"/>
  <c r="N176"/>
  <c r="F176"/>
  <c r="N175"/>
  <c r="F175"/>
  <c r="N174"/>
  <c r="F174"/>
  <c r="N173"/>
  <c r="F173"/>
  <c r="N172"/>
  <c r="F172"/>
  <c r="N171"/>
  <c r="F171"/>
  <c r="N170"/>
  <c r="F170"/>
  <c r="N169"/>
  <c r="F169"/>
  <c r="N168"/>
  <c r="F168"/>
  <c r="N167"/>
  <c r="F167"/>
  <c r="N166"/>
  <c r="F166"/>
  <c r="N165"/>
  <c r="F165"/>
  <c r="N164"/>
  <c r="F164"/>
  <c r="N163"/>
  <c r="F163"/>
  <c r="N162"/>
  <c r="F162"/>
  <c r="N161"/>
  <c r="F161"/>
  <c r="N160"/>
  <c r="F160"/>
  <c r="N159"/>
  <c r="F159"/>
  <c r="N158"/>
  <c r="F158"/>
  <c r="N157"/>
  <c r="F157"/>
  <c r="N156"/>
  <c r="F156"/>
  <c r="N155"/>
  <c r="F155"/>
  <c r="N154"/>
  <c r="F154"/>
  <c r="N153"/>
  <c r="F153"/>
  <c r="N152"/>
  <c r="F152"/>
  <c r="N151"/>
  <c r="F151"/>
  <c r="N150"/>
  <c r="F150"/>
  <c r="N149"/>
  <c r="F149"/>
  <c r="N148"/>
  <c r="F148"/>
  <c r="N147"/>
  <c r="F147"/>
  <c r="N146"/>
  <c r="F146"/>
  <c r="N145"/>
  <c r="F145"/>
  <c r="N144"/>
  <c r="F144"/>
  <c r="N143"/>
  <c r="F143"/>
  <c r="N142"/>
  <c r="F142"/>
  <c r="N141"/>
  <c r="F141"/>
  <c r="N140"/>
  <c r="F140"/>
  <c r="N139"/>
  <c r="F139"/>
  <c r="N138"/>
  <c r="F138"/>
  <c r="N137"/>
  <c r="F137"/>
  <c r="N136"/>
  <c r="F136"/>
  <c r="N135"/>
  <c r="F135"/>
  <c r="N134"/>
  <c r="F134"/>
  <c r="N133"/>
  <c r="F133"/>
  <c r="N132"/>
  <c r="F132"/>
  <c r="N119"/>
  <c r="F119"/>
  <c r="N118"/>
  <c r="F118"/>
  <c r="N117"/>
  <c r="F117"/>
  <c r="N116"/>
  <c r="F116"/>
  <c r="N115"/>
  <c r="F115"/>
  <c r="N114"/>
  <c r="F114"/>
  <c r="N113"/>
  <c r="F113"/>
  <c r="N112"/>
  <c r="F112"/>
  <c r="N111"/>
  <c r="F111"/>
  <c r="N110"/>
  <c r="F110"/>
  <c r="N109"/>
  <c r="F109"/>
  <c r="N108"/>
  <c r="F108"/>
  <c r="N107"/>
  <c r="F107"/>
  <c r="N106"/>
  <c r="F106"/>
  <c r="N105"/>
  <c r="F105"/>
  <c r="N104"/>
  <c r="F104"/>
  <c r="N103"/>
  <c r="F103"/>
  <c r="N102"/>
  <c r="F102"/>
  <c r="N101"/>
  <c r="F101"/>
  <c r="N100"/>
  <c r="F100"/>
  <c r="N99"/>
  <c r="F99"/>
  <c r="N98"/>
  <c r="F98"/>
  <c r="N97"/>
  <c r="F97"/>
  <c r="N96"/>
  <c r="F96"/>
  <c r="N95"/>
  <c r="F95"/>
  <c r="N94"/>
  <c r="F94"/>
  <c r="N93"/>
  <c r="F93"/>
  <c r="N92"/>
  <c r="F92"/>
  <c r="F91"/>
  <c r="F90"/>
  <c r="F89"/>
  <c r="N88"/>
  <c r="F88"/>
  <c r="N87"/>
  <c r="F87"/>
  <c r="N86"/>
  <c r="F86"/>
  <c r="N85"/>
  <c r="F85"/>
  <c r="N84"/>
  <c r="F84"/>
  <c r="N83"/>
  <c r="F83"/>
  <c r="N82"/>
  <c r="F82"/>
  <c r="N81"/>
  <c r="F81"/>
  <c r="N80"/>
  <c r="F80"/>
  <c r="N79"/>
  <c r="F79"/>
  <c r="N78"/>
  <c r="F78"/>
  <c r="N77"/>
  <c r="F77"/>
  <c r="N76"/>
  <c r="F76"/>
  <c r="N75"/>
  <c r="F75"/>
  <c r="N74"/>
  <c r="F74"/>
  <c r="N73"/>
  <c r="F73"/>
  <c r="N72"/>
  <c r="F72"/>
  <c r="N59"/>
  <c r="F59"/>
  <c r="N58"/>
  <c r="F58"/>
  <c r="N57"/>
  <c r="F57"/>
  <c r="N56"/>
  <c r="F56"/>
  <c r="N55"/>
  <c r="F55"/>
  <c r="N54"/>
  <c r="F54"/>
  <c r="N53"/>
  <c r="F53"/>
  <c r="N52"/>
  <c r="F52"/>
  <c r="N51"/>
  <c r="F51"/>
  <c r="N50"/>
  <c r="F50"/>
  <c r="N49"/>
  <c r="F49"/>
  <c r="N48"/>
  <c r="F48"/>
  <c r="N47"/>
  <c r="F47"/>
  <c r="N46"/>
  <c r="F46"/>
  <c r="N45"/>
  <c r="F45"/>
  <c r="N44"/>
  <c r="F44"/>
  <c r="N43"/>
  <c r="F43"/>
  <c r="N42"/>
  <c r="F42"/>
  <c r="N41"/>
  <c r="F41"/>
  <c r="N40"/>
  <c r="F40"/>
  <c r="N39"/>
  <c r="F39"/>
  <c r="N38"/>
  <c r="F38"/>
  <c r="N37"/>
  <c r="F37"/>
  <c r="N36"/>
  <c r="F36"/>
  <c r="N35"/>
  <c r="F35"/>
  <c r="N34"/>
  <c r="F34"/>
  <c r="N33"/>
  <c r="F33"/>
  <c r="N32"/>
  <c r="F32"/>
  <c r="N31"/>
  <c r="F31"/>
  <c r="N30"/>
  <c r="F30"/>
  <c r="N29"/>
  <c r="F29"/>
  <c r="N28"/>
  <c r="F28"/>
  <c r="N27"/>
  <c r="F27"/>
  <c r="N26"/>
  <c r="F26"/>
  <c r="N25"/>
  <c r="F25"/>
  <c r="N24"/>
  <c r="F24"/>
  <c r="N23"/>
  <c r="F23"/>
  <c r="N22"/>
  <c r="F22"/>
  <c r="N21"/>
  <c r="F21"/>
  <c r="N20"/>
  <c r="F20"/>
  <c r="N19"/>
  <c r="F19"/>
  <c r="N18"/>
  <c r="F18"/>
  <c r="N17"/>
  <c r="F17"/>
  <c r="N16"/>
  <c r="F16"/>
  <c r="N15"/>
  <c r="F15"/>
  <c r="N14"/>
  <c r="F14"/>
  <c r="N13"/>
  <c r="F13"/>
  <c r="N12"/>
  <c r="F12"/>
  <c r="M539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E526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E91"/>
  <c r="E90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D91"/>
  <c r="D90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67" l="1"/>
  <c r="M7"/>
  <c r="M127"/>
  <c r="M187"/>
  <c r="M247"/>
  <c r="M307"/>
  <c r="M367"/>
  <c r="M427"/>
  <c r="E67"/>
  <c r="M487" s="1"/>
  <c r="E127"/>
  <c r="E187"/>
  <c r="E247"/>
  <c r="E307"/>
  <c r="E367"/>
  <c r="E487" l="1"/>
  <c r="M526" l="1"/>
  <c r="L526"/>
  <c r="M525"/>
  <c r="L525"/>
  <c r="D526"/>
  <c r="D525"/>
  <c r="N525" l="1"/>
  <c r="N526"/>
  <c r="M91" l="1"/>
  <c r="L91"/>
  <c r="M90"/>
  <c r="L90"/>
  <c r="M89"/>
  <c r="L89"/>
  <c r="N89" l="1"/>
  <c r="N91"/>
  <c r="N90"/>
  <c r="O252" l="1"/>
  <c r="O256"/>
  <c r="O260"/>
  <c r="O264"/>
  <c r="O268"/>
  <c r="O272"/>
  <c r="O276"/>
  <c r="O280"/>
  <c r="O284"/>
  <c r="O288"/>
  <c r="O292"/>
  <c r="O296"/>
  <c r="G312"/>
  <c r="G316"/>
  <c r="G320"/>
  <c r="G324"/>
  <c r="G328"/>
  <c r="G332"/>
  <c r="G336"/>
  <c r="G340"/>
  <c r="G344"/>
  <c r="G348"/>
  <c r="G352"/>
  <c r="G356"/>
  <c r="O312"/>
  <c r="O316"/>
  <c r="O320"/>
  <c r="O324"/>
  <c r="O328"/>
  <c r="O332"/>
  <c r="O336"/>
  <c r="O340"/>
  <c r="O344"/>
  <c r="O348"/>
  <c r="O352"/>
  <c r="O356"/>
  <c r="G372"/>
  <c r="G376"/>
  <c r="G380"/>
  <c r="G384"/>
  <c r="G388"/>
  <c r="G392"/>
  <c r="G396"/>
  <c r="G400"/>
  <c r="G404"/>
  <c r="G408"/>
  <c r="G412"/>
  <c r="G416"/>
  <c r="O253"/>
  <c r="O257"/>
  <c r="O261"/>
  <c r="O265"/>
  <c r="O269"/>
  <c r="O273"/>
  <c r="O277"/>
  <c r="O281"/>
  <c r="O285"/>
  <c r="O289"/>
  <c r="O293"/>
  <c r="O297"/>
  <c r="G313"/>
  <c r="G317"/>
  <c r="G321"/>
  <c r="G325"/>
  <c r="G329"/>
  <c r="G333"/>
  <c r="G337"/>
  <c r="G341"/>
  <c r="G345"/>
  <c r="G349"/>
  <c r="G353"/>
  <c r="G357"/>
  <c r="O313"/>
  <c r="O317"/>
  <c r="O321"/>
  <c r="O325"/>
  <c r="O329"/>
  <c r="O333"/>
  <c r="O337"/>
  <c r="O341"/>
  <c r="O345"/>
  <c r="O349"/>
  <c r="O353"/>
  <c r="O357"/>
  <c r="G373"/>
  <c r="G377"/>
  <c r="G381"/>
  <c r="G385"/>
  <c r="G389"/>
  <c r="G393"/>
  <c r="G397"/>
  <c r="G401"/>
  <c r="G405"/>
  <c r="G409"/>
  <c r="G413"/>
  <c r="G417"/>
  <c r="O254"/>
  <c r="O258"/>
  <c r="O262"/>
  <c r="O266"/>
  <c r="O270"/>
  <c r="O274"/>
  <c r="O278"/>
  <c r="O282"/>
  <c r="O286"/>
  <c r="O290"/>
  <c r="O294"/>
  <c r="O298"/>
  <c r="G314"/>
  <c r="G318"/>
  <c r="G322"/>
  <c r="G326"/>
  <c r="G330"/>
  <c r="G334"/>
  <c r="G338"/>
  <c r="G342"/>
  <c r="G346"/>
  <c r="G350"/>
  <c r="G354"/>
  <c r="G358"/>
  <c r="O314"/>
  <c r="O318"/>
  <c r="O322"/>
  <c r="O326"/>
  <c r="O330"/>
  <c r="O334"/>
  <c r="O338"/>
  <c r="O342"/>
  <c r="O346"/>
  <c r="O350"/>
  <c r="O354"/>
  <c r="O358"/>
  <c r="G374"/>
  <c r="G378"/>
  <c r="G382"/>
  <c r="G386"/>
  <c r="G390"/>
  <c r="G394"/>
  <c r="G398"/>
  <c r="G402"/>
  <c r="G406"/>
  <c r="G410"/>
  <c r="G414"/>
  <c r="G418"/>
  <c r="O255"/>
  <c r="O259"/>
  <c r="O263"/>
  <c r="O267"/>
  <c r="O271"/>
  <c r="O275"/>
  <c r="O279"/>
  <c r="O283"/>
  <c r="O287"/>
  <c r="O291"/>
  <c r="O295"/>
  <c r="O299"/>
  <c r="G315"/>
  <c r="G319"/>
  <c r="G323"/>
  <c r="G327"/>
  <c r="G331"/>
  <c r="G335"/>
  <c r="G339"/>
  <c r="G343"/>
  <c r="G347"/>
  <c r="G351"/>
  <c r="G355"/>
  <c r="O315"/>
  <c r="O319"/>
  <c r="O323"/>
  <c r="O327"/>
  <c r="O331"/>
  <c r="O335"/>
  <c r="O339"/>
  <c r="O343"/>
  <c r="O347"/>
  <c r="O351"/>
  <c r="O355"/>
  <c r="G375"/>
  <c r="G379"/>
  <c r="G383"/>
  <c r="G387"/>
  <c r="G391"/>
  <c r="G395"/>
  <c r="G399"/>
  <c r="G403"/>
  <c r="G407"/>
  <c r="G411"/>
  <c r="G415"/>
  <c r="G359" l="1"/>
  <c r="G419"/>
  <c r="O359"/>
  <c r="G132" l="1"/>
  <c r="G135"/>
  <c r="G177"/>
  <c r="G142"/>
  <c r="G164"/>
  <c r="G162"/>
  <c r="G134"/>
  <c r="G140"/>
  <c r="G137"/>
  <c r="G146"/>
  <c r="G170"/>
  <c r="G166"/>
  <c r="G143"/>
  <c r="G148"/>
  <c r="G141"/>
  <c r="G150"/>
  <c r="G172"/>
  <c r="G169"/>
  <c r="G138"/>
  <c r="G133"/>
  <c r="G145"/>
  <c r="G160"/>
  <c r="G167"/>
  <c r="G176"/>
  <c r="O132"/>
  <c r="O136"/>
  <c r="O140"/>
  <c r="O144"/>
  <c r="O148"/>
  <c r="O152"/>
  <c r="O156"/>
  <c r="O160"/>
  <c r="O164"/>
  <c r="O168"/>
  <c r="O172"/>
  <c r="O176"/>
  <c r="G192"/>
  <c r="G196"/>
  <c r="G200"/>
  <c r="G204"/>
  <c r="G208"/>
  <c r="G212"/>
  <c r="G216"/>
  <c r="G220"/>
  <c r="G224"/>
  <c r="G228"/>
  <c r="G232"/>
  <c r="G236"/>
  <c r="O192"/>
  <c r="O196"/>
  <c r="O200"/>
  <c r="O204"/>
  <c r="O208"/>
  <c r="O212"/>
  <c r="O216"/>
  <c r="O220"/>
  <c r="O224"/>
  <c r="O228"/>
  <c r="O232"/>
  <c r="O236"/>
  <c r="G252"/>
  <c r="G256"/>
  <c r="G260"/>
  <c r="G264"/>
  <c r="G268"/>
  <c r="G272"/>
  <c r="G276"/>
  <c r="G280"/>
  <c r="G284"/>
  <c r="G288"/>
  <c r="G292"/>
  <c r="G296"/>
  <c r="O133"/>
  <c r="O137"/>
  <c r="O141"/>
  <c r="O145"/>
  <c r="O149"/>
  <c r="O153"/>
  <c r="O157"/>
  <c r="O161"/>
  <c r="O165"/>
  <c r="O169"/>
  <c r="O173"/>
  <c r="O177"/>
  <c r="G193"/>
  <c r="G197"/>
  <c r="G201"/>
  <c r="G205"/>
  <c r="G209"/>
  <c r="G213"/>
  <c r="G217"/>
  <c r="G221"/>
  <c r="G225"/>
  <c r="G229"/>
  <c r="G233"/>
  <c r="G237"/>
  <c r="O193"/>
  <c r="O197"/>
  <c r="O201"/>
  <c r="O205"/>
  <c r="O209"/>
  <c r="O213"/>
  <c r="O217"/>
  <c r="O221"/>
  <c r="O225"/>
  <c r="O229"/>
  <c r="O233"/>
  <c r="O237"/>
  <c r="G253"/>
  <c r="G257"/>
  <c r="G261"/>
  <c r="G265"/>
  <c r="G269"/>
  <c r="G273"/>
  <c r="G277"/>
  <c r="G281"/>
  <c r="G285"/>
  <c r="G289"/>
  <c r="G293"/>
  <c r="G297"/>
  <c r="G136"/>
  <c r="G144"/>
  <c r="G149"/>
  <c r="G165"/>
  <c r="G173"/>
  <c r="G178"/>
  <c r="G139"/>
  <c r="G152"/>
  <c r="G153"/>
  <c r="G168"/>
  <c r="G174"/>
  <c r="G171"/>
  <c r="G147"/>
  <c r="G155"/>
  <c r="G157"/>
  <c r="G159"/>
  <c r="G154"/>
  <c r="G175"/>
  <c r="G151"/>
  <c r="G156"/>
  <c r="G163"/>
  <c r="G161"/>
  <c r="G158"/>
  <c r="G179"/>
  <c r="O134"/>
  <c r="O138"/>
  <c r="O142"/>
  <c r="O146"/>
  <c r="O150"/>
  <c r="O154"/>
  <c r="O158"/>
  <c r="O162"/>
  <c r="O166"/>
  <c r="O170"/>
  <c r="O174"/>
  <c r="O178"/>
  <c r="G194"/>
  <c r="G198"/>
  <c r="G202"/>
  <c r="G206"/>
  <c r="G210"/>
  <c r="G214"/>
  <c r="G218"/>
  <c r="G222"/>
  <c r="G226"/>
  <c r="G230"/>
  <c r="G234"/>
  <c r="G238"/>
  <c r="O194"/>
  <c r="O198"/>
  <c r="O202"/>
  <c r="O206"/>
  <c r="O210"/>
  <c r="O214"/>
  <c r="O218"/>
  <c r="O222"/>
  <c r="O226"/>
  <c r="O230"/>
  <c r="O234"/>
  <c r="O238"/>
  <c r="G254"/>
  <c r="G258"/>
  <c r="G262"/>
  <c r="G266"/>
  <c r="G270"/>
  <c r="G274"/>
  <c r="G278"/>
  <c r="G282"/>
  <c r="G286"/>
  <c r="G290"/>
  <c r="G294"/>
  <c r="G298"/>
  <c r="O135"/>
  <c r="O139"/>
  <c r="O143"/>
  <c r="O147"/>
  <c r="O151"/>
  <c r="O155"/>
  <c r="O159"/>
  <c r="O163"/>
  <c r="O167"/>
  <c r="O171"/>
  <c r="O175"/>
  <c r="G195"/>
  <c r="G199"/>
  <c r="G203"/>
  <c r="G207"/>
  <c r="G211"/>
  <c r="G215"/>
  <c r="G219"/>
  <c r="G223"/>
  <c r="G227"/>
  <c r="G231"/>
  <c r="G235"/>
  <c r="G239"/>
  <c r="O195"/>
  <c r="O199"/>
  <c r="O203"/>
  <c r="O207"/>
  <c r="O211"/>
  <c r="O215"/>
  <c r="O219"/>
  <c r="O223"/>
  <c r="O227"/>
  <c r="O231"/>
  <c r="O235"/>
  <c r="O239"/>
  <c r="G255"/>
  <c r="G259"/>
  <c r="G263"/>
  <c r="G267"/>
  <c r="G271"/>
  <c r="G275"/>
  <c r="G279"/>
  <c r="G283"/>
  <c r="G287"/>
  <c r="G291"/>
  <c r="G295"/>
  <c r="G299" l="1"/>
  <c r="O179"/>
  <c r="G15" l="1"/>
  <c r="G22"/>
  <c r="G42"/>
  <c r="G20"/>
  <c r="G17"/>
  <c r="G50"/>
  <c r="G28"/>
  <c r="G30"/>
  <c r="G52"/>
  <c r="G18"/>
  <c r="G25"/>
  <c r="G47"/>
  <c r="O14"/>
  <c r="O18"/>
  <c r="O22"/>
  <c r="O26"/>
  <c r="O30"/>
  <c r="O34"/>
  <c r="O38"/>
  <c r="O42"/>
  <c r="O46"/>
  <c r="O50"/>
  <c r="O54"/>
  <c r="O58"/>
  <c r="G74"/>
  <c r="G78"/>
  <c r="G82"/>
  <c r="G86"/>
  <c r="G90"/>
  <c r="G94"/>
  <c r="G98"/>
  <c r="G102"/>
  <c r="G106"/>
  <c r="G110"/>
  <c r="G114"/>
  <c r="G118"/>
  <c r="O74"/>
  <c r="O78"/>
  <c r="O82"/>
  <c r="O86"/>
  <c r="O94"/>
  <c r="O98"/>
  <c r="O102"/>
  <c r="O106"/>
  <c r="O110"/>
  <c r="O114"/>
  <c r="O118"/>
  <c r="O15"/>
  <c r="O19"/>
  <c r="O23"/>
  <c r="O27"/>
  <c r="O31"/>
  <c r="O35"/>
  <c r="O39"/>
  <c r="O43"/>
  <c r="O47"/>
  <c r="O51"/>
  <c r="O55"/>
  <c r="G75"/>
  <c r="G79"/>
  <c r="G83"/>
  <c r="G87"/>
  <c r="G91"/>
  <c r="G95"/>
  <c r="G99"/>
  <c r="G103"/>
  <c r="G107"/>
  <c r="G111"/>
  <c r="G115"/>
  <c r="O75"/>
  <c r="O79"/>
  <c r="O83"/>
  <c r="O87"/>
  <c r="O95"/>
  <c r="O99"/>
  <c r="O103"/>
  <c r="O107"/>
  <c r="O111"/>
  <c r="O115"/>
  <c r="O119"/>
  <c r="G12"/>
  <c r="G57"/>
  <c r="G44"/>
  <c r="G14"/>
  <c r="G26"/>
  <c r="G46"/>
  <c r="G23"/>
  <c r="G21"/>
  <c r="G49"/>
  <c r="G13"/>
  <c r="G40"/>
  <c r="G56"/>
  <c r="G16"/>
  <c r="G24"/>
  <c r="G29"/>
  <c r="G45"/>
  <c r="G53"/>
  <c r="G58"/>
  <c r="G19"/>
  <c r="G32"/>
  <c r="G33"/>
  <c r="G48"/>
  <c r="G54"/>
  <c r="G51"/>
  <c r="G27"/>
  <c r="G35"/>
  <c r="G37"/>
  <c r="G39"/>
  <c r="G34"/>
  <c r="G55"/>
  <c r="G31"/>
  <c r="G36"/>
  <c r="G43"/>
  <c r="G41"/>
  <c r="G38"/>
  <c r="O12"/>
  <c r="O16"/>
  <c r="O20"/>
  <c r="O24"/>
  <c r="O28"/>
  <c r="O32"/>
  <c r="O36"/>
  <c r="O40"/>
  <c r="O44"/>
  <c r="O48"/>
  <c r="O52"/>
  <c r="O56"/>
  <c r="G72"/>
  <c r="G76"/>
  <c r="G80"/>
  <c r="G84"/>
  <c r="G88"/>
  <c r="G92"/>
  <c r="G96"/>
  <c r="G100"/>
  <c r="G104"/>
  <c r="G108"/>
  <c r="G112"/>
  <c r="G116"/>
  <c r="O72"/>
  <c r="O76"/>
  <c r="O80"/>
  <c r="O84"/>
  <c r="O88"/>
  <c r="O92"/>
  <c r="O96"/>
  <c r="O100"/>
  <c r="O104"/>
  <c r="O108"/>
  <c r="O112"/>
  <c r="O116"/>
  <c r="O13"/>
  <c r="O17"/>
  <c r="O21"/>
  <c r="O25"/>
  <c r="O29"/>
  <c r="O33"/>
  <c r="O37"/>
  <c r="O41"/>
  <c r="O45"/>
  <c r="O49"/>
  <c r="O53"/>
  <c r="O57"/>
  <c r="G73"/>
  <c r="G77"/>
  <c r="G81"/>
  <c r="G85"/>
  <c r="G89"/>
  <c r="G93"/>
  <c r="G97"/>
  <c r="G101"/>
  <c r="G105"/>
  <c r="G109"/>
  <c r="G113"/>
  <c r="G117"/>
  <c r="O73"/>
  <c r="O77"/>
  <c r="O81"/>
  <c r="O85"/>
  <c r="O93"/>
  <c r="O97"/>
  <c r="O101"/>
  <c r="O105"/>
  <c r="O109"/>
  <c r="O113"/>
  <c r="O117"/>
  <c r="O89" l="1"/>
  <c r="O91"/>
  <c r="O90"/>
  <c r="G119" l="1"/>
  <c r="G59"/>
  <c r="O59"/>
  <c r="O372" l="1"/>
  <c r="O375"/>
  <c r="O417"/>
  <c r="O382"/>
  <c r="O404"/>
  <c r="O402"/>
  <c r="O374"/>
  <c r="O380"/>
  <c r="O377"/>
  <c r="O386"/>
  <c r="O410"/>
  <c r="O406"/>
  <c r="O383"/>
  <c r="O388"/>
  <c r="O381"/>
  <c r="O390"/>
  <c r="O412"/>
  <c r="O409"/>
  <c r="O378"/>
  <c r="O373"/>
  <c r="O385"/>
  <c r="O400"/>
  <c r="O407"/>
  <c r="O416"/>
  <c r="G434"/>
  <c r="G438"/>
  <c r="G442"/>
  <c r="G446"/>
  <c r="G450"/>
  <c r="G454"/>
  <c r="G458"/>
  <c r="G462"/>
  <c r="G466"/>
  <c r="G470"/>
  <c r="G474"/>
  <c r="G478"/>
  <c r="O434"/>
  <c r="O438"/>
  <c r="O442"/>
  <c r="O446"/>
  <c r="O450"/>
  <c r="O454"/>
  <c r="O458"/>
  <c r="O462"/>
  <c r="O466"/>
  <c r="O470"/>
  <c r="O474"/>
  <c r="O478"/>
  <c r="G494"/>
  <c r="G498"/>
  <c r="G502"/>
  <c r="G506"/>
  <c r="G510"/>
  <c r="G514"/>
  <c r="G518"/>
  <c r="G522"/>
  <c r="G526"/>
  <c r="G530"/>
  <c r="G534"/>
  <c r="G538"/>
  <c r="O494"/>
  <c r="O498"/>
  <c r="O502"/>
  <c r="O506"/>
  <c r="O510"/>
  <c r="O514"/>
  <c r="O518"/>
  <c r="O522"/>
  <c r="O530"/>
  <c r="O534"/>
  <c r="O538"/>
  <c r="G435"/>
  <c r="G439"/>
  <c r="G443"/>
  <c r="G447"/>
  <c r="G451"/>
  <c r="G455"/>
  <c r="G459"/>
  <c r="G463"/>
  <c r="G467"/>
  <c r="G471"/>
  <c r="G475"/>
  <c r="G479"/>
  <c r="O435"/>
  <c r="O439"/>
  <c r="O443"/>
  <c r="O447"/>
  <c r="O451"/>
  <c r="O455"/>
  <c r="O459"/>
  <c r="O463"/>
  <c r="O467"/>
  <c r="O471"/>
  <c r="O475"/>
  <c r="G495"/>
  <c r="G499"/>
  <c r="G503"/>
  <c r="G507"/>
  <c r="G511"/>
  <c r="G515"/>
  <c r="G519"/>
  <c r="G523"/>
  <c r="G527"/>
  <c r="G531"/>
  <c r="G535"/>
  <c r="O495"/>
  <c r="O499"/>
  <c r="O503"/>
  <c r="O507"/>
  <c r="O511"/>
  <c r="O515"/>
  <c r="O519"/>
  <c r="O523"/>
  <c r="O527"/>
  <c r="O531"/>
  <c r="O535"/>
  <c r="O539"/>
  <c r="O376"/>
  <c r="O384"/>
  <c r="O389"/>
  <c r="O405"/>
  <c r="O413"/>
  <c r="O418"/>
  <c r="O379"/>
  <c r="O392"/>
  <c r="O393"/>
  <c r="O408"/>
  <c r="O414"/>
  <c r="O411"/>
  <c r="O387"/>
  <c r="O395"/>
  <c r="O397"/>
  <c r="O399"/>
  <c r="O394"/>
  <c r="O415"/>
  <c r="O391"/>
  <c r="O396"/>
  <c r="O403"/>
  <c r="O401"/>
  <c r="O398"/>
  <c r="G432"/>
  <c r="G436"/>
  <c r="G440"/>
  <c r="G444"/>
  <c r="G448"/>
  <c r="G452"/>
  <c r="G456"/>
  <c r="G460"/>
  <c r="G464"/>
  <c r="G468"/>
  <c r="G472"/>
  <c r="G476"/>
  <c r="O432"/>
  <c r="O436"/>
  <c r="O440"/>
  <c r="O444"/>
  <c r="O448"/>
  <c r="O452"/>
  <c r="O456"/>
  <c r="O460"/>
  <c r="O464"/>
  <c r="O468"/>
  <c r="O472"/>
  <c r="O476"/>
  <c r="G492"/>
  <c r="G496"/>
  <c r="G500"/>
  <c r="G504"/>
  <c r="G508"/>
  <c r="G512"/>
  <c r="G516"/>
  <c r="G520"/>
  <c r="G524"/>
  <c r="G528"/>
  <c r="G532"/>
  <c r="G536"/>
  <c r="O492"/>
  <c r="O496"/>
  <c r="O500"/>
  <c r="O504"/>
  <c r="O508"/>
  <c r="O512"/>
  <c r="O516"/>
  <c r="O520"/>
  <c r="O524"/>
  <c r="O528"/>
  <c r="O532"/>
  <c r="O536"/>
  <c r="G433"/>
  <c r="G437"/>
  <c r="G441"/>
  <c r="G445"/>
  <c r="G449"/>
  <c r="G453"/>
  <c r="G457"/>
  <c r="G461"/>
  <c r="G465"/>
  <c r="G469"/>
  <c r="G473"/>
  <c r="G477"/>
  <c r="O433"/>
  <c r="O437"/>
  <c r="O441"/>
  <c r="O445"/>
  <c r="O449"/>
  <c r="O453"/>
  <c r="O457"/>
  <c r="O461"/>
  <c r="O465"/>
  <c r="O469"/>
  <c r="O473"/>
  <c r="O477"/>
  <c r="G493"/>
  <c r="G497"/>
  <c r="G501"/>
  <c r="G505"/>
  <c r="G509"/>
  <c r="G513"/>
  <c r="G517"/>
  <c r="G521"/>
  <c r="G525"/>
  <c r="G529"/>
  <c r="G533"/>
  <c r="G537"/>
  <c r="O493"/>
  <c r="O497"/>
  <c r="O501"/>
  <c r="O505"/>
  <c r="O509"/>
  <c r="O513"/>
  <c r="O517"/>
  <c r="O521"/>
  <c r="O529"/>
  <c r="O533"/>
  <c r="O537"/>
  <c r="O525" l="1"/>
  <c r="O526"/>
  <c r="O479" l="1"/>
  <c r="G539"/>
  <c r="O419"/>
</calcChain>
</file>

<file path=xl/sharedStrings.xml><?xml version="1.0" encoding="utf-8"?>
<sst xmlns="http://schemas.openxmlformats.org/spreadsheetml/2006/main" count="1368" uniqueCount="36">
  <si>
    <t>понедельник</t>
  </si>
  <si>
    <t>вторник</t>
  </si>
  <si>
    <t>среда</t>
  </si>
  <si>
    <t>четверг</t>
  </si>
  <si>
    <t>пятница</t>
  </si>
  <si>
    <t>суббота</t>
  </si>
  <si>
    <t>Преподаватель</t>
  </si>
  <si>
    <t>Вид занятий</t>
  </si>
  <si>
    <t xml:space="preserve">    «Утверждаю»</t>
  </si>
  <si>
    <t>Первый проректор</t>
  </si>
  <si>
    <t>___________Н.А. Круглая</t>
  </si>
  <si>
    <t>«_____» _________2025 г.</t>
  </si>
  <si>
    <t>Расписание занятий (1 семестр 2025/26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</si>
  <si>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</si>
  <si>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</si>
  <si>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</si>
  <si>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</si>
  <si>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</si>
  <si>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</si>
  <si>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Дисциплина</t>
  </si>
  <si>
    <t>Ссылка</t>
  </si>
  <si>
    <t xml:space="preserve">Директор института </t>
  </si>
  <si>
    <t>Самчинская Я.Б.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</si>
  <si>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</si>
  <si>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</si>
  <si>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</si>
  <si>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</si>
  <si>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</si>
  <si>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</si>
  <si>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</si>
  <si>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https://max.ru/join/t257J4YJBJ8AiKVNLL3zOcaCz5ne73H9eWxMrfP7T5o</t>
  </si>
  <si>
    <t>https://max.ru/join/M7wDISGvmShFMnRwwNWABqv4bmIdPah2zAI1ryedWA4</t>
  </si>
  <si>
    <t>https://max.ru/join/_WbPeww7Si-yjLHOYgIQrD3bebn34IBKiDWG4cTLviM</t>
  </si>
  <si>
    <t>https://max.ru/join/sfNY5ST71hV_pC23QZ2ii7W3g5AgaCajoOYPFHnex5s</t>
  </si>
  <si>
    <t>https://max.ru/join/yiMW5hnYBtZHcXFu4xRokqWJT9jXccqJxwXEav6pwkM</t>
  </si>
  <si>
    <t>https://max.ru/join/kwuS9eEwkiZcM2J4jlEJMBMD19izxuC_L2Mwjryv0Dk</t>
  </si>
</sst>
</file>

<file path=xl/styles.xml><?xml version="1.0" encoding="utf-8"?>
<styleSheet xmlns="http://schemas.openxmlformats.org/spreadsheetml/2006/main">
  <numFmts count="1">
    <numFmt numFmtId="164" formatCode="0;\-0;;\ @"/>
  </numFmts>
  <fonts count="17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u/>
      <sz val="10"/>
      <name val="Arial"/>
      <family val="2"/>
      <charset val="204"/>
    </font>
    <font>
      <sz val="14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4" fillId="0" borderId="0" applyNumberFormat="0" applyFill="0" applyBorder="0" applyAlignment="0" applyProtection="0"/>
  </cellStyleXfs>
  <cellXfs count="76">
    <xf numFmtId="0" fontId="0" fillId="0" borderId="0" xfId="0"/>
    <xf numFmtId="0" fontId="6" fillId="0" borderId="0" xfId="1" applyFont="1" applyFill="1" applyAlignment="1">
      <alignment horizontal="right"/>
    </xf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>
      <alignment horizontal="right" vertical="center"/>
    </xf>
    <xf numFmtId="0" fontId="6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2" fillId="0" borderId="14" xfId="1" applyNumberFormat="1" applyFont="1" applyFill="1" applyBorder="1" applyAlignment="1">
      <alignment horizontal="center" vertical="center" wrapText="1"/>
    </xf>
    <xf numFmtId="164" fontId="12" fillId="0" borderId="15" xfId="1" applyNumberFormat="1" applyFont="1" applyFill="1" applyBorder="1" applyAlignment="1">
      <alignment horizontal="left" vertical="center" wrapText="1"/>
    </xf>
    <xf numFmtId="164" fontId="12" fillId="0" borderId="16" xfId="1" applyNumberFormat="1" applyFont="1" applyFill="1" applyBorder="1" applyAlignment="1">
      <alignment horizontal="left" vertical="center" wrapText="1"/>
    </xf>
    <xf numFmtId="164" fontId="12" fillId="0" borderId="14" xfId="1" applyNumberFormat="1" applyFont="1" applyFill="1" applyBorder="1" applyAlignment="1">
      <alignment vertical="center" wrapText="1"/>
    </xf>
    <xf numFmtId="164" fontId="12" fillId="0" borderId="1" xfId="1" applyNumberFormat="1" applyFont="1" applyFill="1" applyBorder="1" applyAlignment="1">
      <alignment horizontal="center" vertical="center" wrapText="1"/>
    </xf>
    <xf numFmtId="164" fontId="12" fillId="0" borderId="4" xfId="1" applyNumberFormat="1" applyFont="1" applyFill="1" applyBorder="1" applyAlignment="1">
      <alignment horizontal="left" vertical="center" wrapText="1"/>
    </xf>
    <xf numFmtId="164" fontId="12" fillId="0" borderId="2" xfId="1" applyNumberFormat="1" applyFont="1" applyFill="1" applyBorder="1" applyAlignment="1">
      <alignment horizontal="left" vertical="center" wrapText="1"/>
    </xf>
    <xf numFmtId="164" fontId="12" fillId="0" borderId="1" xfId="1" applyNumberFormat="1" applyFont="1" applyFill="1" applyBorder="1" applyAlignment="1">
      <alignment vertical="center" wrapText="1"/>
    </xf>
    <xf numFmtId="164" fontId="12" fillId="0" borderId="22" xfId="1" applyNumberFormat="1" applyFont="1" applyFill="1" applyBorder="1" applyAlignment="1">
      <alignment horizontal="center" vertical="center" wrapText="1"/>
    </xf>
    <xf numFmtId="164" fontId="12" fillId="0" borderId="22" xfId="1" applyNumberFormat="1" applyFont="1" applyFill="1" applyBorder="1" applyAlignment="1">
      <alignment vertical="center" wrapText="1"/>
    </xf>
    <xf numFmtId="164" fontId="12" fillId="0" borderId="23" xfId="1" applyNumberFormat="1" applyFont="1" applyFill="1" applyBorder="1" applyAlignment="1">
      <alignment horizontal="left" vertical="center" wrapText="1"/>
    </xf>
    <xf numFmtId="164" fontId="12" fillId="0" borderId="24" xfId="1" applyNumberFormat="1" applyFont="1" applyFill="1" applyBorder="1" applyAlignment="1">
      <alignment horizontal="left" vertical="center" wrapText="1"/>
    </xf>
    <xf numFmtId="0" fontId="11" fillId="0" borderId="14" xfId="0" applyFont="1" applyBorder="1" applyAlignment="1" applyProtection="1">
      <alignment horizontal="center" vertical="center" wrapText="1"/>
      <protection hidden="1"/>
    </xf>
    <xf numFmtId="0" fontId="6" fillId="0" borderId="31" xfId="1" applyFont="1" applyFill="1" applyBorder="1" applyAlignment="1">
      <alignment horizontal="right" vertical="center"/>
    </xf>
    <xf numFmtId="0" fontId="13" fillId="2" borderId="31" xfId="1" applyFont="1" applyFill="1" applyBorder="1" applyAlignment="1">
      <alignment horizontal="left" vertical="center"/>
    </xf>
    <xf numFmtId="0" fontId="7" fillId="2" borderId="31" xfId="1" applyFont="1" applyFill="1" applyBorder="1" applyAlignment="1">
      <alignment horizontal="left" vertical="center"/>
    </xf>
    <xf numFmtId="0" fontId="7" fillId="2" borderId="31" xfId="1" applyFont="1" applyFill="1" applyBorder="1" applyAlignment="1">
      <alignment vertical="center"/>
    </xf>
    <xf numFmtId="0" fontId="8" fillId="0" borderId="31" xfId="0" applyFont="1" applyFill="1" applyBorder="1" applyAlignment="1" applyProtection="1">
      <alignment horizontal="left" vertical="center"/>
      <protection locked="0" hidden="1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164" fontId="15" fillId="0" borderId="19" xfId="5" applyNumberFormat="1" applyFont="1" applyFill="1" applyBorder="1" applyAlignment="1">
      <alignment vertical="center" wrapText="1"/>
    </xf>
    <xf numFmtId="0" fontId="8" fillId="0" borderId="0" xfId="1" applyFont="1" applyFill="1" applyAlignment="1" applyProtection="1">
      <alignment horizontal="left" vertical="center"/>
      <protection locked="0"/>
    </xf>
    <xf numFmtId="0" fontId="8" fillId="0" borderId="0" xfId="1" applyFont="1" applyFill="1"/>
    <xf numFmtId="0" fontId="8" fillId="0" borderId="0" xfId="1" applyFont="1" applyFill="1" applyBorder="1" applyAlignment="1">
      <alignment vertical="center"/>
    </xf>
    <xf numFmtId="0" fontId="8" fillId="0" borderId="0" xfId="1" applyFont="1" applyFill="1" applyAlignment="1">
      <alignment horizontal="left"/>
    </xf>
    <xf numFmtId="164" fontId="16" fillId="0" borderId="19" xfId="1" applyNumberFormat="1" applyFont="1" applyFill="1" applyBorder="1" applyAlignment="1">
      <alignment vertical="center" wrapText="1"/>
    </xf>
    <xf numFmtId="164" fontId="16" fillId="0" borderId="25" xfId="1" applyNumberFormat="1" applyFont="1" applyFill="1" applyBorder="1" applyAlignment="1">
      <alignment vertical="center" wrapText="1"/>
    </xf>
    <xf numFmtId="164" fontId="16" fillId="0" borderId="17" xfId="1" applyNumberFormat="1" applyFont="1" applyFill="1" applyBorder="1" applyAlignment="1">
      <alignment vertical="center" wrapText="1"/>
    </xf>
    <xf numFmtId="0" fontId="8" fillId="2" borderId="31" xfId="1" applyFont="1" applyFill="1" applyBorder="1" applyAlignment="1">
      <alignment vertical="center"/>
    </xf>
    <xf numFmtId="0" fontId="2" fillId="0" borderId="0" xfId="0" applyFont="1"/>
    <xf numFmtId="164" fontId="14" fillId="0" borderId="19" xfId="5" applyNumberFormat="1" applyFill="1" applyBorder="1" applyAlignment="1">
      <alignment vertical="center" wrapText="1"/>
    </xf>
    <xf numFmtId="164" fontId="14" fillId="0" borderId="17" xfId="5" applyNumberFormat="1" applyFill="1" applyBorder="1" applyAlignment="1">
      <alignment vertical="center" wrapText="1"/>
    </xf>
    <xf numFmtId="14" fontId="9" fillId="0" borderId="12" xfId="1" applyNumberFormat="1" applyFont="1" applyFill="1" applyBorder="1" applyAlignment="1">
      <alignment horizontal="center" vertical="center" textRotation="90" wrapText="1"/>
    </xf>
    <xf numFmtId="14" fontId="9" fillId="0" borderId="18" xfId="1" applyNumberFormat="1" applyFont="1" applyFill="1" applyBorder="1" applyAlignment="1">
      <alignment horizontal="center" vertical="center" textRotation="90" wrapText="1"/>
    </xf>
    <xf numFmtId="14" fontId="9" fillId="0" borderId="20" xfId="1" applyNumberFormat="1" applyFont="1" applyFill="1" applyBorder="1" applyAlignment="1">
      <alignment horizontal="center" vertical="center" textRotation="90" wrapText="1"/>
    </xf>
    <xf numFmtId="164" fontId="10" fillId="0" borderId="13" xfId="1" applyNumberFormat="1" applyFont="1" applyFill="1" applyBorder="1" applyAlignment="1">
      <alignment horizontal="center" vertical="center" textRotation="90" wrapText="1"/>
    </xf>
    <xf numFmtId="164" fontId="10" fillId="0" borderId="5" xfId="1" applyNumberFormat="1" applyFont="1" applyFill="1" applyBorder="1" applyAlignment="1">
      <alignment horizontal="center" vertical="center" textRotation="90" wrapText="1"/>
    </xf>
    <xf numFmtId="164" fontId="10" fillId="0" borderId="21" xfId="1" applyNumberFormat="1" applyFont="1" applyFill="1" applyBorder="1" applyAlignment="1">
      <alignment horizontal="center" vertical="center" textRotation="90" wrapText="1"/>
    </xf>
    <xf numFmtId="0" fontId="9" fillId="0" borderId="18" xfId="1" applyFont="1" applyFill="1" applyBorder="1" applyAlignment="1">
      <alignment horizontal="center" vertical="center" textRotation="90" wrapText="1"/>
    </xf>
    <xf numFmtId="0" fontId="9" fillId="0" borderId="20" xfId="1" applyFont="1" applyFill="1" applyBorder="1" applyAlignment="1">
      <alignment horizontal="center" vertical="center" textRotation="90" wrapText="1"/>
    </xf>
    <xf numFmtId="0" fontId="10" fillId="0" borderId="13" xfId="1" applyFont="1" applyFill="1" applyBorder="1" applyAlignment="1">
      <alignment horizontal="center" vertical="center" textRotation="90" wrapText="1"/>
    </xf>
    <xf numFmtId="0" fontId="10" fillId="0" borderId="5" xfId="1" applyFont="1" applyFill="1" applyBorder="1" applyAlignment="1">
      <alignment horizontal="center" vertical="center" textRotation="90" wrapText="1"/>
    </xf>
    <xf numFmtId="0" fontId="10" fillId="0" borderId="21" xfId="1" applyFont="1" applyFill="1" applyBorder="1" applyAlignment="1">
      <alignment horizontal="center" vertical="center" textRotation="90" wrapText="1"/>
    </xf>
    <xf numFmtId="14" fontId="9" fillId="0" borderId="26" xfId="1" applyNumberFormat="1" applyFont="1" applyFill="1" applyBorder="1" applyAlignment="1">
      <alignment horizontal="center" vertical="center" textRotation="90" wrapText="1"/>
    </xf>
    <xf numFmtId="14" fontId="9" fillId="0" borderId="27" xfId="1" applyNumberFormat="1" applyFont="1" applyFill="1" applyBorder="1" applyAlignment="1">
      <alignment horizontal="center" vertical="center" textRotation="90" wrapText="1"/>
    </xf>
    <xf numFmtId="14" fontId="9" fillId="0" borderId="28" xfId="1" applyNumberFormat="1" applyFont="1" applyFill="1" applyBorder="1" applyAlignment="1">
      <alignment horizontal="center" vertical="center" textRotation="90" wrapText="1"/>
    </xf>
    <xf numFmtId="164" fontId="10" fillId="0" borderId="29" xfId="1" applyNumberFormat="1" applyFont="1" applyFill="1" applyBorder="1" applyAlignment="1">
      <alignment horizontal="center" vertical="center" textRotation="90" wrapText="1"/>
    </xf>
    <xf numFmtId="164" fontId="10" fillId="0" borderId="3" xfId="1" applyNumberFormat="1" applyFont="1" applyFill="1" applyBorder="1" applyAlignment="1">
      <alignment horizontal="center" vertical="center" textRotation="90" wrapText="1"/>
    </xf>
    <xf numFmtId="164" fontId="10" fillId="0" borderId="30" xfId="1" applyNumberFormat="1" applyFont="1" applyFill="1" applyBorder="1" applyAlignment="1">
      <alignment horizontal="center" vertical="center" textRotation="90" wrapText="1"/>
    </xf>
    <xf numFmtId="0" fontId="10" fillId="0" borderId="29" xfId="1" applyFont="1" applyFill="1" applyBorder="1" applyAlignment="1">
      <alignment horizontal="center" vertical="center" textRotation="90" wrapText="1"/>
    </xf>
    <xf numFmtId="0" fontId="10" fillId="0" borderId="3" xfId="1" applyFont="1" applyFill="1" applyBorder="1" applyAlignment="1">
      <alignment horizontal="center" vertical="center" textRotation="90" wrapText="1"/>
    </xf>
    <xf numFmtId="0" fontId="10" fillId="0" borderId="30" xfId="1" applyFont="1" applyFill="1" applyBorder="1" applyAlignment="1">
      <alignment horizontal="center" vertical="center" textRotation="90" wrapText="1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8" fillId="0" borderId="0" xfId="1" applyFont="1" applyFill="1" applyBorder="1" applyAlignment="1">
      <alignment horizontal="left" vertical="center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center" vertical="center"/>
    </xf>
    <xf numFmtId="0" fontId="8" fillId="0" borderId="32" xfId="1" applyFont="1" applyFill="1" applyBorder="1" applyAlignment="1">
      <alignment horizontal="left" vertical="center"/>
    </xf>
  </cellXfs>
  <cellStyles count="6">
    <cellStyle name="Гиперссылка" xfId="5" builtinId="8"/>
    <cellStyle name="Гиперссылка 2" xfId="3"/>
    <cellStyle name="Обычный" xfId="0" builtinId="0"/>
    <cellStyle name="Обычный 2" xfId="1"/>
    <cellStyle name="Обычный 3" xfId="4"/>
    <cellStyle name="Обычный 4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C582CB8F-41E5-412F-AAB2-C035B6A40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18970752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7AD14571-8003-4418-8EDC-866A33A3E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18970752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436268C2-0FA5-4F54-B30A-2890B3F34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16850868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ABF768DF-4283-468D-9D7C-7E24BF8AF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16850868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E2D493E1-5F75-42C6-8B9C-6B5D72655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1472336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BB944876-AC6F-4354-B25F-1085EECDF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1472336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070F0D4E-B6F5-4655-842E-19EFDF39E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1261872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1F6EA4E6-0F58-411D-B437-A551C4757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1261872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219BF804-43AB-4D8E-B697-58A472417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10511028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3AFFFCA3-1A5E-4B22-A68E-1B3D317C2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10511028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FE3DB10B-8DA5-4C11-9D3A-6E89F423F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839114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234D4415-5931-4ADC-9AEA-8DE3AC4BC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839114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5B49BD35-0EE4-4C8E-941A-96D1579AD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6260592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28C99EE8-B510-45D2-ACAA-581502105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6260592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0704C6CB-8128-47E3-866D-162952281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416204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BEB0FB6B-A9B3-4816-B2CF-5F7BBB6BC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416204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4AD70DAB-3AEA-4C99-A80B-CB2E6C47A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2060448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8FF26BD2-0CD1-408F-8C5D-22D671AD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20604480"/>
          <a:ext cx="481649" cy="4816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_&#1057;&#1077;&#1085;&#1090;&#1103;&#1073;&#1088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_&#1054;&#1082;&#1090;&#1103;&#1073;&#1088;&#110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3_&#1053;&#1086;&#1103;&#1073;&#1088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4_&#1044;&#1077;&#1082;&#1072;&#1073;&#1088;&#110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</row>
        <row r="59"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0">
          <cell r="T130" t="str">
            <v>09.04.04 Программная инженерия (Разработка программно-информационных систем)</v>
          </cell>
        </row>
        <row r="134">
          <cell r="T134" t="str">
            <v>12-25РПм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8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>Шерман М.И.</v>
          </cell>
          <cell r="X146" t="str">
            <v>профессор, д-р наук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Теория систем и системный анализ</v>
          </cell>
          <cell r="W163" t="str">
            <v>Гришин И.Ю.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 t="str">
            <v>пр</v>
          </cell>
          <cell r="T178" t="str">
            <v>Применение методов искусственного интеллекта в анализе данных и управлении</v>
          </cell>
          <cell r="W178" t="str">
            <v>Гришин И.Ю.</v>
          </cell>
          <cell r="X178" t="str">
            <v>профессор, д-р наук</v>
          </cell>
        </row>
        <row r="179">
          <cell r="S179" t="str">
            <v>пр</v>
          </cell>
          <cell r="T179" t="str">
            <v>Машинное обучение и анализ данных</v>
          </cell>
          <cell r="W179" t="str">
            <v>Гришин И.Ю.</v>
          </cell>
          <cell r="X179" t="str">
            <v>профессор, д-р наук</v>
          </cell>
        </row>
        <row r="180">
          <cell r="S180" t="str">
            <v>пр</v>
          </cell>
          <cell r="T180" t="str">
            <v>Машинное обучение и анализ данных</v>
          </cell>
          <cell r="W180" t="str">
            <v>Гришин И.Ю.</v>
          </cell>
          <cell r="X180" t="str">
            <v>профессор, д-р наук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9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 t="str">
            <v>пр</v>
          </cell>
          <cell r="T136" t="str">
            <v>Теория систем и системный анализ</v>
          </cell>
          <cell r="W136" t="str">
            <v>Гришин И.Ю.</v>
          </cell>
          <cell r="X136" t="str">
            <v>профессор, д-р наук</v>
          </cell>
        </row>
        <row r="137">
          <cell r="S137" t="str">
            <v>пр</v>
          </cell>
          <cell r="T137" t="str">
            <v>Теория систем и системный анализ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0">
        <row r="12">
          <cell r="C12" t="str">
            <v>л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S154" t="str">
            <v>пр</v>
          </cell>
          <cell r="T154" t="str">
            <v>Управление ИТ-проектами</v>
          </cell>
          <cell r="W154" t="str">
            <v>Линник И.И.</v>
          </cell>
          <cell r="X154" t="str">
            <v>доцент, канд. наук</v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Теория систем и системный анализ</v>
          </cell>
          <cell r="W163" t="str">
            <v>Гришин И.Ю.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 t="str">
            <v>пр</v>
          </cell>
          <cell r="T168" t="str">
            <v>Управление ИТ-проектами</v>
          </cell>
          <cell r="W168" t="str">
            <v>Линник И.И.</v>
          </cell>
          <cell r="X168" t="str">
            <v>доцент, канд. наук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 t="str">
            <v>пр</v>
          </cell>
          <cell r="T178" t="str">
            <v>Применение методов искусственного интеллекта в анализе данных и управлении</v>
          </cell>
          <cell r="W178" t="str">
            <v>Гришин И.Ю.</v>
          </cell>
          <cell r="X178" t="str">
            <v>профессор, д-р наук</v>
          </cell>
        </row>
        <row r="179">
          <cell r="S179" t="str">
            <v>пр</v>
          </cell>
          <cell r="T179" t="str">
            <v>Машинное обучение и анализ данных</v>
          </cell>
          <cell r="W179" t="str">
            <v>Гришин И.Ю.</v>
          </cell>
          <cell r="X179" t="str">
            <v>профессор, д-р наук</v>
          </cell>
        </row>
        <row r="180">
          <cell r="S180" t="str">
            <v>пр</v>
          </cell>
          <cell r="T180" t="str">
            <v>Машинное обучение и анализ данных</v>
          </cell>
          <cell r="W180" t="str">
            <v>Гришин И.Ю.</v>
          </cell>
          <cell r="X180" t="str">
            <v>профессор, д-р наук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</row>
        <row r="136">
          <cell r="S136" t="str">
            <v>пр</v>
          </cell>
          <cell r="T136" t="str">
            <v>Теория систем и системный анализ</v>
          </cell>
          <cell r="W136" t="str">
            <v>Гришин И.Ю.</v>
          </cell>
          <cell r="X136" t="str">
            <v>профессор, д-р наук</v>
          </cell>
        </row>
        <row r="137">
          <cell r="S137" t="str">
            <v>пр</v>
          </cell>
          <cell r="T137" t="str">
            <v>Теория систем и системный анализ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8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>Шерман М.И.</v>
          </cell>
          <cell r="X146" t="str">
            <v>профессор, д-р наук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>
            <v>0</v>
          </cell>
          <cell r="T154">
            <v>0</v>
          </cell>
          <cell r="W154">
            <v>0</v>
          </cell>
          <cell r="X154">
            <v>0</v>
          </cell>
        </row>
        <row r="155">
          <cell r="S155">
            <v>0</v>
          </cell>
          <cell r="T155">
            <v>0</v>
          </cell>
          <cell r="W155">
            <v>0</v>
          </cell>
          <cell r="X155">
            <v>0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9">
        <row r="12">
          <cell r="C12" t="str">
            <v>л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10">
        <row r="12">
          <cell r="C12" t="str">
            <v>л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Теория систем и системный анализ</v>
          </cell>
          <cell r="W163" t="str">
            <v>Гришин И.Ю.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 t="str">
            <v>пр</v>
          </cell>
          <cell r="T178" t="str">
            <v>Применение методов искусственного интеллекта в анализе данных и управлении</v>
          </cell>
          <cell r="W178" t="str">
            <v>Гришин И.Ю.</v>
          </cell>
          <cell r="X178" t="str">
            <v>профессор, д-р наук</v>
          </cell>
        </row>
        <row r="179">
          <cell r="S179" t="str">
            <v>пр</v>
          </cell>
          <cell r="T179" t="str">
            <v>Машинное обучение и анализ данных</v>
          </cell>
          <cell r="W179" t="str">
            <v>Гришин И.Ю.</v>
          </cell>
          <cell r="X179" t="str">
            <v>профессор, д-р наук</v>
          </cell>
        </row>
        <row r="180">
          <cell r="S180" t="str">
            <v>пр</v>
          </cell>
          <cell r="T180" t="str">
            <v>Машинное обучение и анализ данных</v>
          </cell>
          <cell r="W180" t="str">
            <v>Гришин И.Ю.</v>
          </cell>
          <cell r="X180" t="str">
            <v>профессор, д-р наук</v>
          </cell>
        </row>
        <row r="181">
          <cell r="S181" t="str">
            <v>пр</v>
          </cell>
          <cell r="T181" t="str">
            <v>Применение методов искусственного интеллекта в анализе данных и управлении</v>
          </cell>
          <cell r="W181" t="str">
            <v>Гришин И.Ю.</v>
          </cell>
          <cell r="X181" t="str">
            <v>профессор, д-р наук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11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л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нед"/>
      <sheetName val="10нед"/>
      <sheetName val="11нед"/>
      <sheetName val="12нед"/>
      <sheetName val="13нед"/>
      <sheetName val="часы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 t="str">
            <v>л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S137" t="str">
            <v>пр</v>
          </cell>
          <cell r="T137" t="str">
            <v>Применение методов искусственного интеллекта в анализе данных и управлении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>Шерман М.И.</v>
          </cell>
          <cell r="X146" t="str">
            <v>профессор, д-р наук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 t="str">
            <v>пр</v>
          </cell>
          <cell r="T178" t="str">
            <v>Применение методов искусственного интеллекта в анализе данных и управлении</v>
          </cell>
          <cell r="W178" t="str">
            <v>Гришин И.Ю.</v>
          </cell>
          <cell r="X178" t="str">
            <v>профессор, д-р наук</v>
          </cell>
        </row>
        <row r="179">
          <cell r="S179" t="str">
            <v>пр</v>
          </cell>
          <cell r="T179" t="str">
            <v>Машинное обучение и анализ данных</v>
          </cell>
          <cell r="W179" t="str">
            <v>Гришин И.Ю.</v>
          </cell>
          <cell r="X179" t="str">
            <v>профессор, д-р наук</v>
          </cell>
        </row>
        <row r="180">
          <cell r="S180" t="str">
            <v>пр</v>
          </cell>
          <cell r="T180" t="str">
            <v>Машинное обучение и анализ данных</v>
          </cell>
          <cell r="W180" t="str">
            <v>Гришин И.Ю.</v>
          </cell>
          <cell r="X180" t="str">
            <v>профессор, д-р наук</v>
          </cell>
        </row>
        <row r="181">
          <cell r="S181" t="str">
            <v>пр</v>
          </cell>
          <cell r="T181" t="str">
            <v>Применение методов искусственного интеллекта в анализе данных и управлении</v>
          </cell>
          <cell r="W181" t="str">
            <v>Гришин И.Ю.</v>
          </cell>
          <cell r="X181" t="str">
            <v>профессор, д-р наук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9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0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 t="str">
            <v>пр</v>
          </cell>
          <cell r="T178" t="str">
            <v>Машинное обучение и анализ данных</v>
          </cell>
          <cell r="W178" t="str">
            <v>Гришин И.Ю.</v>
          </cell>
          <cell r="X178" t="str">
            <v>профессор, д-р наук</v>
          </cell>
        </row>
        <row r="179">
          <cell r="S179" t="str">
            <v>пр</v>
          </cell>
          <cell r="T179" t="str">
            <v>Применение методов искусственного интеллекта в анализе данных и управлении</v>
          </cell>
          <cell r="W179" t="str">
            <v>Гришин И.Ю.</v>
          </cell>
          <cell r="X179" t="str">
            <v>профессор, д-р наук</v>
          </cell>
        </row>
        <row r="180">
          <cell r="S180" t="str">
            <v>пр</v>
          </cell>
          <cell r="T180" t="str">
            <v>Применение методов искусственного интеллекта в анализе данных и управлении</v>
          </cell>
          <cell r="W180" t="str">
            <v>Гришин И.Ю.</v>
          </cell>
          <cell r="X180" t="str">
            <v>профессор, д-р наук</v>
          </cell>
        </row>
        <row r="181">
          <cell r="S181" t="str">
            <v>пр</v>
          </cell>
          <cell r="T181" t="str">
            <v>Машинное обучение и анализ данных</v>
          </cell>
          <cell r="W181" t="str">
            <v>Гришин И.Ю.</v>
          </cell>
          <cell r="X181" t="str">
            <v>профессор, д-р наук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1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>Шерман М.И.</v>
          </cell>
          <cell r="X146" t="str">
            <v>профессор, д-р наук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Теория систем и системный анализ</v>
          </cell>
          <cell r="W163" t="str">
            <v>Гришин И.Ю.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8">
        <row r="12">
          <cell r="C12" t="str">
            <v>л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 t="str">
            <v>л</v>
          </cell>
          <cell r="T168" t="str">
            <v>Теория систем и системный анализ</v>
          </cell>
          <cell r="W168" t="str">
            <v>Гришин И.Ю.</v>
          </cell>
          <cell r="X168" t="str">
            <v>профессор, д-р наук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9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Теория систем и системный анализ</v>
          </cell>
          <cell r="W163" t="str">
            <v>Гришин И.Ю.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 t="str">
            <v>л</v>
          </cell>
          <cell r="T168" t="str">
            <v>Применение методов искусственного интеллекта в анализе данных и управлении</v>
          </cell>
          <cell r="W168" t="str">
            <v>Гришин И.Ю.</v>
          </cell>
          <cell r="X168" t="str">
            <v>профессор, д-р наук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0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пр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 t="str">
            <v>пр</v>
          </cell>
          <cell r="T176" t="str">
            <v>Иностранный язык для специальных целей</v>
          </cell>
          <cell r="W176" t="str">
            <v>Ермоленко И.И.</v>
          </cell>
          <cell r="X176" t="str">
            <v>доцент, канд. наук</v>
          </cell>
        </row>
        <row r="177">
          <cell r="S177" t="str">
            <v>пр</v>
          </cell>
          <cell r="T177" t="str">
            <v xml:space="preserve">Философия научного познания </v>
          </cell>
          <cell r="W177" t="str">
            <v>Солодухин Д.В.</v>
          </cell>
          <cell r="X177" t="str">
            <v>профессор, канд. наук</v>
          </cell>
        </row>
        <row r="178">
          <cell r="S178" t="str">
            <v>пр</v>
          </cell>
          <cell r="T178" t="str">
            <v>Методология исследовательской деятельности</v>
          </cell>
          <cell r="W178" t="str">
            <v>Гуменюк А.Ю.</v>
          </cell>
          <cell r="X178" t="str">
            <v>доцент, канд. наук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1">
        <row r="12">
          <cell r="C12" t="str">
            <v>л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>Шерман М.И.</v>
          </cell>
          <cell r="X146" t="str">
            <v>профессор, д-р наук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>
            <v>0</v>
          </cell>
          <cell r="T154">
            <v>0</v>
          </cell>
          <cell r="W154">
            <v>0</v>
          </cell>
          <cell r="X154">
            <v>0</v>
          </cell>
        </row>
        <row r="155">
          <cell r="S155">
            <v>0</v>
          </cell>
          <cell r="T155">
            <v>0</v>
          </cell>
          <cell r="W155">
            <v>0</v>
          </cell>
          <cell r="X155">
            <v>0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S162">
            <v>0</v>
          </cell>
          <cell r="T162">
            <v>0</v>
          </cell>
          <cell r="W162">
            <v>0</v>
          </cell>
          <cell r="X162">
            <v>0</v>
          </cell>
        </row>
        <row r="163"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M7wDISGvmShFMnRwwNWABqv4bmIdPah2zAI1ryedWA4" TargetMode="External"/><Relationship Id="rId117" Type="http://schemas.openxmlformats.org/officeDocument/2006/relationships/hyperlink" Target="https://max.ru/join/M7wDISGvmShFMnRwwNWABqv4bmIdPah2zAI1ryedWA4" TargetMode="External"/><Relationship Id="rId21" Type="http://schemas.openxmlformats.org/officeDocument/2006/relationships/hyperlink" Target="https://max.ru/join/M7wDISGvmShFMnRwwNWABqv4bmIdPah2zAI1ryedWA4" TargetMode="External"/><Relationship Id="rId42" Type="http://schemas.openxmlformats.org/officeDocument/2006/relationships/hyperlink" Target="https://max.ru/join/M7wDISGvmShFMnRwwNWABqv4bmIdPah2zAI1ryedWA4" TargetMode="External"/><Relationship Id="rId47" Type="http://schemas.openxmlformats.org/officeDocument/2006/relationships/hyperlink" Target="https://max.ru/join/M7wDISGvmShFMnRwwNWABqv4bmIdPah2zAI1ryedWA4" TargetMode="External"/><Relationship Id="rId63" Type="http://schemas.openxmlformats.org/officeDocument/2006/relationships/hyperlink" Target="https://max.ru/join/sfNY5ST71hV_pC23QZ2ii7W3g5AgaCajoOYPFHnex5s" TargetMode="External"/><Relationship Id="rId68" Type="http://schemas.openxmlformats.org/officeDocument/2006/relationships/hyperlink" Target="https://max.ru/join/_WbPeww7Si-yjLHOYgIQrD3bebn34IBKiDWG4cTLviM" TargetMode="External"/><Relationship Id="rId84" Type="http://schemas.openxmlformats.org/officeDocument/2006/relationships/hyperlink" Target="https://max.ru/join/yiMW5hnYBtZHcXFu4xRokqWJT9jXccqJxwXEav6pwkM" TargetMode="External"/><Relationship Id="rId89" Type="http://schemas.openxmlformats.org/officeDocument/2006/relationships/hyperlink" Target="https://max.ru/join/kwuS9eEwkiZcM2J4jlEJMBMD19izxuC_L2Mwjryv0Dk" TargetMode="External"/><Relationship Id="rId112" Type="http://schemas.openxmlformats.org/officeDocument/2006/relationships/hyperlink" Target="https://max.ru/join/M7wDISGvmShFMnRwwNWABqv4bmIdPah2zAI1ryedWA4" TargetMode="External"/><Relationship Id="rId133" Type="http://schemas.openxmlformats.org/officeDocument/2006/relationships/hyperlink" Target="https://max.ru/join/M7wDISGvmShFMnRwwNWABqv4bmIdPah2zAI1ryedWA4" TargetMode="External"/><Relationship Id="rId138" Type="http://schemas.openxmlformats.org/officeDocument/2006/relationships/hyperlink" Target="https://max.ru/join/M7wDISGvmShFMnRwwNWABqv4bmIdPah2zAI1ryedWA4" TargetMode="External"/><Relationship Id="rId154" Type="http://schemas.openxmlformats.org/officeDocument/2006/relationships/hyperlink" Target="https://max.ru/join/M7wDISGvmShFMnRwwNWABqv4bmIdPah2zAI1ryedWA4" TargetMode="External"/><Relationship Id="rId159" Type="http://schemas.openxmlformats.org/officeDocument/2006/relationships/hyperlink" Target="https://max.ru/join/M7wDISGvmShFMnRwwNWABqv4bmIdPah2zAI1ryedWA4" TargetMode="External"/><Relationship Id="rId170" Type="http://schemas.openxmlformats.org/officeDocument/2006/relationships/hyperlink" Target="https://max.ru/join/M7wDISGvmShFMnRwwNWABqv4bmIdPah2zAI1ryedWA4" TargetMode="External"/><Relationship Id="rId16" Type="http://schemas.openxmlformats.org/officeDocument/2006/relationships/hyperlink" Target="https://max.ru/join/t257J4YJBJ8AiKVNLL3zOcaCz5ne73H9eWxMrfP7T5o" TargetMode="External"/><Relationship Id="rId107" Type="http://schemas.openxmlformats.org/officeDocument/2006/relationships/hyperlink" Target="https://max.ru/join/M7wDISGvmShFMnRwwNWABqv4bmIdPah2zAI1ryedWA4" TargetMode="External"/><Relationship Id="rId11" Type="http://schemas.openxmlformats.org/officeDocument/2006/relationships/hyperlink" Target="https://max.ru/join/t257J4YJBJ8AiKVNLL3zOcaCz5ne73H9eWxMrfP7T5o" TargetMode="External"/><Relationship Id="rId32" Type="http://schemas.openxmlformats.org/officeDocument/2006/relationships/hyperlink" Target="https://max.ru/join/M7wDISGvmShFMnRwwNWABqv4bmIdPah2zAI1ryedWA4" TargetMode="External"/><Relationship Id="rId37" Type="http://schemas.openxmlformats.org/officeDocument/2006/relationships/hyperlink" Target="https://max.ru/join/M7wDISGvmShFMnRwwNWABqv4bmIdPah2zAI1ryedWA4" TargetMode="External"/><Relationship Id="rId53" Type="http://schemas.openxmlformats.org/officeDocument/2006/relationships/hyperlink" Target="https://max.ru/join/M7wDISGvmShFMnRwwNWABqv4bmIdPah2zAI1ryedWA4" TargetMode="External"/><Relationship Id="rId58" Type="http://schemas.openxmlformats.org/officeDocument/2006/relationships/hyperlink" Target="https://max.ru/join/M7wDISGvmShFMnRwwNWABqv4bmIdPah2zAI1ryedWA4" TargetMode="External"/><Relationship Id="rId74" Type="http://schemas.openxmlformats.org/officeDocument/2006/relationships/hyperlink" Target="https://max.ru/join/_WbPeww7Si-yjLHOYgIQrD3bebn34IBKiDWG4cTLviM" TargetMode="External"/><Relationship Id="rId79" Type="http://schemas.openxmlformats.org/officeDocument/2006/relationships/hyperlink" Target="https://max.ru/join/kwuS9eEwkiZcM2J4jlEJMBMD19izxuC_L2Mwjryv0Dk" TargetMode="External"/><Relationship Id="rId102" Type="http://schemas.openxmlformats.org/officeDocument/2006/relationships/hyperlink" Target="https://max.ru/join/M7wDISGvmShFMnRwwNWABqv4bmIdPah2zAI1ryedWA4" TargetMode="External"/><Relationship Id="rId123" Type="http://schemas.openxmlformats.org/officeDocument/2006/relationships/hyperlink" Target="https://max.ru/join/M7wDISGvmShFMnRwwNWABqv4bmIdPah2zAI1ryedWA4" TargetMode="External"/><Relationship Id="rId128" Type="http://schemas.openxmlformats.org/officeDocument/2006/relationships/hyperlink" Target="https://max.ru/join/M7wDISGvmShFMnRwwNWABqv4bmIdPah2zAI1ryedWA4" TargetMode="External"/><Relationship Id="rId144" Type="http://schemas.openxmlformats.org/officeDocument/2006/relationships/hyperlink" Target="https://max.ru/join/M7wDISGvmShFMnRwwNWABqv4bmIdPah2zAI1ryedWA4" TargetMode="External"/><Relationship Id="rId149" Type="http://schemas.openxmlformats.org/officeDocument/2006/relationships/hyperlink" Target="https://max.ru/join/M7wDISGvmShFMnRwwNWABqv4bmIdPah2zAI1ryedWA4" TargetMode="External"/><Relationship Id="rId5" Type="http://schemas.openxmlformats.org/officeDocument/2006/relationships/hyperlink" Target="https://max.ru/join/t257J4YJBJ8AiKVNLL3zOcaCz5ne73H9eWxMrfP7T5o" TargetMode="External"/><Relationship Id="rId90" Type="http://schemas.openxmlformats.org/officeDocument/2006/relationships/hyperlink" Target="https://max.ru/join/yiMW5hnYBtZHcXFu4xRokqWJT9jXccqJxwXEav6pwkM" TargetMode="External"/><Relationship Id="rId95" Type="http://schemas.openxmlformats.org/officeDocument/2006/relationships/hyperlink" Target="https://max.ru/join/sfNY5ST71hV_pC23QZ2ii7W3g5AgaCajoOYPFHnex5s" TargetMode="External"/><Relationship Id="rId160" Type="http://schemas.openxmlformats.org/officeDocument/2006/relationships/hyperlink" Target="https://max.ru/join/M7wDISGvmShFMnRwwNWABqv4bmIdPah2zAI1ryedWA4" TargetMode="External"/><Relationship Id="rId165" Type="http://schemas.openxmlformats.org/officeDocument/2006/relationships/hyperlink" Target="https://max.ru/join/M7wDISGvmShFMnRwwNWABqv4bmIdPah2zAI1ryedWA4" TargetMode="External"/><Relationship Id="rId22" Type="http://schemas.openxmlformats.org/officeDocument/2006/relationships/hyperlink" Target="https://max.ru/join/M7wDISGvmShFMnRwwNWABqv4bmIdPah2zAI1ryedWA4" TargetMode="External"/><Relationship Id="rId27" Type="http://schemas.openxmlformats.org/officeDocument/2006/relationships/hyperlink" Target="https://max.ru/join/M7wDISGvmShFMnRwwNWABqv4bmIdPah2zAI1ryedWA4" TargetMode="External"/><Relationship Id="rId43" Type="http://schemas.openxmlformats.org/officeDocument/2006/relationships/hyperlink" Target="https://max.ru/join/M7wDISGvmShFMnRwwNWABqv4bmIdPah2zAI1ryedWA4" TargetMode="External"/><Relationship Id="rId48" Type="http://schemas.openxmlformats.org/officeDocument/2006/relationships/hyperlink" Target="https://max.ru/join/M7wDISGvmShFMnRwwNWABqv4bmIdPah2zAI1ryedWA4" TargetMode="External"/><Relationship Id="rId64" Type="http://schemas.openxmlformats.org/officeDocument/2006/relationships/hyperlink" Target="https://max.ru/join/_WbPeww7Si-yjLHOYgIQrD3bebn34IBKiDWG4cTLviM" TargetMode="External"/><Relationship Id="rId69" Type="http://schemas.openxmlformats.org/officeDocument/2006/relationships/hyperlink" Target="https://max.ru/join/sfNY5ST71hV_pC23QZ2ii7W3g5AgaCajoOYPFHnex5s" TargetMode="External"/><Relationship Id="rId113" Type="http://schemas.openxmlformats.org/officeDocument/2006/relationships/hyperlink" Target="https://max.ru/join/M7wDISGvmShFMnRwwNWABqv4bmIdPah2zAI1ryedWA4" TargetMode="External"/><Relationship Id="rId118" Type="http://schemas.openxmlformats.org/officeDocument/2006/relationships/hyperlink" Target="https://max.ru/join/M7wDISGvmShFMnRwwNWABqv4bmIdPah2zAI1ryedWA4" TargetMode="External"/><Relationship Id="rId134" Type="http://schemas.openxmlformats.org/officeDocument/2006/relationships/hyperlink" Target="https://max.ru/join/M7wDISGvmShFMnRwwNWABqv4bmIdPah2zAI1ryedWA4" TargetMode="External"/><Relationship Id="rId139" Type="http://schemas.openxmlformats.org/officeDocument/2006/relationships/hyperlink" Target="https://max.ru/join/M7wDISGvmShFMnRwwNWABqv4bmIdPah2zAI1ryedWA4" TargetMode="External"/><Relationship Id="rId80" Type="http://schemas.openxmlformats.org/officeDocument/2006/relationships/hyperlink" Target="https://max.ru/join/yiMW5hnYBtZHcXFu4xRokqWJT9jXccqJxwXEav6pwkM" TargetMode="External"/><Relationship Id="rId85" Type="http://schemas.openxmlformats.org/officeDocument/2006/relationships/hyperlink" Target="https://max.ru/join/kwuS9eEwkiZcM2J4jlEJMBMD19izxuC_L2Mwjryv0Dk" TargetMode="External"/><Relationship Id="rId150" Type="http://schemas.openxmlformats.org/officeDocument/2006/relationships/hyperlink" Target="https://max.ru/join/M7wDISGvmShFMnRwwNWABqv4bmIdPah2zAI1ryedWA4" TargetMode="External"/><Relationship Id="rId155" Type="http://schemas.openxmlformats.org/officeDocument/2006/relationships/hyperlink" Target="https://max.ru/join/M7wDISGvmShFMnRwwNWABqv4bmIdPah2zAI1ryedWA4" TargetMode="External"/><Relationship Id="rId171" Type="http://schemas.openxmlformats.org/officeDocument/2006/relationships/hyperlink" Target="https://max.ru/join/M7wDISGvmShFMnRwwNWABqv4bmIdPah2zAI1ryedWA4" TargetMode="External"/><Relationship Id="rId12" Type="http://schemas.openxmlformats.org/officeDocument/2006/relationships/hyperlink" Target="https://max.ru/join/t257J4YJBJ8AiKVNLL3zOcaCz5ne73H9eWxMrfP7T5o" TargetMode="External"/><Relationship Id="rId17" Type="http://schemas.openxmlformats.org/officeDocument/2006/relationships/hyperlink" Target="https://max.ru/join/t257J4YJBJ8AiKVNLL3zOcaCz5ne73H9eWxMrfP7T5o" TargetMode="External"/><Relationship Id="rId33" Type="http://schemas.openxmlformats.org/officeDocument/2006/relationships/hyperlink" Target="https://max.ru/join/M7wDISGvmShFMnRwwNWABqv4bmIdPah2zAI1ryedWA4" TargetMode="External"/><Relationship Id="rId38" Type="http://schemas.openxmlformats.org/officeDocument/2006/relationships/hyperlink" Target="https://max.ru/join/M7wDISGvmShFMnRwwNWABqv4bmIdPah2zAI1ryedWA4" TargetMode="External"/><Relationship Id="rId59" Type="http://schemas.openxmlformats.org/officeDocument/2006/relationships/hyperlink" Target="https://max.ru/join/M7wDISGvmShFMnRwwNWABqv4bmIdPah2zAI1ryedWA4" TargetMode="External"/><Relationship Id="rId103" Type="http://schemas.openxmlformats.org/officeDocument/2006/relationships/hyperlink" Target="https://max.ru/join/M7wDISGvmShFMnRwwNWABqv4bmIdPah2zAI1ryedWA4" TargetMode="External"/><Relationship Id="rId108" Type="http://schemas.openxmlformats.org/officeDocument/2006/relationships/hyperlink" Target="https://max.ru/join/M7wDISGvmShFMnRwwNWABqv4bmIdPah2zAI1ryedWA4" TargetMode="External"/><Relationship Id="rId124" Type="http://schemas.openxmlformats.org/officeDocument/2006/relationships/hyperlink" Target="https://max.ru/join/M7wDISGvmShFMnRwwNWABqv4bmIdPah2zAI1ryedWA4" TargetMode="External"/><Relationship Id="rId129" Type="http://schemas.openxmlformats.org/officeDocument/2006/relationships/hyperlink" Target="https://max.ru/join/M7wDISGvmShFMnRwwNWABqv4bmIdPah2zAI1ryedWA4" TargetMode="External"/><Relationship Id="rId54" Type="http://schemas.openxmlformats.org/officeDocument/2006/relationships/hyperlink" Target="https://max.ru/join/M7wDISGvmShFMnRwwNWABqv4bmIdPah2zAI1ryedWA4" TargetMode="External"/><Relationship Id="rId70" Type="http://schemas.openxmlformats.org/officeDocument/2006/relationships/hyperlink" Target="https://max.ru/join/_WbPeww7Si-yjLHOYgIQrD3bebn34IBKiDWG4cTLviM" TargetMode="External"/><Relationship Id="rId75" Type="http://schemas.openxmlformats.org/officeDocument/2006/relationships/hyperlink" Target="https://max.ru/join/sfNY5ST71hV_pC23QZ2ii7W3g5AgaCajoOYPFHnex5s" TargetMode="External"/><Relationship Id="rId91" Type="http://schemas.openxmlformats.org/officeDocument/2006/relationships/hyperlink" Target="https://max.ru/join/kwuS9eEwkiZcM2J4jlEJMBMD19izxuC_L2Mwjryv0Dk" TargetMode="External"/><Relationship Id="rId96" Type="http://schemas.openxmlformats.org/officeDocument/2006/relationships/hyperlink" Target="https://max.ru/join/M7wDISGvmShFMnRwwNWABqv4bmIdPah2zAI1ryedWA4" TargetMode="External"/><Relationship Id="rId140" Type="http://schemas.openxmlformats.org/officeDocument/2006/relationships/hyperlink" Target="https://max.ru/join/M7wDISGvmShFMnRwwNWABqv4bmIdPah2zAI1ryedWA4" TargetMode="External"/><Relationship Id="rId145" Type="http://schemas.openxmlformats.org/officeDocument/2006/relationships/hyperlink" Target="https://max.ru/join/M7wDISGvmShFMnRwwNWABqv4bmIdPah2zAI1ryedWA4" TargetMode="External"/><Relationship Id="rId161" Type="http://schemas.openxmlformats.org/officeDocument/2006/relationships/hyperlink" Target="https://max.ru/join/M7wDISGvmShFMnRwwNWABqv4bmIdPah2zAI1ryedWA4" TargetMode="External"/><Relationship Id="rId166" Type="http://schemas.openxmlformats.org/officeDocument/2006/relationships/hyperlink" Target="https://max.ru/join/M7wDISGvmShFMnRwwNWABqv4bmIdPah2zAI1ryedWA4" TargetMode="External"/><Relationship Id="rId1" Type="http://schemas.openxmlformats.org/officeDocument/2006/relationships/hyperlink" Target="https://max.ru/join/t257J4YJBJ8AiKVNLL3zOcaCz5ne73H9eWxMrfP7T5o" TargetMode="External"/><Relationship Id="rId6" Type="http://schemas.openxmlformats.org/officeDocument/2006/relationships/hyperlink" Target="https://max.ru/join/t257J4YJBJ8AiKVNLL3zOcaCz5ne73H9eWxMrfP7T5o" TargetMode="External"/><Relationship Id="rId15" Type="http://schemas.openxmlformats.org/officeDocument/2006/relationships/hyperlink" Target="https://max.ru/join/t257J4YJBJ8AiKVNLL3zOcaCz5ne73H9eWxMrfP7T5o" TargetMode="External"/><Relationship Id="rId23" Type="http://schemas.openxmlformats.org/officeDocument/2006/relationships/hyperlink" Target="https://max.ru/join/M7wDISGvmShFMnRwwNWABqv4bmIdPah2zAI1ryedWA4" TargetMode="External"/><Relationship Id="rId28" Type="http://schemas.openxmlformats.org/officeDocument/2006/relationships/hyperlink" Target="https://max.ru/join/M7wDISGvmShFMnRwwNWABqv4bmIdPah2zAI1ryedWA4" TargetMode="External"/><Relationship Id="rId36" Type="http://schemas.openxmlformats.org/officeDocument/2006/relationships/hyperlink" Target="https://max.ru/join/M7wDISGvmShFMnRwwNWABqv4bmIdPah2zAI1ryedWA4" TargetMode="External"/><Relationship Id="rId49" Type="http://schemas.openxmlformats.org/officeDocument/2006/relationships/hyperlink" Target="https://max.ru/join/M7wDISGvmShFMnRwwNWABqv4bmIdPah2zAI1ryedWA4" TargetMode="External"/><Relationship Id="rId57" Type="http://schemas.openxmlformats.org/officeDocument/2006/relationships/hyperlink" Target="https://max.ru/join/M7wDISGvmShFMnRwwNWABqv4bmIdPah2zAI1ryedWA4" TargetMode="External"/><Relationship Id="rId106" Type="http://schemas.openxmlformats.org/officeDocument/2006/relationships/hyperlink" Target="https://max.ru/join/M7wDISGvmShFMnRwwNWABqv4bmIdPah2zAI1ryedWA4" TargetMode="External"/><Relationship Id="rId114" Type="http://schemas.openxmlformats.org/officeDocument/2006/relationships/hyperlink" Target="https://max.ru/join/M7wDISGvmShFMnRwwNWABqv4bmIdPah2zAI1ryedWA4" TargetMode="External"/><Relationship Id="rId119" Type="http://schemas.openxmlformats.org/officeDocument/2006/relationships/hyperlink" Target="https://max.ru/join/M7wDISGvmShFMnRwwNWABqv4bmIdPah2zAI1ryedWA4" TargetMode="External"/><Relationship Id="rId127" Type="http://schemas.openxmlformats.org/officeDocument/2006/relationships/hyperlink" Target="https://max.ru/join/M7wDISGvmShFMnRwwNWABqv4bmIdPah2zAI1ryedWA4" TargetMode="External"/><Relationship Id="rId10" Type="http://schemas.openxmlformats.org/officeDocument/2006/relationships/hyperlink" Target="https://max.ru/join/t257J4YJBJ8AiKVNLL3zOcaCz5ne73H9eWxMrfP7T5o" TargetMode="External"/><Relationship Id="rId31" Type="http://schemas.openxmlformats.org/officeDocument/2006/relationships/hyperlink" Target="https://max.ru/join/M7wDISGvmShFMnRwwNWABqv4bmIdPah2zAI1ryedWA4" TargetMode="External"/><Relationship Id="rId44" Type="http://schemas.openxmlformats.org/officeDocument/2006/relationships/hyperlink" Target="https://max.ru/join/M7wDISGvmShFMnRwwNWABqv4bmIdPah2zAI1ryedWA4" TargetMode="External"/><Relationship Id="rId52" Type="http://schemas.openxmlformats.org/officeDocument/2006/relationships/hyperlink" Target="https://max.ru/join/M7wDISGvmShFMnRwwNWABqv4bmIdPah2zAI1ryedWA4" TargetMode="External"/><Relationship Id="rId60" Type="http://schemas.openxmlformats.org/officeDocument/2006/relationships/hyperlink" Target="https://max.ru/join/M7wDISGvmShFMnRwwNWABqv4bmIdPah2zAI1ryedWA4" TargetMode="External"/><Relationship Id="rId65" Type="http://schemas.openxmlformats.org/officeDocument/2006/relationships/hyperlink" Target="https://max.ru/join/sfNY5ST71hV_pC23QZ2ii7W3g5AgaCajoOYPFHnex5s" TargetMode="External"/><Relationship Id="rId73" Type="http://schemas.openxmlformats.org/officeDocument/2006/relationships/hyperlink" Target="https://max.ru/join/sfNY5ST71hV_pC23QZ2ii7W3g5AgaCajoOYPFHnex5s" TargetMode="External"/><Relationship Id="rId78" Type="http://schemas.openxmlformats.org/officeDocument/2006/relationships/hyperlink" Target="https://max.ru/join/yiMW5hnYBtZHcXFu4xRokqWJT9jXccqJxwXEav6pwkM" TargetMode="External"/><Relationship Id="rId81" Type="http://schemas.openxmlformats.org/officeDocument/2006/relationships/hyperlink" Target="https://max.ru/join/kwuS9eEwkiZcM2J4jlEJMBMD19izxuC_L2Mwjryv0Dk" TargetMode="External"/><Relationship Id="rId86" Type="http://schemas.openxmlformats.org/officeDocument/2006/relationships/hyperlink" Target="https://max.ru/join/yiMW5hnYBtZHcXFu4xRokqWJT9jXccqJxwXEav6pwkM" TargetMode="External"/><Relationship Id="rId94" Type="http://schemas.openxmlformats.org/officeDocument/2006/relationships/hyperlink" Target="https://max.ru/join/_WbPeww7Si-yjLHOYgIQrD3bebn34IBKiDWG4cTLviM" TargetMode="External"/><Relationship Id="rId99" Type="http://schemas.openxmlformats.org/officeDocument/2006/relationships/hyperlink" Target="https://max.ru/join/kwuS9eEwkiZcM2J4jlEJMBMD19izxuC_L2Mwjryv0Dk" TargetMode="External"/><Relationship Id="rId101" Type="http://schemas.openxmlformats.org/officeDocument/2006/relationships/hyperlink" Target="https://max.ru/join/M7wDISGvmShFMnRwwNWABqv4bmIdPah2zAI1ryedWA4" TargetMode="External"/><Relationship Id="rId122" Type="http://schemas.openxmlformats.org/officeDocument/2006/relationships/hyperlink" Target="https://max.ru/join/M7wDISGvmShFMnRwwNWABqv4bmIdPah2zAI1ryedWA4" TargetMode="External"/><Relationship Id="rId130" Type="http://schemas.openxmlformats.org/officeDocument/2006/relationships/hyperlink" Target="https://max.ru/join/M7wDISGvmShFMnRwwNWABqv4bmIdPah2zAI1ryedWA4" TargetMode="External"/><Relationship Id="rId135" Type="http://schemas.openxmlformats.org/officeDocument/2006/relationships/hyperlink" Target="https://max.ru/join/M7wDISGvmShFMnRwwNWABqv4bmIdPah2zAI1ryedWA4" TargetMode="External"/><Relationship Id="rId143" Type="http://schemas.openxmlformats.org/officeDocument/2006/relationships/hyperlink" Target="https://max.ru/join/M7wDISGvmShFMnRwwNWABqv4bmIdPah2zAI1ryedWA4" TargetMode="External"/><Relationship Id="rId148" Type="http://schemas.openxmlformats.org/officeDocument/2006/relationships/hyperlink" Target="https://max.ru/join/M7wDISGvmShFMnRwwNWABqv4bmIdPah2zAI1ryedWA4" TargetMode="External"/><Relationship Id="rId151" Type="http://schemas.openxmlformats.org/officeDocument/2006/relationships/hyperlink" Target="https://max.ru/join/M7wDISGvmShFMnRwwNWABqv4bmIdPah2zAI1ryedWA4" TargetMode="External"/><Relationship Id="rId156" Type="http://schemas.openxmlformats.org/officeDocument/2006/relationships/hyperlink" Target="https://max.ru/join/M7wDISGvmShFMnRwwNWABqv4bmIdPah2zAI1ryedWA4" TargetMode="External"/><Relationship Id="rId164" Type="http://schemas.openxmlformats.org/officeDocument/2006/relationships/hyperlink" Target="https://max.ru/join/M7wDISGvmShFMnRwwNWABqv4bmIdPah2zAI1ryedWA4" TargetMode="External"/><Relationship Id="rId169" Type="http://schemas.openxmlformats.org/officeDocument/2006/relationships/hyperlink" Target="https://max.ru/join/M7wDISGvmShFMnRwwNWABqv4bmIdPah2zAI1ryedWA4" TargetMode="External"/><Relationship Id="rId4" Type="http://schemas.openxmlformats.org/officeDocument/2006/relationships/hyperlink" Target="https://max.ru/join/t257J4YJBJ8AiKVNLL3zOcaCz5ne73H9eWxMrfP7T5o" TargetMode="External"/><Relationship Id="rId9" Type="http://schemas.openxmlformats.org/officeDocument/2006/relationships/hyperlink" Target="https://max.ru/join/t257J4YJBJ8AiKVNLL3zOcaCz5ne73H9eWxMrfP7T5o" TargetMode="External"/><Relationship Id="rId172" Type="http://schemas.openxmlformats.org/officeDocument/2006/relationships/printerSettings" Target="../printerSettings/printerSettings1.bin"/><Relationship Id="rId13" Type="http://schemas.openxmlformats.org/officeDocument/2006/relationships/hyperlink" Target="https://max.ru/join/t257J4YJBJ8AiKVNLL3zOcaCz5ne73H9eWxMrfP7T5o" TargetMode="External"/><Relationship Id="rId18" Type="http://schemas.openxmlformats.org/officeDocument/2006/relationships/hyperlink" Target="https://max.ru/join/M7wDISGvmShFMnRwwNWABqv4bmIdPah2zAI1ryedWA4" TargetMode="External"/><Relationship Id="rId39" Type="http://schemas.openxmlformats.org/officeDocument/2006/relationships/hyperlink" Target="https://max.ru/join/M7wDISGvmShFMnRwwNWABqv4bmIdPah2zAI1ryedWA4" TargetMode="External"/><Relationship Id="rId109" Type="http://schemas.openxmlformats.org/officeDocument/2006/relationships/hyperlink" Target="https://max.ru/join/M7wDISGvmShFMnRwwNWABqv4bmIdPah2zAI1ryedWA4" TargetMode="External"/><Relationship Id="rId34" Type="http://schemas.openxmlformats.org/officeDocument/2006/relationships/hyperlink" Target="https://max.ru/join/M7wDISGvmShFMnRwwNWABqv4bmIdPah2zAI1ryedWA4" TargetMode="External"/><Relationship Id="rId50" Type="http://schemas.openxmlformats.org/officeDocument/2006/relationships/hyperlink" Target="https://max.ru/join/M7wDISGvmShFMnRwwNWABqv4bmIdPah2zAI1ryedWA4" TargetMode="External"/><Relationship Id="rId55" Type="http://schemas.openxmlformats.org/officeDocument/2006/relationships/hyperlink" Target="https://max.ru/join/M7wDISGvmShFMnRwwNWABqv4bmIdPah2zAI1ryedWA4" TargetMode="External"/><Relationship Id="rId76" Type="http://schemas.openxmlformats.org/officeDocument/2006/relationships/hyperlink" Target="https://max.ru/join/yiMW5hnYBtZHcXFu4xRokqWJT9jXccqJxwXEav6pwkM" TargetMode="External"/><Relationship Id="rId97" Type="http://schemas.openxmlformats.org/officeDocument/2006/relationships/hyperlink" Target="https://max.ru/join/t257J4YJBJ8AiKVNLL3zOcaCz5ne73H9eWxMrfP7T5o" TargetMode="External"/><Relationship Id="rId104" Type="http://schemas.openxmlformats.org/officeDocument/2006/relationships/hyperlink" Target="https://max.ru/join/M7wDISGvmShFMnRwwNWABqv4bmIdPah2zAI1ryedWA4" TargetMode="External"/><Relationship Id="rId120" Type="http://schemas.openxmlformats.org/officeDocument/2006/relationships/hyperlink" Target="https://max.ru/join/M7wDISGvmShFMnRwwNWABqv4bmIdPah2zAI1ryedWA4" TargetMode="External"/><Relationship Id="rId125" Type="http://schemas.openxmlformats.org/officeDocument/2006/relationships/hyperlink" Target="https://max.ru/join/M7wDISGvmShFMnRwwNWABqv4bmIdPah2zAI1ryedWA4" TargetMode="External"/><Relationship Id="rId141" Type="http://schemas.openxmlformats.org/officeDocument/2006/relationships/hyperlink" Target="https://max.ru/join/M7wDISGvmShFMnRwwNWABqv4bmIdPah2zAI1ryedWA4" TargetMode="External"/><Relationship Id="rId146" Type="http://schemas.openxmlformats.org/officeDocument/2006/relationships/hyperlink" Target="https://max.ru/join/M7wDISGvmShFMnRwwNWABqv4bmIdPah2zAI1ryedWA4" TargetMode="External"/><Relationship Id="rId167" Type="http://schemas.openxmlformats.org/officeDocument/2006/relationships/hyperlink" Target="https://max.ru/join/M7wDISGvmShFMnRwwNWABqv4bmIdPah2zAI1ryedWA4" TargetMode="External"/><Relationship Id="rId7" Type="http://schemas.openxmlformats.org/officeDocument/2006/relationships/hyperlink" Target="https://max.ru/join/t257J4YJBJ8AiKVNLL3zOcaCz5ne73H9eWxMrfP7T5o" TargetMode="External"/><Relationship Id="rId71" Type="http://schemas.openxmlformats.org/officeDocument/2006/relationships/hyperlink" Target="https://max.ru/join/sfNY5ST71hV_pC23QZ2ii7W3g5AgaCajoOYPFHnex5s" TargetMode="External"/><Relationship Id="rId92" Type="http://schemas.openxmlformats.org/officeDocument/2006/relationships/hyperlink" Target="https://max.ru/join/_WbPeww7Si-yjLHOYgIQrD3bebn34IBKiDWG4cTLviM" TargetMode="External"/><Relationship Id="rId162" Type="http://schemas.openxmlformats.org/officeDocument/2006/relationships/hyperlink" Target="https://max.ru/join/M7wDISGvmShFMnRwwNWABqv4bmIdPah2zAI1ryedWA4" TargetMode="External"/><Relationship Id="rId2" Type="http://schemas.openxmlformats.org/officeDocument/2006/relationships/hyperlink" Target="https://max.ru/join/t257J4YJBJ8AiKVNLL3zOcaCz5ne73H9eWxMrfP7T5o" TargetMode="External"/><Relationship Id="rId29" Type="http://schemas.openxmlformats.org/officeDocument/2006/relationships/hyperlink" Target="https://max.ru/join/M7wDISGvmShFMnRwwNWABqv4bmIdPah2zAI1ryedWA4" TargetMode="External"/><Relationship Id="rId24" Type="http://schemas.openxmlformats.org/officeDocument/2006/relationships/hyperlink" Target="https://max.ru/join/M7wDISGvmShFMnRwwNWABqv4bmIdPah2zAI1ryedWA4" TargetMode="External"/><Relationship Id="rId40" Type="http://schemas.openxmlformats.org/officeDocument/2006/relationships/hyperlink" Target="https://max.ru/join/M7wDISGvmShFMnRwwNWABqv4bmIdPah2zAI1ryedWA4" TargetMode="External"/><Relationship Id="rId45" Type="http://schemas.openxmlformats.org/officeDocument/2006/relationships/hyperlink" Target="https://max.ru/join/M7wDISGvmShFMnRwwNWABqv4bmIdPah2zAI1ryedWA4" TargetMode="External"/><Relationship Id="rId66" Type="http://schemas.openxmlformats.org/officeDocument/2006/relationships/hyperlink" Target="https://max.ru/join/_WbPeww7Si-yjLHOYgIQrD3bebn34IBKiDWG4cTLviM" TargetMode="External"/><Relationship Id="rId87" Type="http://schemas.openxmlformats.org/officeDocument/2006/relationships/hyperlink" Target="https://max.ru/join/kwuS9eEwkiZcM2J4jlEJMBMD19izxuC_L2Mwjryv0Dk" TargetMode="External"/><Relationship Id="rId110" Type="http://schemas.openxmlformats.org/officeDocument/2006/relationships/hyperlink" Target="https://max.ru/join/M7wDISGvmShFMnRwwNWABqv4bmIdPah2zAI1ryedWA4" TargetMode="External"/><Relationship Id="rId115" Type="http://schemas.openxmlformats.org/officeDocument/2006/relationships/hyperlink" Target="https://max.ru/join/M7wDISGvmShFMnRwwNWABqv4bmIdPah2zAI1ryedWA4" TargetMode="External"/><Relationship Id="rId131" Type="http://schemas.openxmlformats.org/officeDocument/2006/relationships/hyperlink" Target="https://max.ru/join/M7wDISGvmShFMnRwwNWABqv4bmIdPah2zAI1ryedWA4" TargetMode="External"/><Relationship Id="rId136" Type="http://schemas.openxmlformats.org/officeDocument/2006/relationships/hyperlink" Target="https://max.ru/join/M7wDISGvmShFMnRwwNWABqv4bmIdPah2zAI1ryedWA4" TargetMode="External"/><Relationship Id="rId157" Type="http://schemas.openxmlformats.org/officeDocument/2006/relationships/hyperlink" Target="https://max.ru/join/M7wDISGvmShFMnRwwNWABqv4bmIdPah2zAI1ryedWA4" TargetMode="External"/><Relationship Id="rId61" Type="http://schemas.openxmlformats.org/officeDocument/2006/relationships/hyperlink" Target="https://max.ru/join/M7wDISGvmShFMnRwwNWABqv4bmIdPah2zAI1ryedWA4" TargetMode="External"/><Relationship Id="rId82" Type="http://schemas.openxmlformats.org/officeDocument/2006/relationships/hyperlink" Target="https://max.ru/join/yiMW5hnYBtZHcXFu4xRokqWJT9jXccqJxwXEav6pwkM" TargetMode="External"/><Relationship Id="rId152" Type="http://schemas.openxmlformats.org/officeDocument/2006/relationships/hyperlink" Target="https://max.ru/join/M7wDISGvmShFMnRwwNWABqv4bmIdPah2zAI1ryedWA4" TargetMode="External"/><Relationship Id="rId173" Type="http://schemas.openxmlformats.org/officeDocument/2006/relationships/drawing" Target="../drawings/drawing1.xml"/><Relationship Id="rId19" Type="http://schemas.openxmlformats.org/officeDocument/2006/relationships/hyperlink" Target="https://max.ru/join/M7wDISGvmShFMnRwwNWABqv4bmIdPah2zAI1ryedWA4" TargetMode="External"/><Relationship Id="rId14" Type="http://schemas.openxmlformats.org/officeDocument/2006/relationships/hyperlink" Target="https://max.ru/join/t257J4YJBJ8AiKVNLL3zOcaCz5ne73H9eWxMrfP7T5o" TargetMode="External"/><Relationship Id="rId30" Type="http://schemas.openxmlformats.org/officeDocument/2006/relationships/hyperlink" Target="https://max.ru/join/M7wDISGvmShFMnRwwNWABqv4bmIdPah2zAI1ryedWA4" TargetMode="External"/><Relationship Id="rId35" Type="http://schemas.openxmlformats.org/officeDocument/2006/relationships/hyperlink" Target="https://max.ru/join/M7wDISGvmShFMnRwwNWABqv4bmIdPah2zAI1ryedWA4" TargetMode="External"/><Relationship Id="rId56" Type="http://schemas.openxmlformats.org/officeDocument/2006/relationships/hyperlink" Target="https://max.ru/join/M7wDISGvmShFMnRwwNWABqv4bmIdPah2zAI1ryedWA4" TargetMode="External"/><Relationship Id="rId77" Type="http://schemas.openxmlformats.org/officeDocument/2006/relationships/hyperlink" Target="https://max.ru/join/kwuS9eEwkiZcM2J4jlEJMBMD19izxuC_L2Mwjryv0Dk" TargetMode="External"/><Relationship Id="rId100" Type="http://schemas.openxmlformats.org/officeDocument/2006/relationships/hyperlink" Target="https://max.ru/join/M7wDISGvmShFMnRwwNWABqv4bmIdPah2zAI1ryedWA4" TargetMode="External"/><Relationship Id="rId105" Type="http://schemas.openxmlformats.org/officeDocument/2006/relationships/hyperlink" Target="https://max.ru/join/M7wDISGvmShFMnRwwNWABqv4bmIdPah2zAI1ryedWA4" TargetMode="External"/><Relationship Id="rId126" Type="http://schemas.openxmlformats.org/officeDocument/2006/relationships/hyperlink" Target="https://max.ru/join/M7wDISGvmShFMnRwwNWABqv4bmIdPah2zAI1ryedWA4" TargetMode="External"/><Relationship Id="rId147" Type="http://schemas.openxmlformats.org/officeDocument/2006/relationships/hyperlink" Target="https://max.ru/join/M7wDISGvmShFMnRwwNWABqv4bmIdPah2zAI1ryedWA4" TargetMode="External"/><Relationship Id="rId168" Type="http://schemas.openxmlformats.org/officeDocument/2006/relationships/hyperlink" Target="https://max.ru/join/M7wDISGvmShFMnRwwNWABqv4bmIdPah2zAI1ryedWA4" TargetMode="External"/><Relationship Id="rId8" Type="http://schemas.openxmlformats.org/officeDocument/2006/relationships/hyperlink" Target="https://max.ru/join/t257J4YJBJ8AiKVNLL3zOcaCz5ne73H9eWxMrfP7T5o" TargetMode="External"/><Relationship Id="rId51" Type="http://schemas.openxmlformats.org/officeDocument/2006/relationships/hyperlink" Target="https://max.ru/join/M7wDISGvmShFMnRwwNWABqv4bmIdPah2zAI1ryedWA4" TargetMode="External"/><Relationship Id="rId72" Type="http://schemas.openxmlformats.org/officeDocument/2006/relationships/hyperlink" Target="https://max.ru/join/_WbPeww7Si-yjLHOYgIQrD3bebn34IBKiDWG4cTLviM" TargetMode="External"/><Relationship Id="rId93" Type="http://schemas.openxmlformats.org/officeDocument/2006/relationships/hyperlink" Target="https://max.ru/join/sfNY5ST71hV_pC23QZ2ii7W3g5AgaCajoOYPFHnex5s" TargetMode="External"/><Relationship Id="rId98" Type="http://schemas.openxmlformats.org/officeDocument/2006/relationships/hyperlink" Target="https://max.ru/join/yiMW5hnYBtZHcXFu4xRokqWJT9jXccqJxwXEav6pwkM" TargetMode="External"/><Relationship Id="rId121" Type="http://schemas.openxmlformats.org/officeDocument/2006/relationships/hyperlink" Target="https://max.ru/join/M7wDISGvmShFMnRwwNWABqv4bmIdPah2zAI1ryedWA4" TargetMode="External"/><Relationship Id="rId142" Type="http://schemas.openxmlformats.org/officeDocument/2006/relationships/hyperlink" Target="https://max.ru/join/M7wDISGvmShFMnRwwNWABqv4bmIdPah2zAI1ryedWA4" TargetMode="External"/><Relationship Id="rId163" Type="http://schemas.openxmlformats.org/officeDocument/2006/relationships/hyperlink" Target="https://max.ru/join/M7wDISGvmShFMnRwwNWABqv4bmIdPah2zAI1ryedWA4" TargetMode="External"/><Relationship Id="rId3" Type="http://schemas.openxmlformats.org/officeDocument/2006/relationships/hyperlink" Target="https://max.ru/join/t257J4YJBJ8AiKVNLL3zOcaCz5ne73H9eWxMrfP7T5o" TargetMode="External"/><Relationship Id="rId25" Type="http://schemas.openxmlformats.org/officeDocument/2006/relationships/hyperlink" Target="https://max.ru/join/M7wDISGvmShFMnRwwNWABqv4bmIdPah2zAI1ryedWA4" TargetMode="External"/><Relationship Id="rId46" Type="http://schemas.openxmlformats.org/officeDocument/2006/relationships/hyperlink" Target="https://max.ru/join/M7wDISGvmShFMnRwwNWABqv4bmIdPah2zAI1ryedWA4" TargetMode="External"/><Relationship Id="rId67" Type="http://schemas.openxmlformats.org/officeDocument/2006/relationships/hyperlink" Target="https://max.ru/join/sfNY5ST71hV_pC23QZ2ii7W3g5AgaCajoOYPFHnex5s" TargetMode="External"/><Relationship Id="rId116" Type="http://schemas.openxmlformats.org/officeDocument/2006/relationships/hyperlink" Target="https://max.ru/join/M7wDISGvmShFMnRwwNWABqv4bmIdPah2zAI1ryedWA4" TargetMode="External"/><Relationship Id="rId137" Type="http://schemas.openxmlformats.org/officeDocument/2006/relationships/hyperlink" Target="https://max.ru/join/M7wDISGvmShFMnRwwNWABqv4bmIdPah2zAI1ryedWA4" TargetMode="External"/><Relationship Id="rId158" Type="http://schemas.openxmlformats.org/officeDocument/2006/relationships/hyperlink" Target="https://max.ru/join/M7wDISGvmShFMnRwwNWABqv4bmIdPah2zAI1ryedWA4" TargetMode="External"/><Relationship Id="rId20" Type="http://schemas.openxmlformats.org/officeDocument/2006/relationships/hyperlink" Target="https://max.ru/join/M7wDISGvmShFMnRwwNWABqv4bmIdPah2zAI1ryedWA4" TargetMode="External"/><Relationship Id="rId41" Type="http://schemas.openxmlformats.org/officeDocument/2006/relationships/hyperlink" Target="https://max.ru/join/M7wDISGvmShFMnRwwNWABqv4bmIdPah2zAI1ryedWA4" TargetMode="External"/><Relationship Id="rId62" Type="http://schemas.openxmlformats.org/officeDocument/2006/relationships/hyperlink" Target="https://max.ru/join/_WbPeww7Si-yjLHOYgIQrD3bebn34IBKiDWG4cTLviM" TargetMode="External"/><Relationship Id="rId83" Type="http://schemas.openxmlformats.org/officeDocument/2006/relationships/hyperlink" Target="https://max.ru/join/kwuS9eEwkiZcM2J4jlEJMBMD19izxuC_L2Mwjryv0Dk" TargetMode="External"/><Relationship Id="rId88" Type="http://schemas.openxmlformats.org/officeDocument/2006/relationships/hyperlink" Target="https://max.ru/join/yiMW5hnYBtZHcXFu4xRokqWJT9jXccqJxwXEav6pwkM" TargetMode="External"/><Relationship Id="rId111" Type="http://schemas.openxmlformats.org/officeDocument/2006/relationships/hyperlink" Target="https://max.ru/join/M7wDISGvmShFMnRwwNWABqv4bmIdPah2zAI1ryedWA4" TargetMode="External"/><Relationship Id="rId132" Type="http://schemas.openxmlformats.org/officeDocument/2006/relationships/hyperlink" Target="https://max.ru/join/M7wDISGvmShFMnRwwNWABqv4bmIdPah2zAI1ryedWA4" TargetMode="External"/><Relationship Id="rId153" Type="http://schemas.openxmlformats.org/officeDocument/2006/relationships/hyperlink" Target="https://max.ru/join/M7wDISGvmShFMnRwwNWABqv4bmIdPah2zAI1ryedWA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P540"/>
  <sheetViews>
    <sheetView tabSelected="1" topLeftCell="A372" zoomScale="40" zoomScaleNormal="40" zoomScaleSheetLayoutView="100" workbookViewId="0">
      <selection activeCell="N60" sqref="N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4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71.44140625" style="45" customWidth="1"/>
  </cols>
  <sheetData>
    <row r="1" spans="1:16" ht="15.6">
      <c r="A1" s="1"/>
      <c r="B1" s="2"/>
      <c r="C1" s="3"/>
      <c r="D1" s="4"/>
      <c r="E1" s="4"/>
      <c r="F1" s="4"/>
      <c r="G1" s="4"/>
      <c r="H1" s="37" t="s">
        <v>8</v>
      </c>
      <c r="I1" s="1"/>
      <c r="J1" s="2"/>
      <c r="K1" s="3"/>
      <c r="L1" s="4"/>
      <c r="M1" s="4"/>
      <c r="N1" s="4"/>
      <c r="O1" s="4"/>
      <c r="P1" s="37" t="s">
        <v>8</v>
      </c>
    </row>
    <row r="2" spans="1:16" ht="15.6">
      <c r="A2" s="1"/>
      <c r="B2" s="2"/>
      <c r="C2" s="3"/>
      <c r="D2" s="4"/>
      <c r="E2" s="4"/>
      <c r="F2" s="4"/>
      <c r="G2" s="4"/>
      <c r="H2" s="37" t="s">
        <v>9</v>
      </c>
      <c r="I2" s="1"/>
      <c r="J2" s="2"/>
      <c r="K2" s="3"/>
      <c r="L2" s="4"/>
      <c r="M2" s="4"/>
      <c r="N2" s="4"/>
      <c r="O2" s="4"/>
      <c r="P2" s="37" t="s">
        <v>9</v>
      </c>
    </row>
    <row r="3" spans="1:16" ht="15.6">
      <c r="A3" s="1"/>
      <c r="B3" s="2"/>
      <c r="C3" s="3"/>
      <c r="D3" s="4"/>
      <c r="E3" s="4"/>
      <c r="F3" s="4"/>
      <c r="G3" s="4"/>
      <c r="H3" s="37" t="s">
        <v>10</v>
      </c>
      <c r="I3" s="1"/>
      <c r="J3" s="2"/>
      <c r="K3" s="3"/>
      <c r="L3" s="4"/>
      <c r="M3" s="4"/>
      <c r="N3" s="4"/>
      <c r="O3" s="4"/>
      <c r="P3" s="37" t="s">
        <v>10</v>
      </c>
    </row>
    <row r="4" spans="1:16" ht="15.6">
      <c r="A4" s="1"/>
      <c r="B4" s="2"/>
      <c r="C4" s="3"/>
      <c r="D4" s="4"/>
      <c r="E4" s="4"/>
      <c r="F4" s="4"/>
      <c r="G4" s="4"/>
      <c r="H4" s="37" t="s">
        <v>11</v>
      </c>
      <c r="I4" s="1"/>
      <c r="J4" s="2"/>
      <c r="K4" s="3"/>
      <c r="L4" s="4"/>
      <c r="M4" s="4"/>
      <c r="N4" s="4"/>
      <c r="O4" s="4"/>
      <c r="P4" s="37" t="s">
        <v>11</v>
      </c>
    </row>
    <row r="5" spans="1:16" ht="15.6">
      <c r="A5" s="1"/>
      <c r="B5" s="5"/>
      <c r="C5" s="3"/>
      <c r="D5" s="4"/>
      <c r="E5" s="4"/>
      <c r="F5" s="4"/>
      <c r="G5" s="4"/>
      <c r="H5" s="38"/>
      <c r="I5" s="1"/>
      <c r="J5" s="5"/>
      <c r="K5" s="3"/>
      <c r="L5" s="4"/>
      <c r="M5" s="4"/>
      <c r="N5" s="4"/>
      <c r="O5" s="4"/>
      <c r="P5" s="38"/>
    </row>
    <row r="6" spans="1:16" ht="15.6">
      <c r="A6" s="1"/>
      <c r="B6" s="74" t="s">
        <v>12</v>
      </c>
      <c r="C6" s="74"/>
      <c r="D6" s="74"/>
      <c r="E6" s="74"/>
      <c r="F6" s="74"/>
      <c r="G6" s="74"/>
      <c r="H6" s="74"/>
      <c r="I6" s="1"/>
      <c r="J6" s="74" t="s">
        <v>12</v>
      </c>
      <c r="K6" s="74"/>
      <c r="L6" s="74"/>
      <c r="M6" s="74"/>
      <c r="N6" s="74"/>
      <c r="O6" s="74"/>
      <c r="P6" s="74"/>
    </row>
    <row r="7" spans="1:16" ht="15.6">
      <c r="A7" s="6"/>
      <c r="B7" s="34" t="str">
        <f>'[1]1нед'!$A$6</f>
        <v>Направление подготовки:</v>
      </c>
      <c r="C7" s="7"/>
      <c r="D7" s="8"/>
      <c r="E7" s="9" t="str">
        <f>'[1]1нед'!$T$130</f>
        <v>09.04.04 Программная инженерия (Разработка программно-информационных систем)</v>
      </c>
      <c r="F7" s="8"/>
      <c r="G7" s="8"/>
      <c r="H7" s="39" t="str">
        <f>'[1]1нед'!$T$134</f>
        <v>12-25РПм</v>
      </c>
      <c r="I7" s="6"/>
      <c r="J7" s="34" t="str">
        <f>'[1]1нед'!$A$6</f>
        <v>Направление подготовки:</v>
      </c>
      <c r="K7" s="7"/>
      <c r="L7" s="8"/>
      <c r="M7" s="9" t="str">
        <f>E7</f>
        <v>09.04.04 Программная инженерия (Разработка программно-информационных систем)</v>
      </c>
      <c r="N7" s="8"/>
      <c r="O7" s="8"/>
      <c r="P7" s="39" t="str">
        <f>H7</f>
        <v>12-25РПм</v>
      </c>
    </row>
    <row r="8" spans="1:16" ht="15.6">
      <c r="A8" s="1"/>
      <c r="B8" s="73" t="s">
        <v>13</v>
      </c>
      <c r="C8" s="73"/>
      <c r="D8" s="73"/>
      <c r="E8" s="73" t="s">
        <v>14</v>
      </c>
      <c r="F8" s="73"/>
      <c r="G8" s="73"/>
      <c r="H8" s="73"/>
      <c r="I8" s="1"/>
      <c r="J8" s="73" t="s">
        <v>13</v>
      </c>
      <c r="K8" s="73"/>
      <c r="L8" s="73"/>
      <c r="M8" s="73" t="str">
        <f t="shared" ref="M8" si="0">E8</f>
        <v>очная</v>
      </c>
      <c r="N8" s="73"/>
      <c r="O8" s="73"/>
      <c r="P8" s="73"/>
    </row>
    <row r="9" spans="1:16" ht="15.6">
      <c r="A9" s="1"/>
      <c r="B9" s="73" t="s">
        <v>15</v>
      </c>
      <c r="C9" s="73"/>
      <c r="D9" s="73"/>
      <c r="E9" s="34">
        <v>1</v>
      </c>
      <c r="F9" s="34"/>
      <c r="G9" s="34"/>
      <c r="H9" s="38"/>
      <c r="I9" s="1"/>
      <c r="J9" s="73" t="s">
        <v>15</v>
      </c>
      <c r="K9" s="73"/>
      <c r="L9" s="73"/>
      <c r="M9" s="34">
        <f>E9</f>
        <v>1</v>
      </c>
      <c r="N9" s="34"/>
      <c r="O9" s="34"/>
      <c r="P9" s="38"/>
    </row>
    <row r="10" spans="1:16" ht="16.2" thickBot="1">
      <c r="A10" s="1"/>
      <c r="B10" s="70" t="s">
        <v>16</v>
      </c>
      <c r="C10" s="70"/>
      <c r="D10" s="70"/>
      <c r="E10" s="35">
        <v>1</v>
      </c>
      <c r="F10" s="35"/>
      <c r="G10" s="35"/>
      <c r="H10" s="40"/>
      <c r="I10" s="1"/>
      <c r="J10" s="75" t="s">
        <v>16</v>
      </c>
      <c r="K10" s="75"/>
      <c r="L10" s="75"/>
      <c r="M10" s="35">
        <f>E10+1</f>
        <v>2</v>
      </c>
      <c r="N10" s="35"/>
      <c r="O10" s="35"/>
      <c r="P10" s="40"/>
    </row>
    <row r="11" spans="1:16" ht="46.5" customHeight="1" thickTop="1" thickBot="1">
      <c r="A11" s="71" t="s">
        <v>17</v>
      </c>
      <c r="B11" s="72"/>
      <c r="C11" s="10" t="s">
        <v>18</v>
      </c>
      <c r="D11" s="11" t="s">
        <v>7</v>
      </c>
      <c r="E11" s="12" t="s">
        <v>19</v>
      </c>
      <c r="F11" s="68" t="s">
        <v>6</v>
      </c>
      <c r="G11" s="69"/>
      <c r="H11" s="13" t="s">
        <v>20</v>
      </c>
      <c r="I11" s="71" t="s">
        <v>17</v>
      </c>
      <c r="J11" s="72"/>
      <c r="K11" s="10" t="s">
        <v>18</v>
      </c>
      <c r="L11" s="11" t="s">
        <v>7</v>
      </c>
      <c r="M11" s="12" t="s">
        <v>19</v>
      </c>
      <c r="N11" s="68" t="s">
        <v>6</v>
      </c>
      <c r="O11" s="69"/>
      <c r="P11" s="13" t="s">
        <v>20</v>
      </c>
    </row>
    <row r="12" spans="1:16" ht="34.950000000000003" customHeight="1" thickTop="1">
      <c r="A12" s="48">
        <v>45901</v>
      </c>
      <c r="B12" s="51" t="s">
        <v>0</v>
      </c>
      <c r="C12" s="14" t="s">
        <v>23</v>
      </c>
      <c r="D12" s="16">
        <f>'[1]1нед'!S136</f>
        <v>0</v>
      </c>
      <c r="E12" s="19">
        <f>'[1]1нед'!T136</f>
        <v>0</v>
      </c>
      <c r="F12" s="17">
        <f>'[1]1нед'!W136</f>
        <v>0</v>
      </c>
      <c r="G12" s="18">
        <f>'[1]1нед'!X136</f>
        <v>0</v>
      </c>
      <c r="H12" s="43"/>
      <c r="I12" s="48">
        <v>45908</v>
      </c>
      <c r="J12" s="56" t="s">
        <v>0</v>
      </c>
      <c r="K12" s="14" t="s">
        <v>23</v>
      </c>
      <c r="L12" s="16" t="str">
        <f>'[1]2нед'!S136</f>
        <v>пр</v>
      </c>
      <c r="M12" s="19" t="str">
        <f>'[1]2нед'!T136</f>
        <v>Применение методов искусственного интеллекта в анализе данных и управлении</v>
      </c>
      <c r="N12" s="17" t="str">
        <f>'[1]2нед'!W136</f>
        <v>Гришин И.Ю.</v>
      </c>
      <c r="O12" s="18" t="str">
        <f>'[1]2нед'!X136</f>
        <v>профессор, д-р наук</v>
      </c>
      <c r="P12" s="36" t="s">
        <v>31</v>
      </c>
    </row>
    <row r="13" spans="1:16" ht="31.2">
      <c r="A13" s="49"/>
      <c r="B13" s="52"/>
      <c r="C13" s="14" t="s">
        <v>24</v>
      </c>
      <c r="D13" s="20">
        <f>'[1]1нед'!S137</f>
        <v>0</v>
      </c>
      <c r="E13" s="23">
        <f>'[1]1нед'!T137</f>
        <v>0</v>
      </c>
      <c r="F13" s="21">
        <f>'[1]1нед'!W137</f>
        <v>0</v>
      </c>
      <c r="G13" s="22">
        <f>'[1]1нед'!X137</f>
        <v>0</v>
      </c>
      <c r="H13" s="41"/>
      <c r="I13" s="54"/>
      <c r="J13" s="57"/>
      <c r="K13" s="14" t="s">
        <v>24</v>
      </c>
      <c r="L13" s="20" t="str">
        <f>'[1]2нед'!S137</f>
        <v>пр</v>
      </c>
      <c r="M13" s="23" t="str">
        <f>'[1]2нед'!T137</f>
        <v>Машинное обучение и анализ данных</v>
      </c>
      <c r="N13" s="21" t="str">
        <f>'[1]2нед'!W137</f>
        <v>Гришин И.Ю.</v>
      </c>
      <c r="O13" s="22" t="str">
        <f>'[1]2нед'!X137</f>
        <v>профессор, д-р наук</v>
      </c>
      <c r="P13" s="36" t="s">
        <v>31</v>
      </c>
    </row>
    <row r="14" spans="1:16" ht="31.2">
      <c r="A14" s="49"/>
      <c r="B14" s="52"/>
      <c r="C14" s="14" t="s">
        <v>25</v>
      </c>
      <c r="D14" s="20">
        <f>'[1]1нед'!S138</f>
        <v>0</v>
      </c>
      <c r="E14" s="23">
        <f>'[1]1нед'!T138</f>
        <v>0</v>
      </c>
      <c r="F14" s="21">
        <f>'[1]1нед'!W138</f>
        <v>0</v>
      </c>
      <c r="G14" s="22">
        <f>'[1]1нед'!X138</f>
        <v>0</v>
      </c>
      <c r="H14" s="41"/>
      <c r="I14" s="54"/>
      <c r="J14" s="57"/>
      <c r="K14" s="14" t="s">
        <v>25</v>
      </c>
      <c r="L14" s="20" t="str">
        <f>'[1]2нед'!S138</f>
        <v>пр</v>
      </c>
      <c r="M14" s="23" t="str">
        <f>'[1]2нед'!T138</f>
        <v>Управление ИТ-проектами</v>
      </c>
      <c r="N14" s="21" t="str">
        <f>'[1]2нед'!W138</f>
        <v>Линник И.И.</v>
      </c>
      <c r="O14" s="22" t="str">
        <f>'[1]2нед'!X138</f>
        <v>доцент, канд. наук</v>
      </c>
      <c r="P14" s="36" t="s">
        <v>31</v>
      </c>
    </row>
    <row r="15" spans="1:16" ht="31.2">
      <c r="A15" s="49"/>
      <c r="B15" s="52"/>
      <c r="C15" s="14" t="s">
        <v>26</v>
      </c>
      <c r="D15" s="20">
        <f>'[1]1нед'!S139</f>
        <v>0</v>
      </c>
      <c r="E15" s="23">
        <f>'[1]1нед'!T139</f>
        <v>0</v>
      </c>
      <c r="F15" s="21">
        <f>'[1]1нед'!W139</f>
        <v>0</v>
      </c>
      <c r="G15" s="22">
        <f>'[1]1нед'!X139</f>
        <v>0</v>
      </c>
      <c r="H15" s="41"/>
      <c r="I15" s="54"/>
      <c r="J15" s="57"/>
      <c r="K15" s="14" t="s">
        <v>26</v>
      </c>
      <c r="L15" s="20">
        <f>'[1]2нед'!S139</f>
        <v>0</v>
      </c>
      <c r="M15" s="23">
        <f>'[1]2нед'!T139</f>
        <v>0</v>
      </c>
      <c r="N15" s="21">
        <f>'[1]2нед'!W139</f>
        <v>0</v>
      </c>
      <c r="O15" s="22">
        <f>'[1]2нед'!X139</f>
        <v>0</v>
      </c>
      <c r="P15" s="41"/>
    </row>
    <row r="16" spans="1:16" ht="31.2">
      <c r="A16" s="49"/>
      <c r="B16" s="52"/>
      <c r="C16" s="14" t="s">
        <v>27</v>
      </c>
      <c r="D16" s="20">
        <f>'[1]1нед'!S140</f>
        <v>0</v>
      </c>
      <c r="E16" s="23">
        <f>'[1]1нед'!T140</f>
        <v>0</v>
      </c>
      <c r="F16" s="21">
        <f>'[1]1нед'!W140</f>
        <v>0</v>
      </c>
      <c r="G16" s="22">
        <f>'[1]1нед'!X140</f>
        <v>0</v>
      </c>
      <c r="H16" s="41"/>
      <c r="I16" s="54"/>
      <c r="J16" s="57"/>
      <c r="K16" s="14" t="s">
        <v>27</v>
      </c>
      <c r="L16" s="20">
        <f>'[1]2нед'!S140</f>
        <v>0</v>
      </c>
      <c r="M16" s="23">
        <f>'[1]2нед'!T140</f>
        <v>0</v>
      </c>
      <c r="N16" s="21">
        <f>'[1]2нед'!W140</f>
        <v>0</v>
      </c>
      <c r="O16" s="22">
        <f>'[1]2нед'!X140</f>
        <v>0</v>
      </c>
      <c r="P16" s="41"/>
    </row>
    <row r="17" spans="1:16" ht="31.2">
      <c r="A17" s="49"/>
      <c r="B17" s="52"/>
      <c r="C17" s="14" t="s">
        <v>28</v>
      </c>
      <c r="D17" s="20">
        <f>'[1]1нед'!S141</f>
        <v>0</v>
      </c>
      <c r="E17" s="23">
        <f>'[1]1нед'!T141</f>
        <v>0</v>
      </c>
      <c r="F17" s="21">
        <f>'[1]1нед'!W141</f>
        <v>0</v>
      </c>
      <c r="G17" s="22">
        <f>'[1]1нед'!X141</f>
        <v>0</v>
      </c>
      <c r="H17" s="41"/>
      <c r="I17" s="54"/>
      <c r="J17" s="57"/>
      <c r="K17" s="14" t="s">
        <v>28</v>
      </c>
      <c r="L17" s="20">
        <f>'[1]2нед'!S141</f>
        <v>0</v>
      </c>
      <c r="M17" s="23">
        <f>'[1]2нед'!T141</f>
        <v>0</v>
      </c>
      <c r="N17" s="21">
        <f>'[1]2нед'!W141</f>
        <v>0</v>
      </c>
      <c r="O17" s="22">
        <f>'[1]2нед'!X141</f>
        <v>0</v>
      </c>
      <c r="P17" s="41"/>
    </row>
    <row r="18" spans="1:16" ht="31.8" thickBot="1">
      <c r="A18" s="49"/>
      <c r="B18" s="52"/>
      <c r="C18" s="14" t="s">
        <v>29</v>
      </c>
      <c r="D18" s="20">
        <f>'[1]1нед'!S142</f>
        <v>0</v>
      </c>
      <c r="E18" s="23">
        <f>'[1]1нед'!T142</f>
        <v>0</v>
      </c>
      <c r="F18" s="21">
        <f>'[1]1нед'!W142</f>
        <v>0</v>
      </c>
      <c r="G18" s="22">
        <f>'[1]1нед'!X142</f>
        <v>0</v>
      </c>
      <c r="H18" s="41"/>
      <c r="I18" s="54"/>
      <c r="J18" s="57"/>
      <c r="K18" s="14" t="s">
        <v>29</v>
      </c>
      <c r="L18" s="20">
        <f>'[1]2нед'!S142</f>
        <v>0</v>
      </c>
      <c r="M18" s="23">
        <f>'[1]2нед'!T142</f>
        <v>0</v>
      </c>
      <c r="N18" s="21">
        <f>'[1]2нед'!W142</f>
        <v>0</v>
      </c>
      <c r="O18" s="22">
        <f>'[1]2нед'!X142</f>
        <v>0</v>
      </c>
      <c r="P18" s="41"/>
    </row>
    <row r="19" spans="1:16" ht="18.600000000000001" hidden="1" thickBot="1">
      <c r="A19" s="50"/>
      <c r="B19" s="53"/>
      <c r="C19" s="15"/>
      <c r="D19" s="24">
        <f>'[1]1нед'!S143</f>
        <v>0</v>
      </c>
      <c r="E19" s="25">
        <f>'[1]1нед'!T143</f>
        <v>0</v>
      </c>
      <c r="F19" s="26">
        <f>'[1]1нед'!W143</f>
        <v>0</v>
      </c>
      <c r="G19" s="27">
        <f>'[1]1нед'!X143</f>
        <v>0</v>
      </c>
      <c r="H19" s="42"/>
      <c r="I19" s="55"/>
      <c r="J19" s="58"/>
      <c r="K19" s="15"/>
      <c r="L19" s="24">
        <f>'[1]2нед'!S143</f>
        <v>0</v>
      </c>
      <c r="M19" s="25">
        <f>'[1]2нед'!T143</f>
        <v>0</v>
      </c>
      <c r="N19" s="26">
        <f>'[1]2нед'!W143</f>
        <v>0</v>
      </c>
      <c r="O19" s="27">
        <f>'[1]2нед'!X143</f>
        <v>0</v>
      </c>
      <c r="P19" s="42"/>
    </row>
    <row r="20" spans="1:16" ht="32.25" customHeight="1" thickTop="1">
      <c r="A20" s="48">
        <v>45902</v>
      </c>
      <c r="B20" s="51" t="s">
        <v>1</v>
      </c>
      <c r="C20" s="28" t="s">
        <v>23</v>
      </c>
      <c r="D20" s="16">
        <f>'[1]1нед'!S144</f>
        <v>0</v>
      </c>
      <c r="E20" s="19">
        <f>'[1]1нед'!T144</f>
        <v>0</v>
      </c>
      <c r="F20" s="17">
        <f>'[1]1нед'!W144</f>
        <v>0</v>
      </c>
      <c r="G20" s="18">
        <f>'[1]1нед'!X144</f>
        <v>0</v>
      </c>
      <c r="H20" s="43"/>
      <c r="I20" s="48">
        <v>45909</v>
      </c>
      <c r="J20" s="56" t="s">
        <v>1</v>
      </c>
      <c r="K20" s="28" t="s">
        <v>23</v>
      </c>
      <c r="L20" s="16" t="str">
        <f>'[1]2нед'!S144</f>
        <v>пр</v>
      </c>
      <c r="M20" s="19" t="str">
        <f>'[1]2нед'!T144</f>
        <v xml:space="preserve"> Основы програмной инженерии</v>
      </c>
      <c r="N20" s="17" t="str">
        <f>'[1]2нед'!W144</f>
        <v>Алешов В.В.</v>
      </c>
      <c r="O20" s="18" t="str">
        <f>'[1]2нед'!X144</f>
        <v>преподаватель</v>
      </c>
      <c r="P20" s="47" t="s">
        <v>31</v>
      </c>
    </row>
    <row r="21" spans="1:16" ht="31.2">
      <c r="A21" s="49"/>
      <c r="B21" s="52"/>
      <c r="C21" s="14" t="s">
        <v>24</v>
      </c>
      <c r="D21" s="20">
        <f>'[1]1нед'!S145</f>
        <v>0</v>
      </c>
      <c r="E21" s="23">
        <f>'[1]1нед'!T145</f>
        <v>0</v>
      </c>
      <c r="F21" s="21">
        <f>'[1]1нед'!W145</f>
        <v>0</v>
      </c>
      <c r="G21" s="22">
        <f>'[1]1нед'!X145</f>
        <v>0</v>
      </c>
      <c r="H21" s="41"/>
      <c r="I21" s="54"/>
      <c r="J21" s="57"/>
      <c r="K21" s="14" t="s">
        <v>24</v>
      </c>
      <c r="L21" s="20" t="str">
        <f>'[1]2нед'!S145</f>
        <v>пр</v>
      </c>
      <c r="M21" s="23" t="str">
        <f>'[1]2нед'!T145</f>
        <v xml:space="preserve"> Основы програмной инженерии</v>
      </c>
      <c r="N21" s="21" t="str">
        <f>'[1]2нед'!W145</f>
        <v>Алешов В.В.</v>
      </c>
      <c r="O21" s="22" t="str">
        <f>'[1]2нед'!X145</f>
        <v>преподаватель</v>
      </c>
      <c r="P21" s="36" t="s">
        <v>31</v>
      </c>
    </row>
    <row r="22" spans="1:16" ht="36">
      <c r="A22" s="49"/>
      <c r="B22" s="52"/>
      <c r="C22" s="14" t="s">
        <v>25</v>
      </c>
      <c r="D22" s="20" t="str">
        <f>'[1]1нед'!S146</f>
        <v>л</v>
      </c>
      <c r="E22" s="23" t="str">
        <f>'[1]1нед'!T146</f>
        <v>Теория систем и системный анализ</v>
      </c>
      <c r="F22" s="21" t="str">
        <f>'[1]1нед'!W146</f>
        <v>Гришин И.Ю.</v>
      </c>
      <c r="G22" s="22" t="str">
        <f>'[1]1нед'!X146</f>
        <v>профессор, д-р наук</v>
      </c>
      <c r="H22" s="46" t="s">
        <v>31</v>
      </c>
      <c r="I22" s="54"/>
      <c r="J22" s="57"/>
      <c r="K22" s="14" t="s">
        <v>25</v>
      </c>
      <c r="L22" s="20" t="str">
        <f>'[1]2нед'!S146</f>
        <v>пр</v>
      </c>
      <c r="M22" s="23" t="str">
        <f>'[1]2нед'!T146</f>
        <v>Теоретико-множественный и информационный анализ</v>
      </c>
      <c r="N22" s="21" t="str">
        <f>'[1]2нед'!W146</f>
        <v>Шерман М.И.</v>
      </c>
      <c r="O22" s="22" t="str">
        <f>'[1]2нед'!X146</f>
        <v>профессор, д-р наук</v>
      </c>
      <c r="P22" s="36" t="s">
        <v>31</v>
      </c>
    </row>
    <row r="23" spans="1:16" ht="36">
      <c r="A23" s="49"/>
      <c r="B23" s="52"/>
      <c r="C23" s="14" t="s">
        <v>26</v>
      </c>
      <c r="D23" s="20" t="str">
        <f>'[1]1нед'!S147</f>
        <v>л</v>
      </c>
      <c r="E23" s="23" t="str">
        <f>'[1]1нед'!T147</f>
        <v>Применение методов искусственного интеллекта в анализе данных и управлении</v>
      </c>
      <c r="F23" s="21" t="str">
        <f>'[1]1нед'!W147</f>
        <v>Гришин И.Ю.</v>
      </c>
      <c r="G23" s="22" t="str">
        <f>'[1]1нед'!X147</f>
        <v>профессор, д-р наук</v>
      </c>
      <c r="H23" s="36" t="s">
        <v>31</v>
      </c>
      <c r="I23" s="54"/>
      <c r="J23" s="57"/>
      <c r="K23" s="14" t="s">
        <v>26</v>
      </c>
      <c r="L23" s="20">
        <f>'[1]2нед'!S147</f>
        <v>0</v>
      </c>
      <c r="M23" s="23">
        <f>'[1]2нед'!T147</f>
        <v>0</v>
      </c>
      <c r="N23" s="21">
        <f>'[1]2нед'!W147</f>
        <v>0</v>
      </c>
      <c r="O23" s="22">
        <f>'[1]2нед'!X147</f>
        <v>0</v>
      </c>
      <c r="P23" s="41"/>
    </row>
    <row r="24" spans="1:16" ht="31.2">
      <c r="A24" s="49"/>
      <c r="B24" s="52"/>
      <c r="C24" s="14" t="s">
        <v>27</v>
      </c>
      <c r="D24" s="20">
        <f>'[1]1нед'!S148</f>
        <v>0</v>
      </c>
      <c r="E24" s="23">
        <f>'[1]1нед'!T148</f>
        <v>0</v>
      </c>
      <c r="F24" s="21">
        <f>'[1]1нед'!W148</f>
        <v>0</v>
      </c>
      <c r="G24" s="22">
        <f>'[1]1нед'!X148</f>
        <v>0</v>
      </c>
      <c r="H24" s="41"/>
      <c r="I24" s="54"/>
      <c r="J24" s="57"/>
      <c r="K24" s="14" t="s">
        <v>27</v>
      </c>
      <c r="L24" s="20">
        <f>'[1]2нед'!S148</f>
        <v>0</v>
      </c>
      <c r="M24" s="23">
        <f>'[1]2нед'!T148</f>
        <v>0</v>
      </c>
      <c r="N24" s="21">
        <f>'[1]2нед'!W148</f>
        <v>0</v>
      </c>
      <c r="O24" s="22">
        <f>'[1]2нед'!X148</f>
        <v>0</v>
      </c>
      <c r="P24" s="41"/>
    </row>
    <row r="25" spans="1:16" ht="31.2">
      <c r="A25" s="49"/>
      <c r="B25" s="52"/>
      <c r="C25" s="14" t="s">
        <v>28</v>
      </c>
      <c r="D25" s="20">
        <f>'[1]1нед'!S149</f>
        <v>0</v>
      </c>
      <c r="E25" s="23">
        <f>'[1]1нед'!T149</f>
        <v>0</v>
      </c>
      <c r="F25" s="21">
        <f>'[1]1нед'!W149</f>
        <v>0</v>
      </c>
      <c r="G25" s="22">
        <f>'[1]1нед'!X149</f>
        <v>0</v>
      </c>
      <c r="H25" s="41"/>
      <c r="I25" s="54"/>
      <c r="J25" s="57"/>
      <c r="K25" s="14" t="s">
        <v>28</v>
      </c>
      <c r="L25" s="20">
        <f>'[1]2нед'!S149</f>
        <v>0</v>
      </c>
      <c r="M25" s="23">
        <f>'[1]2нед'!T149</f>
        <v>0</v>
      </c>
      <c r="N25" s="21">
        <f>'[1]2нед'!W149</f>
        <v>0</v>
      </c>
      <c r="O25" s="22">
        <f>'[1]2нед'!X149</f>
        <v>0</v>
      </c>
      <c r="P25" s="41"/>
    </row>
    <row r="26" spans="1:16" ht="31.8" thickBot="1">
      <c r="A26" s="49"/>
      <c r="B26" s="52"/>
      <c r="C26" s="14" t="s">
        <v>29</v>
      </c>
      <c r="D26" s="20">
        <f>'[1]1нед'!S150</f>
        <v>0</v>
      </c>
      <c r="E26" s="23">
        <f>'[1]1нед'!T150</f>
        <v>0</v>
      </c>
      <c r="F26" s="21">
        <f>'[1]1нед'!W150</f>
        <v>0</v>
      </c>
      <c r="G26" s="22">
        <f>'[1]1нед'!X150</f>
        <v>0</v>
      </c>
      <c r="H26" s="41"/>
      <c r="I26" s="54"/>
      <c r="J26" s="57"/>
      <c r="K26" s="14" t="s">
        <v>29</v>
      </c>
      <c r="L26" s="20">
        <f>'[1]2нед'!S150</f>
        <v>0</v>
      </c>
      <c r="M26" s="23">
        <f>'[1]2нед'!T150</f>
        <v>0</v>
      </c>
      <c r="N26" s="21">
        <f>'[1]2нед'!W150</f>
        <v>0</v>
      </c>
      <c r="O26" s="22">
        <f>'[1]2нед'!X150</f>
        <v>0</v>
      </c>
      <c r="P26" s="41"/>
    </row>
    <row r="27" spans="1:16" ht="18.600000000000001" hidden="1" thickBot="1">
      <c r="A27" s="50"/>
      <c r="B27" s="53"/>
      <c r="C27" s="15"/>
      <c r="D27" s="24">
        <f>'[1]1нед'!S151</f>
        <v>0</v>
      </c>
      <c r="E27" s="25">
        <f>'[1]1нед'!T151</f>
        <v>0</v>
      </c>
      <c r="F27" s="26">
        <f>'[1]1нед'!W151</f>
        <v>0</v>
      </c>
      <c r="G27" s="27">
        <f>'[1]1нед'!X151</f>
        <v>0</v>
      </c>
      <c r="H27" s="42"/>
      <c r="I27" s="55"/>
      <c r="J27" s="58"/>
      <c r="K27" s="15"/>
      <c r="L27" s="24">
        <f>'[1]2нед'!S151</f>
        <v>0</v>
      </c>
      <c r="M27" s="25">
        <f>'[1]2нед'!T151</f>
        <v>0</v>
      </c>
      <c r="N27" s="26">
        <f>'[1]2нед'!W151</f>
        <v>0</v>
      </c>
      <c r="O27" s="27">
        <f>'[1]2нед'!X151</f>
        <v>0</v>
      </c>
      <c r="P27" s="42"/>
    </row>
    <row r="28" spans="1:16" ht="48" customHeight="1" thickTop="1">
      <c r="A28" s="59">
        <v>45903</v>
      </c>
      <c r="B28" s="62" t="s">
        <v>2</v>
      </c>
      <c r="C28" s="28" t="s">
        <v>23</v>
      </c>
      <c r="D28" s="16">
        <f>'[1]1нед'!S152</f>
        <v>0</v>
      </c>
      <c r="E28" s="19">
        <f>'[1]1нед'!T152</f>
        <v>0</v>
      </c>
      <c r="F28" s="17">
        <f>'[1]1нед'!W152</f>
        <v>0</v>
      </c>
      <c r="G28" s="18">
        <f>'[1]1нед'!X152</f>
        <v>0</v>
      </c>
      <c r="H28" s="43"/>
      <c r="I28" s="59">
        <v>45910</v>
      </c>
      <c r="J28" s="65" t="s">
        <v>2</v>
      </c>
      <c r="K28" s="28" t="s">
        <v>23</v>
      </c>
      <c r="L28" s="16">
        <f>'[1]2нед'!S152</f>
        <v>0</v>
      </c>
      <c r="M28" s="19">
        <f>'[1]2нед'!T152</f>
        <v>0</v>
      </c>
      <c r="N28" s="17">
        <f>'[1]2нед'!W152</f>
        <v>0</v>
      </c>
      <c r="O28" s="18">
        <f>'[1]2нед'!X152</f>
        <v>0</v>
      </c>
      <c r="P28" s="43"/>
    </row>
    <row r="29" spans="1:16" ht="31.2">
      <c r="A29" s="60"/>
      <c r="B29" s="63"/>
      <c r="C29" s="14" t="s">
        <v>24</v>
      </c>
      <c r="D29" s="20">
        <f>'[1]1нед'!S153</f>
        <v>0</v>
      </c>
      <c r="E29" s="23">
        <f>'[1]1нед'!T153</f>
        <v>0</v>
      </c>
      <c r="F29" s="21">
        <f>'[1]1нед'!W153</f>
        <v>0</v>
      </c>
      <c r="G29" s="22">
        <f>'[1]1нед'!X153</f>
        <v>0</v>
      </c>
      <c r="H29" s="41"/>
      <c r="I29" s="60"/>
      <c r="J29" s="66"/>
      <c r="K29" s="14" t="s">
        <v>24</v>
      </c>
      <c r="L29" s="20" t="str">
        <f>'[1]2нед'!S153</f>
        <v>пр</v>
      </c>
      <c r="M29" s="23" t="str">
        <f>'[1]2нед'!T153</f>
        <v>Управление ИТ-проектами</v>
      </c>
      <c r="N29" s="21" t="str">
        <f>'[1]2нед'!W153</f>
        <v>Линник И.И.</v>
      </c>
      <c r="O29" s="22" t="str">
        <f>'[1]2нед'!X153</f>
        <v>доцент, канд. наук</v>
      </c>
      <c r="P29" s="46" t="s">
        <v>31</v>
      </c>
    </row>
    <row r="30" spans="1:16" ht="36">
      <c r="A30" s="60"/>
      <c r="B30" s="63"/>
      <c r="C30" s="14" t="s">
        <v>25</v>
      </c>
      <c r="D30" s="20" t="str">
        <f>'[1]1нед'!S154</f>
        <v>л</v>
      </c>
      <c r="E30" s="23" t="str">
        <f>'[1]1нед'!T154</f>
        <v>Теоретико-множественный и информационный анализ</v>
      </c>
      <c r="F30" s="21" t="str">
        <f>'[1]1нед'!W154</f>
        <v>Шерман М.И.</v>
      </c>
      <c r="G30" s="22" t="str">
        <f>'[1]1нед'!X154</f>
        <v>профессор, д-р наук</v>
      </c>
      <c r="H30" s="36" t="s">
        <v>31</v>
      </c>
      <c r="I30" s="60"/>
      <c r="J30" s="66"/>
      <c r="K30" s="14" t="s">
        <v>25</v>
      </c>
      <c r="L30" s="20" t="str">
        <f>'[1]2нед'!S154</f>
        <v>пр</v>
      </c>
      <c r="M30" s="23" t="str">
        <f>'[1]2нед'!T154</f>
        <v>Теоретико-множественный и информационный анализ</v>
      </c>
      <c r="N30" s="21" t="str">
        <f>'[1]2нед'!W154</f>
        <v>Шерман М.И.</v>
      </c>
      <c r="O30" s="22" t="str">
        <f>'[1]2нед'!X154</f>
        <v>профессор, д-р наук</v>
      </c>
      <c r="P30" s="46" t="s">
        <v>31</v>
      </c>
    </row>
    <row r="31" spans="1:16" ht="36">
      <c r="A31" s="60"/>
      <c r="B31" s="63"/>
      <c r="C31" s="14" t="s">
        <v>26</v>
      </c>
      <c r="D31" s="20" t="str">
        <f>'[1]1нед'!S155</f>
        <v>л</v>
      </c>
      <c r="E31" s="23" t="str">
        <f>'[1]1нед'!T155</f>
        <v>Управление ИТ-проектами</v>
      </c>
      <c r="F31" s="21" t="str">
        <f>'[1]1нед'!W155</f>
        <v>Линник И.И.</v>
      </c>
      <c r="G31" s="22" t="str">
        <f>'[1]1нед'!X155</f>
        <v>доцент, канд. наук</v>
      </c>
      <c r="H31" s="36" t="s">
        <v>31</v>
      </c>
      <c r="I31" s="60"/>
      <c r="J31" s="66"/>
      <c r="K31" s="14" t="s">
        <v>26</v>
      </c>
      <c r="L31" s="20" t="str">
        <f>'[1]2нед'!S155</f>
        <v>пр</v>
      </c>
      <c r="M31" s="23" t="str">
        <f>'[1]2нед'!T155</f>
        <v>Теоретико-множественный и информационный анализ</v>
      </c>
      <c r="N31" s="21" t="str">
        <f>'[1]2нед'!W155</f>
        <v>Шерман М.И.</v>
      </c>
      <c r="O31" s="22" t="str">
        <f>'[1]2нед'!X155</f>
        <v>профессор, д-р наук</v>
      </c>
      <c r="P31" s="46" t="s">
        <v>31</v>
      </c>
    </row>
    <row r="32" spans="1:16" ht="31.2">
      <c r="A32" s="60"/>
      <c r="B32" s="63"/>
      <c r="C32" s="14" t="s">
        <v>27</v>
      </c>
      <c r="D32" s="20">
        <f>'[1]1нед'!S156</f>
        <v>0</v>
      </c>
      <c r="E32" s="23">
        <f>'[1]1нед'!T156</f>
        <v>0</v>
      </c>
      <c r="F32" s="21">
        <f>'[1]1нед'!W156</f>
        <v>0</v>
      </c>
      <c r="G32" s="22">
        <f>'[1]1нед'!X156</f>
        <v>0</v>
      </c>
      <c r="H32" s="41"/>
      <c r="I32" s="60"/>
      <c r="J32" s="66"/>
      <c r="K32" s="14" t="s">
        <v>27</v>
      </c>
      <c r="L32" s="20">
        <f>'[1]2нед'!S156</f>
        <v>0</v>
      </c>
      <c r="M32" s="23">
        <f>'[1]2нед'!T156</f>
        <v>0</v>
      </c>
      <c r="N32" s="21">
        <f>'[1]2нед'!W156</f>
        <v>0</v>
      </c>
      <c r="O32" s="22">
        <f>'[1]2нед'!X156</f>
        <v>0</v>
      </c>
      <c r="P32" s="41"/>
    </row>
    <row r="33" spans="1:16" ht="31.2">
      <c r="A33" s="60"/>
      <c r="B33" s="63"/>
      <c r="C33" s="14" t="s">
        <v>28</v>
      </c>
      <c r="D33" s="20">
        <f>'[1]1нед'!S157</f>
        <v>0</v>
      </c>
      <c r="E33" s="23">
        <f>'[1]1нед'!T157</f>
        <v>0</v>
      </c>
      <c r="F33" s="21">
        <f>'[1]1нед'!W157</f>
        <v>0</v>
      </c>
      <c r="G33" s="22">
        <f>'[1]1нед'!X157</f>
        <v>0</v>
      </c>
      <c r="H33" s="41"/>
      <c r="I33" s="60"/>
      <c r="J33" s="66"/>
      <c r="K33" s="14" t="s">
        <v>28</v>
      </c>
      <c r="L33" s="20">
        <f>'[1]2нед'!S157</f>
        <v>0</v>
      </c>
      <c r="M33" s="23">
        <f>'[1]2нед'!T157</f>
        <v>0</v>
      </c>
      <c r="N33" s="21">
        <f>'[1]2нед'!W157</f>
        <v>0</v>
      </c>
      <c r="O33" s="22">
        <f>'[1]2нед'!X157</f>
        <v>0</v>
      </c>
      <c r="P33" s="41"/>
    </row>
    <row r="34" spans="1:16" ht="31.8" thickBot="1">
      <c r="A34" s="60"/>
      <c r="B34" s="63"/>
      <c r="C34" s="14" t="s">
        <v>29</v>
      </c>
      <c r="D34" s="20">
        <f>'[1]1нед'!S158</f>
        <v>0</v>
      </c>
      <c r="E34" s="23">
        <f>'[1]1нед'!T158</f>
        <v>0</v>
      </c>
      <c r="F34" s="21">
        <f>'[1]1нед'!W158</f>
        <v>0</v>
      </c>
      <c r="G34" s="22">
        <f>'[1]1нед'!X158</f>
        <v>0</v>
      </c>
      <c r="H34" s="41"/>
      <c r="I34" s="60"/>
      <c r="J34" s="66"/>
      <c r="K34" s="14" t="s">
        <v>29</v>
      </c>
      <c r="L34" s="20">
        <f>'[1]2нед'!S158</f>
        <v>0</v>
      </c>
      <c r="M34" s="23">
        <f>'[1]2нед'!T158</f>
        <v>0</v>
      </c>
      <c r="N34" s="21">
        <f>'[1]2нед'!W158</f>
        <v>0</v>
      </c>
      <c r="O34" s="22">
        <f>'[1]2нед'!X158</f>
        <v>0</v>
      </c>
      <c r="P34" s="41"/>
    </row>
    <row r="35" spans="1:16" ht="18.600000000000001" hidden="1" thickBot="1">
      <c r="A35" s="61"/>
      <c r="B35" s="64"/>
      <c r="C35" s="15"/>
      <c r="D35" s="24">
        <f>'[1]1нед'!S159</f>
        <v>0</v>
      </c>
      <c r="E35" s="25">
        <f>'[1]1нед'!T159</f>
        <v>0</v>
      </c>
      <c r="F35" s="26">
        <f>'[1]1нед'!W159</f>
        <v>0</v>
      </c>
      <c r="G35" s="27">
        <f>'[1]1нед'!X159</f>
        <v>0</v>
      </c>
      <c r="H35" s="42"/>
      <c r="I35" s="61"/>
      <c r="J35" s="67"/>
      <c r="K35" s="15"/>
      <c r="L35" s="24">
        <f>'[1]2нед'!S159</f>
        <v>0</v>
      </c>
      <c r="M35" s="25">
        <f>'[1]2нед'!T159</f>
        <v>0</v>
      </c>
      <c r="N35" s="26">
        <f>'[1]2нед'!W159</f>
        <v>0</v>
      </c>
      <c r="O35" s="27">
        <f>'[1]2нед'!X159</f>
        <v>0</v>
      </c>
      <c r="P35" s="42"/>
    </row>
    <row r="36" spans="1:16" ht="48" customHeight="1" thickTop="1">
      <c r="A36" s="48">
        <v>45904</v>
      </c>
      <c r="B36" s="51" t="s">
        <v>3</v>
      </c>
      <c r="C36" s="28" t="s">
        <v>23</v>
      </c>
      <c r="D36" s="16">
        <f>'[1]1нед'!S160</f>
        <v>0</v>
      </c>
      <c r="E36" s="19">
        <f>'[1]1нед'!T160</f>
        <v>0</v>
      </c>
      <c r="F36" s="17">
        <f>'[1]1нед'!W160</f>
        <v>0</v>
      </c>
      <c r="G36" s="18">
        <f>'[1]1нед'!X160</f>
        <v>0</v>
      </c>
      <c r="H36" s="43"/>
      <c r="I36" s="48">
        <v>45911</v>
      </c>
      <c r="J36" s="56" t="s">
        <v>3</v>
      </c>
      <c r="K36" s="28" t="s">
        <v>23</v>
      </c>
      <c r="L36" s="16">
        <f>'[1]2нед'!S160</f>
        <v>0</v>
      </c>
      <c r="M36" s="19">
        <f>'[1]2нед'!T160</f>
        <v>0</v>
      </c>
      <c r="N36" s="17">
        <f>'[1]2нед'!W160</f>
        <v>0</v>
      </c>
      <c r="O36" s="18">
        <f>'[1]2нед'!X160</f>
        <v>0</v>
      </c>
      <c r="P36" s="43"/>
    </row>
    <row r="37" spans="1:16" ht="31.2">
      <c r="A37" s="49"/>
      <c r="B37" s="52"/>
      <c r="C37" s="14" t="s">
        <v>24</v>
      </c>
      <c r="D37" s="20" t="str">
        <f>'[1]1нед'!S161</f>
        <v>пр</v>
      </c>
      <c r="E37" s="23" t="str">
        <f>'[1]1нед'!T161</f>
        <v>Иностранный язык для специальных целей</v>
      </c>
      <c r="F37" s="21" t="str">
        <f>'[1]1нед'!W161</f>
        <v>Ермоленко И.И.</v>
      </c>
      <c r="G37" s="22" t="str">
        <f>'[1]1нед'!X161</f>
        <v>доцент, канд. наук</v>
      </c>
      <c r="H37" s="36" t="s">
        <v>30</v>
      </c>
      <c r="I37" s="54"/>
      <c r="J37" s="57"/>
      <c r="K37" s="14" t="s">
        <v>24</v>
      </c>
      <c r="L37" s="20" t="str">
        <f>'[1]2нед'!S161</f>
        <v>пр</v>
      </c>
      <c r="M37" s="23" t="str">
        <f>'[1]2нед'!T161</f>
        <v>Иностранный язык для специальных целей</v>
      </c>
      <c r="N37" s="21" t="str">
        <f>'[1]2нед'!W161</f>
        <v>Ермоленко И.И.</v>
      </c>
      <c r="O37" s="22" t="str">
        <f>'[1]2нед'!X161</f>
        <v>доцент, канд. наук</v>
      </c>
      <c r="P37" s="36" t="s">
        <v>30</v>
      </c>
    </row>
    <row r="38" spans="1:16" ht="31.2">
      <c r="A38" s="49"/>
      <c r="B38" s="52"/>
      <c r="C38" s="14" t="s">
        <v>25</v>
      </c>
      <c r="D38" s="20" t="str">
        <f>'[1]1нед'!S162</f>
        <v>л</v>
      </c>
      <c r="E38" s="23" t="str">
        <f>'[1]1нед'!T162</f>
        <v>Машинное обучение и анализ данных</v>
      </c>
      <c r="F38" s="21" t="str">
        <f>'[1]1нед'!W162</f>
        <v>Гришин И.Ю.</v>
      </c>
      <c r="G38" s="22" t="str">
        <f>'[1]1нед'!X162</f>
        <v>профессор, д-р наук</v>
      </c>
      <c r="H38" s="36" t="s">
        <v>31</v>
      </c>
      <c r="I38" s="54"/>
      <c r="J38" s="57"/>
      <c r="K38" s="14" t="s">
        <v>25</v>
      </c>
      <c r="L38" s="20" t="str">
        <f>'[1]2нед'!S162</f>
        <v>пр</v>
      </c>
      <c r="M38" s="23" t="str">
        <f>'[1]2нед'!T162</f>
        <v>Теория систем и системный анализ</v>
      </c>
      <c r="N38" s="21" t="str">
        <f>'[1]2нед'!W162</f>
        <v>Гришин И.Ю.</v>
      </c>
      <c r="O38" s="22" t="str">
        <f>'[1]2нед'!X162</f>
        <v>профессор, д-р наук</v>
      </c>
      <c r="P38" s="36" t="s">
        <v>31</v>
      </c>
    </row>
    <row r="39" spans="1:16" ht="31.2">
      <c r="A39" s="49"/>
      <c r="B39" s="52"/>
      <c r="C39" s="14" t="s">
        <v>26</v>
      </c>
      <c r="D39" s="20" t="str">
        <f>'[1]1нед'!S163</f>
        <v>л</v>
      </c>
      <c r="E39" s="23" t="str">
        <f>'[1]1нед'!T163</f>
        <v>Основы програмной инженерии</v>
      </c>
      <c r="F39" s="21" t="str">
        <f>'[1]1нед'!W163</f>
        <v>Круглый Д.Г.</v>
      </c>
      <c r="G39" s="22" t="str">
        <f>'[1]1нед'!X163</f>
        <v>профессор, д-р наук</v>
      </c>
      <c r="H39" s="36" t="s">
        <v>31</v>
      </c>
      <c r="I39" s="54"/>
      <c r="J39" s="57"/>
      <c r="K39" s="14" t="s">
        <v>26</v>
      </c>
      <c r="L39" s="20" t="str">
        <f>'[1]2нед'!S163</f>
        <v>пр</v>
      </c>
      <c r="M39" s="23" t="str">
        <f>'[1]2нед'!T163</f>
        <v>Теория систем и системный анализ</v>
      </c>
      <c r="N39" s="21" t="str">
        <f>'[1]2нед'!W163</f>
        <v>Гришин И.Ю.</v>
      </c>
      <c r="O39" s="22" t="str">
        <f>'[1]2нед'!X163</f>
        <v>профессор, д-р наук</v>
      </c>
      <c r="P39" s="46" t="s">
        <v>31</v>
      </c>
    </row>
    <row r="40" spans="1:16" ht="31.2">
      <c r="A40" s="49"/>
      <c r="B40" s="52"/>
      <c r="C40" s="14" t="s">
        <v>27</v>
      </c>
      <c r="D40" s="20">
        <f>'[1]1нед'!S164</f>
        <v>0</v>
      </c>
      <c r="E40" s="23">
        <f>'[1]1нед'!T164</f>
        <v>0</v>
      </c>
      <c r="F40" s="21">
        <f>'[1]1нед'!W164</f>
        <v>0</v>
      </c>
      <c r="G40" s="22">
        <f>'[1]1нед'!X164</f>
        <v>0</v>
      </c>
      <c r="H40" s="41"/>
      <c r="I40" s="54"/>
      <c r="J40" s="57"/>
      <c r="K40" s="14" t="s">
        <v>27</v>
      </c>
      <c r="L40" s="20">
        <f>'[1]2нед'!S164</f>
        <v>0</v>
      </c>
      <c r="M40" s="23">
        <f>'[1]2нед'!T164</f>
        <v>0</v>
      </c>
      <c r="N40" s="21">
        <f>'[1]2нед'!W164</f>
        <v>0</v>
      </c>
      <c r="O40" s="22">
        <f>'[1]2нед'!X164</f>
        <v>0</v>
      </c>
      <c r="P40" s="41"/>
    </row>
    <row r="41" spans="1:16" ht="31.2">
      <c r="A41" s="49"/>
      <c r="B41" s="52"/>
      <c r="C41" s="14" t="s">
        <v>28</v>
      </c>
      <c r="D41" s="20">
        <f>'[1]1нед'!S165</f>
        <v>0</v>
      </c>
      <c r="E41" s="23">
        <f>'[1]1нед'!T165</f>
        <v>0</v>
      </c>
      <c r="F41" s="21">
        <f>'[1]1нед'!W165</f>
        <v>0</v>
      </c>
      <c r="G41" s="22">
        <f>'[1]1нед'!X165</f>
        <v>0</v>
      </c>
      <c r="H41" s="41"/>
      <c r="I41" s="54"/>
      <c r="J41" s="57"/>
      <c r="K41" s="14" t="s">
        <v>28</v>
      </c>
      <c r="L41" s="20">
        <f>'[1]2нед'!S165</f>
        <v>0</v>
      </c>
      <c r="M41" s="23">
        <f>'[1]2нед'!T165</f>
        <v>0</v>
      </c>
      <c r="N41" s="21">
        <f>'[1]2нед'!W165</f>
        <v>0</v>
      </c>
      <c r="O41" s="22">
        <f>'[1]2нед'!X165</f>
        <v>0</v>
      </c>
      <c r="P41" s="41"/>
    </row>
    <row r="42" spans="1:16" ht="31.8" thickBot="1">
      <c r="A42" s="49"/>
      <c r="B42" s="52"/>
      <c r="C42" s="14" t="s">
        <v>29</v>
      </c>
      <c r="D42" s="20">
        <f>'[1]1нед'!S166</f>
        <v>0</v>
      </c>
      <c r="E42" s="23">
        <f>'[1]1нед'!T166</f>
        <v>0</v>
      </c>
      <c r="F42" s="21">
        <f>'[1]1нед'!W166</f>
        <v>0</v>
      </c>
      <c r="G42" s="22">
        <f>'[1]1нед'!X166</f>
        <v>0</v>
      </c>
      <c r="H42" s="41"/>
      <c r="I42" s="54"/>
      <c r="J42" s="57"/>
      <c r="K42" s="14" t="s">
        <v>29</v>
      </c>
      <c r="L42" s="20">
        <f>'[1]2нед'!S166</f>
        <v>0</v>
      </c>
      <c r="M42" s="23">
        <f>'[1]2нед'!T166</f>
        <v>0</v>
      </c>
      <c r="N42" s="21">
        <f>'[1]2нед'!W166</f>
        <v>0</v>
      </c>
      <c r="O42" s="22">
        <f>'[1]2нед'!X166</f>
        <v>0</v>
      </c>
      <c r="P42" s="41"/>
    </row>
    <row r="43" spans="1:16" ht="18.600000000000001" hidden="1" thickBot="1">
      <c r="A43" s="50"/>
      <c r="B43" s="53"/>
      <c r="C43" s="15"/>
      <c r="D43" s="24">
        <f>'[1]1нед'!S167</f>
        <v>0</v>
      </c>
      <c r="E43" s="25">
        <f>'[1]1нед'!T167</f>
        <v>0</v>
      </c>
      <c r="F43" s="26">
        <f>'[1]1нед'!W167</f>
        <v>0</v>
      </c>
      <c r="G43" s="27">
        <f>'[1]1нед'!X167</f>
        <v>0</v>
      </c>
      <c r="H43" s="42"/>
      <c r="I43" s="55"/>
      <c r="J43" s="58"/>
      <c r="K43" s="15"/>
      <c r="L43" s="24">
        <f>'[1]2нед'!S167</f>
        <v>0</v>
      </c>
      <c r="M43" s="25">
        <f>'[1]2нед'!T167</f>
        <v>0</v>
      </c>
      <c r="N43" s="26">
        <f>'[1]2нед'!W167</f>
        <v>0</v>
      </c>
      <c r="O43" s="27">
        <f>'[1]2нед'!X167</f>
        <v>0</v>
      </c>
      <c r="P43" s="42"/>
    </row>
    <row r="44" spans="1:16" ht="48" customHeight="1" thickTop="1">
      <c r="A44" s="48">
        <v>45905</v>
      </c>
      <c r="B44" s="51" t="s">
        <v>4</v>
      </c>
      <c r="C44" s="28" t="s">
        <v>23</v>
      </c>
      <c r="D44" s="16">
        <f>'[1]1нед'!S168</f>
        <v>0</v>
      </c>
      <c r="E44" s="19">
        <f>'[1]1нед'!T168</f>
        <v>0</v>
      </c>
      <c r="F44" s="17">
        <f>'[1]1нед'!W168</f>
        <v>0</v>
      </c>
      <c r="G44" s="18">
        <f>'[1]1нед'!X168</f>
        <v>0</v>
      </c>
      <c r="H44" s="43"/>
      <c r="I44" s="48">
        <v>45912</v>
      </c>
      <c r="J44" s="56" t="s">
        <v>4</v>
      </c>
      <c r="K44" s="28" t="s">
        <v>23</v>
      </c>
      <c r="L44" s="16">
        <f>'[1]2нед'!S168</f>
        <v>0</v>
      </c>
      <c r="M44" s="19">
        <f>'[1]2нед'!T168</f>
        <v>0</v>
      </c>
      <c r="N44" s="17">
        <f>'[1]2нед'!W168</f>
        <v>0</v>
      </c>
      <c r="O44" s="18">
        <f>'[1]2нед'!X168</f>
        <v>0</v>
      </c>
      <c r="P44" s="43"/>
    </row>
    <row r="45" spans="1:16" ht="31.2">
      <c r="A45" s="49"/>
      <c r="B45" s="52"/>
      <c r="C45" s="14" t="s">
        <v>24</v>
      </c>
      <c r="D45" s="20" t="str">
        <f>'[1]1нед'!S169</f>
        <v>л</v>
      </c>
      <c r="E45" s="23" t="str">
        <f>'[1]1нед'!T169</f>
        <v xml:space="preserve">Философия научного познания </v>
      </c>
      <c r="F45" s="21" t="str">
        <f>'[1]1нед'!W169</f>
        <v>Солодухин Д.В.</v>
      </c>
      <c r="G45" s="22" t="str">
        <f>'[1]1нед'!X169</f>
        <v>профессор, канд. наук</v>
      </c>
      <c r="H45" s="36" t="s">
        <v>32</v>
      </c>
      <c r="I45" s="54"/>
      <c r="J45" s="57"/>
      <c r="K45" s="14" t="s">
        <v>24</v>
      </c>
      <c r="L45" s="20" t="str">
        <f>'[1]2нед'!S169</f>
        <v>пр</v>
      </c>
      <c r="M45" s="23" t="str">
        <f>'[1]2нед'!T169</f>
        <v xml:space="preserve">Философия научного познания </v>
      </c>
      <c r="N45" s="21" t="str">
        <f>'[1]2нед'!W169</f>
        <v>Солодухин Д.В.</v>
      </c>
      <c r="O45" s="22" t="str">
        <f>'[1]2нед'!X169</f>
        <v>профессор, канд. наук</v>
      </c>
      <c r="P45" s="36" t="s">
        <v>34</v>
      </c>
    </row>
    <row r="46" spans="1:16" ht="36">
      <c r="A46" s="49"/>
      <c r="B46" s="52"/>
      <c r="C46" s="14" t="s">
        <v>25</v>
      </c>
      <c r="D46" s="20" t="str">
        <f>'[1]1нед'!S170</f>
        <v>л</v>
      </c>
      <c r="E46" s="23" t="str">
        <f>'[1]1нед'!T170</f>
        <v>Методология исследовательской деятельности</v>
      </c>
      <c r="F46" s="21" t="str">
        <f>'[1]1нед'!W170</f>
        <v>Гуменюк А.Ю.</v>
      </c>
      <c r="G46" s="22" t="str">
        <f>'[1]1нед'!X170</f>
        <v>доцент, канд. наук</v>
      </c>
      <c r="H46" s="36" t="s">
        <v>33</v>
      </c>
      <c r="I46" s="54"/>
      <c r="J46" s="57"/>
      <c r="K46" s="14" t="s">
        <v>25</v>
      </c>
      <c r="L46" s="20" t="str">
        <f>'[1]2нед'!S170</f>
        <v>пр</v>
      </c>
      <c r="M46" s="23" t="str">
        <f>'[1]2нед'!T170</f>
        <v>Методология исследовательской деятельности</v>
      </c>
      <c r="N46" s="21" t="str">
        <f>'[1]2нед'!W170</f>
        <v>Гуменюк А.Ю.</v>
      </c>
      <c r="O46" s="22" t="str">
        <f>'[1]2нед'!X170</f>
        <v>доцент, канд. наук</v>
      </c>
      <c r="P46" s="36" t="s">
        <v>35</v>
      </c>
    </row>
    <row r="47" spans="1:16" ht="31.2">
      <c r="A47" s="49"/>
      <c r="B47" s="52"/>
      <c r="C47" s="14" t="s">
        <v>26</v>
      </c>
      <c r="D47" s="20">
        <f>'[1]1нед'!S171</f>
        <v>0</v>
      </c>
      <c r="E47" s="23">
        <f>'[1]1нед'!T171</f>
        <v>0</v>
      </c>
      <c r="F47" s="21">
        <f>'[1]1нед'!W171</f>
        <v>0</v>
      </c>
      <c r="G47" s="22">
        <f>'[1]1нед'!X171</f>
        <v>0</v>
      </c>
      <c r="H47" s="41"/>
      <c r="I47" s="54"/>
      <c r="J47" s="57"/>
      <c r="K47" s="14" t="s">
        <v>26</v>
      </c>
      <c r="L47" s="20">
        <f>'[1]2нед'!S171</f>
        <v>0</v>
      </c>
      <c r="M47" s="23">
        <f>'[1]2нед'!T171</f>
        <v>0</v>
      </c>
      <c r="N47" s="21">
        <f>'[1]2нед'!W171</f>
        <v>0</v>
      </c>
      <c r="O47" s="22">
        <f>'[1]2нед'!X171</f>
        <v>0</v>
      </c>
      <c r="P47" s="41"/>
    </row>
    <row r="48" spans="1:16" ht="31.2">
      <c r="A48" s="49"/>
      <c r="B48" s="52"/>
      <c r="C48" s="14" t="s">
        <v>27</v>
      </c>
      <c r="D48" s="20">
        <f>'[1]1нед'!S172</f>
        <v>0</v>
      </c>
      <c r="E48" s="23">
        <f>'[1]1нед'!T172</f>
        <v>0</v>
      </c>
      <c r="F48" s="21">
        <f>'[1]1нед'!W172</f>
        <v>0</v>
      </c>
      <c r="G48" s="22">
        <f>'[1]1нед'!X172</f>
        <v>0</v>
      </c>
      <c r="H48" s="41"/>
      <c r="I48" s="54"/>
      <c r="J48" s="57"/>
      <c r="K48" s="14" t="s">
        <v>27</v>
      </c>
      <c r="L48" s="20">
        <f>'[1]2нед'!S172</f>
        <v>0</v>
      </c>
      <c r="M48" s="23">
        <f>'[1]2нед'!T172</f>
        <v>0</v>
      </c>
      <c r="N48" s="21">
        <f>'[1]2нед'!W172</f>
        <v>0</v>
      </c>
      <c r="O48" s="22">
        <f>'[1]2нед'!X172</f>
        <v>0</v>
      </c>
      <c r="P48" s="41"/>
    </row>
    <row r="49" spans="1:16" ht="31.2">
      <c r="A49" s="49"/>
      <c r="B49" s="52"/>
      <c r="C49" s="14" t="s">
        <v>28</v>
      </c>
      <c r="D49" s="20">
        <f>'[1]1нед'!S173</f>
        <v>0</v>
      </c>
      <c r="E49" s="23">
        <f>'[1]1нед'!T173</f>
        <v>0</v>
      </c>
      <c r="F49" s="21">
        <f>'[1]1нед'!W173</f>
        <v>0</v>
      </c>
      <c r="G49" s="22">
        <f>'[1]1нед'!X173</f>
        <v>0</v>
      </c>
      <c r="H49" s="41"/>
      <c r="I49" s="54"/>
      <c r="J49" s="57"/>
      <c r="K49" s="14" t="s">
        <v>28</v>
      </c>
      <c r="L49" s="20">
        <f>'[1]2нед'!S173</f>
        <v>0</v>
      </c>
      <c r="M49" s="23">
        <f>'[1]2нед'!T173</f>
        <v>0</v>
      </c>
      <c r="N49" s="21">
        <f>'[1]2нед'!W173</f>
        <v>0</v>
      </c>
      <c r="O49" s="22">
        <f>'[1]2нед'!X173</f>
        <v>0</v>
      </c>
      <c r="P49" s="41"/>
    </row>
    <row r="50" spans="1:16" ht="31.8" thickBot="1">
      <c r="A50" s="49"/>
      <c r="B50" s="52"/>
      <c r="C50" s="14" t="s">
        <v>29</v>
      </c>
      <c r="D50" s="20">
        <f>'[1]1нед'!S174</f>
        <v>0</v>
      </c>
      <c r="E50" s="23">
        <f>'[1]1нед'!T174</f>
        <v>0</v>
      </c>
      <c r="F50" s="21">
        <f>'[1]1нед'!W174</f>
        <v>0</v>
      </c>
      <c r="G50" s="22">
        <f>'[1]1нед'!X174</f>
        <v>0</v>
      </c>
      <c r="H50" s="41"/>
      <c r="I50" s="54"/>
      <c r="J50" s="57"/>
      <c r="K50" s="14" t="s">
        <v>29</v>
      </c>
      <c r="L50" s="20">
        <f>'[1]2нед'!S174</f>
        <v>0</v>
      </c>
      <c r="M50" s="23">
        <f>'[1]2нед'!T174</f>
        <v>0</v>
      </c>
      <c r="N50" s="21">
        <f>'[1]2нед'!W174</f>
        <v>0</v>
      </c>
      <c r="O50" s="22">
        <f>'[1]2нед'!X174</f>
        <v>0</v>
      </c>
      <c r="P50" s="41"/>
    </row>
    <row r="51" spans="1:16" ht="18.600000000000001" hidden="1" thickBot="1">
      <c r="A51" s="50"/>
      <c r="B51" s="53"/>
      <c r="C51" s="15"/>
      <c r="D51" s="24">
        <f>'[1]1нед'!S175</f>
        <v>0</v>
      </c>
      <c r="E51" s="25">
        <f>'[1]1нед'!T175</f>
        <v>0</v>
      </c>
      <c r="F51" s="26">
        <f>'[1]1нед'!W175</f>
        <v>0</v>
      </c>
      <c r="G51" s="27">
        <f>'[1]1нед'!X175</f>
        <v>0</v>
      </c>
      <c r="H51" s="42"/>
      <c r="I51" s="55"/>
      <c r="J51" s="58"/>
      <c r="K51" s="15"/>
      <c r="L51" s="24">
        <f>'[1]2нед'!S175</f>
        <v>0</v>
      </c>
      <c r="M51" s="25">
        <f>'[1]2нед'!T175</f>
        <v>0</v>
      </c>
      <c r="N51" s="26">
        <f>'[1]2нед'!W175</f>
        <v>0</v>
      </c>
      <c r="O51" s="27">
        <f>'[1]2нед'!X175</f>
        <v>0</v>
      </c>
      <c r="P51" s="42"/>
    </row>
    <row r="52" spans="1:16" ht="48" customHeight="1" thickTop="1">
      <c r="A52" s="48">
        <v>45906</v>
      </c>
      <c r="B52" s="51" t="s">
        <v>5</v>
      </c>
      <c r="C52" s="28" t="s">
        <v>23</v>
      </c>
      <c r="D52" s="16">
        <f>'[1]1нед'!S176</f>
        <v>0</v>
      </c>
      <c r="E52" s="19">
        <f>'[1]1нед'!T176</f>
        <v>0</v>
      </c>
      <c r="F52" s="17">
        <f>'[1]1нед'!W176</f>
        <v>0</v>
      </c>
      <c r="G52" s="18">
        <f>'[1]1нед'!X176</f>
        <v>0</v>
      </c>
      <c r="H52" s="43"/>
      <c r="I52" s="48">
        <v>45913</v>
      </c>
      <c r="J52" s="56" t="s">
        <v>5</v>
      </c>
      <c r="K52" s="28" t="s">
        <v>23</v>
      </c>
      <c r="L52" s="16">
        <f>'[1]2нед'!S176</f>
        <v>0</v>
      </c>
      <c r="M52" s="19">
        <f>'[1]2нед'!T176</f>
        <v>0</v>
      </c>
      <c r="N52" s="17">
        <f>'[1]2нед'!W176</f>
        <v>0</v>
      </c>
      <c r="O52" s="18">
        <f>'[1]2нед'!X176</f>
        <v>0</v>
      </c>
      <c r="P52" s="43"/>
    </row>
    <row r="53" spans="1:16" ht="31.2">
      <c r="A53" s="49"/>
      <c r="B53" s="52"/>
      <c r="C53" s="14" t="s">
        <v>24</v>
      </c>
      <c r="D53" s="20">
        <f>'[1]1нед'!S177</f>
        <v>0</v>
      </c>
      <c r="E53" s="23">
        <f>'[1]1нед'!T177</f>
        <v>0</v>
      </c>
      <c r="F53" s="21">
        <f>'[1]1нед'!W177</f>
        <v>0</v>
      </c>
      <c r="G53" s="22">
        <f>'[1]1нед'!X177</f>
        <v>0</v>
      </c>
      <c r="H53" s="41"/>
      <c r="I53" s="54"/>
      <c r="J53" s="57"/>
      <c r="K53" s="14" t="s">
        <v>24</v>
      </c>
      <c r="L53" s="20">
        <f>'[1]2нед'!S177</f>
        <v>0</v>
      </c>
      <c r="M53" s="23">
        <f>'[1]2нед'!T177</f>
        <v>0</v>
      </c>
      <c r="N53" s="21">
        <f>'[1]2нед'!W177</f>
        <v>0</v>
      </c>
      <c r="O53" s="22">
        <f>'[1]2нед'!X177</f>
        <v>0</v>
      </c>
      <c r="P53" s="41"/>
    </row>
    <row r="54" spans="1:16" ht="36">
      <c r="A54" s="49"/>
      <c r="B54" s="52"/>
      <c r="C54" s="14" t="s">
        <v>25</v>
      </c>
      <c r="D54" s="20">
        <f>'[1]1нед'!S178</f>
        <v>0</v>
      </c>
      <c r="E54" s="23">
        <f>'[1]1нед'!T178</f>
        <v>0</v>
      </c>
      <c r="F54" s="21">
        <f>'[1]1нед'!W178</f>
        <v>0</v>
      </c>
      <c r="G54" s="22">
        <f>'[1]1нед'!X178</f>
        <v>0</v>
      </c>
      <c r="H54" s="41"/>
      <c r="I54" s="54"/>
      <c r="J54" s="57"/>
      <c r="K54" s="14" t="s">
        <v>25</v>
      </c>
      <c r="L54" s="20" t="str">
        <f>'[1]2нед'!S178</f>
        <v>пр</v>
      </c>
      <c r="M54" s="23" t="str">
        <f>'[1]2нед'!T178</f>
        <v>Применение методов искусственного интеллекта в анализе данных и управлении</v>
      </c>
      <c r="N54" s="21" t="str">
        <f>'[1]2нед'!W178</f>
        <v>Гришин И.Ю.</v>
      </c>
      <c r="O54" s="22" t="str">
        <f>'[1]2нед'!X178</f>
        <v>профессор, д-р наук</v>
      </c>
      <c r="P54" s="46" t="s">
        <v>31</v>
      </c>
    </row>
    <row r="55" spans="1:16" ht="31.2">
      <c r="A55" s="49"/>
      <c r="B55" s="52"/>
      <c r="C55" s="14" t="s">
        <v>26</v>
      </c>
      <c r="D55" s="20">
        <f>'[1]1нед'!S179</f>
        <v>0</v>
      </c>
      <c r="E55" s="23">
        <f>'[1]1нед'!T179</f>
        <v>0</v>
      </c>
      <c r="F55" s="21">
        <f>'[1]1нед'!W179</f>
        <v>0</v>
      </c>
      <c r="G55" s="22">
        <f>'[1]1нед'!X179</f>
        <v>0</v>
      </c>
      <c r="H55" s="41"/>
      <c r="I55" s="54"/>
      <c r="J55" s="57"/>
      <c r="K55" s="14" t="s">
        <v>26</v>
      </c>
      <c r="L55" s="20" t="str">
        <f>'[1]2нед'!S179</f>
        <v>пр</v>
      </c>
      <c r="M55" s="23" t="str">
        <f>'[1]2нед'!T179</f>
        <v>Машинное обучение и анализ данных</v>
      </c>
      <c r="N55" s="21" t="str">
        <f>'[1]2нед'!W179</f>
        <v>Гришин И.Ю.</v>
      </c>
      <c r="O55" s="22" t="str">
        <f>'[1]2нед'!X179</f>
        <v>профессор, д-р наук</v>
      </c>
      <c r="P55" s="46" t="s">
        <v>31</v>
      </c>
    </row>
    <row r="56" spans="1:16" ht="31.2">
      <c r="A56" s="49"/>
      <c r="B56" s="52"/>
      <c r="C56" s="14" t="s">
        <v>27</v>
      </c>
      <c r="D56" s="20">
        <f>'[1]1нед'!S180</f>
        <v>0</v>
      </c>
      <c r="E56" s="23">
        <f>'[1]1нед'!T180</f>
        <v>0</v>
      </c>
      <c r="F56" s="21">
        <f>'[1]1нед'!W180</f>
        <v>0</v>
      </c>
      <c r="G56" s="22">
        <f>'[1]1нед'!X180</f>
        <v>0</v>
      </c>
      <c r="H56" s="41"/>
      <c r="I56" s="54"/>
      <c r="J56" s="57"/>
      <c r="K56" s="14" t="s">
        <v>27</v>
      </c>
      <c r="L56" s="20" t="str">
        <f>'[1]2нед'!S180</f>
        <v>пр</v>
      </c>
      <c r="M56" s="23" t="str">
        <f>'[1]2нед'!T180</f>
        <v>Машинное обучение и анализ данных</v>
      </c>
      <c r="N56" s="21" t="str">
        <f>'[1]2нед'!W180</f>
        <v>Гришин И.Ю.</v>
      </c>
      <c r="O56" s="22" t="str">
        <f>'[1]2нед'!X180</f>
        <v>профессор, д-р наук</v>
      </c>
      <c r="P56" s="46" t="s">
        <v>31</v>
      </c>
    </row>
    <row r="57" spans="1:16" ht="31.2">
      <c r="A57" s="49"/>
      <c r="B57" s="52"/>
      <c r="C57" s="14" t="s">
        <v>28</v>
      </c>
      <c r="D57" s="20">
        <f>'[1]1нед'!S181</f>
        <v>0</v>
      </c>
      <c r="E57" s="23">
        <f>'[1]1нед'!T181</f>
        <v>0</v>
      </c>
      <c r="F57" s="21">
        <f>'[1]1нед'!W181</f>
        <v>0</v>
      </c>
      <c r="G57" s="22">
        <f>'[1]1нед'!X181</f>
        <v>0</v>
      </c>
      <c r="H57" s="41"/>
      <c r="I57" s="54"/>
      <c r="J57" s="57"/>
      <c r="K57" s="14" t="s">
        <v>28</v>
      </c>
      <c r="L57" s="20">
        <f>'[1]2нед'!S181</f>
        <v>0</v>
      </c>
      <c r="M57" s="23">
        <f>'[1]2нед'!T181</f>
        <v>0</v>
      </c>
      <c r="N57" s="21">
        <f>'[1]2нед'!W181</f>
        <v>0</v>
      </c>
      <c r="O57" s="22">
        <f>'[1]2нед'!X181</f>
        <v>0</v>
      </c>
      <c r="P57" s="41"/>
    </row>
    <row r="58" spans="1:16" ht="31.8" thickBot="1">
      <c r="A58" s="49"/>
      <c r="B58" s="52"/>
      <c r="C58" s="14" t="s">
        <v>29</v>
      </c>
      <c r="D58" s="20">
        <f>'[1]1нед'!S182</f>
        <v>0</v>
      </c>
      <c r="E58" s="23">
        <f>'[1]1нед'!T182</f>
        <v>0</v>
      </c>
      <c r="F58" s="21">
        <f>'[1]1нед'!W182</f>
        <v>0</v>
      </c>
      <c r="G58" s="22">
        <f>'[1]1нед'!X182</f>
        <v>0</v>
      </c>
      <c r="H58" s="41"/>
      <c r="I58" s="54"/>
      <c r="J58" s="57"/>
      <c r="K58" s="14" t="s">
        <v>29</v>
      </c>
      <c r="L58" s="20">
        <f>'[1]2нед'!S182</f>
        <v>0</v>
      </c>
      <c r="M58" s="23">
        <f>'[1]2нед'!T182</f>
        <v>0</v>
      </c>
      <c r="N58" s="21">
        <f>'[1]2нед'!W182</f>
        <v>0</v>
      </c>
      <c r="O58" s="22">
        <f>'[1]2нед'!X182</f>
        <v>0</v>
      </c>
      <c r="P58" s="41"/>
    </row>
    <row r="59" spans="1:16" ht="18.600000000000001" hidden="1" thickBot="1">
      <c r="A59" s="50"/>
      <c r="B59" s="53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>
        <f>'[1]1нед'!X59</f>
        <v>0</v>
      </c>
      <c r="H59" s="42"/>
      <c r="I59" s="55"/>
      <c r="J59" s="58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>
        <f>'[1]2нед'!X59</f>
        <v>0</v>
      </c>
      <c r="P59" s="42"/>
    </row>
    <row r="60" spans="1:16" ht="39" customHeight="1" thickTop="1">
      <c r="A60" s="29"/>
      <c r="B60" s="30"/>
      <c r="C60" s="31"/>
      <c r="D60" s="32"/>
      <c r="E60" s="32" t="s">
        <v>21</v>
      </c>
      <c r="F60" s="32"/>
      <c r="G60" s="33" t="s">
        <v>22</v>
      </c>
      <c r="H60" s="44"/>
      <c r="I60" s="29"/>
      <c r="J60" s="30"/>
      <c r="K60" s="31"/>
      <c r="L60" s="32"/>
      <c r="M60" s="32" t="s">
        <v>21</v>
      </c>
      <c r="N60" s="32"/>
      <c r="O60" s="33" t="s">
        <v>22</v>
      </c>
      <c r="P60" s="44"/>
    </row>
    <row r="61" spans="1:16" ht="15.6">
      <c r="A61" s="1"/>
      <c r="B61" s="2"/>
      <c r="C61" s="3"/>
      <c r="D61" s="4"/>
      <c r="E61" s="4"/>
      <c r="F61" s="4"/>
      <c r="G61" s="4"/>
      <c r="H61" s="37" t="s">
        <v>8</v>
      </c>
      <c r="I61" s="1"/>
      <c r="J61" s="2"/>
      <c r="K61" s="3"/>
      <c r="L61" s="4"/>
      <c r="M61" s="4"/>
      <c r="N61" s="4"/>
      <c r="O61" s="4"/>
      <c r="P61" s="37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37" t="s">
        <v>9</v>
      </c>
      <c r="I62" s="1"/>
      <c r="J62" s="2"/>
      <c r="K62" s="3"/>
      <c r="L62" s="4"/>
      <c r="M62" s="4"/>
      <c r="N62" s="4"/>
      <c r="O62" s="4"/>
      <c r="P62" s="37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37" t="s">
        <v>10</v>
      </c>
      <c r="I63" s="1"/>
      <c r="J63" s="2"/>
      <c r="K63" s="3"/>
      <c r="L63" s="4"/>
      <c r="M63" s="4"/>
      <c r="N63" s="4"/>
      <c r="O63" s="4"/>
      <c r="P63" s="37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37" t="s">
        <v>11</v>
      </c>
      <c r="I64" s="1"/>
      <c r="J64" s="2"/>
      <c r="K64" s="3"/>
      <c r="L64" s="4"/>
      <c r="M64" s="4"/>
      <c r="N64" s="4"/>
      <c r="O64" s="4"/>
      <c r="P64" s="37" t="s">
        <v>11</v>
      </c>
    </row>
    <row r="65" spans="1:16" ht="15.6">
      <c r="A65" s="1"/>
      <c r="B65" s="5"/>
      <c r="C65" s="3"/>
      <c r="D65" s="4"/>
      <c r="E65" s="4"/>
      <c r="F65" s="4"/>
      <c r="G65" s="4"/>
      <c r="H65" s="38"/>
      <c r="I65" s="1"/>
      <c r="J65" s="5"/>
      <c r="K65" s="3"/>
      <c r="L65" s="4"/>
      <c r="M65" s="4"/>
      <c r="N65" s="4"/>
      <c r="O65" s="4"/>
      <c r="P65" s="38"/>
    </row>
    <row r="66" spans="1:16" ht="15.6">
      <c r="A66" s="1"/>
      <c r="B66" s="74" t="s">
        <v>12</v>
      </c>
      <c r="C66" s="74"/>
      <c r="D66" s="74"/>
      <c r="E66" s="74"/>
      <c r="F66" s="74"/>
      <c r="G66" s="74"/>
      <c r="H66" s="74"/>
      <c r="I66" s="1"/>
      <c r="J66" s="74" t="s">
        <v>12</v>
      </c>
      <c r="K66" s="74"/>
      <c r="L66" s="74"/>
      <c r="M66" s="74"/>
      <c r="N66" s="74"/>
      <c r="O66" s="74"/>
      <c r="P66" s="74"/>
    </row>
    <row r="67" spans="1:16" ht="15.6">
      <c r="A67" s="6"/>
      <c r="B67" s="34" t="str">
        <f>'[1]1нед'!$A$6</f>
        <v>Направление подготовки:</v>
      </c>
      <c r="C67" s="7"/>
      <c r="D67" s="8"/>
      <c r="E67" s="9" t="str">
        <f>E7</f>
        <v>09.04.04 Программная инженерия (Разработка программно-информационных систем)</v>
      </c>
      <c r="F67" s="8"/>
      <c r="G67" s="8"/>
      <c r="H67" s="39" t="str">
        <f>H7</f>
        <v>12-25РПм</v>
      </c>
      <c r="I67" s="6"/>
      <c r="J67" s="34" t="str">
        <f>'[1]1нед'!$A$6</f>
        <v>Направление подготовки:</v>
      </c>
      <c r="K67" s="7"/>
      <c r="L67" s="8"/>
      <c r="M67" s="9" t="str">
        <f>E7</f>
        <v>09.04.04 Программная инженерия (Разработка программно-информационных систем)</v>
      </c>
      <c r="N67" s="8"/>
      <c r="O67" s="8"/>
      <c r="P67" s="39" t="str">
        <f>H7</f>
        <v>12-25РПм</v>
      </c>
    </row>
    <row r="68" spans="1:16" ht="15.6">
      <c r="A68" s="1"/>
      <c r="B68" s="73" t="s">
        <v>13</v>
      </c>
      <c r="C68" s="73"/>
      <c r="D68" s="73"/>
      <c r="E68" s="73" t="str">
        <f>E8</f>
        <v>очная</v>
      </c>
      <c r="F68" s="73"/>
      <c r="G68" s="73"/>
      <c r="H68" s="73"/>
      <c r="I68" s="1"/>
      <c r="J68" s="73" t="s">
        <v>13</v>
      </c>
      <c r="K68" s="73"/>
      <c r="L68" s="73"/>
      <c r="M68" s="73" t="str">
        <f>E8</f>
        <v>очная</v>
      </c>
      <c r="N68" s="73"/>
      <c r="O68" s="73"/>
      <c r="P68" s="73"/>
    </row>
    <row r="69" spans="1:16" ht="15.6">
      <c r="A69" s="1"/>
      <c r="B69" s="73" t="s">
        <v>15</v>
      </c>
      <c r="C69" s="73"/>
      <c r="D69" s="73"/>
      <c r="E69" s="34">
        <f>E9</f>
        <v>1</v>
      </c>
      <c r="F69" s="34"/>
      <c r="G69" s="34"/>
      <c r="H69" s="38"/>
      <c r="I69" s="1"/>
      <c r="J69" s="73" t="s">
        <v>15</v>
      </c>
      <c r="K69" s="73"/>
      <c r="L69" s="73"/>
      <c r="M69" s="34">
        <f>E9</f>
        <v>1</v>
      </c>
      <c r="N69" s="34"/>
      <c r="O69" s="34"/>
      <c r="P69" s="38"/>
    </row>
    <row r="70" spans="1:16" ht="16.2" thickBot="1">
      <c r="A70" s="1"/>
      <c r="B70" s="70" t="s">
        <v>16</v>
      </c>
      <c r="C70" s="70"/>
      <c r="D70" s="70"/>
      <c r="E70" s="35">
        <f>M10+1</f>
        <v>3</v>
      </c>
      <c r="F70" s="35"/>
      <c r="G70" s="35"/>
      <c r="H70" s="40"/>
      <c r="I70" s="1"/>
      <c r="J70" s="70" t="s">
        <v>16</v>
      </c>
      <c r="K70" s="70"/>
      <c r="L70" s="70"/>
      <c r="M70" s="35">
        <f>E70+1</f>
        <v>4</v>
      </c>
      <c r="N70" s="35"/>
      <c r="O70" s="35"/>
      <c r="P70" s="40"/>
    </row>
    <row r="71" spans="1:16" ht="46.5" customHeight="1" thickTop="1" thickBot="1">
      <c r="A71" s="71" t="s">
        <v>17</v>
      </c>
      <c r="B71" s="72"/>
      <c r="C71" s="10" t="s">
        <v>18</v>
      </c>
      <c r="D71" s="11" t="s">
        <v>7</v>
      </c>
      <c r="E71" s="12" t="s">
        <v>19</v>
      </c>
      <c r="F71" s="68" t="s">
        <v>6</v>
      </c>
      <c r="G71" s="69"/>
      <c r="H71" s="13" t="s">
        <v>20</v>
      </c>
      <c r="I71" s="71" t="s">
        <v>17</v>
      </c>
      <c r="J71" s="72"/>
      <c r="K71" s="10" t="s">
        <v>18</v>
      </c>
      <c r="L71" s="11" t="s">
        <v>7</v>
      </c>
      <c r="M71" s="12" t="s">
        <v>19</v>
      </c>
      <c r="N71" s="68" t="s">
        <v>6</v>
      </c>
      <c r="O71" s="69"/>
      <c r="P71" s="13" t="s">
        <v>20</v>
      </c>
    </row>
    <row r="72" spans="1:16" ht="32.25" customHeight="1" thickTop="1">
      <c r="A72" s="48">
        <v>45915</v>
      </c>
      <c r="B72" s="51" t="s">
        <v>0</v>
      </c>
      <c r="C72" s="14" t="s">
        <v>23</v>
      </c>
      <c r="D72" s="16" t="str">
        <f>'[1]3нед'!S136</f>
        <v>пр</v>
      </c>
      <c r="E72" s="19" t="str">
        <f>'[1]3нед'!T136</f>
        <v>Теория систем и системный анализ</v>
      </c>
      <c r="F72" s="17" t="str">
        <f>'[1]3нед'!W136</f>
        <v>Гришин И.Ю.</v>
      </c>
      <c r="G72" s="18" t="str">
        <f>'[1]3нед'!X136</f>
        <v>профессор, д-р наук</v>
      </c>
      <c r="H72" s="47" t="s">
        <v>31</v>
      </c>
      <c r="I72" s="48">
        <v>45922</v>
      </c>
      <c r="J72" s="56" t="s">
        <v>0</v>
      </c>
      <c r="K72" s="14" t="s">
        <v>23</v>
      </c>
      <c r="L72" s="16" t="str">
        <f>'[1]4нед'!S136</f>
        <v>пр</v>
      </c>
      <c r="M72" s="19" t="str">
        <f>'[1]4нед'!T136</f>
        <v>Применение методов искусственного интеллекта в анализе данных и управлении</v>
      </c>
      <c r="N72" s="17" t="str">
        <f>'[1]4нед'!W136</f>
        <v>Гришин И.Ю.</v>
      </c>
      <c r="O72" s="18" t="str">
        <f>'[1]4нед'!X136</f>
        <v>профессор, д-р наук</v>
      </c>
      <c r="P72" s="47" t="s">
        <v>31</v>
      </c>
    </row>
    <row r="73" spans="1:16" ht="31.2">
      <c r="A73" s="49"/>
      <c r="B73" s="52"/>
      <c r="C73" s="14" t="s">
        <v>24</v>
      </c>
      <c r="D73" s="20" t="str">
        <f>'[1]3нед'!S137</f>
        <v>пр</v>
      </c>
      <c r="E73" s="23" t="str">
        <f>'[1]3нед'!T137</f>
        <v>Теория систем и системный анализ</v>
      </c>
      <c r="F73" s="21" t="str">
        <f>'[1]3нед'!W137</f>
        <v>Гришин И.Ю.</v>
      </c>
      <c r="G73" s="22" t="str">
        <f>'[1]3нед'!X137</f>
        <v>профессор, д-р наук</v>
      </c>
      <c r="H73" s="46" t="s">
        <v>31</v>
      </c>
      <c r="I73" s="54"/>
      <c r="J73" s="57"/>
      <c r="K73" s="14" t="s">
        <v>24</v>
      </c>
      <c r="L73" s="20" t="str">
        <f>'[1]4нед'!S137</f>
        <v>пр</v>
      </c>
      <c r="M73" s="23" t="str">
        <f>'[1]4нед'!T137</f>
        <v>Машинное обучение и анализ данных</v>
      </c>
      <c r="N73" s="21" t="str">
        <f>'[1]4нед'!W137</f>
        <v>Гришин И.Ю.</v>
      </c>
      <c r="O73" s="22" t="str">
        <f>'[1]4нед'!X137</f>
        <v>профессор, д-р наук</v>
      </c>
      <c r="P73" s="46" t="s">
        <v>31</v>
      </c>
    </row>
    <row r="74" spans="1:16" ht="31.2">
      <c r="A74" s="49"/>
      <c r="B74" s="52"/>
      <c r="C74" s="14" t="s">
        <v>25</v>
      </c>
      <c r="D74" s="20">
        <f>'[1]3нед'!S138</f>
        <v>0</v>
      </c>
      <c r="E74" s="23">
        <f>'[1]3нед'!T138</f>
        <v>0</v>
      </c>
      <c r="F74" s="21">
        <f>'[1]3нед'!W138</f>
        <v>0</v>
      </c>
      <c r="G74" s="22">
        <f>'[1]3нед'!X138</f>
        <v>0</v>
      </c>
      <c r="H74" s="41"/>
      <c r="I74" s="54"/>
      <c r="J74" s="57"/>
      <c r="K74" s="14" t="s">
        <v>25</v>
      </c>
      <c r="L74" s="20" t="str">
        <f>'[1]4нед'!S138</f>
        <v>пр</v>
      </c>
      <c r="M74" s="23" t="str">
        <f>'[1]4нед'!T138</f>
        <v>Управление ИТ-проектами</v>
      </c>
      <c r="N74" s="21" t="str">
        <f>'[1]4нед'!W138</f>
        <v>Линник И.И.</v>
      </c>
      <c r="O74" s="22" t="str">
        <f>'[1]4нед'!X138</f>
        <v>доцент, канд. наук</v>
      </c>
      <c r="P74" s="46" t="s">
        <v>31</v>
      </c>
    </row>
    <row r="75" spans="1:16" ht="31.2">
      <c r="A75" s="49"/>
      <c r="B75" s="52"/>
      <c r="C75" s="14" t="s">
        <v>26</v>
      </c>
      <c r="D75" s="20">
        <f>'[1]3нед'!S139</f>
        <v>0</v>
      </c>
      <c r="E75" s="23">
        <f>'[1]3нед'!T139</f>
        <v>0</v>
      </c>
      <c r="F75" s="21">
        <f>'[1]3нед'!W139</f>
        <v>0</v>
      </c>
      <c r="G75" s="22">
        <f>'[1]3нед'!X139</f>
        <v>0</v>
      </c>
      <c r="H75" s="41"/>
      <c r="I75" s="54"/>
      <c r="J75" s="57"/>
      <c r="K75" s="14" t="s">
        <v>26</v>
      </c>
      <c r="L75" s="20">
        <f>'[1]4нед'!S139</f>
        <v>0</v>
      </c>
      <c r="M75" s="23">
        <f>'[1]4нед'!T139</f>
        <v>0</v>
      </c>
      <c r="N75" s="21">
        <f>'[1]4нед'!W139</f>
        <v>0</v>
      </c>
      <c r="O75" s="22">
        <f>'[1]4нед'!X139</f>
        <v>0</v>
      </c>
      <c r="P75" s="41"/>
    </row>
    <row r="76" spans="1:16" ht="31.2">
      <c r="A76" s="49"/>
      <c r="B76" s="52"/>
      <c r="C76" s="14" t="s">
        <v>27</v>
      </c>
      <c r="D76" s="20">
        <f>'[1]3нед'!S140</f>
        <v>0</v>
      </c>
      <c r="E76" s="23">
        <f>'[1]3нед'!T140</f>
        <v>0</v>
      </c>
      <c r="F76" s="21">
        <f>'[1]3нед'!W140</f>
        <v>0</v>
      </c>
      <c r="G76" s="22">
        <f>'[1]3нед'!X140</f>
        <v>0</v>
      </c>
      <c r="H76" s="41"/>
      <c r="I76" s="54"/>
      <c r="J76" s="57"/>
      <c r="K76" s="14" t="s">
        <v>27</v>
      </c>
      <c r="L76" s="20">
        <f>'[1]4нед'!S140</f>
        <v>0</v>
      </c>
      <c r="M76" s="23">
        <f>'[1]4нед'!T140</f>
        <v>0</v>
      </c>
      <c r="N76" s="21">
        <f>'[1]4нед'!W140</f>
        <v>0</v>
      </c>
      <c r="O76" s="22">
        <f>'[1]4нед'!X140</f>
        <v>0</v>
      </c>
      <c r="P76" s="41"/>
    </row>
    <row r="77" spans="1:16" ht="31.2">
      <c r="A77" s="49"/>
      <c r="B77" s="52"/>
      <c r="C77" s="14" t="s">
        <v>28</v>
      </c>
      <c r="D77" s="20">
        <f>'[1]3нед'!S141</f>
        <v>0</v>
      </c>
      <c r="E77" s="23">
        <f>'[1]3нед'!T141</f>
        <v>0</v>
      </c>
      <c r="F77" s="21">
        <f>'[1]3нед'!W141</f>
        <v>0</v>
      </c>
      <c r="G77" s="22">
        <f>'[1]3нед'!X141</f>
        <v>0</v>
      </c>
      <c r="H77" s="41"/>
      <c r="I77" s="54"/>
      <c r="J77" s="57"/>
      <c r="K77" s="14" t="s">
        <v>28</v>
      </c>
      <c r="L77" s="20">
        <f>'[1]4нед'!S141</f>
        <v>0</v>
      </c>
      <c r="M77" s="23">
        <f>'[1]4нед'!T141</f>
        <v>0</v>
      </c>
      <c r="N77" s="21">
        <f>'[1]4нед'!W141</f>
        <v>0</v>
      </c>
      <c r="O77" s="22">
        <f>'[1]4нед'!X141</f>
        <v>0</v>
      </c>
      <c r="P77" s="41"/>
    </row>
    <row r="78" spans="1:16" ht="31.8" thickBot="1">
      <c r="A78" s="49"/>
      <c r="B78" s="52"/>
      <c r="C78" s="14" t="s">
        <v>29</v>
      </c>
      <c r="D78" s="20">
        <f>'[1]3нед'!S142</f>
        <v>0</v>
      </c>
      <c r="E78" s="23">
        <f>'[1]3нед'!T142</f>
        <v>0</v>
      </c>
      <c r="F78" s="21">
        <f>'[1]3нед'!W142</f>
        <v>0</v>
      </c>
      <c r="G78" s="22">
        <f>'[1]3нед'!X142</f>
        <v>0</v>
      </c>
      <c r="H78" s="41"/>
      <c r="I78" s="54"/>
      <c r="J78" s="57"/>
      <c r="K78" s="14" t="s">
        <v>29</v>
      </c>
      <c r="L78" s="20">
        <f>'[1]4нед'!S142</f>
        <v>0</v>
      </c>
      <c r="M78" s="23">
        <f>'[1]4нед'!T142</f>
        <v>0</v>
      </c>
      <c r="N78" s="21">
        <f>'[1]4нед'!W142</f>
        <v>0</v>
      </c>
      <c r="O78" s="22">
        <f>'[1]4нед'!X142</f>
        <v>0</v>
      </c>
      <c r="P78" s="41"/>
    </row>
    <row r="79" spans="1:16" ht="18.600000000000001" hidden="1" thickBot="1">
      <c r="A79" s="50"/>
      <c r="B79" s="53"/>
      <c r="C79" s="15"/>
      <c r="D79" s="24">
        <f>'[1]3нед'!S143</f>
        <v>0</v>
      </c>
      <c r="E79" s="25">
        <f>'[1]3нед'!T143</f>
        <v>0</v>
      </c>
      <c r="F79" s="26">
        <f>'[1]3нед'!W143</f>
        <v>0</v>
      </c>
      <c r="G79" s="27">
        <f>'[1]3нед'!X143</f>
        <v>0</v>
      </c>
      <c r="H79" s="42"/>
      <c r="I79" s="55"/>
      <c r="J79" s="58"/>
      <c r="K79" s="15"/>
      <c r="L79" s="24">
        <f>'[1]4нед'!S143</f>
        <v>0</v>
      </c>
      <c r="M79" s="25">
        <f>'[1]4нед'!T143</f>
        <v>0</v>
      </c>
      <c r="N79" s="26">
        <f>'[1]4нед'!W143</f>
        <v>0</v>
      </c>
      <c r="O79" s="27">
        <f>'[1]4нед'!X143</f>
        <v>0</v>
      </c>
      <c r="P79" s="42"/>
    </row>
    <row r="80" spans="1:16" ht="32.25" customHeight="1" thickTop="1">
      <c r="A80" s="48">
        <v>45916</v>
      </c>
      <c r="B80" s="51" t="s">
        <v>1</v>
      </c>
      <c r="C80" s="28" t="s">
        <v>23</v>
      </c>
      <c r="D80" s="16">
        <f>'[1]3нед'!S144</f>
        <v>0</v>
      </c>
      <c r="E80" s="19">
        <f>'[1]3нед'!T144</f>
        <v>0</v>
      </c>
      <c r="F80" s="17">
        <f>'[1]3нед'!W144</f>
        <v>0</v>
      </c>
      <c r="G80" s="18">
        <f>'[1]3нед'!X144</f>
        <v>0</v>
      </c>
      <c r="H80" s="43"/>
      <c r="I80" s="48">
        <v>45923</v>
      </c>
      <c r="J80" s="56" t="s">
        <v>1</v>
      </c>
      <c r="K80" s="28" t="s">
        <v>23</v>
      </c>
      <c r="L80" s="16" t="str">
        <f>'[1]4нед'!S144</f>
        <v>пр</v>
      </c>
      <c r="M80" s="19" t="str">
        <f>'[1]4нед'!T144</f>
        <v xml:space="preserve"> Основы програмной инженерии</v>
      </c>
      <c r="N80" s="17" t="str">
        <f>'[1]4нед'!W144</f>
        <v>Алешов В.В.</v>
      </c>
      <c r="O80" s="18" t="str">
        <f>'[1]4нед'!X144</f>
        <v>преподаватель</v>
      </c>
      <c r="P80" s="47" t="s">
        <v>31</v>
      </c>
    </row>
    <row r="81" spans="1:16" ht="31.2">
      <c r="A81" s="49"/>
      <c r="B81" s="52"/>
      <c r="C81" s="14" t="s">
        <v>24</v>
      </c>
      <c r="D81" s="20">
        <f>'[1]3нед'!S145</f>
        <v>0</v>
      </c>
      <c r="E81" s="23">
        <f>'[1]3нед'!T145</f>
        <v>0</v>
      </c>
      <c r="F81" s="21">
        <f>'[1]3нед'!W145</f>
        <v>0</v>
      </c>
      <c r="G81" s="22">
        <f>'[1]3нед'!X145</f>
        <v>0</v>
      </c>
      <c r="H81" s="41"/>
      <c r="I81" s="54"/>
      <c r="J81" s="57"/>
      <c r="K81" s="14" t="s">
        <v>24</v>
      </c>
      <c r="L81" s="20" t="str">
        <f>'[1]4нед'!S145</f>
        <v>пр</v>
      </c>
      <c r="M81" s="23" t="str">
        <f>'[1]4нед'!T145</f>
        <v xml:space="preserve"> Основы програмной инженерии</v>
      </c>
      <c r="N81" s="21" t="str">
        <f>'[1]4нед'!W145</f>
        <v>Алешов В.В.</v>
      </c>
      <c r="O81" s="22" t="str">
        <f>'[1]4нед'!X145</f>
        <v>преподаватель</v>
      </c>
      <c r="P81" s="46" t="s">
        <v>31</v>
      </c>
    </row>
    <row r="82" spans="1:16" ht="31.2">
      <c r="A82" s="49"/>
      <c r="B82" s="52"/>
      <c r="C82" s="14" t="s">
        <v>25</v>
      </c>
      <c r="D82" s="20" t="str">
        <f>'[1]3нед'!S146</f>
        <v>л</v>
      </c>
      <c r="E82" s="23" t="str">
        <f>'[1]3нед'!T146</f>
        <v>Теория систем и системный анализ</v>
      </c>
      <c r="F82" s="21" t="str">
        <f>'[1]3нед'!W146</f>
        <v>Гришин И.Ю.</v>
      </c>
      <c r="G82" s="22" t="str">
        <f>'[1]3нед'!X146</f>
        <v>профессор, д-р наук</v>
      </c>
      <c r="H82" s="36" t="s">
        <v>31</v>
      </c>
      <c r="I82" s="54"/>
      <c r="J82" s="57"/>
      <c r="K82" s="14" t="s">
        <v>25</v>
      </c>
      <c r="L82" s="20">
        <f>'[1]4нед'!S146</f>
        <v>0</v>
      </c>
      <c r="M82" s="23">
        <f>'[1]4нед'!T146</f>
        <v>0</v>
      </c>
      <c r="N82" s="21">
        <f>'[1]4нед'!W146</f>
        <v>0</v>
      </c>
      <c r="O82" s="22">
        <f>'[1]4нед'!X146</f>
        <v>0</v>
      </c>
      <c r="P82" s="41"/>
    </row>
    <row r="83" spans="1:16" ht="36">
      <c r="A83" s="49"/>
      <c r="B83" s="52"/>
      <c r="C83" s="14" t="s">
        <v>26</v>
      </c>
      <c r="D83" s="20" t="str">
        <f>'[1]3нед'!S147</f>
        <v>л</v>
      </c>
      <c r="E83" s="23" t="str">
        <f>'[1]3нед'!T147</f>
        <v>Применение методов искусственного интеллекта в анализе данных и управлении</v>
      </c>
      <c r="F83" s="21" t="str">
        <f>'[1]3нед'!W147</f>
        <v>Гришин И.Ю.</v>
      </c>
      <c r="G83" s="22" t="str">
        <f>'[1]3нед'!X147</f>
        <v>профессор, д-р наук</v>
      </c>
      <c r="H83" s="36" t="s">
        <v>31</v>
      </c>
      <c r="I83" s="54"/>
      <c r="J83" s="57"/>
      <c r="K83" s="14" t="s">
        <v>26</v>
      </c>
      <c r="L83" s="20">
        <f>'[1]4нед'!S147</f>
        <v>0</v>
      </c>
      <c r="M83" s="23">
        <f>'[1]4нед'!T147</f>
        <v>0</v>
      </c>
      <c r="N83" s="21">
        <f>'[1]4нед'!W147</f>
        <v>0</v>
      </c>
      <c r="O83" s="22">
        <f>'[1]4нед'!X147</f>
        <v>0</v>
      </c>
      <c r="P83" s="41"/>
    </row>
    <row r="84" spans="1:16" ht="31.2">
      <c r="A84" s="49"/>
      <c r="B84" s="52"/>
      <c r="C84" s="14" t="s">
        <v>27</v>
      </c>
      <c r="D84" s="20">
        <f>'[1]3нед'!S148</f>
        <v>0</v>
      </c>
      <c r="E84" s="23">
        <f>'[1]3нед'!T148</f>
        <v>0</v>
      </c>
      <c r="F84" s="21">
        <f>'[1]3нед'!W148</f>
        <v>0</v>
      </c>
      <c r="G84" s="22">
        <f>'[1]3нед'!X148</f>
        <v>0</v>
      </c>
      <c r="H84" s="41"/>
      <c r="I84" s="54"/>
      <c r="J84" s="57"/>
      <c r="K84" s="14" t="s">
        <v>27</v>
      </c>
      <c r="L84" s="20">
        <f>'[1]4нед'!S148</f>
        <v>0</v>
      </c>
      <c r="M84" s="23">
        <f>'[1]4нед'!T148</f>
        <v>0</v>
      </c>
      <c r="N84" s="21">
        <f>'[1]4нед'!W148</f>
        <v>0</v>
      </c>
      <c r="O84" s="22">
        <f>'[1]4нед'!X148</f>
        <v>0</v>
      </c>
      <c r="P84" s="41"/>
    </row>
    <row r="85" spans="1:16" ht="31.2">
      <c r="A85" s="49"/>
      <c r="B85" s="52"/>
      <c r="C85" s="14" t="s">
        <v>28</v>
      </c>
      <c r="D85" s="20">
        <f>'[1]3нед'!S149</f>
        <v>0</v>
      </c>
      <c r="E85" s="23">
        <f>'[1]3нед'!T149</f>
        <v>0</v>
      </c>
      <c r="F85" s="21">
        <f>'[1]3нед'!W149</f>
        <v>0</v>
      </c>
      <c r="G85" s="22">
        <f>'[1]3нед'!X149</f>
        <v>0</v>
      </c>
      <c r="H85" s="41"/>
      <c r="I85" s="54"/>
      <c r="J85" s="57"/>
      <c r="K85" s="14" t="s">
        <v>28</v>
      </c>
      <c r="L85" s="20">
        <f>'[1]4нед'!S149</f>
        <v>0</v>
      </c>
      <c r="M85" s="23">
        <f>'[1]4нед'!T149</f>
        <v>0</v>
      </c>
      <c r="N85" s="21">
        <f>'[1]4нед'!W149</f>
        <v>0</v>
      </c>
      <c r="O85" s="22">
        <f>'[1]4нед'!X149</f>
        <v>0</v>
      </c>
      <c r="P85" s="41"/>
    </row>
    <row r="86" spans="1:16" ht="31.8" thickBot="1">
      <c r="A86" s="49"/>
      <c r="B86" s="52"/>
      <c r="C86" s="14" t="s">
        <v>29</v>
      </c>
      <c r="D86" s="20">
        <f>'[1]3нед'!S150</f>
        <v>0</v>
      </c>
      <c r="E86" s="23">
        <f>'[1]3нед'!T150</f>
        <v>0</v>
      </c>
      <c r="F86" s="21">
        <f>'[1]3нед'!W150</f>
        <v>0</v>
      </c>
      <c r="G86" s="22">
        <f>'[1]3нед'!X150</f>
        <v>0</v>
      </c>
      <c r="H86" s="41"/>
      <c r="I86" s="54"/>
      <c r="J86" s="57"/>
      <c r="K86" s="14" t="s">
        <v>29</v>
      </c>
      <c r="L86" s="20">
        <f>'[1]4нед'!S150</f>
        <v>0</v>
      </c>
      <c r="M86" s="23">
        <f>'[1]4нед'!T150</f>
        <v>0</v>
      </c>
      <c r="N86" s="21">
        <f>'[1]4нед'!W150</f>
        <v>0</v>
      </c>
      <c r="O86" s="22">
        <f>'[1]4нед'!X150</f>
        <v>0</v>
      </c>
      <c r="P86" s="41"/>
    </row>
    <row r="87" spans="1:16" ht="18.600000000000001" hidden="1" thickBot="1">
      <c r="A87" s="50"/>
      <c r="B87" s="53"/>
      <c r="C87" s="15"/>
      <c r="D87" s="24">
        <f>'[1]3нед'!S151</f>
        <v>0</v>
      </c>
      <c r="E87" s="25">
        <f>'[1]3нед'!T151</f>
        <v>0</v>
      </c>
      <c r="F87" s="26">
        <f>'[1]3нед'!W151</f>
        <v>0</v>
      </c>
      <c r="G87" s="27">
        <f>'[1]3нед'!X151</f>
        <v>0</v>
      </c>
      <c r="H87" s="42"/>
      <c r="I87" s="55"/>
      <c r="J87" s="58"/>
      <c r="K87" s="15"/>
      <c r="L87" s="24">
        <f>'[1]4нед'!S151</f>
        <v>0</v>
      </c>
      <c r="M87" s="25">
        <f>'[1]4нед'!T151</f>
        <v>0</v>
      </c>
      <c r="N87" s="26">
        <f>'[1]4нед'!W151</f>
        <v>0</v>
      </c>
      <c r="O87" s="27">
        <f>'[1]4нед'!X151</f>
        <v>0</v>
      </c>
      <c r="P87" s="42"/>
    </row>
    <row r="88" spans="1:16" ht="48" customHeight="1" thickTop="1">
      <c r="A88" s="59">
        <v>45917</v>
      </c>
      <c r="B88" s="62" t="s">
        <v>2</v>
      </c>
      <c r="C88" s="28" t="s">
        <v>23</v>
      </c>
      <c r="D88" s="16">
        <f>'[1]3нед'!S152</f>
        <v>0</v>
      </c>
      <c r="E88" s="19">
        <f>'[1]3нед'!T152</f>
        <v>0</v>
      </c>
      <c r="F88" s="17">
        <f>'[1]3нед'!W152</f>
        <v>0</v>
      </c>
      <c r="G88" s="18">
        <f>'[1]3нед'!X152</f>
        <v>0</v>
      </c>
      <c r="H88" s="43"/>
      <c r="I88" s="59">
        <v>45924</v>
      </c>
      <c r="J88" s="65" t="s">
        <v>2</v>
      </c>
      <c r="K88" s="28" t="s">
        <v>23</v>
      </c>
      <c r="L88" s="16">
        <f>'[1]4нед'!S152</f>
        <v>0</v>
      </c>
      <c r="M88" s="19">
        <f>'[1]4нед'!T152</f>
        <v>0</v>
      </c>
      <c r="N88" s="17">
        <f>'[1]4нед'!W152</f>
        <v>0</v>
      </c>
      <c r="O88" s="18">
        <f>'[1]4нед'!X152</f>
        <v>0</v>
      </c>
      <c r="P88" s="43"/>
    </row>
    <row r="89" spans="1:16" ht="31.2">
      <c r="A89" s="60"/>
      <c r="B89" s="63"/>
      <c r="C89" s="14" t="s">
        <v>24</v>
      </c>
      <c r="D89" s="20">
        <f>'[1]3нед'!S153</f>
        <v>0</v>
      </c>
      <c r="E89" s="23">
        <f>'[1]3нед'!T153</f>
        <v>0</v>
      </c>
      <c r="F89" s="21">
        <f>'[1]3нед'!W153</f>
        <v>0</v>
      </c>
      <c r="G89" s="22">
        <f>'[1]3нед'!X153</f>
        <v>0</v>
      </c>
      <c r="H89" s="41"/>
      <c r="I89" s="60"/>
      <c r="J89" s="66"/>
      <c r="K89" s="14" t="s">
        <v>24</v>
      </c>
      <c r="L89" s="20" t="str">
        <f>'[1]4нед'!S153</f>
        <v>пр</v>
      </c>
      <c r="M89" s="23" t="str">
        <f>'[1]4нед'!T153</f>
        <v>Управление ИТ-проектами</v>
      </c>
      <c r="N89" s="21" t="str">
        <f>'[1]4нед'!W153</f>
        <v>Линник И.И.</v>
      </c>
      <c r="O89" s="22" t="str">
        <f>'[1]4нед'!X153</f>
        <v>доцент, канд. наук</v>
      </c>
      <c r="P89" s="46" t="s">
        <v>31</v>
      </c>
    </row>
    <row r="90" spans="1:16" ht="36">
      <c r="A90" s="60"/>
      <c r="B90" s="63"/>
      <c r="C90" s="14" t="s">
        <v>25</v>
      </c>
      <c r="D90" s="20" t="str">
        <f>'[1]3нед'!S154</f>
        <v>л</v>
      </c>
      <c r="E90" s="23" t="str">
        <f>'[1]3нед'!T154</f>
        <v>Теоретико-множественный и информационный анализ</v>
      </c>
      <c r="F90" s="21" t="str">
        <f>'[1]3нед'!W154</f>
        <v>Шерман М.И.</v>
      </c>
      <c r="G90" s="22" t="str">
        <f>'[1]3нед'!X154</f>
        <v>профессор, д-р наук</v>
      </c>
      <c r="H90" s="36" t="s">
        <v>31</v>
      </c>
      <c r="I90" s="60"/>
      <c r="J90" s="66"/>
      <c r="K90" s="14" t="s">
        <v>25</v>
      </c>
      <c r="L90" s="20" t="str">
        <f>'[1]4нед'!S154</f>
        <v>пр</v>
      </c>
      <c r="M90" s="23" t="str">
        <f>'[1]4нед'!T154</f>
        <v>Управление ИТ-проектами</v>
      </c>
      <c r="N90" s="21" t="str">
        <f>'[1]4нед'!W154</f>
        <v>Линник И.И.</v>
      </c>
      <c r="O90" s="22" t="str">
        <f>'[1]4нед'!X154</f>
        <v>доцент, канд. наук</v>
      </c>
      <c r="P90" s="46" t="s">
        <v>31</v>
      </c>
    </row>
    <row r="91" spans="1:16" ht="36">
      <c r="A91" s="60"/>
      <c r="B91" s="63"/>
      <c r="C91" s="14" t="s">
        <v>26</v>
      </c>
      <c r="D91" s="20" t="str">
        <f>'[1]3нед'!S155</f>
        <v>л</v>
      </c>
      <c r="E91" s="23" t="str">
        <f>'[1]3нед'!T155</f>
        <v>Управление ИТ-проектами</v>
      </c>
      <c r="F91" s="21" t="str">
        <f>'[1]3нед'!W155</f>
        <v>Линник И.И.</v>
      </c>
      <c r="G91" s="22" t="str">
        <f>'[1]3нед'!X155</f>
        <v>доцент, канд. наук</v>
      </c>
      <c r="H91" s="36" t="s">
        <v>31</v>
      </c>
      <c r="I91" s="60"/>
      <c r="J91" s="66"/>
      <c r="K91" s="14" t="s">
        <v>26</v>
      </c>
      <c r="L91" s="20" t="str">
        <f>'[1]4нед'!S155</f>
        <v>пр</v>
      </c>
      <c r="M91" s="23" t="str">
        <f>'[1]4нед'!T155</f>
        <v>Теоретико-множественный и информационный анализ</v>
      </c>
      <c r="N91" s="21" t="str">
        <f>'[1]4нед'!W155</f>
        <v>Шерман М.И.</v>
      </c>
      <c r="O91" s="22" t="str">
        <f>'[1]4нед'!X155</f>
        <v>профессор, д-р наук</v>
      </c>
      <c r="P91" s="46" t="s">
        <v>31</v>
      </c>
    </row>
    <row r="92" spans="1:16" ht="31.2">
      <c r="A92" s="60"/>
      <c r="B92" s="63"/>
      <c r="C92" s="14" t="s">
        <v>27</v>
      </c>
      <c r="D92" s="20">
        <f>'[1]3нед'!S156</f>
        <v>0</v>
      </c>
      <c r="E92" s="23">
        <f>'[1]3нед'!T156</f>
        <v>0</v>
      </c>
      <c r="F92" s="21">
        <f>'[1]3нед'!W156</f>
        <v>0</v>
      </c>
      <c r="G92" s="22">
        <f>'[1]3нед'!X156</f>
        <v>0</v>
      </c>
      <c r="H92" s="41"/>
      <c r="I92" s="60"/>
      <c r="J92" s="66"/>
      <c r="K92" s="14" t="s">
        <v>27</v>
      </c>
      <c r="L92" s="20">
        <f>'[1]4нед'!S156</f>
        <v>0</v>
      </c>
      <c r="M92" s="23">
        <f>'[1]4нед'!T156</f>
        <v>0</v>
      </c>
      <c r="N92" s="21">
        <f>'[1]4нед'!W156</f>
        <v>0</v>
      </c>
      <c r="O92" s="22">
        <f>'[1]4нед'!X156</f>
        <v>0</v>
      </c>
      <c r="P92" s="41"/>
    </row>
    <row r="93" spans="1:16" ht="31.2">
      <c r="A93" s="60"/>
      <c r="B93" s="63"/>
      <c r="C93" s="14" t="s">
        <v>28</v>
      </c>
      <c r="D93" s="20">
        <f>'[1]3нед'!S157</f>
        <v>0</v>
      </c>
      <c r="E93" s="23">
        <f>'[1]3нед'!T157</f>
        <v>0</v>
      </c>
      <c r="F93" s="21">
        <f>'[1]3нед'!W157</f>
        <v>0</v>
      </c>
      <c r="G93" s="22">
        <f>'[1]3нед'!X157</f>
        <v>0</v>
      </c>
      <c r="H93" s="41"/>
      <c r="I93" s="60"/>
      <c r="J93" s="66"/>
      <c r="K93" s="14" t="s">
        <v>28</v>
      </c>
      <c r="L93" s="20">
        <f>'[1]4нед'!S157</f>
        <v>0</v>
      </c>
      <c r="M93" s="23">
        <f>'[1]4нед'!T157</f>
        <v>0</v>
      </c>
      <c r="N93" s="21">
        <f>'[1]4нед'!W157</f>
        <v>0</v>
      </c>
      <c r="O93" s="22">
        <f>'[1]4нед'!X157</f>
        <v>0</v>
      </c>
      <c r="P93" s="41"/>
    </row>
    <row r="94" spans="1:16" ht="31.8" thickBot="1">
      <c r="A94" s="60"/>
      <c r="B94" s="63"/>
      <c r="C94" s="14" t="s">
        <v>29</v>
      </c>
      <c r="D94" s="20">
        <f>'[1]3нед'!S158</f>
        <v>0</v>
      </c>
      <c r="E94" s="23">
        <f>'[1]3нед'!T158</f>
        <v>0</v>
      </c>
      <c r="F94" s="21">
        <f>'[1]3нед'!W158</f>
        <v>0</v>
      </c>
      <c r="G94" s="22">
        <f>'[1]3нед'!X158</f>
        <v>0</v>
      </c>
      <c r="H94" s="41"/>
      <c r="I94" s="60"/>
      <c r="J94" s="66"/>
      <c r="K94" s="14" t="s">
        <v>29</v>
      </c>
      <c r="L94" s="20">
        <f>'[1]4нед'!S158</f>
        <v>0</v>
      </c>
      <c r="M94" s="23">
        <f>'[1]4нед'!T158</f>
        <v>0</v>
      </c>
      <c r="N94" s="21">
        <f>'[1]4нед'!W158</f>
        <v>0</v>
      </c>
      <c r="O94" s="22">
        <f>'[1]4нед'!X158</f>
        <v>0</v>
      </c>
      <c r="P94" s="41"/>
    </row>
    <row r="95" spans="1:16" ht="18.600000000000001" hidden="1" thickBot="1">
      <c r="A95" s="61"/>
      <c r="B95" s="64"/>
      <c r="C95" s="15"/>
      <c r="D95" s="24">
        <f>'[1]3нед'!S159</f>
        <v>0</v>
      </c>
      <c r="E95" s="25">
        <f>'[1]3нед'!T159</f>
        <v>0</v>
      </c>
      <c r="F95" s="26">
        <f>'[1]3нед'!W159</f>
        <v>0</v>
      </c>
      <c r="G95" s="27">
        <f>'[1]3нед'!X159</f>
        <v>0</v>
      </c>
      <c r="H95" s="42"/>
      <c r="I95" s="61"/>
      <c r="J95" s="67"/>
      <c r="K95" s="15"/>
      <c r="L95" s="24">
        <f>'[1]4нед'!S159</f>
        <v>0</v>
      </c>
      <c r="M95" s="25">
        <f>'[1]4нед'!T159</f>
        <v>0</v>
      </c>
      <c r="N95" s="26">
        <f>'[1]4нед'!W159</f>
        <v>0</v>
      </c>
      <c r="O95" s="27">
        <f>'[1]4нед'!X159</f>
        <v>0</v>
      </c>
      <c r="P95" s="42"/>
    </row>
    <row r="96" spans="1:16" ht="48" customHeight="1" thickTop="1">
      <c r="A96" s="48">
        <v>45918</v>
      </c>
      <c r="B96" s="51" t="s">
        <v>3</v>
      </c>
      <c r="C96" s="28" t="s">
        <v>23</v>
      </c>
      <c r="D96" s="16">
        <f>'[1]3нед'!S160</f>
        <v>0</v>
      </c>
      <c r="E96" s="19">
        <f>'[1]3нед'!T160</f>
        <v>0</v>
      </c>
      <c r="F96" s="17">
        <f>'[1]3нед'!W160</f>
        <v>0</v>
      </c>
      <c r="G96" s="18">
        <f>'[1]3нед'!X160</f>
        <v>0</v>
      </c>
      <c r="H96" s="43"/>
      <c r="I96" s="48">
        <v>45925</v>
      </c>
      <c r="J96" s="56" t="s">
        <v>3</v>
      </c>
      <c r="K96" s="28" t="s">
        <v>23</v>
      </c>
      <c r="L96" s="16">
        <f>'[1]4нед'!S160</f>
        <v>0</v>
      </c>
      <c r="M96" s="19">
        <f>'[1]4нед'!T160</f>
        <v>0</v>
      </c>
      <c r="N96" s="17">
        <f>'[1]4нед'!W160</f>
        <v>0</v>
      </c>
      <c r="O96" s="18">
        <f>'[1]4нед'!X160</f>
        <v>0</v>
      </c>
      <c r="P96" s="43"/>
    </row>
    <row r="97" spans="1:16" ht="31.2">
      <c r="A97" s="49"/>
      <c r="B97" s="52"/>
      <c r="C97" s="14" t="s">
        <v>24</v>
      </c>
      <c r="D97" s="20" t="str">
        <f>'[1]3нед'!S161</f>
        <v>пр</v>
      </c>
      <c r="E97" s="23" t="str">
        <f>'[1]3нед'!T161</f>
        <v>Иностранный язык для специальных целей</v>
      </c>
      <c r="F97" s="21" t="str">
        <f>'[1]3нед'!W161</f>
        <v>Ермоленко И.И.</v>
      </c>
      <c r="G97" s="22" t="str">
        <f>'[1]3нед'!X161</f>
        <v>доцент, канд. наук</v>
      </c>
      <c r="H97" s="36" t="s">
        <v>30</v>
      </c>
      <c r="I97" s="54"/>
      <c r="J97" s="57"/>
      <c r="K97" s="14" t="s">
        <v>24</v>
      </c>
      <c r="L97" s="20" t="str">
        <f>'[1]4нед'!S161</f>
        <v>пр</v>
      </c>
      <c r="M97" s="23" t="str">
        <f>'[1]4нед'!T161</f>
        <v>Иностранный язык для специальных целей</v>
      </c>
      <c r="N97" s="21" t="str">
        <f>'[1]4нед'!W161</f>
        <v>Ермоленко И.И.</v>
      </c>
      <c r="O97" s="22" t="str">
        <f>'[1]4нед'!X161</f>
        <v>доцент, канд. наук</v>
      </c>
      <c r="P97" s="36" t="s">
        <v>30</v>
      </c>
    </row>
    <row r="98" spans="1:16" ht="31.2">
      <c r="A98" s="49"/>
      <c r="B98" s="52"/>
      <c r="C98" s="14" t="s">
        <v>25</v>
      </c>
      <c r="D98" s="20" t="str">
        <f>'[1]3нед'!S162</f>
        <v>л</v>
      </c>
      <c r="E98" s="23" t="str">
        <f>'[1]3нед'!T162</f>
        <v>Машинное обучение и анализ данных</v>
      </c>
      <c r="F98" s="21" t="str">
        <f>'[1]3нед'!W162</f>
        <v>Гришин И.Ю.</v>
      </c>
      <c r="G98" s="22" t="str">
        <f>'[1]3нед'!X162</f>
        <v>профессор, д-р наук</v>
      </c>
      <c r="H98" s="36" t="s">
        <v>31</v>
      </c>
      <c r="I98" s="54"/>
      <c r="J98" s="57"/>
      <c r="K98" s="14" t="s">
        <v>25</v>
      </c>
      <c r="L98" s="20" t="str">
        <f>'[1]4нед'!S162</f>
        <v>пр</v>
      </c>
      <c r="M98" s="23" t="str">
        <f>'[1]4нед'!T162</f>
        <v>Теория систем и системный анализ</v>
      </c>
      <c r="N98" s="21" t="str">
        <f>'[1]4нед'!W162</f>
        <v>Гришин И.Ю.</v>
      </c>
      <c r="O98" s="22" t="str">
        <f>'[1]4нед'!X162</f>
        <v>профессор, д-р наук</v>
      </c>
      <c r="P98" s="46" t="s">
        <v>31</v>
      </c>
    </row>
    <row r="99" spans="1:16" ht="31.2">
      <c r="A99" s="49"/>
      <c r="B99" s="52"/>
      <c r="C99" s="14" t="s">
        <v>26</v>
      </c>
      <c r="D99" s="20" t="str">
        <f>'[1]3нед'!S163</f>
        <v>л</v>
      </c>
      <c r="E99" s="23" t="str">
        <f>'[1]3нед'!T163</f>
        <v>Основы програмной инженерии</v>
      </c>
      <c r="F99" s="21" t="str">
        <f>'[1]3нед'!W163</f>
        <v>Круглый Д.Г.</v>
      </c>
      <c r="G99" s="22" t="str">
        <f>'[1]3нед'!X163</f>
        <v>профессор, д-р наук</v>
      </c>
      <c r="H99" s="36" t="s">
        <v>31</v>
      </c>
      <c r="I99" s="54"/>
      <c r="J99" s="57"/>
      <c r="K99" s="14" t="s">
        <v>26</v>
      </c>
      <c r="L99" s="20" t="str">
        <f>'[1]4нед'!S163</f>
        <v>пр</v>
      </c>
      <c r="M99" s="23" t="str">
        <f>'[1]4нед'!T163</f>
        <v>Теория систем и системный анализ</v>
      </c>
      <c r="N99" s="21" t="str">
        <f>'[1]4нед'!W163</f>
        <v>Гришин И.Ю.</v>
      </c>
      <c r="O99" s="22" t="str">
        <f>'[1]4нед'!X163</f>
        <v>профессор, д-р наук</v>
      </c>
      <c r="P99" s="46" t="s">
        <v>31</v>
      </c>
    </row>
    <row r="100" spans="1:16" ht="31.2">
      <c r="A100" s="49"/>
      <c r="B100" s="52"/>
      <c r="C100" s="14" t="s">
        <v>27</v>
      </c>
      <c r="D100" s="20">
        <f>'[1]3нед'!S164</f>
        <v>0</v>
      </c>
      <c r="E100" s="23">
        <f>'[1]3нед'!T164</f>
        <v>0</v>
      </c>
      <c r="F100" s="21">
        <f>'[1]3нед'!W164</f>
        <v>0</v>
      </c>
      <c r="G100" s="22">
        <f>'[1]3нед'!X164</f>
        <v>0</v>
      </c>
      <c r="H100" s="41"/>
      <c r="I100" s="54"/>
      <c r="J100" s="57"/>
      <c r="K100" s="14" t="s">
        <v>27</v>
      </c>
      <c r="L100" s="20">
        <f>'[1]4нед'!S164</f>
        <v>0</v>
      </c>
      <c r="M100" s="23">
        <f>'[1]4нед'!T164</f>
        <v>0</v>
      </c>
      <c r="N100" s="21">
        <f>'[1]4нед'!W164</f>
        <v>0</v>
      </c>
      <c r="O100" s="22">
        <f>'[1]4нед'!X164</f>
        <v>0</v>
      </c>
      <c r="P100" s="41"/>
    </row>
    <row r="101" spans="1:16" ht="31.2">
      <c r="A101" s="49"/>
      <c r="B101" s="52"/>
      <c r="C101" s="14" t="s">
        <v>28</v>
      </c>
      <c r="D101" s="20">
        <f>'[1]3нед'!S165</f>
        <v>0</v>
      </c>
      <c r="E101" s="23">
        <f>'[1]3нед'!T165</f>
        <v>0</v>
      </c>
      <c r="F101" s="21">
        <f>'[1]3нед'!W165</f>
        <v>0</v>
      </c>
      <c r="G101" s="22">
        <f>'[1]3нед'!X165</f>
        <v>0</v>
      </c>
      <c r="H101" s="41"/>
      <c r="I101" s="54"/>
      <c r="J101" s="57"/>
      <c r="K101" s="14" t="s">
        <v>28</v>
      </c>
      <c r="L101" s="20">
        <f>'[1]4нед'!S165</f>
        <v>0</v>
      </c>
      <c r="M101" s="23">
        <f>'[1]4нед'!T165</f>
        <v>0</v>
      </c>
      <c r="N101" s="21">
        <f>'[1]4нед'!W165</f>
        <v>0</v>
      </c>
      <c r="O101" s="22">
        <f>'[1]4нед'!X165</f>
        <v>0</v>
      </c>
      <c r="P101" s="41"/>
    </row>
    <row r="102" spans="1:16" ht="31.8" thickBot="1">
      <c r="A102" s="49"/>
      <c r="B102" s="52"/>
      <c r="C102" s="14" t="s">
        <v>29</v>
      </c>
      <c r="D102" s="20">
        <f>'[1]3нед'!S166</f>
        <v>0</v>
      </c>
      <c r="E102" s="23">
        <f>'[1]3нед'!T166</f>
        <v>0</v>
      </c>
      <c r="F102" s="21">
        <f>'[1]3нед'!W166</f>
        <v>0</v>
      </c>
      <c r="G102" s="22">
        <f>'[1]3нед'!X166</f>
        <v>0</v>
      </c>
      <c r="H102" s="41"/>
      <c r="I102" s="54"/>
      <c r="J102" s="57"/>
      <c r="K102" s="14" t="s">
        <v>29</v>
      </c>
      <c r="L102" s="20">
        <f>'[1]4нед'!S166</f>
        <v>0</v>
      </c>
      <c r="M102" s="23">
        <f>'[1]4нед'!T166</f>
        <v>0</v>
      </c>
      <c r="N102" s="21">
        <f>'[1]4нед'!W166</f>
        <v>0</v>
      </c>
      <c r="O102" s="22">
        <f>'[1]4нед'!X166</f>
        <v>0</v>
      </c>
      <c r="P102" s="41"/>
    </row>
    <row r="103" spans="1:16" ht="18.600000000000001" hidden="1" thickBot="1">
      <c r="A103" s="50"/>
      <c r="B103" s="53"/>
      <c r="C103" s="15"/>
      <c r="D103" s="24">
        <f>'[1]3нед'!S167</f>
        <v>0</v>
      </c>
      <c r="E103" s="25">
        <f>'[1]3нед'!T167</f>
        <v>0</v>
      </c>
      <c r="F103" s="26">
        <f>'[1]3нед'!W167</f>
        <v>0</v>
      </c>
      <c r="G103" s="27">
        <f>'[1]3нед'!X167</f>
        <v>0</v>
      </c>
      <c r="H103" s="42"/>
      <c r="I103" s="55"/>
      <c r="J103" s="58"/>
      <c r="K103" s="15"/>
      <c r="L103" s="24">
        <f>'[1]4нед'!S167</f>
        <v>0</v>
      </c>
      <c r="M103" s="25">
        <f>'[1]4нед'!T167</f>
        <v>0</v>
      </c>
      <c r="N103" s="26">
        <f>'[1]4нед'!W167</f>
        <v>0</v>
      </c>
      <c r="O103" s="27">
        <f>'[1]4нед'!X167</f>
        <v>0</v>
      </c>
      <c r="P103" s="42"/>
    </row>
    <row r="104" spans="1:16" ht="48" customHeight="1" thickTop="1">
      <c r="A104" s="48">
        <v>45919</v>
      </c>
      <c r="B104" s="51" t="s">
        <v>4</v>
      </c>
      <c r="C104" s="28" t="s">
        <v>23</v>
      </c>
      <c r="D104" s="16">
        <f>'[1]3нед'!S168</f>
        <v>0</v>
      </c>
      <c r="E104" s="19">
        <f>'[1]3нед'!T168</f>
        <v>0</v>
      </c>
      <c r="F104" s="17">
        <f>'[1]3нед'!W168</f>
        <v>0</v>
      </c>
      <c r="G104" s="18">
        <f>'[1]3нед'!X168</f>
        <v>0</v>
      </c>
      <c r="H104" s="43"/>
      <c r="I104" s="48">
        <v>45926</v>
      </c>
      <c r="J104" s="56" t="s">
        <v>4</v>
      </c>
      <c r="K104" s="28" t="s">
        <v>23</v>
      </c>
      <c r="L104" s="16" t="str">
        <f>'[1]4нед'!S168</f>
        <v>пр</v>
      </c>
      <c r="M104" s="19" t="str">
        <f>'[1]4нед'!T168</f>
        <v>Управление ИТ-проектами</v>
      </c>
      <c r="N104" s="17" t="str">
        <f>'[1]4нед'!W168</f>
        <v>Линник И.И.</v>
      </c>
      <c r="O104" s="18" t="str">
        <f>'[1]4нед'!X168</f>
        <v>доцент, канд. наук</v>
      </c>
      <c r="P104" s="43"/>
    </row>
    <row r="105" spans="1:16" ht="31.2">
      <c r="A105" s="49"/>
      <c r="B105" s="52"/>
      <c r="C105" s="14" t="s">
        <v>24</v>
      </c>
      <c r="D105" s="20" t="str">
        <f>'[1]3нед'!S169</f>
        <v>л</v>
      </c>
      <c r="E105" s="23" t="str">
        <f>'[1]3нед'!T169</f>
        <v xml:space="preserve">Философия научного познания </v>
      </c>
      <c r="F105" s="21" t="str">
        <f>'[1]3нед'!W169</f>
        <v>Солодухин Д.В.</v>
      </c>
      <c r="G105" s="22" t="str">
        <f>'[1]3нед'!X169</f>
        <v>профессор, канд. наук</v>
      </c>
      <c r="H105" s="36" t="s">
        <v>32</v>
      </c>
      <c r="I105" s="54"/>
      <c r="J105" s="57"/>
      <c r="K105" s="14" t="s">
        <v>24</v>
      </c>
      <c r="L105" s="20" t="str">
        <f>'[1]4нед'!S169</f>
        <v>пр</v>
      </c>
      <c r="M105" s="23" t="str">
        <f>'[1]4нед'!T169</f>
        <v xml:space="preserve">Философия научного познания </v>
      </c>
      <c r="N105" s="21" t="str">
        <f>'[1]4нед'!W169</f>
        <v>Солодухин Д.В.</v>
      </c>
      <c r="O105" s="22" t="str">
        <f>'[1]4нед'!X169</f>
        <v>профессор, канд. наук</v>
      </c>
      <c r="P105" s="36" t="s">
        <v>34</v>
      </c>
    </row>
    <row r="106" spans="1:16" ht="36">
      <c r="A106" s="49"/>
      <c r="B106" s="52"/>
      <c r="C106" s="14" t="s">
        <v>25</v>
      </c>
      <c r="D106" s="20" t="str">
        <f>'[1]3нед'!S170</f>
        <v>л</v>
      </c>
      <c r="E106" s="23" t="str">
        <f>'[1]3нед'!T170</f>
        <v>Методология исследовательской деятельности</v>
      </c>
      <c r="F106" s="21" t="str">
        <f>'[1]3нед'!W170</f>
        <v>Гуменюк А.Ю.</v>
      </c>
      <c r="G106" s="22" t="str">
        <f>'[1]3нед'!X170</f>
        <v>доцент, канд. наук</v>
      </c>
      <c r="H106" s="36" t="s">
        <v>33</v>
      </c>
      <c r="I106" s="54"/>
      <c r="J106" s="57"/>
      <c r="K106" s="14" t="s">
        <v>25</v>
      </c>
      <c r="L106" s="20" t="str">
        <f>'[1]4нед'!S170</f>
        <v>пр</v>
      </c>
      <c r="M106" s="23" t="str">
        <f>'[1]4нед'!T170</f>
        <v>Методология исследовательской деятельности</v>
      </c>
      <c r="N106" s="21" t="str">
        <f>'[1]4нед'!W170</f>
        <v>Гуменюк А.Ю.</v>
      </c>
      <c r="O106" s="22" t="str">
        <f>'[1]4нед'!X170</f>
        <v>доцент, канд. наук</v>
      </c>
      <c r="P106" s="36" t="s">
        <v>35</v>
      </c>
    </row>
    <row r="107" spans="1:16" ht="31.2">
      <c r="A107" s="49"/>
      <c r="B107" s="52"/>
      <c r="C107" s="14" t="s">
        <v>26</v>
      </c>
      <c r="D107" s="20">
        <f>'[1]3нед'!S171</f>
        <v>0</v>
      </c>
      <c r="E107" s="23">
        <f>'[1]3нед'!T171</f>
        <v>0</v>
      </c>
      <c r="F107" s="21">
        <f>'[1]3нед'!W171</f>
        <v>0</v>
      </c>
      <c r="G107" s="22">
        <f>'[1]3нед'!X171</f>
        <v>0</v>
      </c>
      <c r="H107" s="41"/>
      <c r="I107" s="54"/>
      <c r="J107" s="57"/>
      <c r="K107" s="14" t="s">
        <v>26</v>
      </c>
      <c r="L107" s="20">
        <f>'[1]4нед'!S171</f>
        <v>0</v>
      </c>
      <c r="M107" s="23">
        <f>'[1]4нед'!T171</f>
        <v>0</v>
      </c>
      <c r="N107" s="21">
        <f>'[1]4нед'!W171</f>
        <v>0</v>
      </c>
      <c r="O107" s="22">
        <f>'[1]4нед'!X171</f>
        <v>0</v>
      </c>
      <c r="P107" s="41"/>
    </row>
    <row r="108" spans="1:16" ht="31.2">
      <c r="A108" s="49"/>
      <c r="B108" s="52"/>
      <c r="C108" s="14" t="s">
        <v>27</v>
      </c>
      <c r="D108" s="20">
        <f>'[1]3нед'!S172</f>
        <v>0</v>
      </c>
      <c r="E108" s="23">
        <f>'[1]3нед'!T172</f>
        <v>0</v>
      </c>
      <c r="F108" s="21">
        <f>'[1]3нед'!W172</f>
        <v>0</v>
      </c>
      <c r="G108" s="22">
        <f>'[1]3нед'!X172</f>
        <v>0</v>
      </c>
      <c r="H108" s="41"/>
      <c r="I108" s="54"/>
      <c r="J108" s="57"/>
      <c r="K108" s="14" t="s">
        <v>27</v>
      </c>
      <c r="L108" s="20">
        <f>'[1]4нед'!S172</f>
        <v>0</v>
      </c>
      <c r="M108" s="23">
        <f>'[1]4нед'!T172</f>
        <v>0</v>
      </c>
      <c r="N108" s="21">
        <f>'[1]4нед'!W172</f>
        <v>0</v>
      </c>
      <c r="O108" s="22">
        <f>'[1]4нед'!X172</f>
        <v>0</v>
      </c>
      <c r="P108" s="41"/>
    </row>
    <row r="109" spans="1:16" ht="31.2">
      <c r="A109" s="49"/>
      <c r="B109" s="52"/>
      <c r="C109" s="14" t="s">
        <v>28</v>
      </c>
      <c r="D109" s="20">
        <f>'[1]3нед'!S173</f>
        <v>0</v>
      </c>
      <c r="E109" s="23">
        <f>'[1]3нед'!T173</f>
        <v>0</v>
      </c>
      <c r="F109" s="21">
        <f>'[1]3нед'!W173</f>
        <v>0</v>
      </c>
      <c r="G109" s="22">
        <f>'[1]3нед'!X173</f>
        <v>0</v>
      </c>
      <c r="H109" s="41"/>
      <c r="I109" s="54"/>
      <c r="J109" s="57"/>
      <c r="K109" s="14" t="s">
        <v>28</v>
      </c>
      <c r="L109" s="20">
        <f>'[1]4нед'!S173</f>
        <v>0</v>
      </c>
      <c r="M109" s="23">
        <f>'[1]4нед'!T173</f>
        <v>0</v>
      </c>
      <c r="N109" s="21">
        <f>'[1]4нед'!W173</f>
        <v>0</v>
      </c>
      <c r="O109" s="22">
        <f>'[1]4нед'!X173</f>
        <v>0</v>
      </c>
      <c r="P109" s="41"/>
    </row>
    <row r="110" spans="1:16" ht="31.8" thickBot="1">
      <c r="A110" s="49"/>
      <c r="B110" s="52"/>
      <c r="C110" s="14" t="s">
        <v>29</v>
      </c>
      <c r="D110" s="20">
        <f>'[1]3нед'!S174</f>
        <v>0</v>
      </c>
      <c r="E110" s="23">
        <f>'[1]3нед'!T174</f>
        <v>0</v>
      </c>
      <c r="F110" s="21">
        <f>'[1]3нед'!W174</f>
        <v>0</v>
      </c>
      <c r="G110" s="22">
        <f>'[1]3нед'!X174</f>
        <v>0</v>
      </c>
      <c r="H110" s="41"/>
      <c r="I110" s="54"/>
      <c r="J110" s="57"/>
      <c r="K110" s="14" t="s">
        <v>29</v>
      </c>
      <c r="L110" s="20">
        <f>'[1]4нед'!S174</f>
        <v>0</v>
      </c>
      <c r="M110" s="23">
        <f>'[1]4нед'!T174</f>
        <v>0</v>
      </c>
      <c r="N110" s="21">
        <f>'[1]4нед'!W174</f>
        <v>0</v>
      </c>
      <c r="O110" s="22">
        <f>'[1]4нед'!X174</f>
        <v>0</v>
      </c>
      <c r="P110" s="41"/>
    </row>
    <row r="111" spans="1:16" ht="18.600000000000001" hidden="1" thickBot="1">
      <c r="A111" s="50"/>
      <c r="B111" s="53"/>
      <c r="C111" s="15"/>
      <c r="D111" s="24">
        <f>'[1]3нед'!S175</f>
        <v>0</v>
      </c>
      <c r="E111" s="25">
        <f>'[1]3нед'!T175</f>
        <v>0</v>
      </c>
      <c r="F111" s="26">
        <f>'[1]3нед'!W175</f>
        <v>0</v>
      </c>
      <c r="G111" s="27">
        <f>'[1]3нед'!X175</f>
        <v>0</v>
      </c>
      <c r="H111" s="42"/>
      <c r="I111" s="55"/>
      <c r="J111" s="58"/>
      <c r="K111" s="15"/>
      <c r="L111" s="24">
        <f>'[1]4нед'!S175</f>
        <v>0</v>
      </c>
      <c r="M111" s="25">
        <f>'[1]4нед'!T175</f>
        <v>0</v>
      </c>
      <c r="N111" s="26">
        <f>'[1]4нед'!W175</f>
        <v>0</v>
      </c>
      <c r="O111" s="27">
        <f>'[1]4нед'!X175</f>
        <v>0</v>
      </c>
      <c r="P111" s="42"/>
    </row>
    <row r="112" spans="1:16" ht="48" customHeight="1" thickTop="1">
      <c r="A112" s="48">
        <v>45920</v>
      </c>
      <c r="B112" s="51" t="s">
        <v>5</v>
      </c>
      <c r="C112" s="28" t="s">
        <v>23</v>
      </c>
      <c r="D112" s="16">
        <f>'[1]3нед'!S176</f>
        <v>0</v>
      </c>
      <c r="E112" s="19">
        <f>'[1]3нед'!T176</f>
        <v>0</v>
      </c>
      <c r="F112" s="17">
        <f>'[1]3нед'!W176</f>
        <v>0</v>
      </c>
      <c r="G112" s="18">
        <f>'[1]3нед'!X176</f>
        <v>0</v>
      </c>
      <c r="H112" s="43"/>
      <c r="I112" s="48">
        <v>45927</v>
      </c>
      <c r="J112" s="56" t="s">
        <v>5</v>
      </c>
      <c r="K112" s="28" t="s">
        <v>23</v>
      </c>
      <c r="L112" s="16">
        <f>'[1]4нед'!S176</f>
        <v>0</v>
      </c>
      <c r="M112" s="19">
        <f>'[1]4нед'!T176</f>
        <v>0</v>
      </c>
      <c r="N112" s="17">
        <f>'[1]4нед'!W176</f>
        <v>0</v>
      </c>
      <c r="O112" s="18">
        <f>'[1]4нед'!X176</f>
        <v>0</v>
      </c>
      <c r="P112" s="43"/>
    </row>
    <row r="113" spans="1:16" ht="31.2">
      <c r="A113" s="49"/>
      <c r="B113" s="52"/>
      <c r="C113" s="14" t="s">
        <v>24</v>
      </c>
      <c r="D113" s="20">
        <f>'[1]3нед'!S177</f>
        <v>0</v>
      </c>
      <c r="E113" s="23">
        <f>'[1]3нед'!T177</f>
        <v>0</v>
      </c>
      <c r="F113" s="21">
        <f>'[1]3нед'!W177</f>
        <v>0</v>
      </c>
      <c r="G113" s="22">
        <f>'[1]3нед'!X177</f>
        <v>0</v>
      </c>
      <c r="H113" s="41"/>
      <c r="I113" s="54"/>
      <c r="J113" s="57"/>
      <c r="K113" s="14" t="s">
        <v>24</v>
      </c>
      <c r="L113" s="20">
        <f>'[1]4нед'!S177</f>
        <v>0</v>
      </c>
      <c r="M113" s="23">
        <f>'[1]4нед'!T177</f>
        <v>0</v>
      </c>
      <c r="N113" s="21">
        <f>'[1]4нед'!W177</f>
        <v>0</v>
      </c>
      <c r="O113" s="22">
        <f>'[1]4нед'!X177</f>
        <v>0</v>
      </c>
      <c r="P113" s="41"/>
    </row>
    <row r="114" spans="1:16" ht="36">
      <c r="A114" s="49"/>
      <c r="B114" s="52"/>
      <c r="C114" s="14" t="s">
        <v>25</v>
      </c>
      <c r="D114" s="20">
        <f>'[1]3нед'!S178</f>
        <v>0</v>
      </c>
      <c r="E114" s="23">
        <f>'[1]3нед'!T178</f>
        <v>0</v>
      </c>
      <c r="F114" s="21">
        <f>'[1]3нед'!W178</f>
        <v>0</v>
      </c>
      <c r="G114" s="22">
        <f>'[1]3нед'!X178</f>
        <v>0</v>
      </c>
      <c r="H114" s="41"/>
      <c r="I114" s="54"/>
      <c r="J114" s="57"/>
      <c r="K114" s="14" t="s">
        <v>25</v>
      </c>
      <c r="L114" s="20" t="str">
        <f>'[1]4нед'!S178</f>
        <v>пр</v>
      </c>
      <c r="M114" s="23" t="str">
        <f>'[1]4нед'!T178</f>
        <v>Применение методов искусственного интеллекта в анализе данных и управлении</v>
      </c>
      <c r="N114" s="21" t="str">
        <f>'[1]4нед'!W178</f>
        <v>Гришин И.Ю.</v>
      </c>
      <c r="O114" s="22" t="str">
        <f>'[1]4нед'!X178</f>
        <v>профессор, д-р наук</v>
      </c>
      <c r="P114" s="46" t="s">
        <v>31</v>
      </c>
    </row>
    <row r="115" spans="1:16" ht="31.2">
      <c r="A115" s="49"/>
      <c r="B115" s="52"/>
      <c r="C115" s="14" t="s">
        <v>26</v>
      </c>
      <c r="D115" s="20">
        <f>'[1]3нед'!S179</f>
        <v>0</v>
      </c>
      <c r="E115" s="23">
        <f>'[1]3нед'!T179</f>
        <v>0</v>
      </c>
      <c r="F115" s="21">
        <f>'[1]3нед'!W179</f>
        <v>0</v>
      </c>
      <c r="G115" s="22">
        <f>'[1]3нед'!X179</f>
        <v>0</v>
      </c>
      <c r="H115" s="41"/>
      <c r="I115" s="54"/>
      <c r="J115" s="57"/>
      <c r="K115" s="14" t="s">
        <v>26</v>
      </c>
      <c r="L115" s="20" t="str">
        <f>'[1]4нед'!S179</f>
        <v>пр</v>
      </c>
      <c r="M115" s="23" t="str">
        <f>'[1]4нед'!T179</f>
        <v>Машинное обучение и анализ данных</v>
      </c>
      <c r="N115" s="21" t="str">
        <f>'[1]4нед'!W179</f>
        <v>Гришин И.Ю.</v>
      </c>
      <c r="O115" s="22" t="str">
        <f>'[1]4нед'!X179</f>
        <v>профессор, д-р наук</v>
      </c>
      <c r="P115" s="46" t="s">
        <v>31</v>
      </c>
    </row>
    <row r="116" spans="1:16" ht="31.2">
      <c r="A116" s="49"/>
      <c r="B116" s="52"/>
      <c r="C116" s="14" t="s">
        <v>27</v>
      </c>
      <c r="D116" s="20">
        <f>'[1]3нед'!S180</f>
        <v>0</v>
      </c>
      <c r="E116" s="23">
        <f>'[1]3нед'!T180</f>
        <v>0</v>
      </c>
      <c r="F116" s="21">
        <f>'[1]3нед'!W180</f>
        <v>0</v>
      </c>
      <c r="G116" s="22">
        <f>'[1]3нед'!X180</f>
        <v>0</v>
      </c>
      <c r="H116" s="41"/>
      <c r="I116" s="54"/>
      <c r="J116" s="57"/>
      <c r="K116" s="14" t="s">
        <v>27</v>
      </c>
      <c r="L116" s="20" t="str">
        <f>'[1]4нед'!S180</f>
        <v>пр</v>
      </c>
      <c r="M116" s="23" t="str">
        <f>'[1]4нед'!T180</f>
        <v>Машинное обучение и анализ данных</v>
      </c>
      <c r="N116" s="21" t="str">
        <f>'[1]4нед'!W180</f>
        <v>Гришин И.Ю.</v>
      </c>
      <c r="O116" s="22" t="str">
        <f>'[1]4нед'!X180</f>
        <v>профессор, д-р наук</v>
      </c>
      <c r="P116" s="46" t="s">
        <v>31</v>
      </c>
    </row>
    <row r="117" spans="1:16" ht="31.2">
      <c r="A117" s="49"/>
      <c r="B117" s="52"/>
      <c r="C117" s="14" t="s">
        <v>28</v>
      </c>
      <c r="D117" s="20">
        <f>'[1]3нед'!S181</f>
        <v>0</v>
      </c>
      <c r="E117" s="23">
        <f>'[1]3нед'!T181</f>
        <v>0</v>
      </c>
      <c r="F117" s="21">
        <f>'[1]3нед'!W181</f>
        <v>0</v>
      </c>
      <c r="G117" s="22">
        <f>'[1]3нед'!X181</f>
        <v>0</v>
      </c>
      <c r="H117" s="41"/>
      <c r="I117" s="54"/>
      <c r="J117" s="57"/>
      <c r="K117" s="14" t="s">
        <v>28</v>
      </c>
      <c r="L117" s="20">
        <f>'[1]4нед'!S181</f>
        <v>0</v>
      </c>
      <c r="M117" s="23">
        <f>'[1]4нед'!T181</f>
        <v>0</v>
      </c>
      <c r="N117" s="21">
        <f>'[1]4нед'!W181</f>
        <v>0</v>
      </c>
      <c r="O117" s="22">
        <f>'[1]4нед'!X181</f>
        <v>0</v>
      </c>
      <c r="P117" s="41"/>
    </row>
    <row r="118" spans="1:16" ht="31.8" thickBot="1">
      <c r="A118" s="49"/>
      <c r="B118" s="52"/>
      <c r="C118" s="14" t="s">
        <v>29</v>
      </c>
      <c r="D118" s="20">
        <f>'[1]3нед'!S182</f>
        <v>0</v>
      </c>
      <c r="E118" s="23">
        <f>'[1]3нед'!T182</f>
        <v>0</v>
      </c>
      <c r="F118" s="21">
        <f>'[1]3нед'!W182</f>
        <v>0</v>
      </c>
      <c r="G118" s="22">
        <f>'[1]3нед'!X182</f>
        <v>0</v>
      </c>
      <c r="H118" s="41"/>
      <c r="I118" s="54"/>
      <c r="J118" s="57"/>
      <c r="K118" s="14" t="s">
        <v>29</v>
      </c>
      <c r="L118" s="20">
        <f>'[1]4нед'!S182</f>
        <v>0</v>
      </c>
      <c r="M118" s="23">
        <f>'[1]4нед'!T182</f>
        <v>0</v>
      </c>
      <c r="N118" s="21">
        <f>'[1]4нед'!W182</f>
        <v>0</v>
      </c>
      <c r="O118" s="22">
        <f>'[1]4нед'!X182</f>
        <v>0</v>
      </c>
      <c r="P118" s="41"/>
    </row>
    <row r="119" spans="1:16" ht="18.600000000000001" hidden="1" thickBot="1">
      <c r="A119" s="50"/>
      <c r="B119" s="53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>
        <f>'[1]3нед'!X59</f>
        <v>0</v>
      </c>
      <c r="H119" s="42"/>
      <c r="I119" s="55"/>
      <c r="J119" s="58"/>
      <c r="K119" s="15"/>
      <c r="L119" s="24">
        <f>'[1]4нед'!S183</f>
        <v>0</v>
      </c>
      <c r="M119" s="25">
        <f>'[1]4нед'!T183</f>
        <v>0</v>
      </c>
      <c r="N119" s="26">
        <f>'[1]4нед'!W183</f>
        <v>0</v>
      </c>
      <c r="O119" s="27">
        <f>'[1]4нед'!X183</f>
        <v>0</v>
      </c>
      <c r="P119" s="42"/>
    </row>
    <row r="120" spans="1:16" ht="39" customHeight="1" thickTop="1">
      <c r="A120" s="29"/>
      <c r="B120" s="30"/>
      <c r="C120" s="31"/>
      <c r="D120" s="32"/>
      <c r="E120" s="32" t="s">
        <v>21</v>
      </c>
      <c r="F120" s="32"/>
      <c r="G120" s="33" t="s">
        <v>22</v>
      </c>
      <c r="H120" s="44"/>
      <c r="I120" s="29"/>
      <c r="J120" s="30"/>
      <c r="K120" s="31"/>
      <c r="L120" s="32"/>
      <c r="M120" s="32" t="s">
        <v>21</v>
      </c>
      <c r="N120" s="32"/>
      <c r="O120" s="33" t="s">
        <v>22</v>
      </c>
      <c r="P120" s="44"/>
    </row>
    <row r="121" spans="1:16" ht="15.6">
      <c r="A121" s="1"/>
      <c r="B121" s="2"/>
      <c r="C121" s="3"/>
      <c r="D121" s="4"/>
      <c r="E121" s="4"/>
      <c r="F121" s="4"/>
      <c r="G121" s="4"/>
      <c r="H121" s="37" t="s">
        <v>8</v>
      </c>
      <c r="I121" s="1"/>
      <c r="J121" s="2"/>
      <c r="K121" s="3"/>
      <c r="L121" s="4"/>
      <c r="M121" s="4"/>
      <c r="N121" s="4"/>
      <c r="O121" s="4"/>
      <c r="P121" s="37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37" t="s">
        <v>9</v>
      </c>
      <c r="I122" s="1"/>
      <c r="J122" s="2"/>
      <c r="K122" s="3"/>
      <c r="L122" s="4"/>
      <c r="M122" s="4"/>
      <c r="N122" s="4"/>
      <c r="O122" s="4"/>
      <c r="P122" s="37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37" t="s">
        <v>10</v>
      </c>
      <c r="I123" s="1"/>
      <c r="J123" s="2"/>
      <c r="K123" s="3"/>
      <c r="L123" s="4"/>
      <c r="M123" s="4"/>
      <c r="N123" s="4"/>
      <c r="O123" s="4"/>
      <c r="P123" s="37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37" t="s">
        <v>11</v>
      </c>
      <c r="I124" s="1"/>
      <c r="J124" s="2"/>
      <c r="K124" s="3"/>
      <c r="L124" s="4"/>
      <c r="M124" s="4"/>
      <c r="N124" s="4"/>
      <c r="O124" s="4"/>
      <c r="P124" s="37" t="s">
        <v>11</v>
      </c>
    </row>
    <row r="125" spans="1:16" ht="15.6">
      <c r="A125" s="1"/>
      <c r="B125" s="5"/>
      <c r="C125" s="3"/>
      <c r="D125" s="4"/>
      <c r="E125" s="4"/>
      <c r="F125" s="4"/>
      <c r="G125" s="4"/>
      <c r="H125" s="38"/>
      <c r="I125" s="1"/>
      <c r="J125" s="5"/>
      <c r="K125" s="3"/>
      <c r="L125" s="4"/>
      <c r="M125" s="4"/>
      <c r="N125" s="4"/>
      <c r="O125" s="4"/>
      <c r="P125" s="38"/>
    </row>
    <row r="126" spans="1:16" ht="15.6">
      <c r="A126" s="1"/>
      <c r="B126" s="74" t="s">
        <v>12</v>
      </c>
      <c r="C126" s="74"/>
      <c r="D126" s="74"/>
      <c r="E126" s="74"/>
      <c r="F126" s="74"/>
      <c r="G126" s="74"/>
      <c r="H126" s="74"/>
      <c r="I126" s="1"/>
      <c r="J126" s="74" t="s">
        <v>12</v>
      </c>
      <c r="K126" s="74"/>
      <c r="L126" s="74"/>
      <c r="M126" s="74"/>
      <c r="N126" s="74"/>
      <c r="O126" s="74"/>
      <c r="P126" s="74"/>
    </row>
    <row r="127" spans="1:16" ht="15.6">
      <c r="A127" s="6"/>
      <c r="B127" s="34" t="str">
        <f>'[1]1нед'!$A$6</f>
        <v>Направление подготовки:</v>
      </c>
      <c r="C127" s="7"/>
      <c r="D127" s="8"/>
      <c r="E127" s="9" t="str">
        <f>E7</f>
        <v>09.04.04 Программная инженерия (Разработка программно-информационных систем)</v>
      </c>
      <c r="F127" s="8"/>
      <c r="G127" s="8"/>
      <c r="H127" s="39" t="str">
        <f>H7</f>
        <v>12-25РПм</v>
      </c>
      <c r="I127" s="6"/>
      <c r="J127" s="34" t="str">
        <f>'[1]1нед'!$A$6</f>
        <v>Направление подготовки:</v>
      </c>
      <c r="K127" s="7"/>
      <c r="L127" s="8"/>
      <c r="M127" s="9" t="str">
        <f>E7</f>
        <v>09.04.04 Программная инженерия (Разработка программно-информационных систем)</v>
      </c>
      <c r="N127" s="8"/>
      <c r="O127" s="8"/>
      <c r="P127" s="39" t="str">
        <f>H7</f>
        <v>12-25РПм</v>
      </c>
    </row>
    <row r="128" spans="1:16" ht="15.6">
      <c r="A128" s="1"/>
      <c r="B128" s="73" t="s">
        <v>13</v>
      </c>
      <c r="C128" s="73"/>
      <c r="D128" s="73"/>
      <c r="E128" s="73" t="str">
        <f>E8</f>
        <v>очная</v>
      </c>
      <c r="F128" s="73"/>
      <c r="G128" s="73"/>
      <c r="H128" s="73"/>
      <c r="I128" s="1"/>
      <c r="J128" s="73" t="s">
        <v>13</v>
      </c>
      <c r="K128" s="73"/>
      <c r="L128" s="73"/>
      <c r="M128" s="73" t="str">
        <f t="shared" ref="M128" si="1">E8</f>
        <v>очная</v>
      </c>
      <c r="N128" s="73"/>
      <c r="O128" s="73"/>
      <c r="P128" s="73"/>
    </row>
    <row r="129" spans="1:16" ht="15.6">
      <c r="A129" s="1"/>
      <c r="B129" s="73" t="s">
        <v>15</v>
      </c>
      <c r="C129" s="73"/>
      <c r="D129" s="73"/>
      <c r="E129" s="34">
        <f>E9</f>
        <v>1</v>
      </c>
      <c r="F129" s="34"/>
      <c r="G129" s="34"/>
      <c r="H129" s="38"/>
      <c r="I129" s="1"/>
      <c r="J129" s="73" t="s">
        <v>15</v>
      </c>
      <c r="K129" s="73"/>
      <c r="L129" s="73"/>
      <c r="M129" s="34">
        <f>E9</f>
        <v>1</v>
      </c>
      <c r="N129" s="34"/>
      <c r="O129" s="34"/>
      <c r="P129" s="38"/>
    </row>
    <row r="130" spans="1:16" ht="16.2" thickBot="1">
      <c r="A130" s="1"/>
      <c r="B130" s="70" t="s">
        <v>16</v>
      </c>
      <c r="C130" s="70"/>
      <c r="D130" s="70"/>
      <c r="E130" s="35">
        <f>M70+1</f>
        <v>5</v>
      </c>
      <c r="F130" s="35"/>
      <c r="G130" s="35"/>
      <c r="H130" s="40"/>
      <c r="I130" s="1"/>
      <c r="J130" s="70" t="s">
        <v>16</v>
      </c>
      <c r="K130" s="70"/>
      <c r="L130" s="70"/>
      <c r="M130" s="35">
        <f>E130+1</f>
        <v>6</v>
      </c>
      <c r="N130" s="35"/>
      <c r="O130" s="35"/>
      <c r="P130" s="40"/>
    </row>
    <row r="131" spans="1:16" ht="46.5" customHeight="1" thickTop="1" thickBot="1">
      <c r="A131" s="71" t="s">
        <v>17</v>
      </c>
      <c r="B131" s="72"/>
      <c r="C131" s="10" t="s">
        <v>18</v>
      </c>
      <c r="D131" s="11" t="s">
        <v>7</v>
      </c>
      <c r="E131" s="12" t="s">
        <v>19</v>
      </c>
      <c r="F131" s="68" t="s">
        <v>6</v>
      </c>
      <c r="G131" s="69"/>
      <c r="H131" s="13" t="s">
        <v>20</v>
      </c>
      <c r="I131" s="71" t="s">
        <v>17</v>
      </c>
      <c r="J131" s="72"/>
      <c r="K131" s="10" t="s">
        <v>18</v>
      </c>
      <c r="L131" s="11" t="s">
        <v>7</v>
      </c>
      <c r="M131" s="12" t="s">
        <v>19</v>
      </c>
      <c r="N131" s="68" t="s">
        <v>6</v>
      </c>
      <c r="O131" s="69"/>
      <c r="P131" s="13" t="s">
        <v>20</v>
      </c>
    </row>
    <row r="132" spans="1:16" ht="34.950000000000003" customHeight="1" thickTop="1">
      <c r="A132" s="48">
        <v>45929</v>
      </c>
      <c r="B132" s="51" t="s">
        <v>0</v>
      </c>
      <c r="C132" s="14" t="s">
        <v>23</v>
      </c>
      <c r="D132" s="16" t="str">
        <f>'[2]5нед'!S136</f>
        <v>пр</v>
      </c>
      <c r="E132" s="19" t="str">
        <f>'[2]5нед'!T136</f>
        <v>Теория систем и системный анализ</v>
      </c>
      <c r="F132" s="17" t="str">
        <f>'[2]5нед'!W136</f>
        <v>Гришин И.Ю.</v>
      </c>
      <c r="G132" s="18" t="str">
        <f>'[2]5нед'!X136</f>
        <v>профессор, д-р наук</v>
      </c>
      <c r="H132" s="47" t="s">
        <v>31</v>
      </c>
      <c r="I132" s="48">
        <v>45936</v>
      </c>
      <c r="J132" s="56" t="s">
        <v>0</v>
      </c>
      <c r="K132" s="14" t="s">
        <v>23</v>
      </c>
      <c r="L132" s="16" t="str">
        <f>'[2]6нед'!S136</f>
        <v>пр</v>
      </c>
      <c r="M132" s="19" t="str">
        <f>'[2]6нед'!T136</f>
        <v>Применение методов искусственного интеллекта в анализе данных и управлении</v>
      </c>
      <c r="N132" s="17" t="str">
        <f>'[2]6нед'!W136</f>
        <v>Гришин И.Ю.</v>
      </c>
      <c r="O132" s="18" t="str">
        <f>'[2]6нед'!X136</f>
        <v>профессор, д-р наук</v>
      </c>
      <c r="P132" s="36" t="s">
        <v>31</v>
      </c>
    </row>
    <row r="133" spans="1:16" ht="31.2">
      <c r="A133" s="49"/>
      <c r="B133" s="52"/>
      <c r="C133" s="14" t="s">
        <v>24</v>
      </c>
      <c r="D133" s="20" t="str">
        <f>'[2]5нед'!S137</f>
        <v>пр</v>
      </c>
      <c r="E133" s="23" t="str">
        <f>'[2]5нед'!T137</f>
        <v>Теория систем и системный анализ</v>
      </c>
      <c r="F133" s="21" t="str">
        <f>'[2]5нед'!W137</f>
        <v>Гришин И.Ю.</v>
      </c>
      <c r="G133" s="22" t="str">
        <f>'[2]5нед'!X137</f>
        <v>профессор, д-р наук</v>
      </c>
      <c r="H133" s="46" t="s">
        <v>31</v>
      </c>
      <c r="I133" s="54"/>
      <c r="J133" s="57"/>
      <c r="K133" s="14" t="s">
        <v>24</v>
      </c>
      <c r="L133" s="20" t="str">
        <f>'[2]6нед'!S137</f>
        <v>пр</v>
      </c>
      <c r="M133" s="23" t="str">
        <f>'[2]6нед'!T137</f>
        <v>Машинное обучение и анализ данных</v>
      </c>
      <c r="N133" s="21" t="str">
        <f>'[2]6нед'!W137</f>
        <v>Гришин И.Ю.</v>
      </c>
      <c r="O133" s="22" t="str">
        <f>'[2]6нед'!X137</f>
        <v>профессор, д-р наук</v>
      </c>
      <c r="P133" s="36" t="s">
        <v>31</v>
      </c>
    </row>
    <row r="134" spans="1:16" ht="31.2">
      <c r="A134" s="49"/>
      <c r="B134" s="52"/>
      <c r="C134" s="14" t="s">
        <v>25</v>
      </c>
      <c r="D134" s="20">
        <f>'[2]5нед'!S138</f>
        <v>0</v>
      </c>
      <c r="E134" s="23">
        <f>'[2]5нед'!T138</f>
        <v>0</v>
      </c>
      <c r="F134" s="21">
        <f>'[2]5нед'!W138</f>
        <v>0</v>
      </c>
      <c r="G134" s="22">
        <f>'[2]5нед'!X138</f>
        <v>0</v>
      </c>
      <c r="H134" s="41"/>
      <c r="I134" s="54"/>
      <c r="J134" s="57"/>
      <c r="K134" s="14" t="s">
        <v>25</v>
      </c>
      <c r="L134" s="20" t="str">
        <f>'[2]6нед'!S138</f>
        <v>пр</v>
      </c>
      <c r="M134" s="23" t="str">
        <f>'[2]6нед'!T138</f>
        <v>Управление ИТ-проектами</v>
      </c>
      <c r="N134" s="21" t="str">
        <f>'[2]6нед'!W138</f>
        <v>Линник И.И.</v>
      </c>
      <c r="O134" s="22" t="str">
        <f>'[2]6нед'!X138</f>
        <v>доцент, канд. наук</v>
      </c>
      <c r="P134" s="36" t="s">
        <v>31</v>
      </c>
    </row>
    <row r="135" spans="1:16" ht="31.2">
      <c r="A135" s="49"/>
      <c r="B135" s="52"/>
      <c r="C135" s="14" t="s">
        <v>26</v>
      </c>
      <c r="D135" s="20">
        <f>'[2]5нед'!S139</f>
        <v>0</v>
      </c>
      <c r="E135" s="23">
        <f>'[2]5нед'!T139</f>
        <v>0</v>
      </c>
      <c r="F135" s="21">
        <f>'[2]5нед'!W139</f>
        <v>0</v>
      </c>
      <c r="G135" s="22">
        <f>'[2]5нед'!X139</f>
        <v>0</v>
      </c>
      <c r="H135" s="41"/>
      <c r="I135" s="54"/>
      <c r="J135" s="57"/>
      <c r="K135" s="14" t="s">
        <v>26</v>
      </c>
      <c r="L135" s="20">
        <f>'[2]6нед'!S139</f>
        <v>0</v>
      </c>
      <c r="M135" s="23">
        <f>'[2]6нед'!T139</f>
        <v>0</v>
      </c>
      <c r="N135" s="21">
        <f>'[2]6нед'!W139</f>
        <v>0</v>
      </c>
      <c r="O135" s="22">
        <f>'[2]6нед'!X139</f>
        <v>0</v>
      </c>
      <c r="P135" s="41"/>
    </row>
    <row r="136" spans="1:16" ht="31.2">
      <c r="A136" s="49"/>
      <c r="B136" s="52"/>
      <c r="C136" s="14" t="s">
        <v>27</v>
      </c>
      <c r="D136" s="20">
        <f>'[2]5нед'!S140</f>
        <v>0</v>
      </c>
      <c r="E136" s="23">
        <f>'[2]5нед'!T140</f>
        <v>0</v>
      </c>
      <c r="F136" s="21">
        <f>'[2]5нед'!W140</f>
        <v>0</v>
      </c>
      <c r="G136" s="22">
        <f>'[2]5нед'!X140</f>
        <v>0</v>
      </c>
      <c r="H136" s="41"/>
      <c r="I136" s="54"/>
      <c r="J136" s="57"/>
      <c r="K136" s="14" t="s">
        <v>27</v>
      </c>
      <c r="L136" s="20">
        <f>'[2]6нед'!S140</f>
        <v>0</v>
      </c>
      <c r="M136" s="23">
        <f>'[2]6нед'!T140</f>
        <v>0</v>
      </c>
      <c r="N136" s="21">
        <f>'[2]6нед'!W140</f>
        <v>0</v>
      </c>
      <c r="O136" s="22">
        <f>'[2]6нед'!X140</f>
        <v>0</v>
      </c>
      <c r="P136" s="41"/>
    </row>
    <row r="137" spans="1:16" ht="31.2">
      <c r="A137" s="49"/>
      <c r="B137" s="52"/>
      <c r="C137" s="14" t="s">
        <v>28</v>
      </c>
      <c r="D137" s="20">
        <f>'[2]5нед'!S141</f>
        <v>0</v>
      </c>
      <c r="E137" s="23">
        <f>'[2]5нед'!T141</f>
        <v>0</v>
      </c>
      <c r="F137" s="21">
        <f>'[2]5нед'!W141</f>
        <v>0</v>
      </c>
      <c r="G137" s="22">
        <f>'[2]5нед'!X141</f>
        <v>0</v>
      </c>
      <c r="H137" s="41"/>
      <c r="I137" s="54"/>
      <c r="J137" s="57"/>
      <c r="K137" s="14" t="s">
        <v>28</v>
      </c>
      <c r="L137" s="20">
        <f>'[2]6нед'!S141</f>
        <v>0</v>
      </c>
      <c r="M137" s="23">
        <f>'[2]6нед'!T141</f>
        <v>0</v>
      </c>
      <c r="N137" s="21">
        <f>'[2]6нед'!W141</f>
        <v>0</v>
      </c>
      <c r="O137" s="22">
        <f>'[2]6нед'!X141</f>
        <v>0</v>
      </c>
      <c r="P137" s="41"/>
    </row>
    <row r="138" spans="1:16" ht="31.8" thickBot="1">
      <c r="A138" s="49"/>
      <c r="B138" s="52"/>
      <c r="C138" s="14" t="s">
        <v>29</v>
      </c>
      <c r="D138" s="20">
        <f>'[2]5нед'!S142</f>
        <v>0</v>
      </c>
      <c r="E138" s="23">
        <f>'[2]5нед'!T142</f>
        <v>0</v>
      </c>
      <c r="F138" s="21">
        <f>'[2]5нед'!W142</f>
        <v>0</v>
      </c>
      <c r="G138" s="22">
        <f>'[2]5нед'!X142</f>
        <v>0</v>
      </c>
      <c r="H138" s="41"/>
      <c r="I138" s="54"/>
      <c r="J138" s="57"/>
      <c r="K138" s="14" t="s">
        <v>29</v>
      </c>
      <c r="L138" s="20">
        <f>'[2]6нед'!S142</f>
        <v>0</v>
      </c>
      <c r="M138" s="23">
        <f>'[2]6нед'!T142</f>
        <v>0</v>
      </c>
      <c r="N138" s="21">
        <f>'[2]6нед'!W142</f>
        <v>0</v>
      </c>
      <c r="O138" s="22">
        <f>'[2]6нед'!X142</f>
        <v>0</v>
      </c>
      <c r="P138" s="41"/>
    </row>
    <row r="139" spans="1:16" ht="18.600000000000001" hidden="1" thickBot="1">
      <c r="A139" s="50"/>
      <c r="B139" s="53"/>
      <c r="C139" s="15"/>
      <c r="D139" s="24">
        <f>'[2]5нед'!S143</f>
        <v>0</v>
      </c>
      <c r="E139" s="25">
        <f>'[2]5нед'!T143</f>
        <v>0</v>
      </c>
      <c r="F139" s="26">
        <f>'[2]5нед'!W143</f>
        <v>0</v>
      </c>
      <c r="G139" s="27">
        <f>'[2]5нед'!X143</f>
        <v>0</v>
      </c>
      <c r="H139" s="42"/>
      <c r="I139" s="55"/>
      <c r="J139" s="58"/>
      <c r="K139" s="15"/>
      <c r="L139" s="24">
        <f>'[2]6нед'!S143</f>
        <v>0</v>
      </c>
      <c r="M139" s="25">
        <f>'[2]6нед'!T143</f>
        <v>0</v>
      </c>
      <c r="N139" s="26">
        <f>'[2]6нед'!W143</f>
        <v>0</v>
      </c>
      <c r="O139" s="27">
        <f>'[2]6нед'!X143</f>
        <v>0</v>
      </c>
      <c r="P139" s="42"/>
    </row>
    <row r="140" spans="1:16" ht="32.25" customHeight="1" thickTop="1">
      <c r="A140" s="48">
        <v>45930</v>
      </c>
      <c r="B140" s="51" t="s">
        <v>1</v>
      </c>
      <c r="C140" s="28" t="s">
        <v>23</v>
      </c>
      <c r="D140" s="16">
        <f>'[2]5нед'!S144</f>
        <v>0</v>
      </c>
      <c r="E140" s="19">
        <f>'[2]5нед'!T144</f>
        <v>0</v>
      </c>
      <c r="F140" s="17">
        <f>'[2]5нед'!W144</f>
        <v>0</v>
      </c>
      <c r="G140" s="18">
        <f>'[2]5нед'!X144</f>
        <v>0</v>
      </c>
      <c r="H140" s="43"/>
      <c r="I140" s="48">
        <v>45937</v>
      </c>
      <c r="J140" s="56" t="s">
        <v>1</v>
      </c>
      <c r="K140" s="28" t="s">
        <v>23</v>
      </c>
      <c r="L140" s="16" t="str">
        <f>'[2]6нед'!S144</f>
        <v>пр</v>
      </c>
      <c r="M140" s="19" t="str">
        <f>'[2]6нед'!T144</f>
        <v xml:space="preserve"> Основы програмной инженерии</v>
      </c>
      <c r="N140" s="17" t="str">
        <f>'[2]6нед'!W144</f>
        <v>Алешов В.В.</v>
      </c>
      <c r="O140" s="18" t="str">
        <f>'[2]6нед'!X144</f>
        <v>преподаватель</v>
      </c>
      <c r="P140" s="47" t="s">
        <v>31</v>
      </c>
    </row>
    <row r="141" spans="1:16" ht="31.2">
      <c r="A141" s="49"/>
      <c r="B141" s="52"/>
      <c r="C141" s="14" t="s">
        <v>24</v>
      </c>
      <c r="D141" s="20">
        <f>'[2]5нед'!S145</f>
        <v>0</v>
      </c>
      <c r="E141" s="23">
        <f>'[2]5нед'!T145</f>
        <v>0</v>
      </c>
      <c r="F141" s="21">
        <f>'[2]5нед'!W145</f>
        <v>0</v>
      </c>
      <c r="G141" s="22">
        <f>'[2]5нед'!X145</f>
        <v>0</v>
      </c>
      <c r="H141" s="41"/>
      <c r="I141" s="54"/>
      <c r="J141" s="57"/>
      <c r="K141" s="14" t="s">
        <v>24</v>
      </c>
      <c r="L141" s="20" t="str">
        <f>'[2]6нед'!S145</f>
        <v>пр</v>
      </c>
      <c r="M141" s="23" t="str">
        <f>'[2]6нед'!T145</f>
        <v xml:space="preserve"> Основы програмной инженерии</v>
      </c>
      <c r="N141" s="21" t="str">
        <f>'[2]6нед'!W145</f>
        <v>Алешов В.В.</v>
      </c>
      <c r="O141" s="22" t="str">
        <f>'[2]6нед'!X145</f>
        <v>преподаватель</v>
      </c>
      <c r="P141" s="36" t="s">
        <v>31</v>
      </c>
    </row>
    <row r="142" spans="1:16" ht="36">
      <c r="A142" s="49"/>
      <c r="B142" s="52"/>
      <c r="C142" s="14" t="s">
        <v>25</v>
      </c>
      <c r="D142" s="20" t="str">
        <f>'[2]5нед'!S146</f>
        <v>л</v>
      </c>
      <c r="E142" s="23" t="str">
        <f>'[2]5нед'!T146</f>
        <v>Теория систем и системный анализ</v>
      </c>
      <c r="F142" s="21" t="str">
        <f>'[2]5нед'!W146</f>
        <v>Гришин И.Ю.</v>
      </c>
      <c r="G142" s="22" t="str">
        <f>'[2]5нед'!X146</f>
        <v>профессор, д-р наук</v>
      </c>
      <c r="H142" s="36" t="s">
        <v>31</v>
      </c>
      <c r="I142" s="54"/>
      <c r="J142" s="57"/>
      <c r="K142" s="14" t="s">
        <v>25</v>
      </c>
      <c r="L142" s="20" t="str">
        <f>'[2]6нед'!S146</f>
        <v>пр</v>
      </c>
      <c r="M142" s="23" t="str">
        <f>'[2]6нед'!T146</f>
        <v>Теоретико-множественный и информационный анализ</v>
      </c>
      <c r="N142" s="21" t="str">
        <f>'[2]6нед'!W146</f>
        <v>Шерман М.И.</v>
      </c>
      <c r="O142" s="22" t="str">
        <f>'[2]6нед'!X146</f>
        <v>профессор, д-р наук</v>
      </c>
      <c r="P142" s="36" t="s">
        <v>31</v>
      </c>
    </row>
    <row r="143" spans="1:16" ht="36">
      <c r="A143" s="49"/>
      <c r="B143" s="52"/>
      <c r="C143" s="14" t="s">
        <v>26</v>
      </c>
      <c r="D143" s="20" t="str">
        <f>'[2]5нед'!S147</f>
        <v>л</v>
      </c>
      <c r="E143" s="23" t="str">
        <f>'[2]5нед'!T147</f>
        <v>Применение методов искусственного интеллекта в анализе данных и управлении</v>
      </c>
      <c r="F143" s="21" t="str">
        <f>'[2]5нед'!W147</f>
        <v>Гришин И.Ю.</v>
      </c>
      <c r="G143" s="22" t="str">
        <f>'[2]5нед'!X147</f>
        <v>профессор, д-р наук</v>
      </c>
      <c r="H143" s="36" t="s">
        <v>31</v>
      </c>
      <c r="I143" s="54"/>
      <c r="J143" s="57"/>
      <c r="K143" s="14" t="s">
        <v>26</v>
      </c>
      <c r="L143" s="20">
        <f>'[2]6нед'!S147</f>
        <v>0</v>
      </c>
      <c r="M143" s="23">
        <f>'[2]6нед'!T147</f>
        <v>0</v>
      </c>
      <c r="N143" s="21">
        <f>'[2]6нед'!W147</f>
        <v>0</v>
      </c>
      <c r="O143" s="22">
        <f>'[2]6нед'!X147</f>
        <v>0</v>
      </c>
      <c r="P143" s="41"/>
    </row>
    <row r="144" spans="1:16" ht="31.2">
      <c r="A144" s="49"/>
      <c r="B144" s="52"/>
      <c r="C144" s="14" t="s">
        <v>27</v>
      </c>
      <c r="D144" s="20">
        <f>'[2]5нед'!S148</f>
        <v>0</v>
      </c>
      <c r="E144" s="23">
        <f>'[2]5нед'!T148</f>
        <v>0</v>
      </c>
      <c r="F144" s="21">
        <f>'[2]5нед'!W148</f>
        <v>0</v>
      </c>
      <c r="G144" s="22">
        <f>'[2]5нед'!X148</f>
        <v>0</v>
      </c>
      <c r="H144" s="41"/>
      <c r="I144" s="54"/>
      <c r="J144" s="57"/>
      <c r="K144" s="14" t="s">
        <v>27</v>
      </c>
      <c r="L144" s="20">
        <f>'[2]6нед'!S148</f>
        <v>0</v>
      </c>
      <c r="M144" s="23">
        <f>'[2]6нед'!T148</f>
        <v>0</v>
      </c>
      <c r="N144" s="21">
        <f>'[2]6нед'!W148</f>
        <v>0</v>
      </c>
      <c r="O144" s="22">
        <f>'[2]6нед'!X148</f>
        <v>0</v>
      </c>
      <c r="P144" s="41"/>
    </row>
    <row r="145" spans="1:16" ht="31.2">
      <c r="A145" s="49"/>
      <c r="B145" s="52"/>
      <c r="C145" s="14" t="s">
        <v>28</v>
      </c>
      <c r="D145" s="20">
        <f>'[2]5нед'!S149</f>
        <v>0</v>
      </c>
      <c r="E145" s="23">
        <f>'[2]5нед'!T149</f>
        <v>0</v>
      </c>
      <c r="F145" s="21">
        <f>'[2]5нед'!W149</f>
        <v>0</v>
      </c>
      <c r="G145" s="22">
        <f>'[2]5нед'!X149</f>
        <v>0</v>
      </c>
      <c r="H145" s="41"/>
      <c r="I145" s="54"/>
      <c r="J145" s="57"/>
      <c r="K145" s="14" t="s">
        <v>28</v>
      </c>
      <c r="L145" s="20">
        <f>'[2]6нед'!S149</f>
        <v>0</v>
      </c>
      <c r="M145" s="23">
        <f>'[2]6нед'!T149</f>
        <v>0</v>
      </c>
      <c r="N145" s="21">
        <f>'[2]6нед'!W149</f>
        <v>0</v>
      </c>
      <c r="O145" s="22">
        <f>'[2]6нед'!X149</f>
        <v>0</v>
      </c>
      <c r="P145" s="41"/>
    </row>
    <row r="146" spans="1:16" ht="31.8" thickBot="1">
      <c r="A146" s="49"/>
      <c r="B146" s="52"/>
      <c r="C146" s="14" t="s">
        <v>29</v>
      </c>
      <c r="D146" s="20">
        <f>'[2]5нед'!S150</f>
        <v>0</v>
      </c>
      <c r="E146" s="23">
        <f>'[2]5нед'!T150</f>
        <v>0</v>
      </c>
      <c r="F146" s="21">
        <f>'[2]5нед'!W150</f>
        <v>0</v>
      </c>
      <c r="G146" s="22">
        <f>'[2]5нед'!X150</f>
        <v>0</v>
      </c>
      <c r="H146" s="41"/>
      <c r="I146" s="54"/>
      <c r="J146" s="57"/>
      <c r="K146" s="14" t="s">
        <v>29</v>
      </c>
      <c r="L146" s="20">
        <f>'[2]6нед'!S150</f>
        <v>0</v>
      </c>
      <c r="M146" s="23">
        <f>'[2]6нед'!T150</f>
        <v>0</v>
      </c>
      <c r="N146" s="21">
        <f>'[2]6нед'!W150</f>
        <v>0</v>
      </c>
      <c r="O146" s="22">
        <f>'[2]6нед'!X150</f>
        <v>0</v>
      </c>
      <c r="P146" s="41"/>
    </row>
    <row r="147" spans="1:16" ht="18.600000000000001" hidden="1" thickBot="1">
      <c r="A147" s="50"/>
      <c r="B147" s="53"/>
      <c r="C147" s="15"/>
      <c r="D147" s="24">
        <f>'[2]5нед'!S151</f>
        <v>0</v>
      </c>
      <c r="E147" s="25">
        <f>'[2]5нед'!T151</f>
        <v>0</v>
      </c>
      <c r="F147" s="26">
        <f>'[2]5нед'!W151</f>
        <v>0</v>
      </c>
      <c r="G147" s="27">
        <f>'[2]5нед'!X151</f>
        <v>0</v>
      </c>
      <c r="H147" s="42"/>
      <c r="I147" s="55"/>
      <c r="J147" s="58"/>
      <c r="K147" s="15"/>
      <c r="L147" s="24">
        <f>'[2]6нед'!S151</f>
        <v>0</v>
      </c>
      <c r="M147" s="25">
        <f>'[2]6нед'!T151</f>
        <v>0</v>
      </c>
      <c r="N147" s="26">
        <f>'[2]6нед'!W151</f>
        <v>0</v>
      </c>
      <c r="O147" s="27">
        <f>'[2]6нед'!X151</f>
        <v>0</v>
      </c>
      <c r="P147" s="42"/>
    </row>
    <row r="148" spans="1:16" ht="48" customHeight="1" thickTop="1">
      <c r="A148" s="59">
        <v>45931</v>
      </c>
      <c r="B148" s="62" t="s">
        <v>2</v>
      </c>
      <c r="C148" s="28" t="s">
        <v>23</v>
      </c>
      <c r="D148" s="16">
        <f>'[2]5нед'!S152</f>
        <v>0</v>
      </c>
      <c r="E148" s="19">
        <f>'[2]5нед'!T152</f>
        <v>0</v>
      </c>
      <c r="F148" s="17">
        <f>'[2]5нед'!W152</f>
        <v>0</v>
      </c>
      <c r="G148" s="18">
        <f>'[2]5нед'!X152</f>
        <v>0</v>
      </c>
      <c r="H148" s="43"/>
      <c r="I148" s="59">
        <v>45938</v>
      </c>
      <c r="J148" s="65" t="s">
        <v>2</v>
      </c>
      <c r="K148" s="28" t="s">
        <v>23</v>
      </c>
      <c r="L148" s="16">
        <f>'[2]6нед'!S152</f>
        <v>0</v>
      </c>
      <c r="M148" s="19">
        <f>'[2]6нед'!T152</f>
        <v>0</v>
      </c>
      <c r="N148" s="17">
        <f>'[2]6нед'!W152</f>
        <v>0</v>
      </c>
      <c r="O148" s="18">
        <f>'[2]6нед'!X152</f>
        <v>0</v>
      </c>
      <c r="P148" s="43"/>
    </row>
    <row r="149" spans="1:16" ht="31.2">
      <c r="A149" s="60"/>
      <c r="B149" s="63"/>
      <c r="C149" s="14" t="s">
        <v>24</v>
      </c>
      <c r="D149" s="20">
        <f>'[2]5нед'!S153</f>
        <v>0</v>
      </c>
      <c r="E149" s="23">
        <f>'[2]5нед'!T153</f>
        <v>0</v>
      </c>
      <c r="F149" s="21">
        <f>'[2]5нед'!W153</f>
        <v>0</v>
      </c>
      <c r="G149" s="22">
        <f>'[2]5нед'!X153</f>
        <v>0</v>
      </c>
      <c r="H149" s="41"/>
      <c r="I149" s="60"/>
      <c r="J149" s="66"/>
      <c r="K149" s="14" t="s">
        <v>24</v>
      </c>
      <c r="L149" s="20">
        <f>'[2]6нед'!S153</f>
        <v>0</v>
      </c>
      <c r="M149" s="23">
        <f>'[2]6нед'!T153</f>
        <v>0</v>
      </c>
      <c r="N149" s="21">
        <f>'[2]6нед'!W153</f>
        <v>0</v>
      </c>
      <c r="O149" s="22">
        <f>'[2]6нед'!X153</f>
        <v>0</v>
      </c>
      <c r="P149" s="41"/>
    </row>
    <row r="150" spans="1:16" ht="36">
      <c r="A150" s="60"/>
      <c r="B150" s="63"/>
      <c r="C150" s="14" t="s">
        <v>25</v>
      </c>
      <c r="D150" s="20" t="str">
        <f>'[2]5нед'!S154</f>
        <v>л</v>
      </c>
      <c r="E150" s="23" t="str">
        <f>'[2]5нед'!T154</f>
        <v>Теоретико-множественный и информационный анализ</v>
      </c>
      <c r="F150" s="21" t="str">
        <f>'[2]5нед'!W154</f>
        <v>Шерман М.И.</v>
      </c>
      <c r="G150" s="22" t="str">
        <f>'[2]5нед'!X154</f>
        <v>профессор, д-р наук</v>
      </c>
      <c r="H150" s="36" t="s">
        <v>31</v>
      </c>
      <c r="I150" s="60"/>
      <c r="J150" s="66"/>
      <c r="K150" s="14" t="s">
        <v>25</v>
      </c>
      <c r="L150" s="20">
        <f>'[2]6нед'!S154</f>
        <v>0</v>
      </c>
      <c r="M150" s="23">
        <f>'[2]6нед'!T154</f>
        <v>0</v>
      </c>
      <c r="N150" s="21">
        <f>'[2]6нед'!W154</f>
        <v>0</v>
      </c>
      <c r="O150" s="22">
        <f>'[2]6нед'!X154</f>
        <v>0</v>
      </c>
      <c r="P150" s="41"/>
    </row>
    <row r="151" spans="1:16" ht="31.2">
      <c r="A151" s="60"/>
      <c r="B151" s="63"/>
      <c r="C151" s="14" t="s">
        <v>26</v>
      </c>
      <c r="D151" s="20" t="str">
        <f>'[2]5нед'!S155</f>
        <v>л</v>
      </c>
      <c r="E151" s="23" t="str">
        <f>'[2]5нед'!T155</f>
        <v>Управление ИТ-проектами</v>
      </c>
      <c r="F151" s="21" t="str">
        <f>'[2]5нед'!W155</f>
        <v>Линник И.И.</v>
      </c>
      <c r="G151" s="22" t="str">
        <f>'[2]5нед'!X155</f>
        <v>доцент, канд. наук</v>
      </c>
      <c r="H151" s="36" t="s">
        <v>31</v>
      </c>
      <c r="I151" s="60"/>
      <c r="J151" s="66"/>
      <c r="K151" s="14" t="s">
        <v>26</v>
      </c>
      <c r="L151" s="20">
        <f>'[2]6нед'!S155</f>
        <v>0</v>
      </c>
      <c r="M151" s="23">
        <f>'[2]6нед'!T155</f>
        <v>0</v>
      </c>
      <c r="N151" s="21">
        <f>'[2]6нед'!W155</f>
        <v>0</v>
      </c>
      <c r="O151" s="22">
        <f>'[2]6нед'!X155</f>
        <v>0</v>
      </c>
      <c r="P151" s="41"/>
    </row>
    <row r="152" spans="1:16" ht="31.2">
      <c r="A152" s="60"/>
      <c r="B152" s="63"/>
      <c r="C152" s="14" t="s">
        <v>27</v>
      </c>
      <c r="D152" s="20">
        <f>'[2]5нед'!S156</f>
        <v>0</v>
      </c>
      <c r="E152" s="23">
        <f>'[2]5нед'!T156</f>
        <v>0</v>
      </c>
      <c r="F152" s="21">
        <f>'[2]5нед'!W156</f>
        <v>0</v>
      </c>
      <c r="G152" s="22">
        <f>'[2]5нед'!X156</f>
        <v>0</v>
      </c>
      <c r="H152" s="41"/>
      <c r="I152" s="60"/>
      <c r="J152" s="66"/>
      <c r="K152" s="14" t="s">
        <v>27</v>
      </c>
      <c r="L152" s="20">
        <f>'[2]6нед'!S156</f>
        <v>0</v>
      </c>
      <c r="M152" s="23">
        <f>'[2]6нед'!T156</f>
        <v>0</v>
      </c>
      <c r="N152" s="21">
        <f>'[2]6нед'!W156</f>
        <v>0</v>
      </c>
      <c r="O152" s="22">
        <f>'[2]6нед'!X156</f>
        <v>0</v>
      </c>
      <c r="P152" s="41"/>
    </row>
    <row r="153" spans="1:16" ht="31.2">
      <c r="A153" s="60"/>
      <c r="B153" s="63"/>
      <c r="C153" s="14" t="s">
        <v>28</v>
      </c>
      <c r="D153" s="20">
        <f>'[2]5нед'!S157</f>
        <v>0</v>
      </c>
      <c r="E153" s="23">
        <f>'[2]5нед'!T157</f>
        <v>0</v>
      </c>
      <c r="F153" s="21">
        <f>'[2]5нед'!W157</f>
        <v>0</v>
      </c>
      <c r="G153" s="22">
        <f>'[2]5нед'!X157</f>
        <v>0</v>
      </c>
      <c r="H153" s="41"/>
      <c r="I153" s="60"/>
      <c r="J153" s="66"/>
      <c r="K153" s="14" t="s">
        <v>28</v>
      </c>
      <c r="L153" s="20">
        <f>'[2]6нед'!S157</f>
        <v>0</v>
      </c>
      <c r="M153" s="23">
        <f>'[2]6нед'!T157</f>
        <v>0</v>
      </c>
      <c r="N153" s="21">
        <f>'[2]6нед'!W157</f>
        <v>0</v>
      </c>
      <c r="O153" s="22">
        <f>'[2]6нед'!X157</f>
        <v>0</v>
      </c>
      <c r="P153" s="41"/>
    </row>
    <row r="154" spans="1:16" ht="31.8" thickBot="1">
      <c r="A154" s="60"/>
      <c r="B154" s="63"/>
      <c r="C154" s="14" t="s">
        <v>29</v>
      </c>
      <c r="D154" s="20">
        <f>'[2]5нед'!S158</f>
        <v>0</v>
      </c>
      <c r="E154" s="23">
        <f>'[2]5нед'!T158</f>
        <v>0</v>
      </c>
      <c r="F154" s="21">
        <f>'[2]5нед'!W158</f>
        <v>0</v>
      </c>
      <c r="G154" s="22">
        <f>'[2]5нед'!X158</f>
        <v>0</v>
      </c>
      <c r="H154" s="41"/>
      <c r="I154" s="60"/>
      <c r="J154" s="66"/>
      <c r="K154" s="14" t="s">
        <v>29</v>
      </c>
      <c r="L154" s="20">
        <f>'[2]6нед'!S158</f>
        <v>0</v>
      </c>
      <c r="M154" s="23">
        <f>'[2]6нед'!T158</f>
        <v>0</v>
      </c>
      <c r="N154" s="21">
        <f>'[2]6нед'!W158</f>
        <v>0</v>
      </c>
      <c r="O154" s="22">
        <f>'[2]6нед'!X158</f>
        <v>0</v>
      </c>
      <c r="P154" s="41"/>
    </row>
    <row r="155" spans="1:16" ht="18.600000000000001" hidden="1" thickBot="1">
      <c r="A155" s="61"/>
      <c r="B155" s="64"/>
      <c r="C155" s="15"/>
      <c r="D155" s="24">
        <f>'[2]5нед'!S159</f>
        <v>0</v>
      </c>
      <c r="E155" s="25">
        <f>'[2]5нед'!T159</f>
        <v>0</v>
      </c>
      <c r="F155" s="26">
        <f>'[2]5нед'!W159</f>
        <v>0</v>
      </c>
      <c r="G155" s="27">
        <f>'[2]5нед'!X159</f>
        <v>0</v>
      </c>
      <c r="H155" s="42"/>
      <c r="I155" s="61"/>
      <c r="J155" s="67"/>
      <c r="K155" s="15"/>
      <c r="L155" s="24">
        <f>'[2]6нед'!S159</f>
        <v>0</v>
      </c>
      <c r="M155" s="25">
        <f>'[2]6нед'!T159</f>
        <v>0</v>
      </c>
      <c r="N155" s="26">
        <f>'[2]6нед'!W159</f>
        <v>0</v>
      </c>
      <c r="O155" s="27">
        <f>'[2]6нед'!X159</f>
        <v>0</v>
      </c>
      <c r="P155" s="42"/>
    </row>
    <row r="156" spans="1:16" ht="48" customHeight="1" thickTop="1">
      <c r="A156" s="48">
        <v>45932</v>
      </c>
      <c r="B156" s="51" t="s">
        <v>3</v>
      </c>
      <c r="C156" s="28" t="s">
        <v>23</v>
      </c>
      <c r="D156" s="16">
        <f>'[2]5нед'!S160</f>
        <v>0</v>
      </c>
      <c r="E156" s="19">
        <f>'[2]5нед'!T160</f>
        <v>0</v>
      </c>
      <c r="F156" s="17">
        <f>'[2]5нед'!W160</f>
        <v>0</v>
      </c>
      <c r="G156" s="18">
        <f>'[2]5нед'!X160</f>
        <v>0</v>
      </c>
      <c r="H156" s="43"/>
      <c r="I156" s="48">
        <v>45939</v>
      </c>
      <c r="J156" s="56" t="s">
        <v>3</v>
      </c>
      <c r="K156" s="28" t="s">
        <v>23</v>
      </c>
      <c r="L156" s="16">
        <f>'[2]6нед'!S160</f>
        <v>0</v>
      </c>
      <c r="M156" s="19">
        <f>'[2]6нед'!T160</f>
        <v>0</v>
      </c>
      <c r="N156" s="17">
        <f>'[2]6нед'!W160</f>
        <v>0</v>
      </c>
      <c r="O156" s="18">
        <f>'[2]6нед'!X160</f>
        <v>0</v>
      </c>
      <c r="P156" s="43"/>
    </row>
    <row r="157" spans="1:16" ht="31.2">
      <c r="A157" s="49"/>
      <c r="B157" s="52"/>
      <c r="C157" s="14" t="s">
        <v>24</v>
      </c>
      <c r="D157" s="20" t="str">
        <f>'[2]5нед'!S161</f>
        <v>пр</v>
      </c>
      <c r="E157" s="23" t="str">
        <f>'[2]5нед'!T161</f>
        <v>Иностранный язык для специальных целей</v>
      </c>
      <c r="F157" s="21" t="str">
        <f>'[2]5нед'!W161</f>
        <v>Ермоленко И.И.</v>
      </c>
      <c r="G157" s="22" t="str">
        <f>'[2]5нед'!X161</f>
        <v>доцент, канд. наук</v>
      </c>
      <c r="H157" s="36" t="s">
        <v>30</v>
      </c>
      <c r="I157" s="54"/>
      <c r="J157" s="57"/>
      <c r="K157" s="14" t="s">
        <v>24</v>
      </c>
      <c r="L157" s="20" t="str">
        <f>'[2]6нед'!S161</f>
        <v>пр</v>
      </c>
      <c r="M157" s="23" t="str">
        <f>'[2]6нед'!T161</f>
        <v>Иностранный язык для специальных целей</v>
      </c>
      <c r="N157" s="21" t="str">
        <f>'[2]6нед'!W161</f>
        <v>Ермоленко И.И.</v>
      </c>
      <c r="O157" s="22" t="str">
        <f>'[2]6нед'!X161</f>
        <v>доцент, канд. наук</v>
      </c>
      <c r="P157" s="36" t="s">
        <v>30</v>
      </c>
    </row>
    <row r="158" spans="1:16" ht="31.2">
      <c r="A158" s="49"/>
      <c r="B158" s="52"/>
      <c r="C158" s="14" t="s">
        <v>25</v>
      </c>
      <c r="D158" s="20" t="str">
        <f>'[2]5нед'!S162</f>
        <v>л</v>
      </c>
      <c r="E158" s="23" t="str">
        <f>'[2]5нед'!T162</f>
        <v>Машинное обучение и анализ данных</v>
      </c>
      <c r="F158" s="21" t="str">
        <f>'[2]5нед'!W162</f>
        <v>Гришин И.Ю.</v>
      </c>
      <c r="G158" s="22" t="str">
        <f>'[2]5нед'!X162</f>
        <v>профессор, д-р наук</v>
      </c>
      <c r="H158" s="36" t="s">
        <v>31</v>
      </c>
      <c r="I158" s="54"/>
      <c r="J158" s="57"/>
      <c r="K158" s="14" t="s">
        <v>25</v>
      </c>
      <c r="L158" s="20" t="str">
        <f>'[2]6нед'!S162</f>
        <v>пр</v>
      </c>
      <c r="M158" s="23" t="str">
        <f>'[2]6нед'!T162</f>
        <v>Теория систем и системный анализ</v>
      </c>
      <c r="N158" s="21" t="str">
        <f>'[2]6нед'!W162</f>
        <v>Гришин И.Ю.</v>
      </c>
      <c r="O158" s="22" t="str">
        <f>'[2]6нед'!X162</f>
        <v>профессор, д-р наук</v>
      </c>
      <c r="P158" s="36" t="s">
        <v>31</v>
      </c>
    </row>
    <row r="159" spans="1:16" ht="31.2">
      <c r="A159" s="49"/>
      <c r="B159" s="52"/>
      <c r="C159" s="14" t="s">
        <v>26</v>
      </c>
      <c r="D159" s="20" t="str">
        <f>'[2]5нед'!S163</f>
        <v>л</v>
      </c>
      <c r="E159" s="23" t="str">
        <f>'[2]5нед'!T163</f>
        <v>Основы програмной инженерии</v>
      </c>
      <c r="F159" s="21" t="str">
        <f>'[2]5нед'!W163</f>
        <v>Круглый Д.Г.</v>
      </c>
      <c r="G159" s="22" t="str">
        <f>'[2]5нед'!X163</f>
        <v>профессор, д-р наук</v>
      </c>
      <c r="H159" s="36" t="s">
        <v>31</v>
      </c>
      <c r="I159" s="54"/>
      <c r="J159" s="57"/>
      <c r="K159" s="14" t="s">
        <v>26</v>
      </c>
      <c r="L159" s="20">
        <f>'[2]6нед'!S163</f>
        <v>0</v>
      </c>
      <c r="M159" s="23">
        <f>'[2]6нед'!T163</f>
        <v>0</v>
      </c>
      <c r="N159" s="21">
        <f>'[2]6нед'!W163</f>
        <v>0</v>
      </c>
      <c r="O159" s="22">
        <f>'[2]6нед'!X163</f>
        <v>0</v>
      </c>
      <c r="P159" s="41"/>
    </row>
    <row r="160" spans="1:16" ht="31.2">
      <c r="A160" s="49"/>
      <c r="B160" s="52"/>
      <c r="C160" s="14" t="s">
        <v>27</v>
      </c>
      <c r="D160" s="20">
        <f>'[2]5нед'!S164</f>
        <v>0</v>
      </c>
      <c r="E160" s="23">
        <f>'[2]5нед'!T164</f>
        <v>0</v>
      </c>
      <c r="F160" s="21">
        <f>'[2]5нед'!W164</f>
        <v>0</v>
      </c>
      <c r="G160" s="22">
        <f>'[2]5нед'!X164</f>
        <v>0</v>
      </c>
      <c r="H160" s="41"/>
      <c r="I160" s="54"/>
      <c r="J160" s="57"/>
      <c r="K160" s="14" t="s">
        <v>27</v>
      </c>
      <c r="L160" s="20">
        <f>'[2]6нед'!S164</f>
        <v>0</v>
      </c>
      <c r="M160" s="23">
        <f>'[2]6нед'!T164</f>
        <v>0</v>
      </c>
      <c r="N160" s="21">
        <f>'[2]6нед'!W164</f>
        <v>0</v>
      </c>
      <c r="O160" s="22">
        <f>'[2]6нед'!X164</f>
        <v>0</v>
      </c>
      <c r="P160" s="41"/>
    </row>
    <row r="161" spans="1:16" ht="31.2">
      <c r="A161" s="49"/>
      <c r="B161" s="52"/>
      <c r="C161" s="14" t="s">
        <v>28</v>
      </c>
      <c r="D161" s="20">
        <f>'[2]5нед'!S165</f>
        <v>0</v>
      </c>
      <c r="E161" s="23">
        <f>'[2]5нед'!T165</f>
        <v>0</v>
      </c>
      <c r="F161" s="21">
        <f>'[2]5нед'!W165</f>
        <v>0</v>
      </c>
      <c r="G161" s="22">
        <f>'[2]5нед'!X165</f>
        <v>0</v>
      </c>
      <c r="H161" s="41"/>
      <c r="I161" s="54"/>
      <c r="J161" s="57"/>
      <c r="K161" s="14" t="s">
        <v>28</v>
      </c>
      <c r="L161" s="20">
        <f>'[2]6нед'!S165</f>
        <v>0</v>
      </c>
      <c r="M161" s="23">
        <f>'[2]6нед'!T165</f>
        <v>0</v>
      </c>
      <c r="N161" s="21">
        <f>'[2]6нед'!W165</f>
        <v>0</v>
      </c>
      <c r="O161" s="22">
        <f>'[2]6нед'!X165</f>
        <v>0</v>
      </c>
      <c r="P161" s="41"/>
    </row>
    <row r="162" spans="1:16" ht="31.8" thickBot="1">
      <c r="A162" s="49"/>
      <c r="B162" s="52"/>
      <c r="C162" s="14" t="s">
        <v>29</v>
      </c>
      <c r="D162" s="20">
        <f>'[2]5нед'!S166</f>
        <v>0</v>
      </c>
      <c r="E162" s="23">
        <f>'[2]5нед'!T166</f>
        <v>0</v>
      </c>
      <c r="F162" s="21">
        <f>'[2]5нед'!W166</f>
        <v>0</v>
      </c>
      <c r="G162" s="22">
        <f>'[2]5нед'!X166</f>
        <v>0</v>
      </c>
      <c r="H162" s="41"/>
      <c r="I162" s="54"/>
      <c r="J162" s="57"/>
      <c r="K162" s="14" t="s">
        <v>29</v>
      </c>
      <c r="L162" s="20">
        <f>'[2]6нед'!S166</f>
        <v>0</v>
      </c>
      <c r="M162" s="23">
        <f>'[2]6нед'!T166</f>
        <v>0</v>
      </c>
      <c r="N162" s="21">
        <f>'[2]6нед'!W166</f>
        <v>0</v>
      </c>
      <c r="O162" s="22">
        <f>'[2]6нед'!X166</f>
        <v>0</v>
      </c>
      <c r="P162" s="41"/>
    </row>
    <row r="163" spans="1:16" ht="18.600000000000001" hidden="1" thickBot="1">
      <c r="A163" s="50"/>
      <c r="B163" s="53"/>
      <c r="C163" s="15"/>
      <c r="D163" s="24">
        <f>'[2]5нед'!S167</f>
        <v>0</v>
      </c>
      <c r="E163" s="25">
        <f>'[2]5нед'!T167</f>
        <v>0</v>
      </c>
      <c r="F163" s="26">
        <f>'[2]5нед'!W167</f>
        <v>0</v>
      </c>
      <c r="G163" s="27">
        <f>'[2]5нед'!X167</f>
        <v>0</v>
      </c>
      <c r="H163" s="42"/>
      <c r="I163" s="55"/>
      <c r="J163" s="58"/>
      <c r="K163" s="15"/>
      <c r="L163" s="24">
        <f>'[2]6нед'!S167</f>
        <v>0</v>
      </c>
      <c r="M163" s="25">
        <f>'[2]6нед'!T167</f>
        <v>0</v>
      </c>
      <c r="N163" s="26">
        <f>'[2]6нед'!W167</f>
        <v>0</v>
      </c>
      <c r="O163" s="27">
        <f>'[2]6нед'!X167</f>
        <v>0</v>
      </c>
      <c r="P163" s="42"/>
    </row>
    <row r="164" spans="1:16" ht="48" customHeight="1" thickTop="1">
      <c r="A164" s="48">
        <v>45933</v>
      </c>
      <c r="B164" s="51" t="s">
        <v>4</v>
      </c>
      <c r="C164" s="28" t="s">
        <v>23</v>
      </c>
      <c r="D164" s="16">
        <f>'[2]5нед'!S168</f>
        <v>0</v>
      </c>
      <c r="E164" s="19">
        <f>'[2]5нед'!T168</f>
        <v>0</v>
      </c>
      <c r="F164" s="17">
        <f>'[2]5нед'!W168</f>
        <v>0</v>
      </c>
      <c r="G164" s="18">
        <f>'[2]5нед'!X168</f>
        <v>0</v>
      </c>
      <c r="H164" s="43"/>
      <c r="I164" s="48">
        <v>45940</v>
      </c>
      <c r="J164" s="56" t="s">
        <v>4</v>
      </c>
      <c r="K164" s="28" t="s">
        <v>23</v>
      </c>
      <c r="L164" s="16">
        <f>'[2]6нед'!S168</f>
        <v>0</v>
      </c>
      <c r="M164" s="19">
        <f>'[2]6нед'!T168</f>
        <v>0</v>
      </c>
      <c r="N164" s="17">
        <f>'[2]6нед'!W168</f>
        <v>0</v>
      </c>
      <c r="O164" s="18">
        <f>'[2]6нед'!X168</f>
        <v>0</v>
      </c>
      <c r="P164" s="43"/>
    </row>
    <row r="165" spans="1:16" ht="31.2">
      <c r="A165" s="49"/>
      <c r="B165" s="52"/>
      <c r="C165" s="14" t="s">
        <v>24</v>
      </c>
      <c r="D165" s="20" t="str">
        <f>'[2]5нед'!S169</f>
        <v>л</v>
      </c>
      <c r="E165" s="23" t="str">
        <f>'[2]5нед'!T169</f>
        <v xml:space="preserve">Философия научного познания </v>
      </c>
      <c r="F165" s="21" t="str">
        <f>'[2]5нед'!W169</f>
        <v>Солодухин Д.В.</v>
      </c>
      <c r="G165" s="22" t="str">
        <f>'[2]5нед'!X169</f>
        <v>профессор, канд. наук</v>
      </c>
      <c r="H165" s="36" t="s">
        <v>32</v>
      </c>
      <c r="I165" s="54"/>
      <c r="J165" s="57"/>
      <c r="K165" s="14" t="s">
        <v>24</v>
      </c>
      <c r="L165" s="20" t="str">
        <f>'[2]6нед'!S169</f>
        <v>пр</v>
      </c>
      <c r="M165" s="23" t="str">
        <f>'[2]6нед'!T169</f>
        <v xml:space="preserve">Философия научного познания </v>
      </c>
      <c r="N165" s="21" t="str">
        <f>'[2]6нед'!W169</f>
        <v>Солодухин Д.В.</v>
      </c>
      <c r="O165" s="22" t="str">
        <f>'[2]6нед'!X169</f>
        <v>профессор, канд. наук</v>
      </c>
      <c r="P165" s="36" t="s">
        <v>34</v>
      </c>
    </row>
    <row r="166" spans="1:16" ht="36">
      <c r="A166" s="49"/>
      <c r="B166" s="52"/>
      <c r="C166" s="14" t="s">
        <v>25</v>
      </c>
      <c r="D166" s="20" t="str">
        <f>'[2]5нед'!S170</f>
        <v>л</v>
      </c>
      <c r="E166" s="23" t="str">
        <f>'[2]5нед'!T170</f>
        <v>Методология исследовательской деятельности</v>
      </c>
      <c r="F166" s="21" t="str">
        <f>'[2]5нед'!W170</f>
        <v>Гуменюк А.Ю.</v>
      </c>
      <c r="G166" s="22" t="str">
        <f>'[2]5нед'!X170</f>
        <v>доцент, канд. наук</v>
      </c>
      <c r="H166" s="36" t="s">
        <v>33</v>
      </c>
      <c r="I166" s="54"/>
      <c r="J166" s="57"/>
      <c r="K166" s="14" t="s">
        <v>25</v>
      </c>
      <c r="L166" s="20" t="str">
        <f>'[2]6нед'!S170</f>
        <v>пр</v>
      </c>
      <c r="M166" s="23" t="str">
        <f>'[2]6нед'!T170</f>
        <v>Методология исследовательской деятельности</v>
      </c>
      <c r="N166" s="21" t="str">
        <f>'[2]6нед'!W170</f>
        <v>Гуменюк А.Ю.</v>
      </c>
      <c r="O166" s="22" t="str">
        <f>'[2]6нед'!X170</f>
        <v>доцент, канд. наук</v>
      </c>
      <c r="P166" s="36" t="s">
        <v>35</v>
      </c>
    </row>
    <row r="167" spans="1:16" ht="31.2">
      <c r="A167" s="49"/>
      <c r="B167" s="52"/>
      <c r="C167" s="14" t="s">
        <v>26</v>
      </c>
      <c r="D167" s="20">
        <f>'[2]5нед'!S171</f>
        <v>0</v>
      </c>
      <c r="E167" s="23">
        <f>'[2]5нед'!T171</f>
        <v>0</v>
      </c>
      <c r="F167" s="21">
        <f>'[2]5нед'!W171</f>
        <v>0</v>
      </c>
      <c r="G167" s="22">
        <f>'[2]5нед'!X171</f>
        <v>0</v>
      </c>
      <c r="H167" s="41"/>
      <c r="I167" s="54"/>
      <c r="J167" s="57"/>
      <c r="K167" s="14" t="s">
        <v>26</v>
      </c>
      <c r="L167" s="20">
        <f>'[2]6нед'!S171</f>
        <v>0</v>
      </c>
      <c r="M167" s="23">
        <f>'[2]6нед'!T171</f>
        <v>0</v>
      </c>
      <c r="N167" s="21">
        <f>'[2]6нед'!W171</f>
        <v>0</v>
      </c>
      <c r="O167" s="22">
        <f>'[2]6нед'!X171</f>
        <v>0</v>
      </c>
      <c r="P167" s="41"/>
    </row>
    <row r="168" spans="1:16" ht="31.2">
      <c r="A168" s="49"/>
      <c r="B168" s="52"/>
      <c r="C168" s="14" t="s">
        <v>27</v>
      </c>
      <c r="D168" s="20">
        <f>'[2]5нед'!S172</f>
        <v>0</v>
      </c>
      <c r="E168" s="23">
        <f>'[2]5нед'!T172</f>
        <v>0</v>
      </c>
      <c r="F168" s="21">
        <f>'[2]5нед'!W172</f>
        <v>0</v>
      </c>
      <c r="G168" s="22">
        <f>'[2]5нед'!X172</f>
        <v>0</v>
      </c>
      <c r="H168" s="41"/>
      <c r="I168" s="54"/>
      <c r="J168" s="57"/>
      <c r="K168" s="14" t="s">
        <v>27</v>
      </c>
      <c r="L168" s="20">
        <f>'[2]6нед'!S172</f>
        <v>0</v>
      </c>
      <c r="M168" s="23">
        <f>'[2]6нед'!T172</f>
        <v>0</v>
      </c>
      <c r="N168" s="21">
        <f>'[2]6нед'!W172</f>
        <v>0</v>
      </c>
      <c r="O168" s="22">
        <f>'[2]6нед'!X172</f>
        <v>0</v>
      </c>
      <c r="P168" s="41"/>
    </row>
    <row r="169" spans="1:16" ht="31.2">
      <c r="A169" s="49"/>
      <c r="B169" s="52"/>
      <c r="C169" s="14" t="s">
        <v>28</v>
      </c>
      <c r="D169" s="20">
        <f>'[2]5нед'!S173</f>
        <v>0</v>
      </c>
      <c r="E169" s="23">
        <f>'[2]5нед'!T173</f>
        <v>0</v>
      </c>
      <c r="F169" s="21">
        <f>'[2]5нед'!W173</f>
        <v>0</v>
      </c>
      <c r="G169" s="22">
        <f>'[2]5нед'!X173</f>
        <v>0</v>
      </c>
      <c r="H169" s="41"/>
      <c r="I169" s="54"/>
      <c r="J169" s="57"/>
      <c r="K169" s="14" t="s">
        <v>28</v>
      </c>
      <c r="L169" s="20">
        <f>'[2]6нед'!S173</f>
        <v>0</v>
      </c>
      <c r="M169" s="23">
        <f>'[2]6нед'!T173</f>
        <v>0</v>
      </c>
      <c r="N169" s="21">
        <f>'[2]6нед'!W173</f>
        <v>0</v>
      </c>
      <c r="O169" s="22">
        <f>'[2]6нед'!X173</f>
        <v>0</v>
      </c>
      <c r="P169" s="41"/>
    </row>
    <row r="170" spans="1:16" ht="31.8" thickBot="1">
      <c r="A170" s="49"/>
      <c r="B170" s="52"/>
      <c r="C170" s="14" t="s">
        <v>29</v>
      </c>
      <c r="D170" s="20">
        <f>'[2]5нед'!S174</f>
        <v>0</v>
      </c>
      <c r="E170" s="23">
        <f>'[2]5нед'!T174</f>
        <v>0</v>
      </c>
      <c r="F170" s="21">
        <f>'[2]5нед'!W174</f>
        <v>0</v>
      </c>
      <c r="G170" s="22">
        <f>'[2]5нед'!X174</f>
        <v>0</v>
      </c>
      <c r="H170" s="41"/>
      <c r="I170" s="54"/>
      <c r="J170" s="57"/>
      <c r="K170" s="14" t="s">
        <v>29</v>
      </c>
      <c r="L170" s="20">
        <f>'[2]6нед'!S174</f>
        <v>0</v>
      </c>
      <c r="M170" s="23">
        <f>'[2]6нед'!T174</f>
        <v>0</v>
      </c>
      <c r="N170" s="21">
        <f>'[2]6нед'!W174</f>
        <v>0</v>
      </c>
      <c r="O170" s="22">
        <f>'[2]6нед'!X174</f>
        <v>0</v>
      </c>
      <c r="P170" s="41"/>
    </row>
    <row r="171" spans="1:16" ht="18.600000000000001" hidden="1" thickBot="1">
      <c r="A171" s="50"/>
      <c r="B171" s="53"/>
      <c r="C171" s="15"/>
      <c r="D171" s="24">
        <f>'[2]5нед'!S175</f>
        <v>0</v>
      </c>
      <c r="E171" s="25">
        <f>'[2]5нед'!T175</f>
        <v>0</v>
      </c>
      <c r="F171" s="26">
        <f>'[2]5нед'!W175</f>
        <v>0</v>
      </c>
      <c r="G171" s="27">
        <f>'[2]5нед'!X175</f>
        <v>0</v>
      </c>
      <c r="H171" s="42"/>
      <c r="I171" s="55"/>
      <c r="J171" s="58"/>
      <c r="K171" s="15"/>
      <c r="L171" s="24">
        <f>'[2]6нед'!S175</f>
        <v>0</v>
      </c>
      <c r="M171" s="25">
        <f>'[2]6нед'!T175</f>
        <v>0</v>
      </c>
      <c r="N171" s="26">
        <f>'[2]6нед'!W175</f>
        <v>0</v>
      </c>
      <c r="O171" s="27">
        <f>'[2]6нед'!X175</f>
        <v>0</v>
      </c>
      <c r="P171" s="42"/>
    </row>
    <row r="172" spans="1:16" ht="48" customHeight="1" thickTop="1">
      <c r="A172" s="48">
        <v>45934</v>
      </c>
      <c r="B172" s="51" t="s">
        <v>5</v>
      </c>
      <c r="C172" s="28" t="s">
        <v>23</v>
      </c>
      <c r="D172" s="16">
        <f>'[2]5нед'!S176</f>
        <v>0</v>
      </c>
      <c r="E172" s="19">
        <f>'[2]5нед'!T176</f>
        <v>0</v>
      </c>
      <c r="F172" s="17">
        <f>'[2]5нед'!W176</f>
        <v>0</v>
      </c>
      <c r="G172" s="18">
        <f>'[2]5нед'!X176</f>
        <v>0</v>
      </c>
      <c r="H172" s="43"/>
      <c r="I172" s="48">
        <v>45941</v>
      </c>
      <c r="J172" s="56" t="s">
        <v>5</v>
      </c>
      <c r="K172" s="28" t="s">
        <v>23</v>
      </c>
      <c r="L172" s="16">
        <f>'[2]6нед'!S176</f>
        <v>0</v>
      </c>
      <c r="M172" s="19">
        <f>'[2]6нед'!T176</f>
        <v>0</v>
      </c>
      <c r="N172" s="17">
        <f>'[2]6нед'!W176</f>
        <v>0</v>
      </c>
      <c r="O172" s="18">
        <f>'[2]6нед'!X176</f>
        <v>0</v>
      </c>
      <c r="P172" s="43"/>
    </row>
    <row r="173" spans="1:16" ht="31.2">
      <c r="A173" s="49"/>
      <c r="B173" s="52"/>
      <c r="C173" s="14" t="s">
        <v>24</v>
      </c>
      <c r="D173" s="20">
        <f>'[2]5нед'!S177</f>
        <v>0</v>
      </c>
      <c r="E173" s="23">
        <f>'[2]5нед'!T177</f>
        <v>0</v>
      </c>
      <c r="F173" s="21">
        <f>'[2]5нед'!W177</f>
        <v>0</v>
      </c>
      <c r="G173" s="22">
        <f>'[2]5нед'!X177</f>
        <v>0</v>
      </c>
      <c r="H173" s="41"/>
      <c r="I173" s="54"/>
      <c r="J173" s="57"/>
      <c r="K173" s="14" t="s">
        <v>24</v>
      </c>
      <c r="L173" s="20">
        <f>'[2]6нед'!S177</f>
        <v>0</v>
      </c>
      <c r="M173" s="23">
        <f>'[2]6нед'!T177</f>
        <v>0</v>
      </c>
      <c r="N173" s="21">
        <f>'[2]6нед'!W177</f>
        <v>0</v>
      </c>
      <c r="O173" s="22">
        <f>'[2]6нед'!X177</f>
        <v>0</v>
      </c>
      <c r="P173" s="41"/>
    </row>
    <row r="174" spans="1:16" ht="31.2">
      <c r="A174" s="49"/>
      <c r="B174" s="52"/>
      <c r="C174" s="14" t="s">
        <v>25</v>
      </c>
      <c r="D174" s="20">
        <f>'[2]5нед'!S178</f>
        <v>0</v>
      </c>
      <c r="E174" s="23">
        <f>'[2]5нед'!T178</f>
        <v>0</v>
      </c>
      <c r="F174" s="21">
        <f>'[2]5нед'!W178</f>
        <v>0</v>
      </c>
      <c r="G174" s="22">
        <f>'[2]5нед'!X178</f>
        <v>0</v>
      </c>
      <c r="H174" s="41"/>
      <c r="I174" s="54"/>
      <c r="J174" s="57"/>
      <c r="K174" s="14" t="s">
        <v>25</v>
      </c>
      <c r="L174" s="20">
        <f>'[2]6нед'!S178</f>
        <v>0</v>
      </c>
      <c r="M174" s="23">
        <f>'[2]6нед'!T178</f>
        <v>0</v>
      </c>
      <c r="N174" s="21">
        <f>'[2]6нед'!W178</f>
        <v>0</v>
      </c>
      <c r="O174" s="22">
        <f>'[2]6нед'!X178</f>
        <v>0</v>
      </c>
      <c r="P174" s="41"/>
    </row>
    <row r="175" spans="1:16" ht="31.2">
      <c r="A175" s="49"/>
      <c r="B175" s="52"/>
      <c r="C175" s="14" t="s">
        <v>26</v>
      </c>
      <c r="D175" s="20">
        <f>'[2]5нед'!S179</f>
        <v>0</v>
      </c>
      <c r="E175" s="23">
        <f>'[2]5нед'!T179</f>
        <v>0</v>
      </c>
      <c r="F175" s="21">
        <f>'[2]5нед'!W179</f>
        <v>0</v>
      </c>
      <c r="G175" s="22">
        <f>'[2]5нед'!X179</f>
        <v>0</v>
      </c>
      <c r="H175" s="41"/>
      <c r="I175" s="54"/>
      <c r="J175" s="57"/>
      <c r="K175" s="14" t="s">
        <v>26</v>
      </c>
      <c r="L175" s="20">
        <f>'[2]6нед'!S179</f>
        <v>0</v>
      </c>
      <c r="M175" s="23">
        <f>'[2]6нед'!T179</f>
        <v>0</v>
      </c>
      <c r="N175" s="21">
        <f>'[2]6нед'!W179</f>
        <v>0</v>
      </c>
      <c r="O175" s="22">
        <f>'[2]6нед'!X179</f>
        <v>0</v>
      </c>
      <c r="P175" s="41"/>
    </row>
    <row r="176" spans="1:16" ht="31.2">
      <c r="A176" s="49"/>
      <c r="B176" s="52"/>
      <c r="C176" s="14" t="s">
        <v>27</v>
      </c>
      <c r="D176" s="20">
        <f>'[2]5нед'!S180</f>
        <v>0</v>
      </c>
      <c r="E176" s="23">
        <f>'[2]5нед'!T180</f>
        <v>0</v>
      </c>
      <c r="F176" s="21">
        <f>'[2]5нед'!W180</f>
        <v>0</v>
      </c>
      <c r="G176" s="22">
        <f>'[2]5нед'!X180</f>
        <v>0</v>
      </c>
      <c r="H176" s="41"/>
      <c r="I176" s="54"/>
      <c r="J176" s="57"/>
      <c r="K176" s="14" t="s">
        <v>27</v>
      </c>
      <c r="L176" s="20">
        <f>'[2]6нед'!S180</f>
        <v>0</v>
      </c>
      <c r="M176" s="23">
        <f>'[2]6нед'!T180</f>
        <v>0</v>
      </c>
      <c r="N176" s="21">
        <f>'[2]6нед'!W180</f>
        <v>0</v>
      </c>
      <c r="O176" s="22">
        <f>'[2]6нед'!X180</f>
        <v>0</v>
      </c>
      <c r="P176" s="41"/>
    </row>
    <row r="177" spans="1:16" ht="31.2">
      <c r="A177" s="49"/>
      <c r="B177" s="52"/>
      <c r="C177" s="14" t="s">
        <v>28</v>
      </c>
      <c r="D177" s="20">
        <f>'[2]5нед'!S181</f>
        <v>0</v>
      </c>
      <c r="E177" s="23">
        <f>'[2]5нед'!T181</f>
        <v>0</v>
      </c>
      <c r="F177" s="21">
        <f>'[2]5нед'!W181</f>
        <v>0</v>
      </c>
      <c r="G177" s="22">
        <f>'[2]5нед'!X181</f>
        <v>0</v>
      </c>
      <c r="H177" s="41"/>
      <c r="I177" s="54"/>
      <c r="J177" s="57"/>
      <c r="K177" s="14" t="s">
        <v>28</v>
      </c>
      <c r="L177" s="20">
        <f>'[2]6нед'!S181</f>
        <v>0</v>
      </c>
      <c r="M177" s="23">
        <f>'[2]6нед'!T181</f>
        <v>0</v>
      </c>
      <c r="N177" s="21">
        <f>'[2]6нед'!W181</f>
        <v>0</v>
      </c>
      <c r="O177" s="22">
        <f>'[2]6нед'!X181</f>
        <v>0</v>
      </c>
      <c r="P177" s="41"/>
    </row>
    <row r="178" spans="1:16" ht="31.8" thickBot="1">
      <c r="A178" s="49"/>
      <c r="B178" s="52"/>
      <c r="C178" s="14" t="s">
        <v>29</v>
      </c>
      <c r="D178" s="20">
        <f>'[2]5нед'!S182</f>
        <v>0</v>
      </c>
      <c r="E178" s="23">
        <f>'[2]5нед'!T182</f>
        <v>0</v>
      </c>
      <c r="F178" s="21">
        <f>'[2]5нед'!W182</f>
        <v>0</v>
      </c>
      <c r="G178" s="22">
        <f>'[2]5нед'!X182</f>
        <v>0</v>
      </c>
      <c r="H178" s="41"/>
      <c r="I178" s="54"/>
      <c r="J178" s="57"/>
      <c r="K178" s="14" t="s">
        <v>29</v>
      </c>
      <c r="L178" s="20">
        <f>'[2]6нед'!S182</f>
        <v>0</v>
      </c>
      <c r="M178" s="23">
        <f>'[2]6нед'!T182</f>
        <v>0</v>
      </c>
      <c r="N178" s="21">
        <f>'[2]6нед'!W182</f>
        <v>0</v>
      </c>
      <c r="O178" s="22">
        <f>'[2]6нед'!X182</f>
        <v>0</v>
      </c>
      <c r="P178" s="41"/>
    </row>
    <row r="179" spans="1:16" ht="18.600000000000001" hidden="1" thickBot="1">
      <c r="A179" s="50"/>
      <c r="B179" s="53"/>
      <c r="C179" s="15"/>
      <c r="D179" s="24">
        <f>'[2]5нед'!S183</f>
        <v>0</v>
      </c>
      <c r="E179" s="25">
        <f>'[2]5нед'!T183</f>
        <v>0</v>
      </c>
      <c r="F179" s="26">
        <f>'[2]5нед'!W183</f>
        <v>0</v>
      </c>
      <c r="G179" s="27">
        <f>'[2]5нед'!X183</f>
        <v>0</v>
      </c>
      <c r="H179" s="42"/>
      <c r="I179" s="55"/>
      <c r="J179" s="58"/>
      <c r="K179" s="15"/>
      <c r="L179" s="24">
        <f>'[2]6нед'!S59</f>
        <v>0</v>
      </c>
      <c r="M179" s="25">
        <f>'[2]6нед'!T59</f>
        <v>0</v>
      </c>
      <c r="N179" s="26">
        <f>'[2]6нед'!W59</f>
        <v>0</v>
      </c>
      <c r="O179" s="27">
        <f>'[2]6нед'!X59</f>
        <v>0</v>
      </c>
      <c r="P179" s="42"/>
    </row>
    <row r="180" spans="1:16" ht="39" customHeight="1" thickTop="1">
      <c r="A180" s="29"/>
      <c r="B180" s="30"/>
      <c r="C180" s="31"/>
      <c r="D180" s="32"/>
      <c r="E180" s="32" t="s">
        <v>21</v>
      </c>
      <c r="F180" s="32"/>
      <c r="G180" s="33" t="s">
        <v>22</v>
      </c>
      <c r="H180" s="44"/>
      <c r="I180" s="29"/>
      <c r="J180" s="30"/>
      <c r="K180" s="31"/>
      <c r="L180" s="32"/>
      <c r="M180" s="32" t="s">
        <v>21</v>
      </c>
      <c r="N180" s="32"/>
      <c r="O180" s="33" t="s">
        <v>22</v>
      </c>
      <c r="P180" s="44"/>
    </row>
    <row r="181" spans="1:16" ht="15.6">
      <c r="A181" s="1"/>
      <c r="B181" s="2"/>
      <c r="C181" s="3"/>
      <c r="D181" s="4"/>
      <c r="E181" s="4"/>
      <c r="F181" s="4"/>
      <c r="G181" s="4"/>
      <c r="H181" s="37" t="s">
        <v>8</v>
      </c>
      <c r="I181" s="1"/>
      <c r="J181" s="2"/>
      <c r="K181" s="3"/>
      <c r="L181" s="4"/>
      <c r="M181" s="4"/>
      <c r="N181" s="4"/>
      <c r="O181" s="4"/>
      <c r="P181" s="37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37" t="s">
        <v>9</v>
      </c>
      <c r="I182" s="1"/>
      <c r="J182" s="2"/>
      <c r="K182" s="3"/>
      <c r="L182" s="4"/>
      <c r="M182" s="4"/>
      <c r="N182" s="4"/>
      <c r="O182" s="4"/>
      <c r="P182" s="37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37" t="s">
        <v>10</v>
      </c>
      <c r="I183" s="1"/>
      <c r="J183" s="2"/>
      <c r="K183" s="3"/>
      <c r="L183" s="4"/>
      <c r="M183" s="4"/>
      <c r="N183" s="4"/>
      <c r="O183" s="4"/>
      <c r="P183" s="37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37" t="s">
        <v>11</v>
      </c>
      <c r="I184" s="1"/>
      <c r="J184" s="2"/>
      <c r="K184" s="3"/>
      <c r="L184" s="4"/>
      <c r="M184" s="4"/>
      <c r="N184" s="4"/>
      <c r="O184" s="4"/>
      <c r="P184" s="37" t="s">
        <v>11</v>
      </c>
    </row>
    <row r="185" spans="1:16" ht="15.6">
      <c r="A185" s="1"/>
      <c r="B185" s="5"/>
      <c r="C185" s="3"/>
      <c r="D185" s="4"/>
      <c r="E185" s="4"/>
      <c r="F185" s="4"/>
      <c r="G185" s="4"/>
      <c r="H185" s="38"/>
      <c r="I185" s="1"/>
      <c r="J185" s="5"/>
      <c r="K185" s="3"/>
      <c r="L185" s="4"/>
      <c r="M185" s="4"/>
      <c r="N185" s="4"/>
      <c r="O185" s="4"/>
      <c r="P185" s="38"/>
    </row>
    <row r="186" spans="1:16" ht="15.6">
      <c r="A186" s="1"/>
      <c r="B186" s="74" t="s">
        <v>12</v>
      </c>
      <c r="C186" s="74"/>
      <c r="D186" s="74"/>
      <c r="E186" s="74"/>
      <c r="F186" s="74"/>
      <c r="G186" s="74"/>
      <c r="H186" s="74"/>
      <c r="I186" s="1"/>
      <c r="J186" s="74" t="s">
        <v>12</v>
      </c>
      <c r="K186" s="74"/>
      <c r="L186" s="74"/>
      <c r="M186" s="74"/>
      <c r="N186" s="74"/>
      <c r="O186" s="74"/>
      <c r="P186" s="74"/>
    </row>
    <row r="187" spans="1:16" ht="15.6">
      <c r="A187" s="6"/>
      <c r="B187" s="34" t="str">
        <f>'[1]1нед'!$A$6</f>
        <v>Направление подготовки:</v>
      </c>
      <c r="C187" s="7"/>
      <c r="D187" s="8"/>
      <c r="E187" s="9" t="str">
        <f>E7</f>
        <v>09.04.04 Программная инженерия (Разработка программно-информационных систем)</v>
      </c>
      <c r="F187" s="8"/>
      <c r="G187" s="8"/>
      <c r="H187" s="39" t="str">
        <f>H7</f>
        <v>12-25РПм</v>
      </c>
      <c r="I187" s="6"/>
      <c r="J187" s="34" t="str">
        <f>'[1]1нед'!$A$6</f>
        <v>Направление подготовки:</v>
      </c>
      <c r="K187" s="7"/>
      <c r="L187" s="8"/>
      <c r="M187" s="9" t="str">
        <f>E7</f>
        <v>09.04.04 Программная инженерия (Разработка программно-информационных систем)</v>
      </c>
      <c r="N187" s="8"/>
      <c r="O187" s="8"/>
      <c r="P187" s="39" t="str">
        <f>H7</f>
        <v>12-25РПм</v>
      </c>
    </row>
    <row r="188" spans="1:16" ht="15.6">
      <c r="A188" s="1"/>
      <c r="B188" s="73" t="s">
        <v>13</v>
      </c>
      <c r="C188" s="73"/>
      <c r="D188" s="73"/>
      <c r="E188" s="73" t="str">
        <f>E8</f>
        <v>очная</v>
      </c>
      <c r="F188" s="73"/>
      <c r="G188" s="73"/>
      <c r="H188" s="73"/>
      <c r="I188" s="1"/>
      <c r="J188" s="73" t="s">
        <v>13</v>
      </c>
      <c r="K188" s="73"/>
      <c r="L188" s="73"/>
      <c r="M188" s="73" t="str">
        <f>E8</f>
        <v>очная</v>
      </c>
      <c r="N188" s="73"/>
      <c r="O188" s="73"/>
      <c r="P188" s="73"/>
    </row>
    <row r="189" spans="1:16" ht="15.6">
      <c r="A189" s="1"/>
      <c r="B189" s="73" t="s">
        <v>15</v>
      </c>
      <c r="C189" s="73"/>
      <c r="D189" s="73"/>
      <c r="E189" s="34">
        <f>E9</f>
        <v>1</v>
      </c>
      <c r="F189" s="34"/>
      <c r="G189" s="34"/>
      <c r="H189" s="38"/>
      <c r="I189" s="1"/>
      <c r="J189" s="73" t="s">
        <v>15</v>
      </c>
      <c r="K189" s="73"/>
      <c r="L189" s="73"/>
      <c r="M189" s="34">
        <f>E9</f>
        <v>1</v>
      </c>
      <c r="N189" s="34"/>
      <c r="O189" s="34"/>
      <c r="P189" s="38"/>
    </row>
    <row r="190" spans="1:16" ht="16.2" thickBot="1">
      <c r="A190" s="1"/>
      <c r="B190" s="70" t="s">
        <v>16</v>
      </c>
      <c r="C190" s="70"/>
      <c r="D190" s="70"/>
      <c r="E190" s="35">
        <f>M130+1</f>
        <v>7</v>
      </c>
      <c r="F190" s="35"/>
      <c r="G190" s="35"/>
      <c r="H190" s="40"/>
      <c r="I190" s="1"/>
      <c r="J190" s="70" t="s">
        <v>16</v>
      </c>
      <c r="K190" s="70"/>
      <c r="L190" s="70"/>
      <c r="M190" s="35">
        <f>E190+1</f>
        <v>8</v>
      </c>
      <c r="N190" s="35"/>
      <c r="O190" s="35"/>
      <c r="P190" s="40"/>
    </row>
    <row r="191" spans="1:16" ht="46.5" customHeight="1" thickTop="1" thickBot="1">
      <c r="A191" s="71" t="s">
        <v>17</v>
      </c>
      <c r="B191" s="72"/>
      <c r="C191" s="10" t="s">
        <v>18</v>
      </c>
      <c r="D191" s="11" t="s">
        <v>7</v>
      </c>
      <c r="E191" s="12" t="s">
        <v>19</v>
      </c>
      <c r="F191" s="68" t="s">
        <v>6</v>
      </c>
      <c r="G191" s="69"/>
      <c r="H191" s="13" t="s">
        <v>20</v>
      </c>
      <c r="I191" s="71" t="s">
        <v>17</v>
      </c>
      <c r="J191" s="72"/>
      <c r="K191" s="10" t="s">
        <v>18</v>
      </c>
      <c r="L191" s="11" t="s">
        <v>7</v>
      </c>
      <c r="M191" s="12" t="s">
        <v>19</v>
      </c>
      <c r="N191" s="68" t="s">
        <v>6</v>
      </c>
      <c r="O191" s="69"/>
      <c r="P191" s="13" t="s">
        <v>20</v>
      </c>
    </row>
    <row r="192" spans="1:16" ht="32.25" customHeight="1" thickTop="1">
      <c r="A192" s="48">
        <v>45943</v>
      </c>
      <c r="B192" s="51" t="s">
        <v>0</v>
      </c>
      <c r="C192" s="14" t="s">
        <v>23</v>
      </c>
      <c r="D192" s="16">
        <f>'[2]7нед'!S136</f>
        <v>0</v>
      </c>
      <c r="E192" s="19">
        <f>'[2]7нед'!T136</f>
        <v>0</v>
      </c>
      <c r="F192" s="17">
        <f>'[2]7нед'!W136</f>
        <v>0</v>
      </c>
      <c r="G192" s="18">
        <f>'[2]7нед'!X136</f>
        <v>0</v>
      </c>
      <c r="H192" s="43"/>
      <c r="I192" s="48">
        <v>45950</v>
      </c>
      <c r="J192" s="56" t="s">
        <v>0</v>
      </c>
      <c r="K192" s="14" t="s">
        <v>23</v>
      </c>
      <c r="L192" s="16" t="str">
        <f>'[2]8нед'!S136</f>
        <v>пр</v>
      </c>
      <c r="M192" s="19" t="str">
        <f>'[2]8нед'!T136</f>
        <v>Применение методов искусственного интеллекта в анализе данных и управлении</v>
      </c>
      <c r="N192" s="17" t="str">
        <f>'[2]8нед'!W136</f>
        <v>Гришин И.Ю.</v>
      </c>
      <c r="O192" s="18" t="str">
        <f>'[2]8нед'!X136</f>
        <v>профессор, д-р наук</v>
      </c>
      <c r="P192" s="47" t="s">
        <v>31</v>
      </c>
    </row>
    <row r="193" spans="1:16" ht="31.2">
      <c r="A193" s="49"/>
      <c r="B193" s="52"/>
      <c r="C193" s="14" t="s">
        <v>24</v>
      </c>
      <c r="D193" s="20">
        <f>'[2]7нед'!S137</f>
        <v>0</v>
      </c>
      <c r="E193" s="23">
        <f>'[2]7нед'!T137</f>
        <v>0</v>
      </c>
      <c r="F193" s="21">
        <f>'[2]7нед'!W137</f>
        <v>0</v>
      </c>
      <c r="G193" s="22">
        <f>'[2]7нед'!X137</f>
        <v>0</v>
      </c>
      <c r="H193" s="41"/>
      <c r="I193" s="54"/>
      <c r="J193" s="57"/>
      <c r="K193" s="14" t="s">
        <v>24</v>
      </c>
      <c r="L193" s="20" t="str">
        <f>'[2]8нед'!S137</f>
        <v>пр</v>
      </c>
      <c r="M193" s="23" t="str">
        <f>'[2]8нед'!T137</f>
        <v>Машинное обучение и анализ данных</v>
      </c>
      <c r="N193" s="21" t="str">
        <f>'[2]8нед'!W137</f>
        <v>Гришин И.Ю.</v>
      </c>
      <c r="O193" s="22" t="str">
        <f>'[2]8нед'!X137</f>
        <v>профессор, д-р наук</v>
      </c>
      <c r="P193" s="46" t="s">
        <v>31</v>
      </c>
    </row>
    <row r="194" spans="1:16" ht="31.2">
      <c r="A194" s="49"/>
      <c r="B194" s="52"/>
      <c r="C194" s="14" t="s">
        <v>25</v>
      </c>
      <c r="D194" s="20">
        <f>'[2]7нед'!S138</f>
        <v>0</v>
      </c>
      <c r="E194" s="23">
        <f>'[2]7нед'!T138</f>
        <v>0</v>
      </c>
      <c r="F194" s="21">
        <f>'[2]7нед'!W138</f>
        <v>0</v>
      </c>
      <c r="G194" s="22">
        <f>'[2]7нед'!X138</f>
        <v>0</v>
      </c>
      <c r="H194" s="41"/>
      <c r="I194" s="54"/>
      <c r="J194" s="57"/>
      <c r="K194" s="14" t="s">
        <v>25</v>
      </c>
      <c r="L194" s="20" t="str">
        <f>'[2]8нед'!S138</f>
        <v>пр</v>
      </c>
      <c r="M194" s="23" t="str">
        <f>'[2]8нед'!T138</f>
        <v>Управление ИТ-проектами</v>
      </c>
      <c r="N194" s="21" t="str">
        <f>'[2]8нед'!W138</f>
        <v>Линник И.И.</v>
      </c>
      <c r="O194" s="22" t="str">
        <f>'[2]8нед'!X138</f>
        <v>доцент, канд. наук</v>
      </c>
      <c r="P194" s="46" t="s">
        <v>31</v>
      </c>
    </row>
    <row r="195" spans="1:16" ht="31.2">
      <c r="A195" s="49"/>
      <c r="B195" s="52"/>
      <c r="C195" s="14" t="s">
        <v>26</v>
      </c>
      <c r="D195" s="20">
        <f>'[2]7нед'!S139</f>
        <v>0</v>
      </c>
      <c r="E195" s="23">
        <f>'[2]7нед'!T139</f>
        <v>0</v>
      </c>
      <c r="F195" s="21">
        <f>'[2]7нед'!W139</f>
        <v>0</v>
      </c>
      <c r="G195" s="22">
        <f>'[2]7нед'!X139</f>
        <v>0</v>
      </c>
      <c r="H195" s="41"/>
      <c r="I195" s="54"/>
      <c r="J195" s="57"/>
      <c r="K195" s="14" t="s">
        <v>26</v>
      </c>
      <c r="L195" s="20">
        <f>'[2]8нед'!S139</f>
        <v>0</v>
      </c>
      <c r="M195" s="23">
        <f>'[2]8нед'!T139</f>
        <v>0</v>
      </c>
      <c r="N195" s="21">
        <f>'[2]8нед'!W139</f>
        <v>0</v>
      </c>
      <c r="O195" s="22">
        <f>'[2]8нед'!X139</f>
        <v>0</v>
      </c>
      <c r="P195" s="41"/>
    </row>
    <row r="196" spans="1:16" ht="31.2">
      <c r="A196" s="49"/>
      <c r="B196" s="52"/>
      <c r="C196" s="14" t="s">
        <v>27</v>
      </c>
      <c r="D196" s="20">
        <f>'[2]7нед'!S140</f>
        <v>0</v>
      </c>
      <c r="E196" s="23">
        <f>'[2]7нед'!T140</f>
        <v>0</v>
      </c>
      <c r="F196" s="21">
        <f>'[2]7нед'!W140</f>
        <v>0</v>
      </c>
      <c r="G196" s="22">
        <f>'[2]7нед'!X140</f>
        <v>0</v>
      </c>
      <c r="H196" s="41"/>
      <c r="I196" s="54"/>
      <c r="J196" s="57"/>
      <c r="K196" s="14" t="s">
        <v>27</v>
      </c>
      <c r="L196" s="20">
        <f>'[2]8нед'!S140</f>
        <v>0</v>
      </c>
      <c r="M196" s="23">
        <f>'[2]8нед'!T140</f>
        <v>0</v>
      </c>
      <c r="N196" s="21">
        <f>'[2]8нед'!W140</f>
        <v>0</v>
      </c>
      <c r="O196" s="22">
        <f>'[2]8нед'!X140</f>
        <v>0</v>
      </c>
      <c r="P196" s="41"/>
    </row>
    <row r="197" spans="1:16" ht="31.2">
      <c r="A197" s="49"/>
      <c r="B197" s="52"/>
      <c r="C197" s="14" t="s">
        <v>28</v>
      </c>
      <c r="D197" s="20">
        <f>'[2]7нед'!S141</f>
        <v>0</v>
      </c>
      <c r="E197" s="23">
        <f>'[2]7нед'!T141</f>
        <v>0</v>
      </c>
      <c r="F197" s="21">
        <f>'[2]7нед'!W141</f>
        <v>0</v>
      </c>
      <c r="G197" s="22">
        <f>'[2]7нед'!X141</f>
        <v>0</v>
      </c>
      <c r="H197" s="41"/>
      <c r="I197" s="54"/>
      <c r="J197" s="57"/>
      <c r="K197" s="14" t="s">
        <v>28</v>
      </c>
      <c r="L197" s="20">
        <f>'[2]8нед'!S141</f>
        <v>0</v>
      </c>
      <c r="M197" s="23">
        <f>'[2]8нед'!T141</f>
        <v>0</v>
      </c>
      <c r="N197" s="21">
        <f>'[2]8нед'!W141</f>
        <v>0</v>
      </c>
      <c r="O197" s="22">
        <f>'[2]8нед'!X141</f>
        <v>0</v>
      </c>
      <c r="P197" s="41"/>
    </row>
    <row r="198" spans="1:16" ht="31.8" thickBot="1">
      <c r="A198" s="49"/>
      <c r="B198" s="52"/>
      <c r="C198" s="14" t="s">
        <v>29</v>
      </c>
      <c r="D198" s="20">
        <f>'[2]7нед'!S142</f>
        <v>0</v>
      </c>
      <c r="E198" s="23">
        <f>'[2]7нед'!T142</f>
        <v>0</v>
      </c>
      <c r="F198" s="21">
        <f>'[2]7нед'!W142</f>
        <v>0</v>
      </c>
      <c r="G198" s="22">
        <f>'[2]7нед'!X142</f>
        <v>0</v>
      </c>
      <c r="H198" s="41"/>
      <c r="I198" s="54"/>
      <c r="J198" s="57"/>
      <c r="K198" s="14" t="s">
        <v>29</v>
      </c>
      <c r="L198" s="20">
        <f>'[2]8нед'!S142</f>
        <v>0</v>
      </c>
      <c r="M198" s="23">
        <f>'[2]8нед'!T142</f>
        <v>0</v>
      </c>
      <c r="N198" s="21">
        <f>'[2]8нед'!W142</f>
        <v>0</v>
      </c>
      <c r="O198" s="22">
        <f>'[2]8нед'!X142</f>
        <v>0</v>
      </c>
      <c r="P198" s="41"/>
    </row>
    <row r="199" spans="1:16" ht="18.600000000000001" hidden="1" thickBot="1">
      <c r="A199" s="50"/>
      <c r="B199" s="53"/>
      <c r="C199" s="15"/>
      <c r="D199" s="24">
        <f>'[2]7нед'!S143</f>
        <v>0</v>
      </c>
      <c r="E199" s="25">
        <f>'[2]7нед'!T143</f>
        <v>0</v>
      </c>
      <c r="F199" s="26">
        <f>'[2]7нед'!W143</f>
        <v>0</v>
      </c>
      <c r="G199" s="27">
        <f>'[2]7нед'!X143</f>
        <v>0</v>
      </c>
      <c r="H199" s="42"/>
      <c r="I199" s="55"/>
      <c r="J199" s="58"/>
      <c r="K199" s="15"/>
      <c r="L199" s="24">
        <f>'[2]8нед'!S143</f>
        <v>0</v>
      </c>
      <c r="M199" s="25">
        <f>'[2]8нед'!T143</f>
        <v>0</v>
      </c>
      <c r="N199" s="26">
        <f>'[2]8нед'!W143</f>
        <v>0</v>
      </c>
      <c r="O199" s="27">
        <f>'[2]8нед'!X143</f>
        <v>0</v>
      </c>
      <c r="P199" s="42"/>
    </row>
    <row r="200" spans="1:16" ht="32.25" customHeight="1" thickTop="1">
      <c r="A200" s="48">
        <v>45944</v>
      </c>
      <c r="B200" s="51" t="s">
        <v>1</v>
      </c>
      <c r="C200" s="28" t="s">
        <v>23</v>
      </c>
      <c r="D200" s="16">
        <f>'[2]7нед'!S144</f>
        <v>0</v>
      </c>
      <c r="E200" s="19">
        <f>'[2]7нед'!T144</f>
        <v>0</v>
      </c>
      <c r="F200" s="17">
        <f>'[2]7нед'!W144</f>
        <v>0</v>
      </c>
      <c r="G200" s="18">
        <f>'[2]7нед'!X144</f>
        <v>0</v>
      </c>
      <c r="H200" s="43"/>
      <c r="I200" s="48">
        <v>45951</v>
      </c>
      <c r="J200" s="56" t="s">
        <v>1</v>
      </c>
      <c r="K200" s="28" t="s">
        <v>23</v>
      </c>
      <c r="L200" s="16" t="str">
        <f>'[2]8нед'!S144</f>
        <v>пр</v>
      </c>
      <c r="M200" s="19" t="str">
        <f>'[2]8нед'!T144</f>
        <v xml:space="preserve"> Основы програмной инженерии</v>
      </c>
      <c r="N200" s="17" t="str">
        <f>'[2]8нед'!W144</f>
        <v>Алешов В.В.</v>
      </c>
      <c r="O200" s="18" t="str">
        <f>'[2]8нед'!X144</f>
        <v>преподаватель</v>
      </c>
      <c r="P200" s="47" t="s">
        <v>31</v>
      </c>
    </row>
    <row r="201" spans="1:16" ht="31.2">
      <c r="A201" s="49"/>
      <c r="B201" s="52"/>
      <c r="C201" s="14" t="s">
        <v>24</v>
      </c>
      <c r="D201" s="20">
        <f>'[2]7нед'!S145</f>
        <v>0</v>
      </c>
      <c r="E201" s="23">
        <f>'[2]7нед'!T145</f>
        <v>0</v>
      </c>
      <c r="F201" s="21">
        <f>'[2]7нед'!W145</f>
        <v>0</v>
      </c>
      <c r="G201" s="22">
        <f>'[2]7нед'!X145</f>
        <v>0</v>
      </c>
      <c r="H201" s="41"/>
      <c r="I201" s="54"/>
      <c r="J201" s="57"/>
      <c r="K201" s="14" t="s">
        <v>24</v>
      </c>
      <c r="L201" s="20" t="str">
        <f>'[2]8нед'!S145</f>
        <v>пр</v>
      </c>
      <c r="M201" s="23" t="str">
        <f>'[2]8нед'!T145</f>
        <v xml:space="preserve"> Основы програмной инженерии</v>
      </c>
      <c r="N201" s="21" t="str">
        <f>'[2]8нед'!W145</f>
        <v>Алешов В.В.</v>
      </c>
      <c r="O201" s="22" t="str">
        <f>'[2]8нед'!X145</f>
        <v>преподаватель</v>
      </c>
      <c r="P201" s="46" t="s">
        <v>31</v>
      </c>
    </row>
    <row r="202" spans="1:16" ht="31.2">
      <c r="A202" s="49"/>
      <c r="B202" s="52"/>
      <c r="C202" s="14" t="s">
        <v>25</v>
      </c>
      <c r="D202" s="20" t="str">
        <f>'[2]7нед'!S146</f>
        <v>л</v>
      </c>
      <c r="E202" s="23" t="str">
        <f>'[2]7нед'!T146</f>
        <v>Теория систем и системный анализ</v>
      </c>
      <c r="F202" s="21" t="str">
        <f>'[2]7нед'!W146</f>
        <v>Гришин И.Ю.</v>
      </c>
      <c r="G202" s="22" t="str">
        <f>'[2]7нед'!X146</f>
        <v>профессор, д-р наук</v>
      </c>
      <c r="H202" s="36" t="s">
        <v>31</v>
      </c>
      <c r="I202" s="54"/>
      <c r="J202" s="57"/>
      <c r="K202" s="14" t="s">
        <v>25</v>
      </c>
      <c r="L202" s="20">
        <f>'[2]8нед'!S146</f>
        <v>0</v>
      </c>
      <c r="M202" s="23">
        <f>'[2]8нед'!T146</f>
        <v>0</v>
      </c>
      <c r="N202" s="21">
        <f>'[2]8нед'!W146</f>
        <v>0</v>
      </c>
      <c r="O202" s="22">
        <f>'[2]8нед'!X146</f>
        <v>0</v>
      </c>
      <c r="P202" s="41"/>
    </row>
    <row r="203" spans="1:16" ht="36">
      <c r="A203" s="49"/>
      <c r="B203" s="52"/>
      <c r="C203" s="14" t="s">
        <v>26</v>
      </c>
      <c r="D203" s="20" t="str">
        <f>'[2]7нед'!S147</f>
        <v>л</v>
      </c>
      <c r="E203" s="23" t="str">
        <f>'[2]7нед'!T147</f>
        <v>Применение методов искусственного интеллекта в анализе данных и управлении</v>
      </c>
      <c r="F203" s="21" t="str">
        <f>'[2]7нед'!W147</f>
        <v>Гришин И.Ю.</v>
      </c>
      <c r="G203" s="22" t="str">
        <f>'[2]7нед'!X147</f>
        <v>профессор, д-р наук</v>
      </c>
      <c r="H203" s="36" t="s">
        <v>31</v>
      </c>
      <c r="I203" s="54"/>
      <c r="J203" s="57"/>
      <c r="K203" s="14" t="s">
        <v>26</v>
      </c>
      <c r="L203" s="20">
        <f>'[2]8нед'!S147</f>
        <v>0</v>
      </c>
      <c r="M203" s="23">
        <f>'[2]8нед'!T147</f>
        <v>0</v>
      </c>
      <c r="N203" s="21">
        <f>'[2]8нед'!W147</f>
        <v>0</v>
      </c>
      <c r="O203" s="22">
        <f>'[2]8нед'!X147</f>
        <v>0</v>
      </c>
      <c r="P203" s="41"/>
    </row>
    <row r="204" spans="1:16" ht="31.2">
      <c r="A204" s="49"/>
      <c r="B204" s="52"/>
      <c r="C204" s="14" t="s">
        <v>27</v>
      </c>
      <c r="D204" s="20">
        <f>'[2]7нед'!S148</f>
        <v>0</v>
      </c>
      <c r="E204" s="23">
        <f>'[2]7нед'!T148</f>
        <v>0</v>
      </c>
      <c r="F204" s="21">
        <f>'[2]7нед'!W148</f>
        <v>0</v>
      </c>
      <c r="G204" s="22">
        <f>'[2]7нед'!X148</f>
        <v>0</v>
      </c>
      <c r="H204" s="41"/>
      <c r="I204" s="54"/>
      <c r="J204" s="57"/>
      <c r="K204" s="14" t="s">
        <v>27</v>
      </c>
      <c r="L204" s="20">
        <f>'[2]8нед'!S148</f>
        <v>0</v>
      </c>
      <c r="M204" s="23">
        <f>'[2]8нед'!T148</f>
        <v>0</v>
      </c>
      <c r="N204" s="21">
        <f>'[2]8нед'!W148</f>
        <v>0</v>
      </c>
      <c r="O204" s="22">
        <f>'[2]8нед'!X148</f>
        <v>0</v>
      </c>
      <c r="P204" s="41"/>
    </row>
    <row r="205" spans="1:16" ht="31.2">
      <c r="A205" s="49"/>
      <c r="B205" s="52"/>
      <c r="C205" s="14" t="s">
        <v>28</v>
      </c>
      <c r="D205" s="20">
        <f>'[2]7нед'!S149</f>
        <v>0</v>
      </c>
      <c r="E205" s="23">
        <f>'[2]7нед'!T149</f>
        <v>0</v>
      </c>
      <c r="F205" s="21">
        <f>'[2]7нед'!W149</f>
        <v>0</v>
      </c>
      <c r="G205" s="22">
        <f>'[2]7нед'!X149</f>
        <v>0</v>
      </c>
      <c r="H205" s="41"/>
      <c r="I205" s="54"/>
      <c r="J205" s="57"/>
      <c r="K205" s="14" t="s">
        <v>28</v>
      </c>
      <c r="L205" s="20">
        <f>'[2]8нед'!S149</f>
        <v>0</v>
      </c>
      <c r="M205" s="23">
        <f>'[2]8нед'!T149</f>
        <v>0</v>
      </c>
      <c r="N205" s="21">
        <f>'[2]8нед'!W149</f>
        <v>0</v>
      </c>
      <c r="O205" s="22">
        <f>'[2]8нед'!X149</f>
        <v>0</v>
      </c>
      <c r="P205" s="41"/>
    </row>
    <row r="206" spans="1:16" ht="31.8" thickBot="1">
      <c r="A206" s="49"/>
      <c r="B206" s="52"/>
      <c r="C206" s="14" t="s">
        <v>29</v>
      </c>
      <c r="D206" s="20">
        <f>'[2]7нед'!S150</f>
        <v>0</v>
      </c>
      <c r="E206" s="23">
        <f>'[2]7нед'!T150</f>
        <v>0</v>
      </c>
      <c r="F206" s="21">
        <f>'[2]7нед'!W150</f>
        <v>0</v>
      </c>
      <c r="G206" s="22">
        <f>'[2]7нед'!X150</f>
        <v>0</v>
      </c>
      <c r="H206" s="41"/>
      <c r="I206" s="54"/>
      <c r="J206" s="57"/>
      <c r="K206" s="14" t="s">
        <v>29</v>
      </c>
      <c r="L206" s="20">
        <f>'[2]8нед'!S150</f>
        <v>0</v>
      </c>
      <c r="M206" s="23">
        <f>'[2]8нед'!T150</f>
        <v>0</v>
      </c>
      <c r="N206" s="21">
        <f>'[2]8нед'!W150</f>
        <v>0</v>
      </c>
      <c r="O206" s="22">
        <f>'[2]8нед'!X150</f>
        <v>0</v>
      </c>
      <c r="P206" s="41"/>
    </row>
    <row r="207" spans="1:16" ht="18.600000000000001" hidden="1" thickBot="1">
      <c r="A207" s="50"/>
      <c r="B207" s="53"/>
      <c r="C207" s="15"/>
      <c r="D207" s="24">
        <f>'[2]7нед'!S151</f>
        <v>0</v>
      </c>
      <c r="E207" s="25">
        <f>'[2]7нед'!T151</f>
        <v>0</v>
      </c>
      <c r="F207" s="26">
        <f>'[2]7нед'!W151</f>
        <v>0</v>
      </c>
      <c r="G207" s="27">
        <f>'[2]7нед'!X151</f>
        <v>0</v>
      </c>
      <c r="H207" s="42"/>
      <c r="I207" s="55"/>
      <c r="J207" s="58"/>
      <c r="K207" s="15"/>
      <c r="L207" s="24">
        <f>'[2]8нед'!S151</f>
        <v>0</v>
      </c>
      <c r="M207" s="25">
        <f>'[2]8нед'!T151</f>
        <v>0</v>
      </c>
      <c r="N207" s="26">
        <f>'[2]8нед'!W151</f>
        <v>0</v>
      </c>
      <c r="O207" s="27">
        <f>'[2]8нед'!X151</f>
        <v>0</v>
      </c>
      <c r="P207" s="42"/>
    </row>
    <row r="208" spans="1:16" ht="48" customHeight="1" thickTop="1">
      <c r="A208" s="59">
        <v>45945</v>
      </c>
      <c r="B208" s="62" t="s">
        <v>2</v>
      </c>
      <c r="C208" s="28" t="s">
        <v>23</v>
      </c>
      <c r="D208" s="16">
        <f>'[2]7нед'!S152</f>
        <v>0</v>
      </c>
      <c r="E208" s="19">
        <f>'[2]7нед'!T152</f>
        <v>0</v>
      </c>
      <c r="F208" s="17">
        <f>'[2]7нед'!W152</f>
        <v>0</v>
      </c>
      <c r="G208" s="18">
        <f>'[2]7нед'!X152</f>
        <v>0</v>
      </c>
      <c r="H208" s="43"/>
      <c r="I208" s="59">
        <v>45952</v>
      </c>
      <c r="J208" s="65" t="s">
        <v>2</v>
      </c>
      <c r="K208" s="28" t="s">
        <v>23</v>
      </c>
      <c r="L208" s="16">
        <f>'[2]8нед'!S152</f>
        <v>0</v>
      </c>
      <c r="M208" s="19">
        <f>'[2]8нед'!T152</f>
        <v>0</v>
      </c>
      <c r="N208" s="17">
        <f>'[2]8нед'!W152</f>
        <v>0</v>
      </c>
      <c r="O208" s="18">
        <f>'[2]8нед'!X152</f>
        <v>0</v>
      </c>
      <c r="P208" s="43"/>
    </row>
    <row r="209" spans="1:16" ht="31.2">
      <c r="A209" s="60"/>
      <c r="B209" s="63"/>
      <c r="C209" s="14" t="s">
        <v>24</v>
      </c>
      <c r="D209" s="20">
        <f>'[2]7нед'!S153</f>
        <v>0</v>
      </c>
      <c r="E209" s="23">
        <f>'[2]7нед'!T153</f>
        <v>0</v>
      </c>
      <c r="F209" s="21">
        <f>'[2]7нед'!W153</f>
        <v>0</v>
      </c>
      <c r="G209" s="22">
        <f>'[2]7нед'!X153</f>
        <v>0</v>
      </c>
      <c r="H209" s="41"/>
      <c r="I209" s="60"/>
      <c r="J209" s="66"/>
      <c r="K209" s="14" t="s">
        <v>24</v>
      </c>
      <c r="L209" s="20" t="str">
        <f>'[2]8нед'!S153</f>
        <v>пр</v>
      </c>
      <c r="M209" s="23" t="str">
        <f>'[2]8нед'!T153</f>
        <v>Управление ИТ-проектами</v>
      </c>
      <c r="N209" s="21" t="str">
        <f>'[2]8нед'!W153</f>
        <v>Линник И.И.</v>
      </c>
      <c r="O209" s="22" t="str">
        <f>'[2]8нед'!X153</f>
        <v>доцент, канд. наук</v>
      </c>
      <c r="P209" s="46" t="s">
        <v>31</v>
      </c>
    </row>
    <row r="210" spans="1:16" ht="54">
      <c r="A210" s="60"/>
      <c r="B210" s="63"/>
      <c r="C210" s="14" t="s">
        <v>25</v>
      </c>
      <c r="D210" s="20" t="str">
        <f>'[2]7нед'!S154</f>
        <v>л</v>
      </c>
      <c r="E210" s="23" t="str">
        <f>'[2]7нед'!T154</f>
        <v>Теоретико-множественный и информационный анализ</v>
      </c>
      <c r="F210" s="21" t="str">
        <f>'[2]7нед'!W154</f>
        <v>Шерман М.И.</v>
      </c>
      <c r="G210" s="22" t="str">
        <f>'[2]7нед'!X154</f>
        <v>профессор, д-р наук</v>
      </c>
      <c r="H210" s="36" t="s">
        <v>31</v>
      </c>
      <c r="I210" s="60"/>
      <c r="J210" s="66"/>
      <c r="K210" s="14" t="s">
        <v>25</v>
      </c>
      <c r="L210" s="20" t="str">
        <f>'[2]8нед'!S154</f>
        <v>пр</v>
      </c>
      <c r="M210" s="23" t="str">
        <f>'[2]8нед'!T154</f>
        <v>Теоретико-множественный и информационный анализ</v>
      </c>
      <c r="N210" s="21" t="str">
        <f>'[2]8нед'!W154</f>
        <v>Шерман М.И.</v>
      </c>
      <c r="O210" s="22" t="str">
        <f>'[2]8нед'!X154</f>
        <v>профессор, д-р наук</v>
      </c>
      <c r="P210" s="41" t="s">
        <v>31</v>
      </c>
    </row>
    <row r="211" spans="1:16" ht="36">
      <c r="A211" s="60"/>
      <c r="B211" s="63"/>
      <c r="C211" s="14" t="s">
        <v>26</v>
      </c>
      <c r="D211" s="20" t="str">
        <f>'[2]7нед'!S155</f>
        <v>л</v>
      </c>
      <c r="E211" s="23" t="str">
        <f>'[2]7нед'!T155</f>
        <v>Управление ИТ-проектами</v>
      </c>
      <c r="F211" s="21" t="str">
        <f>'[2]7нед'!W155</f>
        <v>Линник И.И.</v>
      </c>
      <c r="G211" s="22" t="str">
        <f>'[2]7нед'!X155</f>
        <v>доцент, канд. наук</v>
      </c>
      <c r="H211" s="36" t="s">
        <v>31</v>
      </c>
      <c r="I211" s="60"/>
      <c r="J211" s="66"/>
      <c r="K211" s="14" t="s">
        <v>26</v>
      </c>
      <c r="L211" s="20" t="str">
        <f>'[2]8нед'!S155</f>
        <v>пр</v>
      </c>
      <c r="M211" s="23" t="str">
        <f>'[2]8нед'!T155</f>
        <v>Теоретико-множественный и информационный анализ</v>
      </c>
      <c r="N211" s="21" t="str">
        <f>'[2]8нед'!W155</f>
        <v>Шерман М.И.</v>
      </c>
      <c r="O211" s="22" t="str">
        <f>'[2]8нед'!X155</f>
        <v>профессор, д-р наук</v>
      </c>
      <c r="P211" s="46" t="s">
        <v>31</v>
      </c>
    </row>
    <row r="212" spans="1:16" ht="31.2">
      <c r="A212" s="60"/>
      <c r="B212" s="63"/>
      <c r="C212" s="14" t="s">
        <v>27</v>
      </c>
      <c r="D212" s="20">
        <f>'[2]7нед'!S156</f>
        <v>0</v>
      </c>
      <c r="E212" s="23">
        <f>'[2]7нед'!T156</f>
        <v>0</v>
      </c>
      <c r="F212" s="21">
        <f>'[2]7нед'!W156</f>
        <v>0</v>
      </c>
      <c r="G212" s="22">
        <f>'[2]7нед'!X156</f>
        <v>0</v>
      </c>
      <c r="H212" s="41"/>
      <c r="I212" s="60"/>
      <c r="J212" s="66"/>
      <c r="K212" s="14" t="s">
        <v>27</v>
      </c>
      <c r="L212" s="20">
        <f>'[2]8нед'!S156</f>
        <v>0</v>
      </c>
      <c r="M212" s="23">
        <f>'[2]8нед'!T156</f>
        <v>0</v>
      </c>
      <c r="N212" s="21">
        <f>'[2]8нед'!W156</f>
        <v>0</v>
      </c>
      <c r="O212" s="22">
        <f>'[2]8нед'!X156</f>
        <v>0</v>
      </c>
      <c r="P212" s="41"/>
    </row>
    <row r="213" spans="1:16" ht="31.2">
      <c r="A213" s="60"/>
      <c r="B213" s="63"/>
      <c r="C213" s="14" t="s">
        <v>28</v>
      </c>
      <c r="D213" s="20">
        <f>'[2]7нед'!S157</f>
        <v>0</v>
      </c>
      <c r="E213" s="23">
        <f>'[2]7нед'!T157</f>
        <v>0</v>
      </c>
      <c r="F213" s="21">
        <f>'[2]7нед'!W157</f>
        <v>0</v>
      </c>
      <c r="G213" s="22">
        <f>'[2]7нед'!X157</f>
        <v>0</v>
      </c>
      <c r="H213" s="41"/>
      <c r="I213" s="60"/>
      <c r="J213" s="66"/>
      <c r="K213" s="14" t="s">
        <v>28</v>
      </c>
      <c r="L213" s="20">
        <f>'[2]8нед'!S157</f>
        <v>0</v>
      </c>
      <c r="M213" s="23">
        <f>'[2]8нед'!T157</f>
        <v>0</v>
      </c>
      <c r="N213" s="21">
        <f>'[2]8нед'!W157</f>
        <v>0</v>
      </c>
      <c r="O213" s="22">
        <f>'[2]8нед'!X157</f>
        <v>0</v>
      </c>
      <c r="P213" s="41"/>
    </row>
    <row r="214" spans="1:16" ht="31.8" thickBot="1">
      <c r="A214" s="60"/>
      <c r="B214" s="63"/>
      <c r="C214" s="14" t="s">
        <v>29</v>
      </c>
      <c r="D214" s="20">
        <f>'[2]7нед'!S158</f>
        <v>0</v>
      </c>
      <c r="E214" s="23">
        <f>'[2]7нед'!T158</f>
        <v>0</v>
      </c>
      <c r="F214" s="21">
        <f>'[2]7нед'!W158</f>
        <v>0</v>
      </c>
      <c r="G214" s="22">
        <f>'[2]7нед'!X158</f>
        <v>0</v>
      </c>
      <c r="H214" s="41"/>
      <c r="I214" s="60"/>
      <c r="J214" s="66"/>
      <c r="K214" s="14" t="s">
        <v>29</v>
      </c>
      <c r="L214" s="20">
        <f>'[2]8нед'!S158</f>
        <v>0</v>
      </c>
      <c r="M214" s="23">
        <f>'[2]8нед'!T158</f>
        <v>0</v>
      </c>
      <c r="N214" s="21">
        <f>'[2]8нед'!W158</f>
        <v>0</v>
      </c>
      <c r="O214" s="22">
        <f>'[2]8нед'!X158</f>
        <v>0</v>
      </c>
      <c r="P214" s="41"/>
    </row>
    <row r="215" spans="1:16" ht="18.600000000000001" hidden="1" thickBot="1">
      <c r="A215" s="61"/>
      <c r="B215" s="64"/>
      <c r="C215" s="15"/>
      <c r="D215" s="24">
        <f>'[2]7нед'!S159</f>
        <v>0</v>
      </c>
      <c r="E215" s="25">
        <f>'[2]7нед'!T159</f>
        <v>0</v>
      </c>
      <c r="F215" s="26">
        <f>'[2]7нед'!W159</f>
        <v>0</v>
      </c>
      <c r="G215" s="27">
        <f>'[2]7нед'!X159</f>
        <v>0</v>
      </c>
      <c r="H215" s="42"/>
      <c r="I215" s="61"/>
      <c r="J215" s="67"/>
      <c r="K215" s="15"/>
      <c r="L215" s="24">
        <f>'[2]8нед'!S159</f>
        <v>0</v>
      </c>
      <c r="M215" s="25">
        <f>'[2]8нед'!T159</f>
        <v>0</v>
      </c>
      <c r="N215" s="26">
        <f>'[2]8нед'!W159</f>
        <v>0</v>
      </c>
      <c r="O215" s="27">
        <f>'[2]8нед'!X159</f>
        <v>0</v>
      </c>
      <c r="P215" s="42"/>
    </row>
    <row r="216" spans="1:16" ht="48" customHeight="1" thickTop="1">
      <c r="A216" s="48">
        <v>45946</v>
      </c>
      <c r="B216" s="51" t="s">
        <v>3</v>
      </c>
      <c r="C216" s="28" t="s">
        <v>23</v>
      </c>
      <c r="D216" s="16">
        <f>'[2]7нед'!S160</f>
        <v>0</v>
      </c>
      <c r="E216" s="19">
        <f>'[2]7нед'!T160</f>
        <v>0</v>
      </c>
      <c r="F216" s="17">
        <f>'[2]7нед'!W160</f>
        <v>0</v>
      </c>
      <c r="G216" s="18">
        <f>'[2]7нед'!X160</f>
        <v>0</v>
      </c>
      <c r="H216" s="43"/>
      <c r="I216" s="48">
        <v>45953</v>
      </c>
      <c r="J216" s="56" t="s">
        <v>3</v>
      </c>
      <c r="K216" s="28" t="s">
        <v>23</v>
      </c>
      <c r="L216" s="16">
        <f>'[2]8нед'!S160</f>
        <v>0</v>
      </c>
      <c r="M216" s="19">
        <f>'[2]8нед'!T160</f>
        <v>0</v>
      </c>
      <c r="N216" s="17">
        <f>'[2]8нед'!W160</f>
        <v>0</v>
      </c>
      <c r="O216" s="18">
        <f>'[2]8нед'!X160</f>
        <v>0</v>
      </c>
      <c r="P216" s="43"/>
    </row>
    <row r="217" spans="1:16" ht="31.2">
      <c r="A217" s="49"/>
      <c r="B217" s="52"/>
      <c r="C217" s="14" t="s">
        <v>24</v>
      </c>
      <c r="D217" s="20" t="str">
        <f>'[2]7нед'!S161</f>
        <v>пр</v>
      </c>
      <c r="E217" s="23" t="str">
        <f>'[2]7нед'!T161</f>
        <v>Иностранный язык для специальных целей</v>
      </c>
      <c r="F217" s="21" t="str">
        <f>'[2]7нед'!W161</f>
        <v>Ермоленко И.И.</v>
      </c>
      <c r="G217" s="22" t="str">
        <f>'[2]7нед'!X161</f>
        <v>доцент, канд. наук</v>
      </c>
      <c r="H217" s="36" t="s">
        <v>30</v>
      </c>
      <c r="I217" s="54"/>
      <c r="J217" s="57"/>
      <c r="K217" s="14" t="s">
        <v>24</v>
      </c>
      <c r="L217" s="20" t="str">
        <f>'[2]8нед'!S161</f>
        <v>пр</v>
      </c>
      <c r="M217" s="23" t="str">
        <f>'[2]8нед'!T161</f>
        <v>Иностранный язык для специальных целей</v>
      </c>
      <c r="N217" s="21" t="str">
        <f>'[2]8нед'!W161</f>
        <v>Ермоленко И.И.</v>
      </c>
      <c r="O217" s="22" t="str">
        <f>'[2]8нед'!X161</f>
        <v>доцент, канд. наук</v>
      </c>
      <c r="P217" s="36" t="s">
        <v>30</v>
      </c>
    </row>
    <row r="218" spans="1:16" ht="31.2">
      <c r="A218" s="49"/>
      <c r="B218" s="52"/>
      <c r="C218" s="14" t="s">
        <v>25</v>
      </c>
      <c r="D218" s="20" t="str">
        <f>'[2]7нед'!S162</f>
        <v>л</v>
      </c>
      <c r="E218" s="23" t="str">
        <f>'[2]7нед'!T162</f>
        <v>Машинное обучение и анализ данных</v>
      </c>
      <c r="F218" s="21" t="str">
        <f>'[2]7нед'!W162</f>
        <v>Гришин И.Ю.</v>
      </c>
      <c r="G218" s="22" t="str">
        <f>'[2]7нед'!X162</f>
        <v>профессор, д-р наук</v>
      </c>
      <c r="H218" s="36" t="s">
        <v>31</v>
      </c>
      <c r="I218" s="54"/>
      <c r="J218" s="57"/>
      <c r="K218" s="14" t="s">
        <v>25</v>
      </c>
      <c r="L218" s="20" t="str">
        <f>'[2]8нед'!S162</f>
        <v>пр</v>
      </c>
      <c r="M218" s="23" t="str">
        <f>'[2]8нед'!T162</f>
        <v>Теория систем и системный анализ</v>
      </c>
      <c r="N218" s="21" t="str">
        <f>'[2]8нед'!W162</f>
        <v>Гришин И.Ю.</v>
      </c>
      <c r="O218" s="22" t="str">
        <f>'[2]8нед'!X162</f>
        <v>профессор, д-р наук</v>
      </c>
      <c r="P218" s="46" t="s">
        <v>31</v>
      </c>
    </row>
    <row r="219" spans="1:16" ht="31.2">
      <c r="A219" s="49"/>
      <c r="B219" s="52"/>
      <c r="C219" s="14" t="s">
        <v>26</v>
      </c>
      <c r="D219" s="20" t="str">
        <f>'[2]7нед'!S163</f>
        <v>л</v>
      </c>
      <c r="E219" s="23" t="str">
        <f>'[2]7нед'!T163</f>
        <v>Основы програмной инженерии</v>
      </c>
      <c r="F219" s="21" t="str">
        <f>'[2]7нед'!W163</f>
        <v>Круглый Д.Г.</v>
      </c>
      <c r="G219" s="22" t="str">
        <f>'[2]7нед'!X163</f>
        <v>профессор, д-р наук</v>
      </c>
      <c r="H219" s="36" t="s">
        <v>31</v>
      </c>
      <c r="I219" s="54"/>
      <c r="J219" s="57"/>
      <c r="K219" s="14" t="s">
        <v>26</v>
      </c>
      <c r="L219" s="20" t="str">
        <f>'[2]8нед'!S163</f>
        <v>пр</v>
      </c>
      <c r="M219" s="23" t="str">
        <f>'[2]8нед'!T163</f>
        <v>Теория систем и системный анализ</v>
      </c>
      <c r="N219" s="21" t="str">
        <f>'[2]8нед'!W163</f>
        <v>Гришин И.Ю.</v>
      </c>
      <c r="O219" s="22" t="str">
        <f>'[2]8нед'!X163</f>
        <v>профессор, д-р наук</v>
      </c>
      <c r="P219" s="46" t="s">
        <v>31</v>
      </c>
    </row>
    <row r="220" spans="1:16" ht="31.2">
      <c r="A220" s="49"/>
      <c r="B220" s="52"/>
      <c r="C220" s="14" t="s">
        <v>27</v>
      </c>
      <c r="D220" s="20">
        <f>'[2]7нед'!S164</f>
        <v>0</v>
      </c>
      <c r="E220" s="23">
        <f>'[2]7нед'!T164</f>
        <v>0</v>
      </c>
      <c r="F220" s="21">
        <f>'[2]7нед'!W164</f>
        <v>0</v>
      </c>
      <c r="G220" s="22">
        <f>'[2]7нед'!X164</f>
        <v>0</v>
      </c>
      <c r="H220" s="41"/>
      <c r="I220" s="54"/>
      <c r="J220" s="57"/>
      <c r="K220" s="14" t="s">
        <v>27</v>
      </c>
      <c r="L220" s="20">
        <f>'[2]8нед'!S164</f>
        <v>0</v>
      </c>
      <c r="M220" s="23">
        <f>'[2]8нед'!T164</f>
        <v>0</v>
      </c>
      <c r="N220" s="21">
        <f>'[2]8нед'!W164</f>
        <v>0</v>
      </c>
      <c r="O220" s="22">
        <f>'[2]8нед'!X164</f>
        <v>0</v>
      </c>
      <c r="P220" s="41"/>
    </row>
    <row r="221" spans="1:16" ht="31.2">
      <c r="A221" s="49"/>
      <c r="B221" s="52"/>
      <c r="C221" s="14" t="s">
        <v>28</v>
      </c>
      <c r="D221" s="20">
        <f>'[2]7нед'!S165</f>
        <v>0</v>
      </c>
      <c r="E221" s="23">
        <f>'[2]7нед'!T165</f>
        <v>0</v>
      </c>
      <c r="F221" s="21">
        <f>'[2]7нед'!W165</f>
        <v>0</v>
      </c>
      <c r="G221" s="22">
        <f>'[2]7нед'!X165</f>
        <v>0</v>
      </c>
      <c r="H221" s="41"/>
      <c r="I221" s="54"/>
      <c r="J221" s="57"/>
      <c r="K221" s="14" t="s">
        <v>28</v>
      </c>
      <c r="L221" s="20">
        <f>'[2]8нед'!S165</f>
        <v>0</v>
      </c>
      <c r="M221" s="23">
        <f>'[2]8нед'!T165</f>
        <v>0</v>
      </c>
      <c r="N221" s="21">
        <f>'[2]8нед'!W165</f>
        <v>0</v>
      </c>
      <c r="O221" s="22">
        <f>'[2]8нед'!X165</f>
        <v>0</v>
      </c>
      <c r="P221" s="41"/>
    </row>
    <row r="222" spans="1:16" ht="31.8" thickBot="1">
      <c r="A222" s="49"/>
      <c r="B222" s="52"/>
      <c r="C222" s="14" t="s">
        <v>29</v>
      </c>
      <c r="D222" s="20">
        <f>'[2]7нед'!S166</f>
        <v>0</v>
      </c>
      <c r="E222" s="23">
        <f>'[2]7нед'!T166</f>
        <v>0</v>
      </c>
      <c r="F222" s="21">
        <f>'[2]7нед'!W166</f>
        <v>0</v>
      </c>
      <c r="G222" s="22">
        <f>'[2]7нед'!X166</f>
        <v>0</v>
      </c>
      <c r="H222" s="41"/>
      <c r="I222" s="54"/>
      <c r="J222" s="57"/>
      <c r="K222" s="14" t="s">
        <v>29</v>
      </c>
      <c r="L222" s="20">
        <f>'[2]8нед'!S166</f>
        <v>0</v>
      </c>
      <c r="M222" s="23">
        <f>'[2]8нед'!T166</f>
        <v>0</v>
      </c>
      <c r="N222" s="21">
        <f>'[2]8нед'!W166</f>
        <v>0</v>
      </c>
      <c r="O222" s="22">
        <f>'[2]8нед'!X166</f>
        <v>0</v>
      </c>
      <c r="P222" s="41"/>
    </row>
    <row r="223" spans="1:16" ht="18.600000000000001" hidden="1" thickBot="1">
      <c r="A223" s="50"/>
      <c r="B223" s="53"/>
      <c r="C223" s="15"/>
      <c r="D223" s="24">
        <f>'[2]7нед'!S167</f>
        <v>0</v>
      </c>
      <c r="E223" s="25">
        <f>'[2]7нед'!T167</f>
        <v>0</v>
      </c>
      <c r="F223" s="26">
        <f>'[2]7нед'!W167</f>
        <v>0</v>
      </c>
      <c r="G223" s="27">
        <f>'[2]7нед'!X167</f>
        <v>0</v>
      </c>
      <c r="H223" s="42"/>
      <c r="I223" s="55"/>
      <c r="J223" s="58"/>
      <c r="K223" s="15"/>
      <c r="L223" s="24">
        <f>'[2]8нед'!S167</f>
        <v>0</v>
      </c>
      <c r="M223" s="25">
        <f>'[2]8нед'!T167</f>
        <v>0</v>
      </c>
      <c r="N223" s="26">
        <f>'[2]8нед'!W167</f>
        <v>0</v>
      </c>
      <c r="O223" s="27">
        <f>'[2]8нед'!X167</f>
        <v>0</v>
      </c>
      <c r="P223" s="42"/>
    </row>
    <row r="224" spans="1:16" ht="48" customHeight="1" thickTop="1">
      <c r="A224" s="48">
        <v>45947</v>
      </c>
      <c r="B224" s="51" t="s">
        <v>4</v>
      </c>
      <c r="C224" s="28" t="s">
        <v>23</v>
      </c>
      <c r="D224" s="16">
        <f>'[2]7нед'!S168</f>
        <v>0</v>
      </c>
      <c r="E224" s="19">
        <f>'[2]7нед'!T168</f>
        <v>0</v>
      </c>
      <c r="F224" s="17">
        <f>'[2]7нед'!W168</f>
        <v>0</v>
      </c>
      <c r="G224" s="18">
        <f>'[2]7нед'!X168</f>
        <v>0</v>
      </c>
      <c r="H224" s="43"/>
      <c r="I224" s="48">
        <v>45954</v>
      </c>
      <c r="J224" s="56" t="s">
        <v>4</v>
      </c>
      <c r="K224" s="28" t="s">
        <v>23</v>
      </c>
      <c r="L224" s="16">
        <f>'[2]8нед'!S168</f>
        <v>0</v>
      </c>
      <c r="M224" s="19">
        <f>'[2]8нед'!T168</f>
        <v>0</v>
      </c>
      <c r="N224" s="17">
        <f>'[2]8нед'!W168</f>
        <v>0</v>
      </c>
      <c r="O224" s="18">
        <f>'[2]8нед'!X168</f>
        <v>0</v>
      </c>
      <c r="P224" s="43"/>
    </row>
    <row r="225" spans="1:16" ht="31.2">
      <c r="A225" s="49"/>
      <c r="B225" s="52"/>
      <c r="C225" s="14" t="s">
        <v>24</v>
      </c>
      <c r="D225" s="20" t="str">
        <f>'[2]7нед'!S169</f>
        <v>л</v>
      </c>
      <c r="E225" s="23" t="str">
        <f>'[2]7нед'!T169</f>
        <v xml:space="preserve">Философия научного познания </v>
      </c>
      <c r="F225" s="21" t="str">
        <f>'[2]7нед'!W169</f>
        <v>Солодухин Д.В.</v>
      </c>
      <c r="G225" s="22" t="str">
        <f>'[2]7нед'!X169</f>
        <v>профессор, канд. наук</v>
      </c>
      <c r="H225" s="36" t="s">
        <v>32</v>
      </c>
      <c r="I225" s="54"/>
      <c r="J225" s="57"/>
      <c r="K225" s="14" t="s">
        <v>24</v>
      </c>
      <c r="L225" s="20" t="str">
        <f>'[2]8нед'!S169</f>
        <v>пр</v>
      </c>
      <c r="M225" s="23" t="str">
        <f>'[2]8нед'!T169</f>
        <v xml:space="preserve">Философия научного познания </v>
      </c>
      <c r="N225" s="21" t="str">
        <f>'[2]8нед'!W169</f>
        <v>Солодухин Д.В.</v>
      </c>
      <c r="O225" s="22" t="str">
        <f>'[2]8нед'!X169</f>
        <v>профессор, канд. наук</v>
      </c>
      <c r="P225" s="36" t="s">
        <v>34</v>
      </c>
    </row>
    <row r="226" spans="1:16" ht="36">
      <c r="A226" s="49"/>
      <c r="B226" s="52"/>
      <c r="C226" s="14" t="s">
        <v>25</v>
      </c>
      <c r="D226" s="20" t="str">
        <f>'[2]7нед'!S170</f>
        <v>л</v>
      </c>
      <c r="E226" s="23" t="str">
        <f>'[2]7нед'!T170</f>
        <v>Методология исследовательской деятельности</v>
      </c>
      <c r="F226" s="21" t="str">
        <f>'[2]7нед'!W170</f>
        <v>Гуменюк А.Ю.</v>
      </c>
      <c r="G226" s="22" t="str">
        <f>'[2]7нед'!X170</f>
        <v>доцент, канд. наук</v>
      </c>
      <c r="H226" s="36" t="s">
        <v>33</v>
      </c>
      <c r="I226" s="54"/>
      <c r="J226" s="57"/>
      <c r="K226" s="14" t="s">
        <v>25</v>
      </c>
      <c r="L226" s="20" t="str">
        <f>'[2]8нед'!S170</f>
        <v>пр</v>
      </c>
      <c r="M226" s="23" t="str">
        <f>'[2]8нед'!T170</f>
        <v>Методология исследовательской деятельности</v>
      </c>
      <c r="N226" s="21" t="str">
        <f>'[2]8нед'!W170</f>
        <v>Гуменюк А.Ю.</v>
      </c>
      <c r="O226" s="22" t="str">
        <f>'[2]8нед'!X170</f>
        <v>доцент, канд. наук</v>
      </c>
      <c r="P226" s="36" t="s">
        <v>35</v>
      </c>
    </row>
    <row r="227" spans="1:16" ht="31.2">
      <c r="A227" s="49"/>
      <c r="B227" s="52"/>
      <c r="C227" s="14" t="s">
        <v>26</v>
      </c>
      <c r="D227" s="20">
        <f>'[2]7нед'!S171</f>
        <v>0</v>
      </c>
      <c r="E227" s="23">
        <f>'[2]7нед'!T171</f>
        <v>0</v>
      </c>
      <c r="F227" s="21">
        <f>'[2]7нед'!W171</f>
        <v>0</v>
      </c>
      <c r="G227" s="22">
        <f>'[2]7нед'!X171</f>
        <v>0</v>
      </c>
      <c r="H227" s="41"/>
      <c r="I227" s="54"/>
      <c r="J227" s="57"/>
      <c r="K227" s="14" t="s">
        <v>26</v>
      </c>
      <c r="L227" s="20">
        <f>'[2]8нед'!S171</f>
        <v>0</v>
      </c>
      <c r="M227" s="23">
        <f>'[2]8нед'!T171</f>
        <v>0</v>
      </c>
      <c r="N227" s="21">
        <f>'[2]8нед'!W171</f>
        <v>0</v>
      </c>
      <c r="O227" s="22">
        <f>'[2]8нед'!X171</f>
        <v>0</v>
      </c>
      <c r="P227" s="41"/>
    </row>
    <row r="228" spans="1:16" ht="31.2">
      <c r="A228" s="49"/>
      <c r="B228" s="52"/>
      <c r="C228" s="14" t="s">
        <v>27</v>
      </c>
      <c r="D228" s="20">
        <f>'[2]7нед'!S172</f>
        <v>0</v>
      </c>
      <c r="E228" s="23">
        <f>'[2]7нед'!T172</f>
        <v>0</v>
      </c>
      <c r="F228" s="21">
        <f>'[2]7нед'!W172</f>
        <v>0</v>
      </c>
      <c r="G228" s="22">
        <f>'[2]7нед'!X172</f>
        <v>0</v>
      </c>
      <c r="H228" s="41"/>
      <c r="I228" s="54"/>
      <c r="J228" s="57"/>
      <c r="K228" s="14" t="s">
        <v>27</v>
      </c>
      <c r="L228" s="20">
        <f>'[2]8нед'!S172</f>
        <v>0</v>
      </c>
      <c r="M228" s="23">
        <f>'[2]8нед'!T172</f>
        <v>0</v>
      </c>
      <c r="N228" s="21">
        <f>'[2]8нед'!W172</f>
        <v>0</v>
      </c>
      <c r="O228" s="22">
        <f>'[2]8нед'!X172</f>
        <v>0</v>
      </c>
      <c r="P228" s="41"/>
    </row>
    <row r="229" spans="1:16" ht="31.2">
      <c r="A229" s="49"/>
      <c r="B229" s="52"/>
      <c r="C229" s="14" t="s">
        <v>28</v>
      </c>
      <c r="D229" s="20">
        <f>'[2]7нед'!S173</f>
        <v>0</v>
      </c>
      <c r="E229" s="23">
        <f>'[2]7нед'!T173</f>
        <v>0</v>
      </c>
      <c r="F229" s="21">
        <f>'[2]7нед'!W173</f>
        <v>0</v>
      </c>
      <c r="G229" s="22">
        <f>'[2]7нед'!X173</f>
        <v>0</v>
      </c>
      <c r="H229" s="41"/>
      <c r="I229" s="54"/>
      <c r="J229" s="57"/>
      <c r="K229" s="14" t="s">
        <v>28</v>
      </c>
      <c r="L229" s="20">
        <f>'[2]8нед'!S173</f>
        <v>0</v>
      </c>
      <c r="M229" s="23">
        <f>'[2]8нед'!T173</f>
        <v>0</v>
      </c>
      <c r="N229" s="21">
        <f>'[2]8нед'!W173</f>
        <v>0</v>
      </c>
      <c r="O229" s="22">
        <f>'[2]8нед'!X173</f>
        <v>0</v>
      </c>
      <c r="P229" s="41"/>
    </row>
    <row r="230" spans="1:16" ht="31.8" thickBot="1">
      <c r="A230" s="49"/>
      <c r="B230" s="52"/>
      <c r="C230" s="14" t="s">
        <v>29</v>
      </c>
      <c r="D230" s="20">
        <f>'[2]7нед'!S174</f>
        <v>0</v>
      </c>
      <c r="E230" s="23">
        <f>'[2]7нед'!T174</f>
        <v>0</v>
      </c>
      <c r="F230" s="21">
        <f>'[2]7нед'!W174</f>
        <v>0</v>
      </c>
      <c r="G230" s="22">
        <f>'[2]7нед'!X174</f>
        <v>0</v>
      </c>
      <c r="H230" s="41"/>
      <c r="I230" s="54"/>
      <c r="J230" s="57"/>
      <c r="K230" s="14" t="s">
        <v>29</v>
      </c>
      <c r="L230" s="20">
        <f>'[2]8нед'!S174</f>
        <v>0</v>
      </c>
      <c r="M230" s="23">
        <f>'[2]8нед'!T174</f>
        <v>0</v>
      </c>
      <c r="N230" s="21">
        <f>'[2]8нед'!W174</f>
        <v>0</v>
      </c>
      <c r="O230" s="22">
        <f>'[2]8нед'!X174</f>
        <v>0</v>
      </c>
      <c r="P230" s="41"/>
    </row>
    <row r="231" spans="1:16" ht="18.600000000000001" hidden="1" thickBot="1">
      <c r="A231" s="50"/>
      <c r="B231" s="53"/>
      <c r="C231" s="15"/>
      <c r="D231" s="24">
        <f>'[2]7нед'!S175</f>
        <v>0</v>
      </c>
      <c r="E231" s="25">
        <f>'[2]7нед'!T175</f>
        <v>0</v>
      </c>
      <c r="F231" s="26">
        <f>'[2]7нед'!W175</f>
        <v>0</v>
      </c>
      <c r="G231" s="27">
        <f>'[2]7нед'!X175</f>
        <v>0</v>
      </c>
      <c r="H231" s="42"/>
      <c r="I231" s="55"/>
      <c r="J231" s="58"/>
      <c r="K231" s="15"/>
      <c r="L231" s="24">
        <f>'[2]8нед'!S175</f>
        <v>0</v>
      </c>
      <c r="M231" s="25">
        <f>'[2]8нед'!T175</f>
        <v>0</v>
      </c>
      <c r="N231" s="26">
        <f>'[2]8нед'!W175</f>
        <v>0</v>
      </c>
      <c r="O231" s="27">
        <f>'[2]8нед'!X175</f>
        <v>0</v>
      </c>
      <c r="P231" s="42"/>
    </row>
    <row r="232" spans="1:16" ht="48" customHeight="1" thickTop="1">
      <c r="A232" s="48">
        <v>45948</v>
      </c>
      <c r="B232" s="51" t="s">
        <v>5</v>
      </c>
      <c r="C232" s="28" t="s">
        <v>23</v>
      </c>
      <c r="D232" s="16">
        <f>'[2]7нед'!S176</f>
        <v>0</v>
      </c>
      <c r="E232" s="19">
        <f>'[2]7нед'!T176</f>
        <v>0</v>
      </c>
      <c r="F232" s="17">
        <f>'[2]7нед'!W176</f>
        <v>0</v>
      </c>
      <c r="G232" s="18">
        <f>'[2]7нед'!X176</f>
        <v>0</v>
      </c>
      <c r="H232" s="43"/>
      <c r="I232" s="48">
        <v>45955</v>
      </c>
      <c r="J232" s="56" t="s">
        <v>5</v>
      </c>
      <c r="K232" s="28" t="s">
        <v>23</v>
      </c>
      <c r="L232" s="16">
        <f>'[2]8нед'!S176</f>
        <v>0</v>
      </c>
      <c r="M232" s="19">
        <f>'[2]8нед'!T176</f>
        <v>0</v>
      </c>
      <c r="N232" s="17">
        <f>'[2]8нед'!W176</f>
        <v>0</v>
      </c>
      <c r="O232" s="18">
        <f>'[2]8нед'!X176</f>
        <v>0</v>
      </c>
      <c r="P232" s="43"/>
    </row>
    <row r="233" spans="1:16" ht="31.2">
      <c r="A233" s="49"/>
      <c r="B233" s="52"/>
      <c r="C233" s="14" t="s">
        <v>24</v>
      </c>
      <c r="D233" s="20">
        <f>'[2]7нед'!S177</f>
        <v>0</v>
      </c>
      <c r="E233" s="23">
        <f>'[2]7нед'!T177</f>
        <v>0</v>
      </c>
      <c r="F233" s="21">
        <f>'[2]7нед'!W177</f>
        <v>0</v>
      </c>
      <c r="G233" s="22">
        <f>'[2]7нед'!X177</f>
        <v>0</v>
      </c>
      <c r="H233" s="41"/>
      <c r="I233" s="54"/>
      <c r="J233" s="57"/>
      <c r="K233" s="14" t="s">
        <v>24</v>
      </c>
      <c r="L233" s="20">
        <f>'[2]8нед'!S177</f>
        <v>0</v>
      </c>
      <c r="M233" s="23">
        <f>'[2]8нед'!T177</f>
        <v>0</v>
      </c>
      <c r="N233" s="21">
        <f>'[2]8нед'!W177</f>
        <v>0</v>
      </c>
      <c r="O233" s="22">
        <f>'[2]8нед'!X177</f>
        <v>0</v>
      </c>
      <c r="P233" s="41"/>
    </row>
    <row r="234" spans="1:16" ht="36">
      <c r="A234" s="49"/>
      <c r="B234" s="52"/>
      <c r="C234" s="14" t="s">
        <v>25</v>
      </c>
      <c r="D234" s="20">
        <f>'[2]7нед'!S178</f>
        <v>0</v>
      </c>
      <c r="E234" s="23">
        <f>'[2]7нед'!T178</f>
        <v>0</v>
      </c>
      <c r="F234" s="21">
        <f>'[2]7нед'!W178</f>
        <v>0</v>
      </c>
      <c r="G234" s="22">
        <f>'[2]7нед'!X178</f>
        <v>0</v>
      </c>
      <c r="H234" s="41"/>
      <c r="I234" s="54"/>
      <c r="J234" s="57"/>
      <c r="K234" s="14" t="s">
        <v>25</v>
      </c>
      <c r="L234" s="20" t="str">
        <f>'[2]8нед'!S178</f>
        <v>пр</v>
      </c>
      <c r="M234" s="23" t="str">
        <f>'[2]8нед'!T178</f>
        <v>Применение методов искусственного интеллекта в анализе данных и управлении</v>
      </c>
      <c r="N234" s="21" t="str">
        <f>'[2]8нед'!W178</f>
        <v>Гришин И.Ю.</v>
      </c>
      <c r="O234" s="22" t="str">
        <f>'[2]8нед'!X178</f>
        <v>профессор, д-р наук</v>
      </c>
      <c r="P234" s="46" t="s">
        <v>31</v>
      </c>
    </row>
    <row r="235" spans="1:16" ht="31.2">
      <c r="A235" s="49"/>
      <c r="B235" s="52"/>
      <c r="C235" s="14" t="s">
        <v>26</v>
      </c>
      <c r="D235" s="20">
        <f>'[2]7нед'!S179</f>
        <v>0</v>
      </c>
      <c r="E235" s="23">
        <f>'[2]7нед'!T179</f>
        <v>0</v>
      </c>
      <c r="F235" s="21">
        <f>'[2]7нед'!W179</f>
        <v>0</v>
      </c>
      <c r="G235" s="22">
        <f>'[2]7нед'!X179</f>
        <v>0</v>
      </c>
      <c r="H235" s="41"/>
      <c r="I235" s="54"/>
      <c r="J235" s="57"/>
      <c r="K235" s="14" t="s">
        <v>26</v>
      </c>
      <c r="L235" s="20" t="str">
        <f>'[2]8нед'!S179</f>
        <v>пр</v>
      </c>
      <c r="M235" s="23" t="str">
        <f>'[2]8нед'!T179</f>
        <v>Машинное обучение и анализ данных</v>
      </c>
      <c r="N235" s="21" t="str">
        <f>'[2]8нед'!W179</f>
        <v>Гришин И.Ю.</v>
      </c>
      <c r="O235" s="22" t="str">
        <f>'[2]8нед'!X179</f>
        <v>профессор, д-р наук</v>
      </c>
      <c r="P235" s="46" t="s">
        <v>31</v>
      </c>
    </row>
    <row r="236" spans="1:16" ht="31.2">
      <c r="A236" s="49"/>
      <c r="B236" s="52"/>
      <c r="C236" s="14" t="s">
        <v>27</v>
      </c>
      <c r="D236" s="20">
        <f>'[2]7нед'!S180</f>
        <v>0</v>
      </c>
      <c r="E236" s="23">
        <f>'[2]7нед'!T180</f>
        <v>0</v>
      </c>
      <c r="F236" s="21">
        <f>'[2]7нед'!W180</f>
        <v>0</v>
      </c>
      <c r="G236" s="22">
        <f>'[2]7нед'!X180</f>
        <v>0</v>
      </c>
      <c r="H236" s="41"/>
      <c r="I236" s="54"/>
      <c r="J236" s="57"/>
      <c r="K236" s="14" t="s">
        <v>27</v>
      </c>
      <c r="L236" s="20" t="str">
        <f>'[2]8нед'!S180</f>
        <v>пр</v>
      </c>
      <c r="M236" s="23" t="str">
        <f>'[2]8нед'!T180</f>
        <v>Машинное обучение и анализ данных</v>
      </c>
      <c r="N236" s="21" t="str">
        <f>'[2]8нед'!W180</f>
        <v>Гришин И.Ю.</v>
      </c>
      <c r="O236" s="22" t="str">
        <f>'[2]8нед'!X180</f>
        <v>профессор, д-р наук</v>
      </c>
      <c r="P236" s="46" t="s">
        <v>31</v>
      </c>
    </row>
    <row r="237" spans="1:16" ht="36">
      <c r="A237" s="49"/>
      <c r="B237" s="52"/>
      <c r="C237" s="14" t="s">
        <v>28</v>
      </c>
      <c r="D237" s="20">
        <f>'[2]7нед'!S181</f>
        <v>0</v>
      </c>
      <c r="E237" s="23">
        <f>'[2]7нед'!T181</f>
        <v>0</v>
      </c>
      <c r="F237" s="21">
        <f>'[2]7нед'!W181</f>
        <v>0</v>
      </c>
      <c r="G237" s="22">
        <f>'[2]7нед'!X181</f>
        <v>0</v>
      </c>
      <c r="H237" s="41"/>
      <c r="I237" s="54"/>
      <c r="J237" s="57"/>
      <c r="K237" s="14" t="s">
        <v>28</v>
      </c>
      <c r="L237" s="20" t="str">
        <f>'[2]8нед'!S181</f>
        <v>пр</v>
      </c>
      <c r="M237" s="23" t="str">
        <f>'[2]8нед'!T181</f>
        <v>Применение методов искусственного интеллекта в анализе данных и управлении</v>
      </c>
      <c r="N237" s="21" t="str">
        <f>'[2]8нед'!W181</f>
        <v>Гришин И.Ю.</v>
      </c>
      <c r="O237" s="22" t="str">
        <f>'[2]8нед'!X181</f>
        <v>профессор, д-р наук</v>
      </c>
      <c r="P237" s="46" t="s">
        <v>31</v>
      </c>
    </row>
    <row r="238" spans="1:16" ht="31.8" thickBot="1">
      <c r="A238" s="49"/>
      <c r="B238" s="52"/>
      <c r="C238" s="14" t="s">
        <v>29</v>
      </c>
      <c r="D238" s="20">
        <f>'[2]7нед'!S182</f>
        <v>0</v>
      </c>
      <c r="E238" s="23">
        <f>'[2]7нед'!T182</f>
        <v>0</v>
      </c>
      <c r="F238" s="21">
        <f>'[2]7нед'!W182</f>
        <v>0</v>
      </c>
      <c r="G238" s="22">
        <f>'[2]7нед'!X182</f>
        <v>0</v>
      </c>
      <c r="H238" s="41"/>
      <c r="I238" s="54"/>
      <c r="J238" s="57"/>
      <c r="K238" s="14" t="s">
        <v>29</v>
      </c>
      <c r="L238" s="20">
        <f>'[2]8нед'!S182</f>
        <v>0</v>
      </c>
      <c r="M238" s="23">
        <f>'[2]8нед'!T182</f>
        <v>0</v>
      </c>
      <c r="N238" s="21">
        <f>'[2]8нед'!W182</f>
        <v>0</v>
      </c>
      <c r="O238" s="22">
        <f>'[2]8нед'!X182</f>
        <v>0</v>
      </c>
      <c r="P238" s="41"/>
    </row>
    <row r="239" spans="1:16" ht="18.600000000000001" hidden="1" thickBot="1">
      <c r="A239" s="50"/>
      <c r="B239" s="53"/>
      <c r="C239" s="15"/>
      <c r="D239" s="24">
        <f>'[2]7нед'!S183</f>
        <v>0</v>
      </c>
      <c r="E239" s="25">
        <f>'[2]7нед'!T183</f>
        <v>0</v>
      </c>
      <c r="F239" s="26">
        <f>'[2]7нед'!W183</f>
        <v>0</v>
      </c>
      <c r="G239" s="27">
        <f>'[2]7нед'!X183</f>
        <v>0</v>
      </c>
      <c r="H239" s="42"/>
      <c r="I239" s="55"/>
      <c r="J239" s="58"/>
      <c r="K239" s="15"/>
      <c r="L239" s="24">
        <f>'[2]8нед'!S183</f>
        <v>0</v>
      </c>
      <c r="M239" s="25">
        <f>'[2]8нед'!T183</f>
        <v>0</v>
      </c>
      <c r="N239" s="26">
        <f>'[2]8нед'!W183</f>
        <v>0</v>
      </c>
      <c r="O239" s="27">
        <f>'[2]8нед'!X183</f>
        <v>0</v>
      </c>
      <c r="P239" s="42"/>
    </row>
    <row r="240" spans="1:16" ht="39" customHeight="1" thickTop="1">
      <c r="A240" s="29"/>
      <c r="B240" s="30"/>
      <c r="C240" s="31"/>
      <c r="D240" s="32"/>
      <c r="E240" s="32" t="s">
        <v>21</v>
      </c>
      <c r="F240" s="32"/>
      <c r="G240" s="33" t="s">
        <v>22</v>
      </c>
      <c r="H240" s="44"/>
      <c r="I240" s="29"/>
      <c r="J240" s="30"/>
      <c r="K240" s="31"/>
      <c r="L240" s="32"/>
      <c r="M240" s="32" t="s">
        <v>21</v>
      </c>
      <c r="N240" s="32"/>
      <c r="O240" s="33" t="s">
        <v>22</v>
      </c>
      <c r="P240" s="44"/>
    </row>
    <row r="241" spans="1:16" ht="15.6">
      <c r="A241" s="1"/>
      <c r="B241" s="2"/>
      <c r="C241" s="3"/>
      <c r="D241" s="4"/>
      <c r="E241" s="4"/>
      <c r="F241" s="4"/>
      <c r="G241" s="4"/>
      <c r="H241" s="37" t="s">
        <v>8</v>
      </c>
      <c r="I241" s="1"/>
      <c r="J241" s="2"/>
      <c r="K241" s="3"/>
      <c r="L241" s="4"/>
      <c r="M241" s="4"/>
      <c r="N241" s="4"/>
      <c r="O241" s="4"/>
      <c r="P241" s="37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37" t="s">
        <v>9</v>
      </c>
      <c r="I242" s="1"/>
      <c r="J242" s="2"/>
      <c r="K242" s="3"/>
      <c r="L242" s="4"/>
      <c r="M242" s="4"/>
      <c r="N242" s="4"/>
      <c r="O242" s="4"/>
      <c r="P242" s="37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37" t="s">
        <v>10</v>
      </c>
      <c r="I243" s="1"/>
      <c r="J243" s="2"/>
      <c r="K243" s="3"/>
      <c r="L243" s="4"/>
      <c r="M243" s="4"/>
      <c r="N243" s="4"/>
      <c r="O243" s="4"/>
      <c r="P243" s="37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37" t="s">
        <v>11</v>
      </c>
      <c r="I244" s="1"/>
      <c r="J244" s="2"/>
      <c r="K244" s="3"/>
      <c r="L244" s="4"/>
      <c r="M244" s="4"/>
      <c r="N244" s="4"/>
      <c r="O244" s="4"/>
      <c r="P244" s="37" t="s">
        <v>11</v>
      </c>
    </row>
    <row r="245" spans="1:16" ht="15.6">
      <c r="A245" s="1"/>
      <c r="B245" s="5"/>
      <c r="C245" s="3"/>
      <c r="D245" s="4"/>
      <c r="E245" s="4"/>
      <c r="F245" s="4"/>
      <c r="G245" s="4"/>
      <c r="H245" s="38"/>
      <c r="I245" s="1"/>
      <c r="J245" s="5"/>
      <c r="K245" s="3"/>
      <c r="L245" s="4"/>
      <c r="M245" s="4"/>
      <c r="N245" s="4"/>
      <c r="O245" s="4"/>
      <c r="P245" s="38"/>
    </row>
    <row r="246" spans="1:16" ht="15.6">
      <c r="A246" s="1"/>
      <c r="B246" s="74" t="s">
        <v>12</v>
      </c>
      <c r="C246" s="74"/>
      <c r="D246" s="74"/>
      <c r="E246" s="74"/>
      <c r="F246" s="74"/>
      <c r="G246" s="74"/>
      <c r="H246" s="74"/>
      <c r="I246" s="1"/>
      <c r="J246" s="74" t="s">
        <v>12</v>
      </c>
      <c r="K246" s="74"/>
      <c r="L246" s="74"/>
      <c r="M246" s="74"/>
      <c r="N246" s="74"/>
      <c r="O246" s="74"/>
      <c r="P246" s="74"/>
    </row>
    <row r="247" spans="1:16" ht="15.6">
      <c r="A247" s="6"/>
      <c r="B247" s="34" t="str">
        <f>'[1]1нед'!$A$6</f>
        <v>Направление подготовки:</v>
      </c>
      <c r="C247" s="7"/>
      <c r="D247" s="8"/>
      <c r="E247" s="9" t="str">
        <f>E7</f>
        <v>09.04.04 Программная инженерия (Разработка программно-информационных систем)</v>
      </c>
      <c r="F247" s="8"/>
      <c r="G247" s="8"/>
      <c r="H247" s="39" t="str">
        <f>H7</f>
        <v>12-25РПм</v>
      </c>
      <c r="I247" s="6"/>
      <c r="J247" s="34" t="str">
        <f>'[1]1нед'!$A$6</f>
        <v>Направление подготовки:</v>
      </c>
      <c r="K247" s="7"/>
      <c r="L247" s="8"/>
      <c r="M247" s="9" t="str">
        <f>E7</f>
        <v>09.04.04 Программная инженерия (Разработка программно-информационных систем)</v>
      </c>
      <c r="N247" s="8"/>
      <c r="O247" s="8"/>
      <c r="P247" s="39" t="str">
        <f>H7</f>
        <v>12-25РПм</v>
      </c>
    </row>
    <row r="248" spans="1:16" ht="15.6">
      <c r="A248" s="1"/>
      <c r="B248" s="73" t="s">
        <v>13</v>
      </c>
      <c r="C248" s="73"/>
      <c r="D248" s="73"/>
      <c r="E248" s="73" t="str">
        <f t="shared" ref="E248" si="2">E8</f>
        <v>очная</v>
      </c>
      <c r="F248" s="73"/>
      <c r="G248" s="73"/>
      <c r="H248" s="73"/>
      <c r="I248" s="1"/>
      <c r="J248" s="73" t="s">
        <v>13</v>
      </c>
      <c r="K248" s="73"/>
      <c r="L248" s="73"/>
      <c r="M248" s="73" t="str">
        <f t="shared" ref="M248" si="3">E8</f>
        <v>очная</v>
      </c>
      <c r="N248" s="73"/>
      <c r="O248" s="73"/>
      <c r="P248" s="73"/>
    </row>
    <row r="249" spans="1:16" ht="15.6">
      <c r="A249" s="1"/>
      <c r="B249" s="73" t="s">
        <v>15</v>
      </c>
      <c r="C249" s="73"/>
      <c r="D249" s="73"/>
      <c r="E249" s="34">
        <f>E9</f>
        <v>1</v>
      </c>
      <c r="F249" s="34"/>
      <c r="G249" s="34"/>
      <c r="H249" s="38"/>
      <c r="I249" s="1"/>
      <c r="J249" s="73" t="s">
        <v>15</v>
      </c>
      <c r="K249" s="73"/>
      <c r="L249" s="73"/>
      <c r="M249" s="34">
        <f>E9</f>
        <v>1</v>
      </c>
      <c r="N249" s="34"/>
      <c r="O249" s="34"/>
      <c r="P249" s="38"/>
    </row>
    <row r="250" spans="1:16" ht="16.2" thickBot="1">
      <c r="A250" s="1"/>
      <c r="B250" s="70" t="s">
        <v>16</v>
      </c>
      <c r="C250" s="70"/>
      <c r="D250" s="70"/>
      <c r="E250" s="35">
        <f>M190+1</f>
        <v>9</v>
      </c>
      <c r="F250" s="35"/>
      <c r="G250" s="35"/>
      <c r="H250" s="40"/>
      <c r="I250" s="1"/>
      <c r="J250" s="70" t="s">
        <v>16</v>
      </c>
      <c r="K250" s="70"/>
      <c r="L250" s="70"/>
      <c r="M250" s="35">
        <f>E250+1</f>
        <v>10</v>
      </c>
      <c r="N250" s="35"/>
      <c r="O250" s="35"/>
      <c r="P250" s="40"/>
    </row>
    <row r="251" spans="1:16" ht="46.5" customHeight="1" thickTop="1" thickBot="1">
      <c r="A251" s="71" t="s">
        <v>17</v>
      </c>
      <c r="B251" s="72"/>
      <c r="C251" s="10" t="s">
        <v>18</v>
      </c>
      <c r="D251" s="11" t="s">
        <v>7</v>
      </c>
      <c r="E251" s="12" t="s">
        <v>19</v>
      </c>
      <c r="F251" s="68" t="s">
        <v>6</v>
      </c>
      <c r="G251" s="69"/>
      <c r="H251" s="13" t="s">
        <v>20</v>
      </c>
      <c r="I251" s="71" t="s">
        <v>17</v>
      </c>
      <c r="J251" s="72"/>
      <c r="K251" s="10" t="s">
        <v>18</v>
      </c>
      <c r="L251" s="11" t="s">
        <v>7</v>
      </c>
      <c r="M251" s="12" t="s">
        <v>19</v>
      </c>
      <c r="N251" s="68" t="s">
        <v>6</v>
      </c>
      <c r="O251" s="69"/>
      <c r="P251" s="13" t="s">
        <v>20</v>
      </c>
    </row>
    <row r="252" spans="1:16" ht="32.25" customHeight="1" thickTop="1">
      <c r="A252" s="48">
        <v>45957</v>
      </c>
      <c r="B252" s="51" t="s">
        <v>0</v>
      </c>
      <c r="C252" s="14" t="s">
        <v>23</v>
      </c>
      <c r="D252" s="16">
        <f>'[2]9нед'!S136</f>
        <v>0</v>
      </c>
      <c r="E252" s="19">
        <f>'[2]9нед'!T136</f>
        <v>0</v>
      </c>
      <c r="F252" s="17">
        <f>'[2]9нед'!W136</f>
        <v>0</v>
      </c>
      <c r="G252" s="18">
        <f>'[2]9нед'!X136</f>
        <v>0</v>
      </c>
      <c r="H252" s="43"/>
      <c r="I252" s="48">
        <v>45964</v>
      </c>
      <c r="J252" s="56" t="s">
        <v>0</v>
      </c>
      <c r="K252" s="14" t="s">
        <v>23</v>
      </c>
      <c r="L252" s="16" t="str">
        <f>'[3]10нед'!S136</f>
        <v>пр</v>
      </c>
      <c r="M252" s="19" t="str">
        <f>'[3]10нед'!T136</f>
        <v>Применение методов искусственного интеллекта в анализе данных и управлении</v>
      </c>
      <c r="N252" s="17" t="str">
        <f>'[3]10нед'!W136</f>
        <v>Гришин И.Ю.</v>
      </c>
      <c r="O252" s="18" t="str">
        <f>'[3]10нед'!X136</f>
        <v>профессор, д-р наук</v>
      </c>
      <c r="P252" s="36" t="s">
        <v>31</v>
      </c>
    </row>
    <row r="253" spans="1:16" ht="36">
      <c r="A253" s="49"/>
      <c r="B253" s="52"/>
      <c r="C253" s="14" t="s">
        <v>24</v>
      </c>
      <c r="D253" s="20">
        <f>'[2]9нед'!S137</f>
        <v>0</v>
      </c>
      <c r="E253" s="23">
        <f>'[2]9нед'!T137</f>
        <v>0</v>
      </c>
      <c r="F253" s="21">
        <f>'[2]9нед'!W137</f>
        <v>0</v>
      </c>
      <c r="G253" s="22">
        <f>'[2]9нед'!X137</f>
        <v>0</v>
      </c>
      <c r="H253" s="41"/>
      <c r="I253" s="54"/>
      <c r="J253" s="57"/>
      <c r="K253" s="14" t="s">
        <v>24</v>
      </c>
      <c r="L253" s="20" t="str">
        <f>'[3]10нед'!S137</f>
        <v>пр</v>
      </c>
      <c r="M253" s="23" t="str">
        <f>'[3]10нед'!T137</f>
        <v>Применение методов искусственного интеллекта в анализе данных и управлении</v>
      </c>
      <c r="N253" s="21" t="str">
        <f>'[3]10нед'!W137</f>
        <v>Гришин И.Ю.</v>
      </c>
      <c r="O253" s="22" t="str">
        <f>'[3]10нед'!X137</f>
        <v>профессор, д-р наук</v>
      </c>
      <c r="P253" s="36" t="s">
        <v>31</v>
      </c>
    </row>
    <row r="254" spans="1:16" ht="31.2">
      <c r="A254" s="49"/>
      <c r="B254" s="52"/>
      <c r="C254" s="14" t="s">
        <v>25</v>
      </c>
      <c r="D254" s="20">
        <f>'[2]9нед'!S138</f>
        <v>0</v>
      </c>
      <c r="E254" s="23">
        <f>'[2]9нед'!T138</f>
        <v>0</v>
      </c>
      <c r="F254" s="21">
        <f>'[2]9нед'!W138</f>
        <v>0</v>
      </c>
      <c r="G254" s="22">
        <f>'[2]9нед'!X138</f>
        <v>0</v>
      </c>
      <c r="H254" s="41"/>
      <c r="I254" s="54"/>
      <c r="J254" s="57"/>
      <c r="K254" s="14" t="s">
        <v>25</v>
      </c>
      <c r="L254" s="20" t="str">
        <f>'[3]10нед'!S138</f>
        <v>пр</v>
      </c>
      <c r="M254" s="23" t="str">
        <f>'[3]10нед'!T138</f>
        <v>Управление ИТ-проектами</v>
      </c>
      <c r="N254" s="21" t="str">
        <f>'[3]10нед'!W138</f>
        <v>Линник И.И.</v>
      </c>
      <c r="O254" s="22" t="str">
        <f>'[3]10нед'!X138</f>
        <v>доцент, канд. наук</v>
      </c>
      <c r="P254" s="36" t="s">
        <v>31</v>
      </c>
    </row>
    <row r="255" spans="1:16" ht="31.2">
      <c r="A255" s="49"/>
      <c r="B255" s="52"/>
      <c r="C255" s="14" t="s">
        <v>26</v>
      </c>
      <c r="D255" s="20">
        <f>'[2]9нед'!S139</f>
        <v>0</v>
      </c>
      <c r="E255" s="23">
        <f>'[2]9нед'!T139</f>
        <v>0</v>
      </c>
      <c r="F255" s="21">
        <f>'[2]9нед'!W139</f>
        <v>0</v>
      </c>
      <c r="G255" s="22">
        <f>'[2]9нед'!X139</f>
        <v>0</v>
      </c>
      <c r="H255" s="41"/>
      <c r="I255" s="54"/>
      <c r="J255" s="57"/>
      <c r="K255" s="14" t="s">
        <v>26</v>
      </c>
      <c r="L255" s="20">
        <f>'[3]10нед'!S139</f>
        <v>0</v>
      </c>
      <c r="M255" s="23">
        <f>'[3]10нед'!T139</f>
        <v>0</v>
      </c>
      <c r="N255" s="21">
        <f>'[3]10нед'!W139</f>
        <v>0</v>
      </c>
      <c r="O255" s="22">
        <f>'[3]10нед'!X139</f>
        <v>0</v>
      </c>
      <c r="P255" s="41"/>
    </row>
    <row r="256" spans="1:16" ht="31.2">
      <c r="A256" s="49"/>
      <c r="B256" s="52"/>
      <c r="C256" s="14" t="s">
        <v>27</v>
      </c>
      <c r="D256" s="20">
        <f>'[2]9нед'!S140</f>
        <v>0</v>
      </c>
      <c r="E256" s="23">
        <f>'[2]9нед'!T140</f>
        <v>0</v>
      </c>
      <c r="F256" s="21">
        <f>'[2]9нед'!W140</f>
        <v>0</v>
      </c>
      <c r="G256" s="22">
        <f>'[2]9нед'!X140</f>
        <v>0</v>
      </c>
      <c r="H256" s="41"/>
      <c r="I256" s="54"/>
      <c r="J256" s="57"/>
      <c r="K256" s="14" t="s">
        <v>27</v>
      </c>
      <c r="L256" s="20">
        <f>'[3]10нед'!S140</f>
        <v>0</v>
      </c>
      <c r="M256" s="23">
        <f>'[3]10нед'!T140</f>
        <v>0</v>
      </c>
      <c r="N256" s="21">
        <f>'[3]10нед'!W140</f>
        <v>0</v>
      </c>
      <c r="O256" s="22">
        <f>'[3]10нед'!X140</f>
        <v>0</v>
      </c>
      <c r="P256" s="41"/>
    </row>
    <row r="257" spans="1:16" ht="31.2">
      <c r="A257" s="49"/>
      <c r="B257" s="52"/>
      <c r="C257" s="14" t="s">
        <v>28</v>
      </c>
      <c r="D257" s="20">
        <f>'[2]9нед'!S141</f>
        <v>0</v>
      </c>
      <c r="E257" s="23">
        <f>'[2]9нед'!T141</f>
        <v>0</v>
      </c>
      <c r="F257" s="21">
        <f>'[2]9нед'!W141</f>
        <v>0</v>
      </c>
      <c r="G257" s="22">
        <f>'[2]9нед'!X141</f>
        <v>0</v>
      </c>
      <c r="H257" s="41"/>
      <c r="I257" s="54"/>
      <c r="J257" s="57"/>
      <c r="K257" s="14" t="s">
        <v>28</v>
      </c>
      <c r="L257" s="20">
        <f>'[3]10нед'!S141</f>
        <v>0</v>
      </c>
      <c r="M257" s="23">
        <f>'[3]10нед'!T141</f>
        <v>0</v>
      </c>
      <c r="N257" s="21">
        <f>'[3]10нед'!W141</f>
        <v>0</v>
      </c>
      <c r="O257" s="22">
        <f>'[3]10нед'!X141</f>
        <v>0</v>
      </c>
      <c r="P257" s="41"/>
    </row>
    <row r="258" spans="1:16" ht="31.8" thickBot="1">
      <c r="A258" s="49"/>
      <c r="B258" s="52"/>
      <c r="C258" s="14" t="s">
        <v>29</v>
      </c>
      <c r="D258" s="20">
        <f>'[2]9нед'!S142</f>
        <v>0</v>
      </c>
      <c r="E258" s="23">
        <f>'[2]9нед'!T142</f>
        <v>0</v>
      </c>
      <c r="F258" s="21">
        <f>'[2]9нед'!W142</f>
        <v>0</v>
      </c>
      <c r="G258" s="22">
        <f>'[2]9нед'!X142</f>
        <v>0</v>
      </c>
      <c r="H258" s="41"/>
      <c r="I258" s="54"/>
      <c r="J258" s="57"/>
      <c r="K258" s="14" t="s">
        <v>29</v>
      </c>
      <c r="L258" s="20">
        <f>'[3]10нед'!S142</f>
        <v>0</v>
      </c>
      <c r="M258" s="23">
        <f>'[3]10нед'!T142</f>
        <v>0</v>
      </c>
      <c r="N258" s="21">
        <f>'[3]10нед'!W142</f>
        <v>0</v>
      </c>
      <c r="O258" s="22">
        <f>'[3]10нед'!X142</f>
        <v>0</v>
      </c>
      <c r="P258" s="41"/>
    </row>
    <row r="259" spans="1:16" ht="18.600000000000001" hidden="1" thickBot="1">
      <c r="A259" s="50"/>
      <c r="B259" s="53"/>
      <c r="C259" s="15"/>
      <c r="D259" s="24">
        <f>'[2]9нед'!S143</f>
        <v>0</v>
      </c>
      <c r="E259" s="25">
        <f>'[2]9нед'!T143</f>
        <v>0</v>
      </c>
      <c r="F259" s="26">
        <f>'[2]9нед'!W143</f>
        <v>0</v>
      </c>
      <c r="G259" s="27">
        <f>'[2]9нед'!X143</f>
        <v>0</v>
      </c>
      <c r="H259" s="42"/>
      <c r="I259" s="55"/>
      <c r="J259" s="58"/>
      <c r="K259" s="15"/>
      <c r="L259" s="24">
        <f>'[3]10нед'!S143</f>
        <v>0</v>
      </c>
      <c r="M259" s="25">
        <f>'[3]10нед'!T143</f>
        <v>0</v>
      </c>
      <c r="N259" s="26">
        <f>'[3]10нед'!W143</f>
        <v>0</v>
      </c>
      <c r="O259" s="27">
        <f>'[3]10нед'!X143</f>
        <v>0</v>
      </c>
      <c r="P259" s="42"/>
    </row>
    <row r="260" spans="1:16" ht="32.25" customHeight="1" thickTop="1">
      <c r="A260" s="48">
        <v>45958</v>
      </c>
      <c r="B260" s="51" t="s">
        <v>1</v>
      </c>
      <c r="C260" s="28" t="s">
        <v>23</v>
      </c>
      <c r="D260" s="16">
        <f>'[2]9нед'!S144</f>
        <v>0</v>
      </c>
      <c r="E260" s="19">
        <f>'[2]9нед'!T144</f>
        <v>0</v>
      </c>
      <c r="F260" s="17">
        <f>'[2]9нед'!W144</f>
        <v>0</v>
      </c>
      <c r="G260" s="18">
        <f>'[2]9нед'!X144</f>
        <v>0</v>
      </c>
      <c r="H260" s="43"/>
      <c r="I260" s="48">
        <v>45965</v>
      </c>
      <c r="J260" s="56" t="s">
        <v>1</v>
      </c>
      <c r="K260" s="28" t="s">
        <v>23</v>
      </c>
      <c r="L260" s="16" t="str">
        <f>'[3]10нед'!S144</f>
        <v>пр</v>
      </c>
      <c r="M260" s="19" t="str">
        <f>'[3]10нед'!T144</f>
        <v xml:space="preserve"> Основы програмной инженерии</v>
      </c>
      <c r="N260" s="17" t="str">
        <f>'[3]10нед'!W144</f>
        <v>Алешов В.В.</v>
      </c>
      <c r="O260" s="18" t="str">
        <f>'[3]10нед'!X144</f>
        <v>преподаватель</v>
      </c>
      <c r="P260" s="43"/>
    </row>
    <row r="261" spans="1:16" ht="31.2">
      <c r="A261" s="49"/>
      <c r="B261" s="52"/>
      <c r="C261" s="14" t="s">
        <v>24</v>
      </c>
      <c r="D261" s="20">
        <f>'[2]9нед'!S145</f>
        <v>0</v>
      </c>
      <c r="E261" s="23">
        <f>'[2]9нед'!T145</f>
        <v>0</v>
      </c>
      <c r="F261" s="21">
        <f>'[2]9нед'!W145</f>
        <v>0</v>
      </c>
      <c r="G261" s="22">
        <f>'[2]9нед'!X145</f>
        <v>0</v>
      </c>
      <c r="H261" s="41"/>
      <c r="I261" s="54"/>
      <c r="J261" s="57"/>
      <c r="K261" s="14" t="s">
        <v>24</v>
      </c>
      <c r="L261" s="20" t="str">
        <f>'[3]10нед'!S145</f>
        <v>пр</v>
      </c>
      <c r="M261" s="23" t="str">
        <f>'[3]10нед'!T145</f>
        <v xml:space="preserve"> Основы програмной инженерии</v>
      </c>
      <c r="N261" s="21" t="str">
        <f>'[3]10нед'!W145</f>
        <v>Алешов В.В.</v>
      </c>
      <c r="O261" s="22" t="str">
        <f>'[3]10нед'!X145</f>
        <v>преподаватель</v>
      </c>
      <c r="P261" s="36" t="s">
        <v>31</v>
      </c>
    </row>
    <row r="262" spans="1:16" ht="36">
      <c r="A262" s="49"/>
      <c r="B262" s="52"/>
      <c r="C262" s="14" t="s">
        <v>25</v>
      </c>
      <c r="D262" s="20" t="str">
        <f>'[2]9нед'!S146</f>
        <v>л</v>
      </c>
      <c r="E262" s="23" t="str">
        <f>'[2]9нед'!T146</f>
        <v>Теория систем и системный анализ</v>
      </c>
      <c r="F262" s="21" t="str">
        <f>'[2]9нед'!W146</f>
        <v>Гришин И.Ю.</v>
      </c>
      <c r="G262" s="22" t="str">
        <f>'[2]9нед'!X146</f>
        <v>профессор, д-р наук</v>
      </c>
      <c r="H262" s="36" t="s">
        <v>31</v>
      </c>
      <c r="I262" s="54"/>
      <c r="J262" s="57"/>
      <c r="K262" s="14" t="s">
        <v>25</v>
      </c>
      <c r="L262" s="20" t="str">
        <f>'[3]10нед'!S146</f>
        <v>пр</v>
      </c>
      <c r="M262" s="23" t="str">
        <f>'[3]10нед'!T146</f>
        <v>Теоретико-множественный и информационный анализ</v>
      </c>
      <c r="N262" s="21" t="str">
        <f>'[3]10нед'!W146</f>
        <v>Шерман М.И.</v>
      </c>
      <c r="O262" s="22" t="str">
        <f>'[3]10нед'!X146</f>
        <v>профессор, д-р наук</v>
      </c>
      <c r="P262" s="36" t="s">
        <v>31</v>
      </c>
    </row>
    <row r="263" spans="1:16" ht="36">
      <c r="A263" s="49"/>
      <c r="B263" s="52"/>
      <c r="C263" s="14" t="s">
        <v>26</v>
      </c>
      <c r="D263" s="20" t="str">
        <f>'[2]9нед'!S147</f>
        <v>л</v>
      </c>
      <c r="E263" s="23" t="str">
        <f>'[2]9нед'!T147</f>
        <v>Применение методов искусственного интеллекта в анализе данных и управлении</v>
      </c>
      <c r="F263" s="21" t="str">
        <f>'[2]9нед'!W147</f>
        <v>Гришин И.Ю.</v>
      </c>
      <c r="G263" s="22" t="str">
        <f>'[2]9нед'!X147</f>
        <v>профессор, д-р наук</v>
      </c>
      <c r="H263" s="36" t="s">
        <v>31</v>
      </c>
      <c r="I263" s="54"/>
      <c r="J263" s="57"/>
      <c r="K263" s="14" t="s">
        <v>26</v>
      </c>
      <c r="L263" s="20">
        <f>'[3]10нед'!S147</f>
        <v>0</v>
      </c>
      <c r="M263" s="23">
        <f>'[3]10нед'!T147</f>
        <v>0</v>
      </c>
      <c r="N263" s="21">
        <f>'[3]10нед'!W147</f>
        <v>0</v>
      </c>
      <c r="O263" s="22">
        <f>'[3]10нед'!X147</f>
        <v>0</v>
      </c>
      <c r="P263" s="41"/>
    </row>
    <row r="264" spans="1:16" ht="31.2">
      <c r="A264" s="49"/>
      <c r="B264" s="52"/>
      <c r="C264" s="14" t="s">
        <v>27</v>
      </c>
      <c r="D264" s="20">
        <f>'[2]9нед'!S148</f>
        <v>0</v>
      </c>
      <c r="E264" s="23">
        <f>'[2]9нед'!T148</f>
        <v>0</v>
      </c>
      <c r="F264" s="21">
        <f>'[2]9нед'!W148</f>
        <v>0</v>
      </c>
      <c r="G264" s="22">
        <f>'[2]9нед'!X148</f>
        <v>0</v>
      </c>
      <c r="H264" s="41"/>
      <c r="I264" s="54"/>
      <c r="J264" s="57"/>
      <c r="K264" s="14" t="s">
        <v>27</v>
      </c>
      <c r="L264" s="20">
        <f>'[3]10нед'!S148</f>
        <v>0</v>
      </c>
      <c r="M264" s="23">
        <f>'[3]10нед'!T148</f>
        <v>0</v>
      </c>
      <c r="N264" s="21">
        <f>'[3]10нед'!W148</f>
        <v>0</v>
      </c>
      <c r="O264" s="22">
        <f>'[3]10нед'!X148</f>
        <v>0</v>
      </c>
      <c r="P264" s="41"/>
    </row>
    <row r="265" spans="1:16" ht="31.2">
      <c r="A265" s="49"/>
      <c r="B265" s="52"/>
      <c r="C265" s="14" t="s">
        <v>28</v>
      </c>
      <c r="D265" s="20">
        <f>'[2]9нед'!S149</f>
        <v>0</v>
      </c>
      <c r="E265" s="23">
        <f>'[2]9нед'!T149</f>
        <v>0</v>
      </c>
      <c r="F265" s="21">
        <f>'[2]9нед'!W149</f>
        <v>0</v>
      </c>
      <c r="G265" s="22">
        <f>'[2]9нед'!X149</f>
        <v>0</v>
      </c>
      <c r="H265" s="41"/>
      <c r="I265" s="54"/>
      <c r="J265" s="57"/>
      <c r="K265" s="14" t="s">
        <v>28</v>
      </c>
      <c r="L265" s="20">
        <f>'[3]10нед'!S149</f>
        <v>0</v>
      </c>
      <c r="M265" s="23">
        <f>'[3]10нед'!T149</f>
        <v>0</v>
      </c>
      <c r="N265" s="21">
        <f>'[3]10нед'!W149</f>
        <v>0</v>
      </c>
      <c r="O265" s="22">
        <f>'[3]10нед'!X149</f>
        <v>0</v>
      </c>
      <c r="P265" s="41"/>
    </row>
    <row r="266" spans="1:16" ht="31.8" thickBot="1">
      <c r="A266" s="49"/>
      <c r="B266" s="52"/>
      <c r="C266" s="14" t="s">
        <v>29</v>
      </c>
      <c r="D266" s="20">
        <f>'[2]9нед'!S150</f>
        <v>0</v>
      </c>
      <c r="E266" s="23">
        <f>'[2]9нед'!T150</f>
        <v>0</v>
      </c>
      <c r="F266" s="21">
        <f>'[2]9нед'!W150</f>
        <v>0</v>
      </c>
      <c r="G266" s="22">
        <f>'[2]9нед'!X150</f>
        <v>0</v>
      </c>
      <c r="H266" s="41"/>
      <c r="I266" s="54"/>
      <c r="J266" s="57"/>
      <c r="K266" s="14" t="s">
        <v>29</v>
      </c>
      <c r="L266" s="20">
        <f>'[3]10нед'!S150</f>
        <v>0</v>
      </c>
      <c r="M266" s="23">
        <f>'[3]10нед'!T150</f>
        <v>0</v>
      </c>
      <c r="N266" s="21">
        <f>'[3]10нед'!W150</f>
        <v>0</v>
      </c>
      <c r="O266" s="22">
        <f>'[3]10нед'!X150</f>
        <v>0</v>
      </c>
      <c r="P266" s="41"/>
    </row>
    <row r="267" spans="1:16" ht="18.600000000000001" hidden="1" thickBot="1">
      <c r="A267" s="50"/>
      <c r="B267" s="53"/>
      <c r="C267" s="15"/>
      <c r="D267" s="24">
        <f>'[2]9нед'!S151</f>
        <v>0</v>
      </c>
      <c r="E267" s="25">
        <f>'[2]9нед'!T151</f>
        <v>0</v>
      </c>
      <c r="F267" s="26">
        <f>'[2]9нед'!W151</f>
        <v>0</v>
      </c>
      <c r="G267" s="27">
        <f>'[2]9нед'!X151</f>
        <v>0</v>
      </c>
      <c r="H267" s="42"/>
      <c r="I267" s="55"/>
      <c r="J267" s="58"/>
      <c r="K267" s="15"/>
      <c r="L267" s="24">
        <f>'[3]10нед'!S151</f>
        <v>0</v>
      </c>
      <c r="M267" s="25">
        <f>'[3]10нед'!T151</f>
        <v>0</v>
      </c>
      <c r="N267" s="26">
        <f>'[3]10нед'!W151</f>
        <v>0</v>
      </c>
      <c r="O267" s="27">
        <f>'[3]10нед'!X151</f>
        <v>0</v>
      </c>
      <c r="P267" s="42"/>
    </row>
    <row r="268" spans="1:16" ht="48" customHeight="1" thickTop="1">
      <c r="A268" s="59">
        <v>45959</v>
      </c>
      <c r="B268" s="62" t="s">
        <v>2</v>
      </c>
      <c r="C268" s="28" t="s">
        <v>23</v>
      </c>
      <c r="D268" s="16">
        <f>'[2]9нед'!S152</f>
        <v>0</v>
      </c>
      <c r="E268" s="19">
        <f>'[2]9нед'!T152</f>
        <v>0</v>
      </c>
      <c r="F268" s="17">
        <f>'[2]9нед'!W152</f>
        <v>0</v>
      </c>
      <c r="G268" s="18">
        <f>'[2]9нед'!X152</f>
        <v>0</v>
      </c>
      <c r="H268" s="43"/>
      <c r="I268" s="59">
        <v>45966</v>
      </c>
      <c r="J268" s="65" t="s">
        <v>2</v>
      </c>
      <c r="K268" s="28" t="s">
        <v>23</v>
      </c>
      <c r="L268" s="16">
        <f>'[3]10нед'!S152</f>
        <v>0</v>
      </c>
      <c r="M268" s="19">
        <f>'[3]10нед'!T152</f>
        <v>0</v>
      </c>
      <c r="N268" s="17">
        <f>'[3]10нед'!W152</f>
        <v>0</v>
      </c>
      <c r="O268" s="18">
        <f>'[3]10нед'!X152</f>
        <v>0</v>
      </c>
      <c r="P268" s="43"/>
    </row>
    <row r="269" spans="1:16" ht="31.2">
      <c r="A269" s="60"/>
      <c r="B269" s="63"/>
      <c r="C269" s="14" t="s">
        <v>24</v>
      </c>
      <c r="D269" s="20">
        <f>'[2]9нед'!S153</f>
        <v>0</v>
      </c>
      <c r="E269" s="23">
        <f>'[2]9нед'!T153</f>
        <v>0</v>
      </c>
      <c r="F269" s="21">
        <f>'[2]9нед'!W153</f>
        <v>0</v>
      </c>
      <c r="G269" s="22">
        <f>'[2]9нед'!X153</f>
        <v>0</v>
      </c>
      <c r="H269" s="41"/>
      <c r="I269" s="60"/>
      <c r="J269" s="66"/>
      <c r="K269" s="14" t="s">
        <v>24</v>
      </c>
      <c r="L269" s="20" t="str">
        <f>'[3]10нед'!S153</f>
        <v>пр</v>
      </c>
      <c r="M269" s="23" t="str">
        <f>'[3]10нед'!T153</f>
        <v>Управление ИТ-проектами</v>
      </c>
      <c r="N269" s="21" t="str">
        <f>'[3]10нед'!W153</f>
        <v>Линник И.И.</v>
      </c>
      <c r="O269" s="22" t="str">
        <f>'[3]10нед'!X153</f>
        <v>доцент, канд. наук</v>
      </c>
      <c r="P269" s="46" t="s">
        <v>31</v>
      </c>
    </row>
    <row r="270" spans="1:16" ht="36">
      <c r="A270" s="60"/>
      <c r="B270" s="63"/>
      <c r="C270" s="14" t="s">
        <v>25</v>
      </c>
      <c r="D270" s="20" t="str">
        <f>'[2]9нед'!S154</f>
        <v>л</v>
      </c>
      <c r="E270" s="23" t="str">
        <f>'[2]9нед'!T154</f>
        <v>Теоретико-множественный и информационный анализ</v>
      </c>
      <c r="F270" s="21" t="str">
        <f>'[2]9нед'!W154</f>
        <v>Шерман М.И.</v>
      </c>
      <c r="G270" s="22" t="str">
        <f>'[2]9нед'!X154</f>
        <v>профессор, д-р наук</v>
      </c>
      <c r="H270" s="36" t="s">
        <v>31</v>
      </c>
      <c r="I270" s="60"/>
      <c r="J270" s="66"/>
      <c r="K270" s="14" t="s">
        <v>25</v>
      </c>
      <c r="L270" s="20" t="str">
        <f>'[3]10нед'!S154</f>
        <v>пр</v>
      </c>
      <c r="M270" s="23" t="str">
        <f>'[3]10нед'!T154</f>
        <v>Теоретико-множественный и информационный анализ</v>
      </c>
      <c r="N270" s="21" t="str">
        <f>'[3]10нед'!W154</f>
        <v>Шерман М.И.</v>
      </c>
      <c r="O270" s="22" t="str">
        <f>'[3]10нед'!X154</f>
        <v>профессор, д-р наук</v>
      </c>
      <c r="P270" s="46" t="s">
        <v>31</v>
      </c>
    </row>
    <row r="271" spans="1:16" ht="36">
      <c r="A271" s="60"/>
      <c r="B271" s="63"/>
      <c r="C271" s="14" t="s">
        <v>26</v>
      </c>
      <c r="D271" s="20" t="str">
        <f>'[2]9нед'!S155</f>
        <v>л</v>
      </c>
      <c r="E271" s="23" t="str">
        <f>'[2]9нед'!T155</f>
        <v>Управление ИТ-проектами</v>
      </c>
      <c r="F271" s="21" t="str">
        <f>'[2]9нед'!W155</f>
        <v>Линник И.И.</v>
      </c>
      <c r="G271" s="22" t="str">
        <f>'[2]9нед'!X155</f>
        <v>доцент, канд. наук</v>
      </c>
      <c r="H271" s="36" t="s">
        <v>31</v>
      </c>
      <c r="I271" s="60"/>
      <c r="J271" s="66"/>
      <c r="K271" s="14" t="s">
        <v>26</v>
      </c>
      <c r="L271" s="20" t="str">
        <f>'[3]10нед'!S155</f>
        <v>пр</v>
      </c>
      <c r="M271" s="23" t="str">
        <f>'[3]10нед'!T155</f>
        <v>Теоретико-множественный и информационный анализ</v>
      </c>
      <c r="N271" s="21" t="str">
        <f>'[3]10нед'!W155</f>
        <v>Шерман М.И.</v>
      </c>
      <c r="O271" s="22" t="str">
        <f>'[3]10нед'!X155</f>
        <v>профессор, д-р наук</v>
      </c>
      <c r="P271" s="46" t="s">
        <v>31</v>
      </c>
    </row>
    <row r="272" spans="1:16" ht="31.2">
      <c r="A272" s="60"/>
      <c r="B272" s="63"/>
      <c r="C272" s="14" t="s">
        <v>27</v>
      </c>
      <c r="D272" s="20">
        <f>'[2]9нед'!S156</f>
        <v>0</v>
      </c>
      <c r="E272" s="23">
        <f>'[2]9нед'!T156</f>
        <v>0</v>
      </c>
      <c r="F272" s="21">
        <f>'[2]9нед'!W156</f>
        <v>0</v>
      </c>
      <c r="G272" s="22">
        <f>'[2]9нед'!X156</f>
        <v>0</v>
      </c>
      <c r="H272" s="41"/>
      <c r="I272" s="60"/>
      <c r="J272" s="66"/>
      <c r="K272" s="14" t="s">
        <v>27</v>
      </c>
      <c r="L272" s="20">
        <f>'[3]10нед'!S156</f>
        <v>0</v>
      </c>
      <c r="M272" s="23">
        <f>'[3]10нед'!T156</f>
        <v>0</v>
      </c>
      <c r="N272" s="21">
        <f>'[3]10нед'!W156</f>
        <v>0</v>
      </c>
      <c r="O272" s="22">
        <f>'[3]10нед'!X156</f>
        <v>0</v>
      </c>
      <c r="P272" s="41"/>
    </row>
    <row r="273" spans="1:16" ht="31.2">
      <c r="A273" s="60"/>
      <c r="B273" s="63"/>
      <c r="C273" s="14" t="s">
        <v>28</v>
      </c>
      <c r="D273" s="20">
        <f>'[2]9нед'!S157</f>
        <v>0</v>
      </c>
      <c r="E273" s="23">
        <f>'[2]9нед'!T157</f>
        <v>0</v>
      </c>
      <c r="F273" s="21">
        <f>'[2]9нед'!W157</f>
        <v>0</v>
      </c>
      <c r="G273" s="22">
        <f>'[2]9нед'!X157</f>
        <v>0</v>
      </c>
      <c r="H273" s="41"/>
      <c r="I273" s="60"/>
      <c r="J273" s="66"/>
      <c r="K273" s="14" t="s">
        <v>28</v>
      </c>
      <c r="L273" s="20">
        <f>'[3]10нед'!S157</f>
        <v>0</v>
      </c>
      <c r="M273" s="23">
        <f>'[3]10нед'!T157</f>
        <v>0</v>
      </c>
      <c r="N273" s="21">
        <f>'[3]10нед'!W157</f>
        <v>0</v>
      </c>
      <c r="O273" s="22">
        <f>'[3]10нед'!X157</f>
        <v>0</v>
      </c>
      <c r="P273" s="41"/>
    </row>
    <row r="274" spans="1:16" ht="31.8" thickBot="1">
      <c r="A274" s="60"/>
      <c r="B274" s="63"/>
      <c r="C274" s="14" t="s">
        <v>29</v>
      </c>
      <c r="D274" s="20">
        <f>'[2]9нед'!S158</f>
        <v>0</v>
      </c>
      <c r="E274" s="23">
        <f>'[2]9нед'!T158</f>
        <v>0</v>
      </c>
      <c r="F274" s="21">
        <f>'[2]9нед'!W158</f>
        <v>0</v>
      </c>
      <c r="G274" s="22">
        <f>'[2]9нед'!X158</f>
        <v>0</v>
      </c>
      <c r="H274" s="41"/>
      <c r="I274" s="60"/>
      <c r="J274" s="66"/>
      <c r="K274" s="14" t="s">
        <v>29</v>
      </c>
      <c r="L274" s="20">
        <f>'[3]10нед'!S158</f>
        <v>0</v>
      </c>
      <c r="M274" s="23">
        <f>'[3]10нед'!T158</f>
        <v>0</v>
      </c>
      <c r="N274" s="21">
        <f>'[3]10нед'!W158</f>
        <v>0</v>
      </c>
      <c r="O274" s="22">
        <f>'[3]10нед'!X158</f>
        <v>0</v>
      </c>
      <c r="P274" s="41"/>
    </row>
    <row r="275" spans="1:16" ht="18.600000000000001" hidden="1" thickBot="1">
      <c r="A275" s="61"/>
      <c r="B275" s="64"/>
      <c r="C275" s="15"/>
      <c r="D275" s="24">
        <f>'[2]9нед'!S159</f>
        <v>0</v>
      </c>
      <c r="E275" s="25">
        <f>'[2]9нед'!T159</f>
        <v>0</v>
      </c>
      <c r="F275" s="26">
        <f>'[2]9нед'!W159</f>
        <v>0</v>
      </c>
      <c r="G275" s="27">
        <f>'[2]9нед'!X159</f>
        <v>0</v>
      </c>
      <c r="H275" s="42"/>
      <c r="I275" s="61"/>
      <c r="J275" s="67"/>
      <c r="K275" s="15"/>
      <c r="L275" s="24">
        <f>'[3]10нед'!S159</f>
        <v>0</v>
      </c>
      <c r="M275" s="25">
        <f>'[3]10нед'!T159</f>
        <v>0</v>
      </c>
      <c r="N275" s="26">
        <f>'[3]10нед'!W159</f>
        <v>0</v>
      </c>
      <c r="O275" s="27">
        <f>'[3]10нед'!X159</f>
        <v>0</v>
      </c>
      <c r="P275" s="42"/>
    </row>
    <row r="276" spans="1:16" ht="48" customHeight="1" thickTop="1">
      <c r="A276" s="48">
        <v>45960</v>
      </c>
      <c r="B276" s="51" t="s">
        <v>3</v>
      </c>
      <c r="C276" s="28" t="s">
        <v>23</v>
      </c>
      <c r="D276" s="16">
        <f>'[2]9нед'!S160</f>
        <v>0</v>
      </c>
      <c r="E276" s="19">
        <f>'[2]9нед'!T160</f>
        <v>0</v>
      </c>
      <c r="F276" s="17">
        <f>'[2]9нед'!W160</f>
        <v>0</v>
      </c>
      <c r="G276" s="18">
        <f>'[2]9нед'!X160</f>
        <v>0</v>
      </c>
      <c r="H276" s="43"/>
      <c r="I276" s="48">
        <v>45967</v>
      </c>
      <c r="J276" s="56" t="s">
        <v>3</v>
      </c>
      <c r="K276" s="28" t="s">
        <v>23</v>
      </c>
      <c r="L276" s="16">
        <f>'[3]10нед'!S160</f>
        <v>0</v>
      </c>
      <c r="M276" s="19">
        <f>'[3]10нед'!T160</f>
        <v>0</v>
      </c>
      <c r="N276" s="17">
        <f>'[3]10нед'!W160</f>
        <v>0</v>
      </c>
      <c r="O276" s="18">
        <f>'[3]10нед'!X160</f>
        <v>0</v>
      </c>
      <c r="P276" s="43"/>
    </row>
    <row r="277" spans="1:16" ht="31.2">
      <c r="A277" s="49"/>
      <c r="B277" s="52"/>
      <c r="C277" s="14" t="s">
        <v>24</v>
      </c>
      <c r="D277" s="20" t="str">
        <f>'[2]9нед'!S161</f>
        <v>л</v>
      </c>
      <c r="E277" s="23" t="str">
        <f>'[2]9нед'!T161</f>
        <v>Иностранный язык для специальных целей</v>
      </c>
      <c r="F277" s="21" t="str">
        <f>'[2]9нед'!W161</f>
        <v>Ермоленко И.И.</v>
      </c>
      <c r="G277" s="22" t="str">
        <f>'[2]9нед'!X161</f>
        <v>доцент, канд. наук</v>
      </c>
      <c r="H277" s="36" t="s">
        <v>30</v>
      </c>
      <c r="I277" s="54"/>
      <c r="J277" s="57"/>
      <c r="K277" s="14" t="s">
        <v>24</v>
      </c>
      <c r="L277" s="20" t="str">
        <f>'[3]10нед'!S161</f>
        <v>пр</v>
      </c>
      <c r="M277" s="23" t="str">
        <f>'[3]10нед'!T161</f>
        <v>Иностранный язык для специальных целей</v>
      </c>
      <c r="N277" s="21" t="str">
        <f>'[3]10нед'!W161</f>
        <v>Ермоленко И.И.</v>
      </c>
      <c r="O277" s="22" t="str">
        <f>'[3]10нед'!X161</f>
        <v>доцент, канд. наук</v>
      </c>
      <c r="P277" s="36" t="s">
        <v>30</v>
      </c>
    </row>
    <row r="278" spans="1:16" ht="31.2">
      <c r="A278" s="49"/>
      <c r="B278" s="52"/>
      <c r="C278" s="14" t="s">
        <v>25</v>
      </c>
      <c r="D278" s="20" t="str">
        <f>'[2]9нед'!S162</f>
        <v>л</v>
      </c>
      <c r="E278" s="23" t="str">
        <f>'[2]9нед'!T162</f>
        <v>Машинное обучение и анализ данных</v>
      </c>
      <c r="F278" s="21" t="str">
        <f>'[2]9нед'!W162</f>
        <v>Гришин И.Ю.</v>
      </c>
      <c r="G278" s="22" t="str">
        <f>'[2]9нед'!X162</f>
        <v>профессор, д-р наук</v>
      </c>
      <c r="H278" s="36" t="s">
        <v>31</v>
      </c>
      <c r="I278" s="54"/>
      <c r="J278" s="57"/>
      <c r="K278" s="14" t="s">
        <v>25</v>
      </c>
      <c r="L278" s="20" t="str">
        <f>'[3]10нед'!S162</f>
        <v>пр</v>
      </c>
      <c r="M278" s="23" t="str">
        <f>'[3]10нед'!T162</f>
        <v>Теория систем и системный анализ</v>
      </c>
      <c r="N278" s="21" t="str">
        <f>'[3]10нед'!W162</f>
        <v>Гришин И.Ю.</v>
      </c>
      <c r="O278" s="22" t="str">
        <f>'[3]10нед'!X162</f>
        <v>профессор, д-р наук</v>
      </c>
      <c r="P278" s="36" t="s">
        <v>31</v>
      </c>
    </row>
    <row r="279" spans="1:16" ht="31.2">
      <c r="A279" s="49"/>
      <c r="B279" s="52"/>
      <c r="C279" s="14" t="s">
        <v>26</v>
      </c>
      <c r="D279" s="20" t="str">
        <f>'[2]9нед'!S163</f>
        <v>л</v>
      </c>
      <c r="E279" s="23" t="str">
        <f>'[2]9нед'!T163</f>
        <v>Основы програмной инженерии</v>
      </c>
      <c r="F279" s="21" t="str">
        <f>'[2]9нед'!W163</f>
        <v>Круглый Д.Г.</v>
      </c>
      <c r="G279" s="22" t="str">
        <f>'[2]9нед'!X163</f>
        <v>профессор, д-р наук</v>
      </c>
      <c r="H279" s="36" t="s">
        <v>31</v>
      </c>
      <c r="I279" s="54"/>
      <c r="J279" s="57"/>
      <c r="K279" s="14" t="s">
        <v>26</v>
      </c>
      <c r="L279" s="20">
        <f>'[3]10нед'!S163</f>
        <v>0</v>
      </c>
      <c r="M279" s="23">
        <f>'[3]10нед'!T163</f>
        <v>0</v>
      </c>
      <c r="N279" s="21">
        <f>'[3]10нед'!W163</f>
        <v>0</v>
      </c>
      <c r="O279" s="22">
        <f>'[3]10нед'!X163</f>
        <v>0</v>
      </c>
      <c r="P279" s="41"/>
    </row>
    <row r="280" spans="1:16" ht="31.2">
      <c r="A280" s="49"/>
      <c r="B280" s="52"/>
      <c r="C280" s="14" t="s">
        <v>27</v>
      </c>
      <c r="D280" s="20">
        <f>'[2]9нед'!S164</f>
        <v>0</v>
      </c>
      <c r="E280" s="23">
        <f>'[2]9нед'!T164</f>
        <v>0</v>
      </c>
      <c r="F280" s="21">
        <f>'[2]9нед'!W164</f>
        <v>0</v>
      </c>
      <c r="G280" s="22">
        <f>'[2]9нед'!X164</f>
        <v>0</v>
      </c>
      <c r="H280" s="41"/>
      <c r="I280" s="54"/>
      <c r="J280" s="57"/>
      <c r="K280" s="14" t="s">
        <v>27</v>
      </c>
      <c r="L280" s="20">
        <f>'[3]10нед'!S164</f>
        <v>0</v>
      </c>
      <c r="M280" s="23">
        <f>'[3]10нед'!T164</f>
        <v>0</v>
      </c>
      <c r="N280" s="21">
        <f>'[3]10нед'!W164</f>
        <v>0</v>
      </c>
      <c r="O280" s="22">
        <f>'[3]10нед'!X164</f>
        <v>0</v>
      </c>
      <c r="P280" s="41"/>
    </row>
    <row r="281" spans="1:16" ht="31.2">
      <c r="A281" s="49"/>
      <c r="B281" s="52"/>
      <c r="C281" s="14" t="s">
        <v>28</v>
      </c>
      <c r="D281" s="20">
        <f>'[2]9нед'!S165</f>
        <v>0</v>
      </c>
      <c r="E281" s="23">
        <f>'[2]9нед'!T165</f>
        <v>0</v>
      </c>
      <c r="F281" s="21">
        <f>'[2]9нед'!W165</f>
        <v>0</v>
      </c>
      <c r="G281" s="22">
        <f>'[2]9нед'!X165</f>
        <v>0</v>
      </c>
      <c r="H281" s="41"/>
      <c r="I281" s="54"/>
      <c r="J281" s="57"/>
      <c r="K281" s="14" t="s">
        <v>28</v>
      </c>
      <c r="L281" s="20">
        <f>'[3]10нед'!S165</f>
        <v>0</v>
      </c>
      <c r="M281" s="23">
        <f>'[3]10нед'!T165</f>
        <v>0</v>
      </c>
      <c r="N281" s="21">
        <f>'[3]10нед'!W165</f>
        <v>0</v>
      </c>
      <c r="O281" s="22">
        <f>'[3]10нед'!X165</f>
        <v>0</v>
      </c>
      <c r="P281" s="41"/>
    </row>
    <row r="282" spans="1:16" ht="31.8" thickBot="1">
      <c r="A282" s="49"/>
      <c r="B282" s="52"/>
      <c r="C282" s="14" t="s">
        <v>29</v>
      </c>
      <c r="D282" s="20">
        <f>'[2]9нед'!S166</f>
        <v>0</v>
      </c>
      <c r="E282" s="23">
        <f>'[2]9нед'!T166</f>
        <v>0</v>
      </c>
      <c r="F282" s="21">
        <f>'[2]9нед'!W166</f>
        <v>0</v>
      </c>
      <c r="G282" s="22">
        <f>'[2]9нед'!X166</f>
        <v>0</v>
      </c>
      <c r="H282" s="41"/>
      <c r="I282" s="54"/>
      <c r="J282" s="57"/>
      <c r="K282" s="14" t="s">
        <v>29</v>
      </c>
      <c r="L282" s="20">
        <f>'[3]10нед'!S166</f>
        <v>0</v>
      </c>
      <c r="M282" s="23">
        <f>'[3]10нед'!T166</f>
        <v>0</v>
      </c>
      <c r="N282" s="21">
        <f>'[3]10нед'!W166</f>
        <v>0</v>
      </c>
      <c r="O282" s="22">
        <f>'[3]10нед'!X166</f>
        <v>0</v>
      </c>
      <c r="P282" s="41"/>
    </row>
    <row r="283" spans="1:16" ht="18.600000000000001" hidden="1" thickBot="1">
      <c r="A283" s="50"/>
      <c r="B283" s="53"/>
      <c r="C283" s="15"/>
      <c r="D283" s="24">
        <f>'[2]9нед'!S167</f>
        <v>0</v>
      </c>
      <c r="E283" s="25">
        <f>'[2]9нед'!T167</f>
        <v>0</v>
      </c>
      <c r="F283" s="26">
        <f>'[2]9нед'!W167</f>
        <v>0</v>
      </c>
      <c r="G283" s="27">
        <f>'[2]9нед'!X167</f>
        <v>0</v>
      </c>
      <c r="H283" s="42"/>
      <c r="I283" s="55"/>
      <c r="J283" s="58"/>
      <c r="K283" s="15"/>
      <c r="L283" s="24">
        <f>'[3]10нед'!S167</f>
        <v>0</v>
      </c>
      <c r="M283" s="25">
        <f>'[3]10нед'!T167</f>
        <v>0</v>
      </c>
      <c r="N283" s="26">
        <f>'[3]10нед'!W167</f>
        <v>0</v>
      </c>
      <c r="O283" s="27">
        <f>'[3]10нед'!X167</f>
        <v>0</v>
      </c>
      <c r="P283" s="42"/>
    </row>
    <row r="284" spans="1:16" ht="48" customHeight="1" thickTop="1">
      <c r="A284" s="48">
        <v>45961</v>
      </c>
      <c r="B284" s="51" t="s">
        <v>4</v>
      </c>
      <c r="C284" s="28" t="s">
        <v>23</v>
      </c>
      <c r="D284" s="16">
        <f>'[2]9нед'!S168</f>
        <v>0</v>
      </c>
      <c r="E284" s="19">
        <f>'[2]9нед'!T168</f>
        <v>0</v>
      </c>
      <c r="F284" s="17">
        <f>'[2]9нед'!W168</f>
        <v>0</v>
      </c>
      <c r="G284" s="18">
        <f>'[2]9нед'!X168</f>
        <v>0</v>
      </c>
      <c r="H284" s="43"/>
      <c r="I284" s="48">
        <v>45968</v>
      </c>
      <c r="J284" s="56" t="s">
        <v>4</v>
      </c>
      <c r="K284" s="28" t="s">
        <v>23</v>
      </c>
      <c r="L284" s="16">
        <f>'[3]10нед'!S168</f>
        <v>0</v>
      </c>
      <c r="M284" s="19">
        <f>'[3]10нед'!T168</f>
        <v>0</v>
      </c>
      <c r="N284" s="17">
        <f>'[3]10нед'!W168</f>
        <v>0</v>
      </c>
      <c r="O284" s="18">
        <f>'[3]10нед'!X168</f>
        <v>0</v>
      </c>
      <c r="P284" s="43"/>
    </row>
    <row r="285" spans="1:16" ht="31.2">
      <c r="A285" s="49"/>
      <c r="B285" s="52"/>
      <c r="C285" s="14" t="s">
        <v>24</v>
      </c>
      <c r="D285" s="20" t="str">
        <f>'[2]9нед'!S169</f>
        <v>л</v>
      </c>
      <c r="E285" s="23" t="str">
        <f>'[2]9нед'!T169</f>
        <v xml:space="preserve">Философия научного познания </v>
      </c>
      <c r="F285" s="21" t="str">
        <f>'[2]9нед'!W169</f>
        <v>Солодухин Д.В.</v>
      </c>
      <c r="G285" s="22" t="str">
        <f>'[2]9нед'!X169</f>
        <v>профессор, канд. наук</v>
      </c>
      <c r="H285" s="36" t="s">
        <v>32</v>
      </c>
      <c r="I285" s="54"/>
      <c r="J285" s="57"/>
      <c r="K285" s="14" t="s">
        <v>24</v>
      </c>
      <c r="L285" s="20" t="str">
        <f>'[3]10нед'!S169</f>
        <v>пр</v>
      </c>
      <c r="M285" s="23" t="str">
        <f>'[3]10нед'!T169</f>
        <v xml:space="preserve">Философия научного познания </v>
      </c>
      <c r="N285" s="21" t="str">
        <f>'[3]10нед'!W169</f>
        <v>Солодухин Д.В.</v>
      </c>
      <c r="O285" s="22" t="str">
        <f>'[3]10нед'!X169</f>
        <v>профессор, канд. наук</v>
      </c>
      <c r="P285" s="36" t="s">
        <v>34</v>
      </c>
    </row>
    <row r="286" spans="1:16" ht="36">
      <c r="A286" s="49"/>
      <c r="B286" s="52"/>
      <c r="C286" s="14" t="s">
        <v>25</v>
      </c>
      <c r="D286" s="20" t="str">
        <f>'[2]9нед'!S170</f>
        <v>л</v>
      </c>
      <c r="E286" s="23" t="str">
        <f>'[2]9нед'!T170</f>
        <v>Методология исследовательской деятельности</v>
      </c>
      <c r="F286" s="21" t="str">
        <f>'[2]9нед'!W170</f>
        <v>Гуменюк А.Ю.</v>
      </c>
      <c r="G286" s="22" t="str">
        <f>'[2]9нед'!X170</f>
        <v>доцент, канд. наук</v>
      </c>
      <c r="H286" s="36" t="s">
        <v>33</v>
      </c>
      <c r="I286" s="54"/>
      <c r="J286" s="57"/>
      <c r="K286" s="14" t="s">
        <v>25</v>
      </c>
      <c r="L286" s="20" t="str">
        <f>'[3]10нед'!S170</f>
        <v>пр</v>
      </c>
      <c r="M286" s="23" t="str">
        <f>'[3]10нед'!T170</f>
        <v>Методология исследовательской деятельности</v>
      </c>
      <c r="N286" s="21" t="str">
        <f>'[3]10нед'!W170</f>
        <v>Гуменюк А.Ю.</v>
      </c>
      <c r="O286" s="22" t="str">
        <f>'[3]10нед'!X170</f>
        <v>доцент, канд. наук</v>
      </c>
      <c r="P286" s="36" t="s">
        <v>35</v>
      </c>
    </row>
    <row r="287" spans="1:16" ht="31.2">
      <c r="A287" s="49"/>
      <c r="B287" s="52"/>
      <c r="C287" s="14" t="s">
        <v>26</v>
      </c>
      <c r="D287" s="20">
        <f>'[2]9нед'!S171</f>
        <v>0</v>
      </c>
      <c r="E287" s="23">
        <f>'[2]9нед'!T171</f>
        <v>0</v>
      </c>
      <c r="F287" s="21">
        <f>'[2]9нед'!W171</f>
        <v>0</v>
      </c>
      <c r="G287" s="22">
        <f>'[2]9нед'!X171</f>
        <v>0</v>
      </c>
      <c r="H287" s="41"/>
      <c r="I287" s="54"/>
      <c r="J287" s="57"/>
      <c r="K287" s="14" t="s">
        <v>26</v>
      </c>
      <c r="L287" s="20">
        <f>'[3]10нед'!S171</f>
        <v>0</v>
      </c>
      <c r="M287" s="23">
        <f>'[3]10нед'!T171</f>
        <v>0</v>
      </c>
      <c r="N287" s="21">
        <f>'[3]10нед'!W171</f>
        <v>0</v>
      </c>
      <c r="O287" s="22">
        <f>'[3]10нед'!X171</f>
        <v>0</v>
      </c>
      <c r="P287" s="41"/>
    </row>
    <row r="288" spans="1:16" ht="31.2">
      <c r="A288" s="49"/>
      <c r="B288" s="52"/>
      <c r="C288" s="14" t="s">
        <v>27</v>
      </c>
      <c r="D288" s="20">
        <f>'[2]9нед'!S172</f>
        <v>0</v>
      </c>
      <c r="E288" s="23">
        <f>'[2]9нед'!T172</f>
        <v>0</v>
      </c>
      <c r="F288" s="21">
        <f>'[2]9нед'!W172</f>
        <v>0</v>
      </c>
      <c r="G288" s="22">
        <f>'[2]9нед'!X172</f>
        <v>0</v>
      </c>
      <c r="H288" s="41"/>
      <c r="I288" s="54"/>
      <c r="J288" s="57"/>
      <c r="K288" s="14" t="s">
        <v>27</v>
      </c>
      <c r="L288" s="20">
        <f>'[3]10нед'!S172</f>
        <v>0</v>
      </c>
      <c r="M288" s="23">
        <f>'[3]10нед'!T172</f>
        <v>0</v>
      </c>
      <c r="N288" s="21">
        <f>'[3]10нед'!W172</f>
        <v>0</v>
      </c>
      <c r="O288" s="22">
        <f>'[3]10нед'!X172</f>
        <v>0</v>
      </c>
      <c r="P288" s="41"/>
    </row>
    <row r="289" spans="1:16" ht="31.2">
      <c r="A289" s="49"/>
      <c r="B289" s="52"/>
      <c r="C289" s="14" t="s">
        <v>28</v>
      </c>
      <c r="D289" s="20">
        <f>'[2]9нед'!S173</f>
        <v>0</v>
      </c>
      <c r="E289" s="23">
        <f>'[2]9нед'!T173</f>
        <v>0</v>
      </c>
      <c r="F289" s="21">
        <f>'[2]9нед'!W173</f>
        <v>0</v>
      </c>
      <c r="G289" s="22">
        <f>'[2]9нед'!X173</f>
        <v>0</v>
      </c>
      <c r="H289" s="41"/>
      <c r="I289" s="54"/>
      <c r="J289" s="57"/>
      <c r="K289" s="14" t="s">
        <v>28</v>
      </c>
      <c r="L289" s="20">
        <f>'[3]10нед'!S173</f>
        <v>0</v>
      </c>
      <c r="M289" s="23">
        <f>'[3]10нед'!T173</f>
        <v>0</v>
      </c>
      <c r="N289" s="21">
        <f>'[3]10нед'!W173</f>
        <v>0</v>
      </c>
      <c r="O289" s="22">
        <f>'[3]10нед'!X173</f>
        <v>0</v>
      </c>
      <c r="P289" s="41"/>
    </row>
    <row r="290" spans="1:16" ht="31.8" thickBot="1">
      <c r="A290" s="49"/>
      <c r="B290" s="52"/>
      <c r="C290" s="14" t="s">
        <v>29</v>
      </c>
      <c r="D290" s="20">
        <f>'[2]9нед'!S174</f>
        <v>0</v>
      </c>
      <c r="E290" s="23">
        <f>'[2]9нед'!T174</f>
        <v>0</v>
      </c>
      <c r="F290" s="21">
        <f>'[2]9нед'!W174</f>
        <v>0</v>
      </c>
      <c r="G290" s="22">
        <f>'[2]9нед'!X174</f>
        <v>0</v>
      </c>
      <c r="H290" s="41"/>
      <c r="I290" s="54"/>
      <c r="J290" s="57"/>
      <c r="K290" s="14" t="s">
        <v>29</v>
      </c>
      <c r="L290" s="20">
        <f>'[3]10нед'!S174</f>
        <v>0</v>
      </c>
      <c r="M290" s="23">
        <f>'[3]10нед'!T174</f>
        <v>0</v>
      </c>
      <c r="N290" s="21">
        <f>'[3]10нед'!W174</f>
        <v>0</v>
      </c>
      <c r="O290" s="22">
        <f>'[3]10нед'!X174</f>
        <v>0</v>
      </c>
      <c r="P290" s="41"/>
    </row>
    <row r="291" spans="1:16" ht="18.600000000000001" hidden="1" thickBot="1">
      <c r="A291" s="50"/>
      <c r="B291" s="53"/>
      <c r="C291" s="15"/>
      <c r="D291" s="24">
        <f>'[2]9нед'!S175</f>
        <v>0</v>
      </c>
      <c r="E291" s="25">
        <f>'[2]9нед'!T175</f>
        <v>0</v>
      </c>
      <c r="F291" s="26">
        <f>'[2]9нед'!W175</f>
        <v>0</v>
      </c>
      <c r="G291" s="27">
        <f>'[2]9нед'!X175</f>
        <v>0</v>
      </c>
      <c r="H291" s="42"/>
      <c r="I291" s="55"/>
      <c r="J291" s="58"/>
      <c r="K291" s="15"/>
      <c r="L291" s="24">
        <f>'[3]10нед'!S175</f>
        <v>0</v>
      </c>
      <c r="M291" s="25">
        <f>'[3]10нед'!T175</f>
        <v>0</v>
      </c>
      <c r="N291" s="26">
        <f>'[3]10нед'!W175</f>
        <v>0</v>
      </c>
      <c r="O291" s="27">
        <f>'[3]10нед'!X175</f>
        <v>0</v>
      </c>
      <c r="P291" s="42"/>
    </row>
    <row r="292" spans="1:16" ht="48" customHeight="1" thickTop="1">
      <c r="A292" s="48">
        <v>45962</v>
      </c>
      <c r="B292" s="51" t="s">
        <v>5</v>
      </c>
      <c r="C292" s="28" t="s">
        <v>23</v>
      </c>
      <c r="D292" s="16">
        <f>'[2]9нед'!S176</f>
        <v>0</v>
      </c>
      <c r="E292" s="19">
        <f>'[2]9нед'!T176</f>
        <v>0</v>
      </c>
      <c r="F292" s="17">
        <f>'[2]9нед'!W176</f>
        <v>0</v>
      </c>
      <c r="G292" s="18">
        <f>'[2]9нед'!X176</f>
        <v>0</v>
      </c>
      <c r="H292" s="43"/>
      <c r="I292" s="48">
        <v>45969</v>
      </c>
      <c r="J292" s="56" t="s">
        <v>5</v>
      </c>
      <c r="K292" s="28" t="s">
        <v>23</v>
      </c>
      <c r="L292" s="16">
        <f>'[3]10нед'!S176</f>
        <v>0</v>
      </c>
      <c r="M292" s="19">
        <f>'[3]10нед'!T176</f>
        <v>0</v>
      </c>
      <c r="N292" s="17">
        <f>'[3]10нед'!W176</f>
        <v>0</v>
      </c>
      <c r="O292" s="18">
        <f>'[3]10нед'!X176</f>
        <v>0</v>
      </c>
      <c r="P292" s="43"/>
    </row>
    <row r="293" spans="1:16" ht="31.2">
      <c r="A293" s="49"/>
      <c r="B293" s="52"/>
      <c r="C293" s="14" t="s">
        <v>24</v>
      </c>
      <c r="D293" s="20">
        <f>'[2]9нед'!S177</f>
        <v>0</v>
      </c>
      <c r="E293" s="23">
        <f>'[2]9нед'!T177</f>
        <v>0</v>
      </c>
      <c r="F293" s="21">
        <f>'[2]9нед'!W177</f>
        <v>0</v>
      </c>
      <c r="G293" s="22">
        <f>'[2]9нед'!X177</f>
        <v>0</v>
      </c>
      <c r="H293" s="41"/>
      <c r="I293" s="54"/>
      <c r="J293" s="57"/>
      <c r="K293" s="14" t="s">
        <v>24</v>
      </c>
      <c r="L293" s="20">
        <f>'[3]10нед'!S177</f>
        <v>0</v>
      </c>
      <c r="M293" s="23">
        <f>'[3]10нед'!T177</f>
        <v>0</v>
      </c>
      <c r="N293" s="21">
        <f>'[3]10нед'!W177</f>
        <v>0</v>
      </c>
      <c r="O293" s="22">
        <f>'[3]10нед'!X177</f>
        <v>0</v>
      </c>
      <c r="P293" s="41"/>
    </row>
    <row r="294" spans="1:16" ht="36">
      <c r="A294" s="49"/>
      <c r="B294" s="52"/>
      <c r="C294" s="14" t="s">
        <v>25</v>
      </c>
      <c r="D294" s="20">
        <f>'[2]9нед'!S178</f>
        <v>0</v>
      </c>
      <c r="E294" s="23">
        <f>'[2]9нед'!T178</f>
        <v>0</v>
      </c>
      <c r="F294" s="21">
        <f>'[2]9нед'!W178</f>
        <v>0</v>
      </c>
      <c r="G294" s="22">
        <f>'[2]9нед'!X178</f>
        <v>0</v>
      </c>
      <c r="H294" s="41"/>
      <c r="I294" s="54"/>
      <c r="J294" s="57"/>
      <c r="K294" s="14" t="s">
        <v>25</v>
      </c>
      <c r="L294" s="20" t="str">
        <f>'[3]10нед'!S178</f>
        <v>пр</v>
      </c>
      <c r="M294" s="23" t="str">
        <f>'[3]10нед'!T178</f>
        <v>Применение методов искусственного интеллекта в анализе данных и управлении</v>
      </c>
      <c r="N294" s="21" t="str">
        <f>'[3]10нед'!W178</f>
        <v>Гришин И.Ю.</v>
      </c>
      <c r="O294" s="22" t="str">
        <f>'[3]10нед'!X178</f>
        <v>профессор, д-р наук</v>
      </c>
      <c r="P294" s="46" t="s">
        <v>31</v>
      </c>
    </row>
    <row r="295" spans="1:16" ht="31.2">
      <c r="A295" s="49"/>
      <c r="B295" s="52"/>
      <c r="C295" s="14" t="s">
        <v>26</v>
      </c>
      <c r="D295" s="20">
        <f>'[2]9нед'!S179</f>
        <v>0</v>
      </c>
      <c r="E295" s="23">
        <f>'[2]9нед'!T179</f>
        <v>0</v>
      </c>
      <c r="F295" s="21">
        <f>'[2]9нед'!W179</f>
        <v>0</v>
      </c>
      <c r="G295" s="22">
        <f>'[2]9нед'!X179</f>
        <v>0</v>
      </c>
      <c r="H295" s="41"/>
      <c r="I295" s="54"/>
      <c r="J295" s="57"/>
      <c r="K295" s="14" t="s">
        <v>26</v>
      </c>
      <c r="L295" s="20" t="str">
        <f>'[3]10нед'!S179</f>
        <v>пр</v>
      </c>
      <c r="M295" s="23" t="str">
        <f>'[3]10нед'!T179</f>
        <v>Машинное обучение и анализ данных</v>
      </c>
      <c r="N295" s="21" t="str">
        <f>'[3]10нед'!W179</f>
        <v>Гришин И.Ю.</v>
      </c>
      <c r="O295" s="22" t="str">
        <f>'[3]10нед'!X179</f>
        <v>профессор, д-р наук</v>
      </c>
      <c r="P295" s="46" t="s">
        <v>31</v>
      </c>
    </row>
    <row r="296" spans="1:16" ht="31.2">
      <c r="A296" s="49"/>
      <c r="B296" s="52"/>
      <c r="C296" s="14" t="s">
        <v>27</v>
      </c>
      <c r="D296" s="20">
        <f>'[2]9нед'!S180</f>
        <v>0</v>
      </c>
      <c r="E296" s="23">
        <f>'[2]9нед'!T180</f>
        <v>0</v>
      </c>
      <c r="F296" s="21">
        <f>'[2]9нед'!W180</f>
        <v>0</v>
      </c>
      <c r="G296" s="22">
        <f>'[2]9нед'!X180</f>
        <v>0</v>
      </c>
      <c r="H296" s="41"/>
      <c r="I296" s="54"/>
      <c r="J296" s="57"/>
      <c r="K296" s="14" t="s">
        <v>27</v>
      </c>
      <c r="L296" s="20" t="str">
        <f>'[3]10нед'!S180</f>
        <v>пр</v>
      </c>
      <c r="M296" s="23" t="str">
        <f>'[3]10нед'!T180</f>
        <v>Машинное обучение и анализ данных</v>
      </c>
      <c r="N296" s="21" t="str">
        <f>'[3]10нед'!W180</f>
        <v>Гришин И.Ю.</v>
      </c>
      <c r="O296" s="22" t="str">
        <f>'[3]10нед'!X180</f>
        <v>профессор, д-р наук</v>
      </c>
      <c r="P296" s="46" t="s">
        <v>31</v>
      </c>
    </row>
    <row r="297" spans="1:16" ht="36">
      <c r="A297" s="49"/>
      <c r="B297" s="52"/>
      <c r="C297" s="14" t="s">
        <v>28</v>
      </c>
      <c r="D297" s="20">
        <f>'[2]9нед'!S181</f>
        <v>0</v>
      </c>
      <c r="E297" s="23">
        <f>'[2]9нед'!T181</f>
        <v>0</v>
      </c>
      <c r="F297" s="21">
        <f>'[2]9нед'!W181</f>
        <v>0</v>
      </c>
      <c r="G297" s="22">
        <f>'[2]9нед'!X181</f>
        <v>0</v>
      </c>
      <c r="H297" s="41"/>
      <c r="I297" s="54"/>
      <c r="J297" s="57"/>
      <c r="K297" s="14" t="s">
        <v>28</v>
      </c>
      <c r="L297" s="20" t="str">
        <f>'[3]10нед'!S181</f>
        <v>пр</v>
      </c>
      <c r="M297" s="23" t="str">
        <f>'[3]10нед'!T181</f>
        <v>Применение методов искусственного интеллекта в анализе данных и управлении</v>
      </c>
      <c r="N297" s="21" t="str">
        <f>'[3]10нед'!W181</f>
        <v>Гришин И.Ю.</v>
      </c>
      <c r="O297" s="22" t="str">
        <f>'[3]10нед'!X181</f>
        <v>профессор, д-р наук</v>
      </c>
      <c r="P297" s="46" t="s">
        <v>31</v>
      </c>
    </row>
    <row r="298" spans="1:16" ht="31.8" thickBot="1">
      <c r="A298" s="49"/>
      <c r="B298" s="52"/>
      <c r="C298" s="14" t="s">
        <v>29</v>
      </c>
      <c r="D298" s="20">
        <f>'[2]9нед'!S182</f>
        <v>0</v>
      </c>
      <c r="E298" s="23">
        <f>'[2]9нед'!T182</f>
        <v>0</v>
      </c>
      <c r="F298" s="21">
        <f>'[2]9нед'!W182</f>
        <v>0</v>
      </c>
      <c r="G298" s="22">
        <f>'[2]9нед'!X182</f>
        <v>0</v>
      </c>
      <c r="H298" s="41"/>
      <c r="I298" s="54"/>
      <c r="J298" s="57"/>
      <c r="K298" s="14" t="s">
        <v>29</v>
      </c>
      <c r="L298" s="20">
        <f>'[3]10нед'!S182</f>
        <v>0</v>
      </c>
      <c r="M298" s="23">
        <f>'[3]10нед'!T182</f>
        <v>0</v>
      </c>
      <c r="N298" s="21">
        <f>'[3]10нед'!W182</f>
        <v>0</v>
      </c>
      <c r="O298" s="22">
        <f>'[3]10нед'!X182</f>
        <v>0</v>
      </c>
      <c r="P298" s="41"/>
    </row>
    <row r="299" spans="1:16" ht="18.600000000000001" hidden="1" thickBot="1">
      <c r="A299" s="50"/>
      <c r="B299" s="53"/>
      <c r="C299" s="15"/>
      <c r="D299" s="24">
        <f>'[2]9нед'!S59</f>
        <v>0</v>
      </c>
      <c r="E299" s="25">
        <f>'[2]9нед'!T59</f>
        <v>0</v>
      </c>
      <c r="F299" s="26">
        <f>'[2]9нед'!W59</f>
        <v>0</v>
      </c>
      <c r="G299" s="27">
        <f>'[2]9нед'!X59</f>
        <v>0</v>
      </c>
      <c r="H299" s="42"/>
      <c r="I299" s="55"/>
      <c r="J299" s="58"/>
      <c r="K299" s="15"/>
      <c r="L299" s="24">
        <f>'[3]10нед'!S183</f>
        <v>0</v>
      </c>
      <c r="M299" s="25">
        <f>'[3]10нед'!T183</f>
        <v>0</v>
      </c>
      <c r="N299" s="26">
        <f>'[3]10нед'!W183</f>
        <v>0</v>
      </c>
      <c r="O299" s="27">
        <f>'[3]10нед'!X183</f>
        <v>0</v>
      </c>
      <c r="P299" s="42"/>
    </row>
    <row r="300" spans="1:16" ht="39" customHeight="1" thickTop="1">
      <c r="A300" s="29"/>
      <c r="B300" s="30"/>
      <c r="C300" s="31"/>
      <c r="D300" s="32"/>
      <c r="E300" s="32" t="s">
        <v>21</v>
      </c>
      <c r="F300" s="32"/>
      <c r="G300" s="33" t="s">
        <v>22</v>
      </c>
      <c r="H300" s="44"/>
      <c r="I300" s="29"/>
      <c r="J300" s="30"/>
      <c r="K300" s="31"/>
      <c r="L300" s="32"/>
      <c r="M300" s="32" t="s">
        <v>21</v>
      </c>
      <c r="N300" s="32"/>
      <c r="O300" s="33" t="s">
        <v>22</v>
      </c>
      <c r="P300" s="44"/>
    </row>
    <row r="301" spans="1:16" ht="15.6">
      <c r="A301" s="1"/>
      <c r="B301" s="2"/>
      <c r="C301" s="3"/>
      <c r="D301" s="4"/>
      <c r="E301" s="4"/>
      <c r="F301" s="4"/>
      <c r="G301" s="4"/>
      <c r="H301" s="37" t="s">
        <v>8</v>
      </c>
      <c r="I301" s="1"/>
      <c r="J301" s="2"/>
      <c r="K301" s="3"/>
      <c r="L301" s="4"/>
      <c r="M301" s="4"/>
      <c r="N301" s="4"/>
      <c r="O301" s="4"/>
      <c r="P301" s="37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37" t="s">
        <v>9</v>
      </c>
      <c r="I302" s="1"/>
      <c r="J302" s="2"/>
      <c r="K302" s="3"/>
      <c r="L302" s="4"/>
      <c r="M302" s="4"/>
      <c r="N302" s="4"/>
      <c r="O302" s="4"/>
      <c r="P302" s="37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37" t="s">
        <v>10</v>
      </c>
      <c r="I303" s="1"/>
      <c r="J303" s="2"/>
      <c r="K303" s="3"/>
      <c r="L303" s="4"/>
      <c r="M303" s="4"/>
      <c r="N303" s="4"/>
      <c r="O303" s="4"/>
      <c r="P303" s="37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37" t="s">
        <v>11</v>
      </c>
      <c r="I304" s="1"/>
      <c r="J304" s="2"/>
      <c r="K304" s="3"/>
      <c r="L304" s="4"/>
      <c r="M304" s="4"/>
      <c r="N304" s="4"/>
      <c r="O304" s="4"/>
      <c r="P304" s="37" t="s">
        <v>11</v>
      </c>
    </row>
    <row r="305" spans="1:16" ht="15.6">
      <c r="A305" s="1"/>
      <c r="B305" s="5"/>
      <c r="C305" s="3"/>
      <c r="D305" s="4"/>
      <c r="E305" s="4"/>
      <c r="F305" s="4"/>
      <c r="G305" s="4"/>
      <c r="H305" s="38"/>
      <c r="I305" s="1"/>
      <c r="J305" s="5"/>
      <c r="K305" s="3"/>
      <c r="L305" s="4"/>
      <c r="M305" s="4"/>
      <c r="N305" s="4"/>
      <c r="O305" s="4"/>
      <c r="P305" s="38"/>
    </row>
    <row r="306" spans="1:16" ht="15.6">
      <c r="A306" s="1"/>
      <c r="B306" s="74" t="s">
        <v>12</v>
      </c>
      <c r="C306" s="74"/>
      <c r="D306" s="74"/>
      <c r="E306" s="74"/>
      <c r="F306" s="74"/>
      <c r="G306" s="74"/>
      <c r="H306" s="74"/>
      <c r="I306" s="1"/>
      <c r="J306" s="74" t="s">
        <v>12</v>
      </c>
      <c r="K306" s="74"/>
      <c r="L306" s="74"/>
      <c r="M306" s="74"/>
      <c r="N306" s="74"/>
      <c r="O306" s="74"/>
      <c r="P306" s="74"/>
    </row>
    <row r="307" spans="1:16" ht="15.6">
      <c r="A307" s="6"/>
      <c r="B307" s="34" t="str">
        <f>'[1]1нед'!$A$6</f>
        <v>Направление подготовки:</v>
      </c>
      <c r="C307" s="7"/>
      <c r="D307" s="8"/>
      <c r="E307" s="9" t="str">
        <f>E7</f>
        <v>09.04.04 Программная инженерия (Разработка программно-информационных систем)</v>
      </c>
      <c r="F307" s="8"/>
      <c r="G307" s="8"/>
      <c r="H307" s="39" t="str">
        <f>H7</f>
        <v>12-25РПм</v>
      </c>
      <c r="I307" s="6"/>
      <c r="J307" s="34" t="str">
        <f>'[1]1нед'!$A$6</f>
        <v>Направление подготовки:</v>
      </c>
      <c r="K307" s="7"/>
      <c r="L307" s="8"/>
      <c r="M307" s="9" t="str">
        <f>E7</f>
        <v>09.04.04 Программная инженерия (Разработка программно-информационных систем)</v>
      </c>
      <c r="N307" s="8"/>
      <c r="O307" s="8"/>
      <c r="P307" s="39" t="str">
        <f>H7</f>
        <v>12-25РПм</v>
      </c>
    </row>
    <row r="308" spans="1:16" ht="15.6">
      <c r="A308" s="1"/>
      <c r="B308" s="73" t="s">
        <v>13</v>
      </c>
      <c r="C308" s="73"/>
      <c r="D308" s="73"/>
      <c r="E308" s="73" t="str">
        <f>E8</f>
        <v>очная</v>
      </c>
      <c r="F308" s="73"/>
      <c r="G308" s="73"/>
      <c r="H308" s="73"/>
      <c r="I308" s="1"/>
      <c r="J308" s="73" t="s">
        <v>13</v>
      </c>
      <c r="K308" s="73"/>
      <c r="L308" s="73"/>
      <c r="M308" s="73" t="str">
        <f>E8</f>
        <v>очная</v>
      </c>
      <c r="N308" s="73"/>
      <c r="O308" s="73"/>
      <c r="P308" s="73"/>
    </row>
    <row r="309" spans="1:16" ht="15.6">
      <c r="A309" s="1"/>
      <c r="B309" s="73" t="s">
        <v>15</v>
      </c>
      <c r="C309" s="73"/>
      <c r="D309" s="73"/>
      <c r="E309" s="34">
        <f>E9</f>
        <v>1</v>
      </c>
      <c r="F309" s="34"/>
      <c r="G309" s="34"/>
      <c r="H309" s="38"/>
      <c r="I309" s="1"/>
      <c r="J309" s="73" t="s">
        <v>15</v>
      </c>
      <c r="K309" s="73"/>
      <c r="L309" s="73"/>
      <c r="M309" s="34">
        <f>E9</f>
        <v>1</v>
      </c>
      <c r="N309" s="34"/>
      <c r="O309" s="34"/>
      <c r="P309" s="38"/>
    </row>
    <row r="310" spans="1:16" ht="16.2" thickBot="1">
      <c r="A310" s="1"/>
      <c r="B310" s="70" t="s">
        <v>16</v>
      </c>
      <c r="C310" s="70"/>
      <c r="D310" s="70"/>
      <c r="E310" s="35">
        <f>M250+1</f>
        <v>11</v>
      </c>
      <c r="F310" s="35"/>
      <c r="G310" s="35"/>
      <c r="H310" s="40"/>
      <c r="I310" s="1"/>
      <c r="J310" s="70" t="s">
        <v>16</v>
      </c>
      <c r="K310" s="70"/>
      <c r="L310" s="70"/>
      <c r="M310" s="35">
        <f>E310+1</f>
        <v>12</v>
      </c>
      <c r="N310" s="35"/>
      <c r="O310" s="35"/>
      <c r="P310" s="40"/>
    </row>
    <row r="311" spans="1:16" ht="46.5" customHeight="1" thickTop="1" thickBot="1">
      <c r="A311" s="71" t="s">
        <v>17</v>
      </c>
      <c r="B311" s="72"/>
      <c r="C311" s="10" t="s">
        <v>18</v>
      </c>
      <c r="D311" s="11" t="s">
        <v>7</v>
      </c>
      <c r="E311" s="12" t="s">
        <v>19</v>
      </c>
      <c r="F311" s="68" t="s">
        <v>6</v>
      </c>
      <c r="G311" s="69"/>
      <c r="H311" s="13" t="s">
        <v>20</v>
      </c>
      <c r="I311" s="71" t="s">
        <v>17</v>
      </c>
      <c r="J311" s="72"/>
      <c r="K311" s="10" t="s">
        <v>18</v>
      </c>
      <c r="L311" s="11" t="s">
        <v>7</v>
      </c>
      <c r="M311" s="12" t="s">
        <v>19</v>
      </c>
      <c r="N311" s="68" t="s">
        <v>6</v>
      </c>
      <c r="O311" s="69"/>
      <c r="P311" s="13" t="s">
        <v>20</v>
      </c>
    </row>
    <row r="312" spans="1:16" ht="32.25" customHeight="1" thickTop="1">
      <c r="A312" s="48">
        <v>45971</v>
      </c>
      <c r="B312" s="51" t="s">
        <v>0</v>
      </c>
      <c r="C312" s="14" t="s">
        <v>23</v>
      </c>
      <c r="D312" s="16">
        <f>'[3]11нед'!S136</f>
        <v>0</v>
      </c>
      <c r="E312" s="19">
        <f>'[3]11нед'!T136</f>
        <v>0</v>
      </c>
      <c r="F312" s="17">
        <f>'[3]11нед'!W136</f>
        <v>0</v>
      </c>
      <c r="G312" s="18">
        <f>'[3]11нед'!X136</f>
        <v>0</v>
      </c>
      <c r="H312" s="43"/>
      <c r="I312" s="48">
        <v>45978</v>
      </c>
      <c r="J312" s="56" t="s">
        <v>0</v>
      </c>
      <c r="K312" s="14" t="s">
        <v>23</v>
      </c>
      <c r="L312" s="16" t="str">
        <f>'[3]12нед'!S136</f>
        <v>пр</v>
      </c>
      <c r="M312" s="19" t="str">
        <f>'[3]12нед'!T136</f>
        <v>Применение методов искусственного интеллекта в анализе данных и управлении</v>
      </c>
      <c r="N312" s="17" t="str">
        <f>'[3]12нед'!W136</f>
        <v>Гришин И.Ю.</v>
      </c>
      <c r="O312" s="18" t="str">
        <f>'[3]12нед'!X136</f>
        <v>профессор, д-р наук</v>
      </c>
      <c r="P312" s="47" t="s">
        <v>31</v>
      </c>
    </row>
    <row r="313" spans="1:16" ht="31.2">
      <c r="A313" s="49"/>
      <c r="B313" s="52"/>
      <c r="C313" s="14" t="s">
        <v>24</v>
      </c>
      <c r="D313" s="20">
        <f>'[3]11нед'!S137</f>
        <v>0</v>
      </c>
      <c r="E313" s="23">
        <f>'[3]11нед'!T137</f>
        <v>0</v>
      </c>
      <c r="F313" s="21">
        <f>'[3]11нед'!W137</f>
        <v>0</v>
      </c>
      <c r="G313" s="22">
        <f>'[3]11нед'!X137</f>
        <v>0</v>
      </c>
      <c r="H313" s="41"/>
      <c r="I313" s="54"/>
      <c r="J313" s="57"/>
      <c r="K313" s="14" t="s">
        <v>24</v>
      </c>
      <c r="L313" s="20" t="str">
        <f>'[3]12нед'!S137</f>
        <v>пр</v>
      </c>
      <c r="M313" s="23" t="str">
        <f>'[3]12нед'!T137</f>
        <v>Машинное обучение и анализ данных</v>
      </c>
      <c r="N313" s="21" t="str">
        <f>'[3]12нед'!W137</f>
        <v>Гришин И.Ю.</v>
      </c>
      <c r="O313" s="22" t="str">
        <f>'[3]12нед'!X137</f>
        <v>профессор, д-р наук</v>
      </c>
      <c r="P313" s="46" t="s">
        <v>31</v>
      </c>
    </row>
    <row r="314" spans="1:16" ht="31.2">
      <c r="A314" s="49"/>
      <c r="B314" s="52"/>
      <c r="C314" s="14" t="s">
        <v>25</v>
      </c>
      <c r="D314" s="20">
        <f>'[3]11нед'!S138</f>
        <v>0</v>
      </c>
      <c r="E314" s="23">
        <f>'[3]11нед'!T138</f>
        <v>0</v>
      </c>
      <c r="F314" s="21">
        <f>'[3]11нед'!W138</f>
        <v>0</v>
      </c>
      <c r="G314" s="22">
        <f>'[3]11нед'!X138</f>
        <v>0</v>
      </c>
      <c r="H314" s="41"/>
      <c r="I314" s="54"/>
      <c r="J314" s="57"/>
      <c r="K314" s="14" t="s">
        <v>25</v>
      </c>
      <c r="L314" s="20" t="str">
        <f>'[3]12нед'!S138</f>
        <v>пр</v>
      </c>
      <c r="M314" s="23" t="str">
        <f>'[3]12нед'!T138</f>
        <v>Управление ИТ-проектами</v>
      </c>
      <c r="N314" s="21" t="str">
        <f>'[3]12нед'!W138</f>
        <v>Линник И.И.</v>
      </c>
      <c r="O314" s="22" t="str">
        <f>'[3]12нед'!X138</f>
        <v>доцент, канд. наук</v>
      </c>
      <c r="P314" s="46" t="s">
        <v>31</v>
      </c>
    </row>
    <row r="315" spans="1:16" ht="31.2">
      <c r="A315" s="49"/>
      <c r="B315" s="52"/>
      <c r="C315" s="14" t="s">
        <v>26</v>
      </c>
      <c r="D315" s="20">
        <f>'[3]11нед'!S139</f>
        <v>0</v>
      </c>
      <c r="E315" s="23">
        <f>'[3]11нед'!T139</f>
        <v>0</v>
      </c>
      <c r="F315" s="21">
        <f>'[3]11нед'!W139</f>
        <v>0</v>
      </c>
      <c r="G315" s="22">
        <f>'[3]11нед'!X139</f>
        <v>0</v>
      </c>
      <c r="H315" s="41"/>
      <c r="I315" s="54"/>
      <c r="J315" s="57"/>
      <c r="K315" s="14" t="s">
        <v>26</v>
      </c>
      <c r="L315" s="20">
        <f>'[3]12нед'!S139</f>
        <v>0</v>
      </c>
      <c r="M315" s="23">
        <f>'[3]12нед'!T139</f>
        <v>0</v>
      </c>
      <c r="N315" s="21">
        <f>'[3]12нед'!W139</f>
        <v>0</v>
      </c>
      <c r="O315" s="22">
        <f>'[3]12нед'!X139</f>
        <v>0</v>
      </c>
      <c r="P315" s="41"/>
    </row>
    <row r="316" spans="1:16" ht="31.2">
      <c r="A316" s="49"/>
      <c r="B316" s="52"/>
      <c r="C316" s="14" t="s">
        <v>27</v>
      </c>
      <c r="D316" s="20">
        <f>'[3]11нед'!S140</f>
        <v>0</v>
      </c>
      <c r="E316" s="23">
        <f>'[3]11нед'!T140</f>
        <v>0</v>
      </c>
      <c r="F316" s="21">
        <f>'[3]11нед'!W140</f>
        <v>0</v>
      </c>
      <c r="G316" s="22">
        <f>'[3]11нед'!X140</f>
        <v>0</v>
      </c>
      <c r="H316" s="41"/>
      <c r="I316" s="54"/>
      <c r="J316" s="57"/>
      <c r="K316" s="14" t="s">
        <v>27</v>
      </c>
      <c r="L316" s="20">
        <f>'[3]12нед'!S140</f>
        <v>0</v>
      </c>
      <c r="M316" s="23">
        <f>'[3]12нед'!T140</f>
        <v>0</v>
      </c>
      <c r="N316" s="21">
        <f>'[3]12нед'!W140</f>
        <v>0</v>
      </c>
      <c r="O316" s="22">
        <f>'[3]12нед'!X140</f>
        <v>0</v>
      </c>
      <c r="P316" s="41"/>
    </row>
    <row r="317" spans="1:16" ht="31.2">
      <c r="A317" s="49"/>
      <c r="B317" s="52"/>
      <c r="C317" s="14" t="s">
        <v>28</v>
      </c>
      <c r="D317" s="20">
        <f>'[3]11нед'!S141</f>
        <v>0</v>
      </c>
      <c r="E317" s="23">
        <f>'[3]11нед'!T141</f>
        <v>0</v>
      </c>
      <c r="F317" s="21">
        <f>'[3]11нед'!W141</f>
        <v>0</v>
      </c>
      <c r="G317" s="22">
        <f>'[3]11нед'!X141</f>
        <v>0</v>
      </c>
      <c r="H317" s="41"/>
      <c r="I317" s="54"/>
      <c r="J317" s="57"/>
      <c r="K317" s="14" t="s">
        <v>28</v>
      </c>
      <c r="L317" s="20">
        <f>'[3]12нед'!S141</f>
        <v>0</v>
      </c>
      <c r="M317" s="23">
        <f>'[3]12нед'!T141</f>
        <v>0</v>
      </c>
      <c r="N317" s="21">
        <f>'[3]12нед'!W141</f>
        <v>0</v>
      </c>
      <c r="O317" s="22">
        <f>'[3]12нед'!X141</f>
        <v>0</v>
      </c>
      <c r="P317" s="41"/>
    </row>
    <row r="318" spans="1:16" ht="31.8" thickBot="1">
      <c r="A318" s="49"/>
      <c r="B318" s="52"/>
      <c r="C318" s="14" t="s">
        <v>29</v>
      </c>
      <c r="D318" s="20">
        <f>'[3]11нед'!S142</f>
        <v>0</v>
      </c>
      <c r="E318" s="23">
        <f>'[3]11нед'!T142</f>
        <v>0</v>
      </c>
      <c r="F318" s="21">
        <f>'[3]11нед'!W142</f>
        <v>0</v>
      </c>
      <c r="G318" s="22">
        <f>'[3]11нед'!X142</f>
        <v>0</v>
      </c>
      <c r="H318" s="41"/>
      <c r="I318" s="54"/>
      <c r="J318" s="57"/>
      <c r="K318" s="14" t="s">
        <v>29</v>
      </c>
      <c r="L318" s="20">
        <f>'[3]12нед'!S142</f>
        <v>0</v>
      </c>
      <c r="M318" s="23">
        <f>'[3]12нед'!T142</f>
        <v>0</v>
      </c>
      <c r="N318" s="21">
        <f>'[3]12нед'!W142</f>
        <v>0</v>
      </c>
      <c r="O318" s="22">
        <f>'[3]12нед'!X142</f>
        <v>0</v>
      </c>
      <c r="P318" s="41"/>
    </row>
    <row r="319" spans="1:16" ht="18.600000000000001" hidden="1" customHeight="1" thickBot="1">
      <c r="A319" s="50"/>
      <c r="B319" s="53"/>
      <c r="C319" s="15"/>
      <c r="D319" s="24">
        <f>'[3]11нед'!S143</f>
        <v>0</v>
      </c>
      <c r="E319" s="25">
        <f>'[3]11нед'!T143</f>
        <v>0</v>
      </c>
      <c r="F319" s="26">
        <f>'[3]11нед'!W143</f>
        <v>0</v>
      </c>
      <c r="G319" s="27">
        <f>'[3]11нед'!X143</f>
        <v>0</v>
      </c>
      <c r="H319" s="42"/>
      <c r="I319" s="55"/>
      <c r="J319" s="58"/>
      <c r="K319" s="15"/>
      <c r="L319" s="24">
        <f>'[3]12нед'!S143</f>
        <v>0</v>
      </c>
      <c r="M319" s="25">
        <f>'[3]12нед'!T143</f>
        <v>0</v>
      </c>
      <c r="N319" s="26">
        <f>'[3]12нед'!W143</f>
        <v>0</v>
      </c>
      <c r="O319" s="27">
        <f>'[3]12нед'!X143</f>
        <v>0</v>
      </c>
      <c r="P319" s="42"/>
    </row>
    <row r="320" spans="1:16" ht="32.25" customHeight="1" thickTop="1">
      <c r="A320" s="48">
        <v>45972</v>
      </c>
      <c r="B320" s="51" t="s">
        <v>1</v>
      </c>
      <c r="C320" s="28" t="s">
        <v>23</v>
      </c>
      <c r="D320" s="16">
        <f>'[3]11нед'!S144</f>
        <v>0</v>
      </c>
      <c r="E320" s="19">
        <f>'[3]11нед'!T144</f>
        <v>0</v>
      </c>
      <c r="F320" s="17">
        <f>'[3]11нед'!W144</f>
        <v>0</v>
      </c>
      <c r="G320" s="18">
        <f>'[3]11нед'!X144</f>
        <v>0</v>
      </c>
      <c r="H320" s="43"/>
      <c r="I320" s="48">
        <v>45979</v>
      </c>
      <c r="J320" s="56" t="s">
        <v>1</v>
      </c>
      <c r="K320" s="28" t="s">
        <v>23</v>
      </c>
      <c r="L320" s="16" t="str">
        <f>'[3]12нед'!S144</f>
        <v>пр</v>
      </c>
      <c r="M320" s="19" t="str">
        <f>'[3]12нед'!T144</f>
        <v xml:space="preserve"> Основы програмной инженерии</v>
      </c>
      <c r="N320" s="17" t="str">
        <f>'[3]12нед'!W144</f>
        <v>Алешов В.В.</v>
      </c>
      <c r="O320" s="18" t="str">
        <f>'[3]12нед'!X144</f>
        <v>преподаватель</v>
      </c>
      <c r="P320" s="47" t="s">
        <v>31</v>
      </c>
    </row>
    <row r="321" spans="1:16" ht="31.2">
      <c r="A321" s="49"/>
      <c r="B321" s="52"/>
      <c r="C321" s="14" t="s">
        <v>24</v>
      </c>
      <c r="D321" s="20">
        <f>'[3]11нед'!S145</f>
        <v>0</v>
      </c>
      <c r="E321" s="23">
        <f>'[3]11нед'!T145</f>
        <v>0</v>
      </c>
      <c r="F321" s="21">
        <f>'[3]11нед'!W145</f>
        <v>0</v>
      </c>
      <c r="G321" s="22">
        <f>'[3]11нед'!X145</f>
        <v>0</v>
      </c>
      <c r="H321" s="41"/>
      <c r="I321" s="54"/>
      <c r="J321" s="57"/>
      <c r="K321" s="14" t="s">
        <v>24</v>
      </c>
      <c r="L321" s="20" t="str">
        <f>'[3]12нед'!S145</f>
        <v>пр</v>
      </c>
      <c r="M321" s="23" t="str">
        <f>'[3]12нед'!T145</f>
        <v xml:space="preserve"> Основы програмной инженерии</v>
      </c>
      <c r="N321" s="21" t="str">
        <f>'[3]12нед'!W145</f>
        <v>Алешов В.В.</v>
      </c>
      <c r="O321" s="22" t="str">
        <f>'[3]12нед'!X145</f>
        <v>преподаватель</v>
      </c>
      <c r="P321" s="46" t="s">
        <v>31</v>
      </c>
    </row>
    <row r="322" spans="1:16" ht="31.2">
      <c r="A322" s="49"/>
      <c r="B322" s="52"/>
      <c r="C322" s="14" t="s">
        <v>25</v>
      </c>
      <c r="D322" s="20" t="str">
        <f>'[3]11нед'!S146</f>
        <v>л</v>
      </c>
      <c r="E322" s="23" t="str">
        <f>'[3]11нед'!T146</f>
        <v>Теория систем и системный анализ</v>
      </c>
      <c r="F322" s="21" t="str">
        <f>'[3]11нед'!W146</f>
        <v>Гришин И.Ю.</v>
      </c>
      <c r="G322" s="22" t="str">
        <f>'[3]11нед'!X146</f>
        <v>профессор, д-р наук</v>
      </c>
      <c r="H322" s="36" t="s">
        <v>31</v>
      </c>
      <c r="I322" s="54"/>
      <c r="J322" s="57"/>
      <c r="K322" s="14" t="s">
        <v>25</v>
      </c>
      <c r="L322" s="20">
        <f>'[3]12нед'!S146</f>
        <v>0</v>
      </c>
      <c r="M322" s="23">
        <f>'[3]12нед'!T146</f>
        <v>0</v>
      </c>
      <c r="N322" s="21">
        <f>'[3]12нед'!W146</f>
        <v>0</v>
      </c>
      <c r="O322" s="22">
        <f>'[3]12нед'!X146</f>
        <v>0</v>
      </c>
      <c r="P322" s="41"/>
    </row>
    <row r="323" spans="1:16" ht="36">
      <c r="A323" s="49"/>
      <c r="B323" s="52"/>
      <c r="C323" s="14" t="s">
        <v>26</v>
      </c>
      <c r="D323" s="20" t="str">
        <f>'[3]11нед'!S147</f>
        <v>л</v>
      </c>
      <c r="E323" s="23" t="str">
        <f>'[3]11нед'!T147</f>
        <v>Применение методов искусственного интеллекта в анализе данных и управлении</v>
      </c>
      <c r="F323" s="21" t="str">
        <f>'[3]11нед'!W147</f>
        <v>Гришин И.Ю.</v>
      </c>
      <c r="G323" s="22" t="str">
        <f>'[3]11нед'!X147</f>
        <v>профессор, д-р наук</v>
      </c>
      <c r="H323" s="36" t="s">
        <v>31</v>
      </c>
      <c r="I323" s="54"/>
      <c r="J323" s="57"/>
      <c r="K323" s="14" t="s">
        <v>26</v>
      </c>
      <c r="L323" s="20">
        <f>'[3]12нед'!S147</f>
        <v>0</v>
      </c>
      <c r="M323" s="23">
        <f>'[3]12нед'!T147</f>
        <v>0</v>
      </c>
      <c r="N323" s="21">
        <f>'[3]12нед'!W147</f>
        <v>0</v>
      </c>
      <c r="O323" s="22">
        <f>'[3]12нед'!X147</f>
        <v>0</v>
      </c>
      <c r="P323" s="41"/>
    </row>
    <row r="324" spans="1:16" ht="31.2">
      <c r="A324" s="49"/>
      <c r="B324" s="52"/>
      <c r="C324" s="14" t="s">
        <v>27</v>
      </c>
      <c r="D324" s="20">
        <f>'[3]11нед'!S148</f>
        <v>0</v>
      </c>
      <c r="E324" s="23">
        <f>'[3]11нед'!T148</f>
        <v>0</v>
      </c>
      <c r="F324" s="21">
        <f>'[3]11нед'!W148</f>
        <v>0</v>
      </c>
      <c r="G324" s="22">
        <f>'[3]11нед'!X148</f>
        <v>0</v>
      </c>
      <c r="H324" s="41"/>
      <c r="I324" s="54"/>
      <c r="J324" s="57"/>
      <c r="K324" s="14" t="s">
        <v>27</v>
      </c>
      <c r="L324" s="20">
        <f>'[3]12нед'!S148</f>
        <v>0</v>
      </c>
      <c r="M324" s="23">
        <f>'[3]12нед'!T148</f>
        <v>0</v>
      </c>
      <c r="N324" s="21">
        <f>'[3]12нед'!W148</f>
        <v>0</v>
      </c>
      <c r="O324" s="22">
        <f>'[3]12нед'!X148</f>
        <v>0</v>
      </c>
      <c r="P324" s="41"/>
    </row>
    <row r="325" spans="1:16" ht="31.2">
      <c r="A325" s="49"/>
      <c r="B325" s="52"/>
      <c r="C325" s="14" t="s">
        <v>28</v>
      </c>
      <c r="D325" s="20">
        <f>'[3]11нед'!S149</f>
        <v>0</v>
      </c>
      <c r="E325" s="23">
        <f>'[3]11нед'!T149</f>
        <v>0</v>
      </c>
      <c r="F325" s="21">
        <f>'[3]11нед'!W149</f>
        <v>0</v>
      </c>
      <c r="G325" s="22">
        <f>'[3]11нед'!X149</f>
        <v>0</v>
      </c>
      <c r="H325" s="41"/>
      <c r="I325" s="54"/>
      <c r="J325" s="57"/>
      <c r="K325" s="14" t="s">
        <v>28</v>
      </c>
      <c r="L325" s="20">
        <f>'[3]12нед'!S149</f>
        <v>0</v>
      </c>
      <c r="M325" s="23">
        <f>'[3]12нед'!T149</f>
        <v>0</v>
      </c>
      <c r="N325" s="21">
        <f>'[3]12нед'!W149</f>
        <v>0</v>
      </c>
      <c r="O325" s="22">
        <f>'[3]12нед'!X149</f>
        <v>0</v>
      </c>
      <c r="P325" s="41"/>
    </row>
    <row r="326" spans="1:16" ht="31.8" thickBot="1">
      <c r="A326" s="49"/>
      <c r="B326" s="52"/>
      <c r="C326" s="14" t="s">
        <v>29</v>
      </c>
      <c r="D326" s="20">
        <f>'[3]11нед'!S150</f>
        <v>0</v>
      </c>
      <c r="E326" s="23">
        <f>'[3]11нед'!T150</f>
        <v>0</v>
      </c>
      <c r="F326" s="21">
        <f>'[3]11нед'!W150</f>
        <v>0</v>
      </c>
      <c r="G326" s="22">
        <f>'[3]11нед'!X150</f>
        <v>0</v>
      </c>
      <c r="H326" s="41"/>
      <c r="I326" s="54"/>
      <c r="J326" s="57"/>
      <c r="K326" s="14" t="s">
        <v>29</v>
      </c>
      <c r="L326" s="20">
        <f>'[3]12нед'!S150</f>
        <v>0</v>
      </c>
      <c r="M326" s="23">
        <f>'[3]12нед'!T150</f>
        <v>0</v>
      </c>
      <c r="N326" s="21">
        <f>'[3]12нед'!W150</f>
        <v>0</v>
      </c>
      <c r="O326" s="22">
        <f>'[3]12нед'!X150</f>
        <v>0</v>
      </c>
      <c r="P326" s="41"/>
    </row>
    <row r="327" spans="1:16" ht="18.600000000000001" hidden="1" customHeight="1" thickBot="1">
      <c r="A327" s="50"/>
      <c r="B327" s="53"/>
      <c r="C327" s="15"/>
      <c r="D327" s="24">
        <f>'[3]11нед'!S151</f>
        <v>0</v>
      </c>
      <c r="E327" s="25">
        <f>'[3]11нед'!T151</f>
        <v>0</v>
      </c>
      <c r="F327" s="26">
        <f>'[3]11нед'!W151</f>
        <v>0</v>
      </c>
      <c r="G327" s="27">
        <f>'[3]11нед'!X151</f>
        <v>0</v>
      </c>
      <c r="H327" s="42"/>
      <c r="I327" s="55"/>
      <c r="J327" s="58"/>
      <c r="K327" s="15"/>
      <c r="L327" s="24">
        <f>'[3]12нед'!S151</f>
        <v>0</v>
      </c>
      <c r="M327" s="25">
        <f>'[3]12нед'!T151</f>
        <v>0</v>
      </c>
      <c r="N327" s="26">
        <f>'[3]12нед'!W151</f>
        <v>0</v>
      </c>
      <c r="O327" s="27">
        <f>'[3]12нед'!X151</f>
        <v>0</v>
      </c>
      <c r="P327" s="42"/>
    </row>
    <row r="328" spans="1:16" ht="48" customHeight="1" thickTop="1">
      <c r="A328" s="59">
        <v>45973</v>
      </c>
      <c r="B328" s="62" t="s">
        <v>2</v>
      </c>
      <c r="C328" s="28" t="s">
        <v>23</v>
      </c>
      <c r="D328" s="16">
        <f>'[3]11нед'!S152</f>
        <v>0</v>
      </c>
      <c r="E328" s="19">
        <f>'[3]11нед'!T152</f>
        <v>0</v>
      </c>
      <c r="F328" s="17">
        <f>'[3]11нед'!W152</f>
        <v>0</v>
      </c>
      <c r="G328" s="18">
        <f>'[3]11нед'!X152</f>
        <v>0</v>
      </c>
      <c r="H328" s="43"/>
      <c r="I328" s="59">
        <v>45980</v>
      </c>
      <c r="J328" s="65" t="s">
        <v>2</v>
      </c>
      <c r="K328" s="28" t="s">
        <v>23</v>
      </c>
      <c r="L328" s="16">
        <f>'[3]12нед'!S152</f>
        <v>0</v>
      </c>
      <c r="M328" s="19">
        <f>'[3]12нед'!T152</f>
        <v>0</v>
      </c>
      <c r="N328" s="17">
        <f>'[3]12нед'!W152</f>
        <v>0</v>
      </c>
      <c r="O328" s="18">
        <f>'[3]12нед'!X152</f>
        <v>0</v>
      </c>
      <c r="P328" s="43"/>
    </row>
    <row r="329" spans="1:16" ht="31.2">
      <c r="A329" s="60"/>
      <c r="B329" s="63"/>
      <c r="C329" s="14" t="s">
        <v>24</v>
      </c>
      <c r="D329" s="20">
        <f>'[3]11нед'!S153</f>
        <v>0</v>
      </c>
      <c r="E329" s="23">
        <f>'[3]11нед'!T153</f>
        <v>0</v>
      </c>
      <c r="F329" s="21">
        <f>'[3]11нед'!W153</f>
        <v>0</v>
      </c>
      <c r="G329" s="22">
        <f>'[3]11нед'!X153</f>
        <v>0</v>
      </c>
      <c r="H329" s="41"/>
      <c r="I329" s="60"/>
      <c r="J329" s="66"/>
      <c r="K329" s="14" t="s">
        <v>24</v>
      </c>
      <c r="L329" s="20" t="str">
        <f>'[3]12нед'!S153</f>
        <v>пр</v>
      </c>
      <c r="M329" s="23" t="str">
        <f>'[3]12нед'!T153</f>
        <v>Управление ИТ-проектами</v>
      </c>
      <c r="N329" s="21" t="str">
        <f>'[3]12нед'!W153</f>
        <v>Линник И.И.</v>
      </c>
      <c r="O329" s="22" t="str">
        <f>'[3]12нед'!X153</f>
        <v>доцент, канд. наук</v>
      </c>
      <c r="P329" s="46" t="s">
        <v>31</v>
      </c>
    </row>
    <row r="330" spans="1:16" ht="36">
      <c r="A330" s="60"/>
      <c r="B330" s="63"/>
      <c r="C330" s="14" t="s">
        <v>25</v>
      </c>
      <c r="D330" s="20" t="str">
        <f>'[3]11нед'!S154</f>
        <v>л</v>
      </c>
      <c r="E330" s="23" t="str">
        <f>'[3]11нед'!T154</f>
        <v>Теоретико-множественный и информационный анализ</v>
      </c>
      <c r="F330" s="21" t="str">
        <f>'[3]11нед'!W154</f>
        <v>Шерман М.И.</v>
      </c>
      <c r="G330" s="22" t="str">
        <f>'[3]11нед'!X154</f>
        <v>профессор, д-р наук</v>
      </c>
      <c r="H330" s="36" t="s">
        <v>31</v>
      </c>
      <c r="I330" s="60"/>
      <c r="J330" s="66"/>
      <c r="K330" s="14" t="s">
        <v>25</v>
      </c>
      <c r="L330" s="20" t="str">
        <f>'[3]12нед'!S154</f>
        <v>пр</v>
      </c>
      <c r="M330" s="23" t="str">
        <f>'[3]12нед'!T154</f>
        <v>Теоретико-множественный и информационный анализ</v>
      </c>
      <c r="N330" s="21" t="str">
        <f>'[3]12нед'!W154</f>
        <v>Шерман М.И.</v>
      </c>
      <c r="O330" s="22" t="str">
        <f>'[3]12нед'!X154</f>
        <v>профессор, д-р наук</v>
      </c>
      <c r="P330" s="46" t="s">
        <v>31</v>
      </c>
    </row>
    <row r="331" spans="1:16" ht="36">
      <c r="A331" s="60"/>
      <c r="B331" s="63"/>
      <c r="C331" s="14" t="s">
        <v>26</v>
      </c>
      <c r="D331" s="20" t="str">
        <f>'[3]11нед'!S155</f>
        <v>л</v>
      </c>
      <c r="E331" s="23" t="str">
        <f>'[3]11нед'!T155</f>
        <v>Управление ИТ-проектами</v>
      </c>
      <c r="F331" s="21" t="str">
        <f>'[3]11нед'!W155</f>
        <v>Линник И.И.</v>
      </c>
      <c r="G331" s="22" t="str">
        <f>'[3]11нед'!X155</f>
        <v>доцент, канд. наук</v>
      </c>
      <c r="H331" s="36" t="s">
        <v>31</v>
      </c>
      <c r="I331" s="60"/>
      <c r="J331" s="66"/>
      <c r="K331" s="14" t="s">
        <v>26</v>
      </c>
      <c r="L331" s="20" t="str">
        <f>'[3]12нед'!S155</f>
        <v>пр</v>
      </c>
      <c r="M331" s="23" t="str">
        <f>'[3]12нед'!T155</f>
        <v>Теоретико-множественный и информационный анализ</v>
      </c>
      <c r="N331" s="21" t="str">
        <f>'[3]12нед'!W155</f>
        <v>Шерман М.И.</v>
      </c>
      <c r="O331" s="22" t="str">
        <f>'[3]12нед'!X155</f>
        <v>профессор, д-р наук</v>
      </c>
      <c r="P331" s="46" t="s">
        <v>31</v>
      </c>
    </row>
    <row r="332" spans="1:16" ht="31.2">
      <c r="A332" s="60"/>
      <c r="B332" s="63"/>
      <c r="C332" s="14" t="s">
        <v>27</v>
      </c>
      <c r="D332" s="20">
        <f>'[3]11нед'!S156</f>
        <v>0</v>
      </c>
      <c r="E332" s="23">
        <f>'[3]11нед'!T156</f>
        <v>0</v>
      </c>
      <c r="F332" s="21">
        <f>'[3]11нед'!W156</f>
        <v>0</v>
      </c>
      <c r="G332" s="22">
        <f>'[3]11нед'!X156</f>
        <v>0</v>
      </c>
      <c r="H332" s="41"/>
      <c r="I332" s="60"/>
      <c r="J332" s="66"/>
      <c r="K332" s="14" t="s">
        <v>27</v>
      </c>
      <c r="L332" s="20">
        <f>'[3]12нед'!S156</f>
        <v>0</v>
      </c>
      <c r="M332" s="23">
        <f>'[3]12нед'!T156</f>
        <v>0</v>
      </c>
      <c r="N332" s="21">
        <f>'[3]12нед'!W156</f>
        <v>0</v>
      </c>
      <c r="O332" s="22">
        <f>'[3]12нед'!X156</f>
        <v>0</v>
      </c>
      <c r="P332" s="41"/>
    </row>
    <row r="333" spans="1:16" ht="31.2">
      <c r="A333" s="60"/>
      <c r="B333" s="63"/>
      <c r="C333" s="14" t="s">
        <v>28</v>
      </c>
      <c r="D333" s="20">
        <f>'[3]11нед'!S157</f>
        <v>0</v>
      </c>
      <c r="E333" s="23">
        <f>'[3]11нед'!T157</f>
        <v>0</v>
      </c>
      <c r="F333" s="21">
        <f>'[3]11нед'!W157</f>
        <v>0</v>
      </c>
      <c r="G333" s="22">
        <f>'[3]11нед'!X157</f>
        <v>0</v>
      </c>
      <c r="H333" s="41"/>
      <c r="I333" s="60"/>
      <c r="J333" s="66"/>
      <c r="K333" s="14" t="s">
        <v>28</v>
      </c>
      <c r="L333" s="20">
        <f>'[3]12нед'!S157</f>
        <v>0</v>
      </c>
      <c r="M333" s="23">
        <f>'[3]12нед'!T157</f>
        <v>0</v>
      </c>
      <c r="N333" s="21">
        <f>'[3]12нед'!W157</f>
        <v>0</v>
      </c>
      <c r="O333" s="22">
        <f>'[3]12нед'!X157</f>
        <v>0</v>
      </c>
      <c r="P333" s="41"/>
    </row>
    <row r="334" spans="1:16" ht="31.8" thickBot="1">
      <c r="A334" s="60"/>
      <c r="B334" s="63"/>
      <c r="C334" s="14" t="s">
        <v>29</v>
      </c>
      <c r="D334" s="20">
        <f>'[3]11нед'!S158</f>
        <v>0</v>
      </c>
      <c r="E334" s="23">
        <f>'[3]11нед'!T158</f>
        <v>0</v>
      </c>
      <c r="F334" s="21">
        <f>'[3]11нед'!W158</f>
        <v>0</v>
      </c>
      <c r="G334" s="22">
        <f>'[3]11нед'!X158</f>
        <v>0</v>
      </c>
      <c r="H334" s="41"/>
      <c r="I334" s="60"/>
      <c r="J334" s="66"/>
      <c r="K334" s="14" t="s">
        <v>29</v>
      </c>
      <c r="L334" s="20">
        <f>'[3]12нед'!S158</f>
        <v>0</v>
      </c>
      <c r="M334" s="23">
        <f>'[3]12нед'!T158</f>
        <v>0</v>
      </c>
      <c r="N334" s="21">
        <f>'[3]12нед'!W158</f>
        <v>0</v>
      </c>
      <c r="O334" s="22">
        <f>'[3]12нед'!X158</f>
        <v>0</v>
      </c>
      <c r="P334" s="41"/>
    </row>
    <row r="335" spans="1:16" ht="18.600000000000001" hidden="1" customHeight="1" thickBot="1">
      <c r="A335" s="61"/>
      <c r="B335" s="64"/>
      <c r="C335" s="15"/>
      <c r="D335" s="24">
        <f>'[3]11нед'!S159</f>
        <v>0</v>
      </c>
      <c r="E335" s="25">
        <f>'[3]11нед'!T159</f>
        <v>0</v>
      </c>
      <c r="F335" s="26">
        <f>'[3]11нед'!W159</f>
        <v>0</v>
      </c>
      <c r="G335" s="27">
        <f>'[3]11нед'!X159</f>
        <v>0</v>
      </c>
      <c r="H335" s="42"/>
      <c r="I335" s="61"/>
      <c r="J335" s="67"/>
      <c r="K335" s="15"/>
      <c r="L335" s="24">
        <f>'[3]12нед'!S159</f>
        <v>0</v>
      </c>
      <c r="M335" s="25">
        <f>'[3]12нед'!T159</f>
        <v>0</v>
      </c>
      <c r="N335" s="26">
        <f>'[3]12нед'!W159</f>
        <v>0</v>
      </c>
      <c r="O335" s="27">
        <f>'[3]12нед'!X159</f>
        <v>0</v>
      </c>
      <c r="P335" s="42"/>
    </row>
    <row r="336" spans="1:16" ht="48" customHeight="1" thickTop="1">
      <c r="A336" s="48">
        <v>45974</v>
      </c>
      <c r="B336" s="51" t="s">
        <v>3</v>
      </c>
      <c r="C336" s="28" t="s">
        <v>23</v>
      </c>
      <c r="D336" s="16">
        <f>'[3]11нед'!S160</f>
        <v>0</v>
      </c>
      <c r="E336" s="19">
        <f>'[3]11нед'!T160</f>
        <v>0</v>
      </c>
      <c r="F336" s="17">
        <f>'[3]11нед'!W160</f>
        <v>0</v>
      </c>
      <c r="G336" s="18">
        <f>'[3]11нед'!X160</f>
        <v>0</v>
      </c>
      <c r="H336" s="43"/>
      <c r="I336" s="48">
        <v>45981</v>
      </c>
      <c r="J336" s="56" t="s">
        <v>3</v>
      </c>
      <c r="K336" s="28" t="s">
        <v>23</v>
      </c>
      <c r="L336" s="16">
        <f>'[3]12нед'!S160</f>
        <v>0</v>
      </c>
      <c r="M336" s="19">
        <f>'[3]12нед'!T160</f>
        <v>0</v>
      </c>
      <c r="N336" s="17">
        <f>'[3]12нед'!W160</f>
        <v>0</v>
      </c>
      <c r="O336" s="18">
        <f>'[3]12нед'!X160</f>
        <v>0</v>
      </c>
      <c r="P336" s="43"/>
    </row>
    <row r="337" spans="1:16" ht="31.2">
      <c r="A337" s="49"/>
      <c r="B337" s="52"/>
      <c r="C337" s="14" t="s">
        <v>24</v>
      </c>
      <c r="D337" s="20" t="str">
        <f>'[3]11нед'!S161</f>
        <v>пр</v>
      </c>
      <c r="E337" s="23" t="str">
        <f>'[3]11нед'!T161</f>
        <v>Иностранный язык для специальных целей</v>
      </c>
      <c r="F337" s="21" t="str">
        <f>'[3]11нед'!W161</f>
        <v>Ермоленко И.И.</v>
      </c>
      <c r="G337" s="22" t="str">
        <f>'[3]11нед'!X161</f>
        <v>доцент, канд. наук</v>
      </c>
      <c r="H337" s="36" t="s">
        <v>30</v>
      </c>
      <c r="I337" s="54"/>
      <c r="J337" s="57"/>
      <c r="K337" s="14" t="s">
        <v>24</v>
      </c>
      <c r="L337" s="20" t="str">
        <f>'[3]12нед'!S161</f>
        <v>пр</v>
      </c>
      <c r="M337" s="23" t="str">
        <f>'[3]12нед'!T161</f>
        <v>Иностранный язык для специальных целей</v>
      </c>
      <c r="N337" s="21" t="str">
        <f>'[3]12нед'!W161</f>
        <v>Ермоленко И.И.</v>
      </c>
      <c r="O337" s="22" t="str">
        <f>'[3]12нед'!X161</f>
        <v>доцент, канд. наук</v>
      </c>
      <c r="P337" s="36" t="s">
        <v>30</v>
      </c>
    </row>
    <row r="338" spans="1:16" ht="31.2">
      <c r="A338" s="49"/>
      <c r="B338" s="52"/>
      <c r="C338" s="14" t="s">
        <v>25</v>
      </c>
      <c r="D338" s="20" t="str">
        <f>'[3]11нед'!S162</f>
        <v>л</v>
      </c>
      <c r="E338" s="23" t="str">
        <f>'[3]11нед'!T162</f>
        <v>Машинное обучение и анализ данных</v>
      </c>
      <c r="F338" s="21" t="str">
        <f>'[3]11нед'!W162</f>
        <v>Гришин И.Ю.</v>
      </c>
      <c r="G338" s="22" t="str">
        <f>'[3]11нед'!X162</f>
        <v>профессор, д-р наук</v>
      </c>
      <c r="H338" s="36" t="s">
        <v>31</v>
      </c>
      <c r="I338" s="54"/>
      <c r="J338" s="57"/>
      <c r="K338" s="14" t="s">
        <v>25</v>
      </c>
      <c r="L338" s="20" t="str">
        <f>'[3]12нед'!S162</f>
        <v>пр</v>
      </c>
      <c r="M338" s="23" t="str">
        <f>'[3]12нед'!T162</f>
        <v>Теория систем и системный анализ</v>
      </c>
      <c r="N338" s="21" t="str">
        <f>'[3]12нед'!W162</f>
        <v>Гришин И.Ю.</v>
      </c>
      <c r="O338" s="22" t="str">
        <f>'[3]12нед'!X162</f>
        <v>профессор, д-р наук</v>
      </c>
      <c r="P338" s="46" t="s">
        <v>31</v>
      </c>
    </row>
    <row r="339" spans="1:16" ht="31.2">
      <c r="A339" s="49"/>
      <c r="B339" s="52"/>
      <c r="C339" s="14" t="s">
        <v>26</v>
      </c>
      <c r="D339" s="20" t="str">
        <f>'[3]11нед'!S163</f>
        <v>л</v>
      </c>
      <c r="E339" s="23" t="str">
        <f>'[3]11нед'!T163</f>
        <v>Основы програмной инженерии</v>
      </c>
      <c r="F339" s="21" t="str">
        <f>'[3]11нед'!W163</f>
        <v>Круглый Д.Г.</v>
      </c>
      <c r="G339" s="22" t="str">
        <f>'[3]11нед'!X163</f>
        <v>профессор, д-р наук</v>
      </c>
      <c r="H339" s="36" t="s">
        <v>31</v>
      </c>
      <c r="I339" s="54"/>
      <c r="J339" s="57"/>
      <c r="K339" s="14" t="s">
        <v>26</v>
      </c>
      <c r="L339" s="20">
        <f>'[3]12нед'!S163</f>
        <v>0</v>
      </c>
      <c r="M339" s="23">
        <f>'[3]12нед'!T163</f>
        <v>0</v>
      </c>
      <c r="N339" s="21">
        <f>'[3]12нед'!W163</f>
        <v>0</v>
      </c>
      <c r="O339" s="22">
        <f>'[3]12нед'!X163</f>
        <v>0</v>
      </c>
      <c r="P339" s="41"/>
    </row>
    <row r="340" spans="1:16" ht="31.2">
      <c r="A340" s="49"/>
      <c r="B340" s="52"/>
      <c r="C340" s="14" t="s">
        <v>27</v>
      </c>
      <c r="D340" s="20">
        <f>'[3]11нед'!S164</f>
        <v>0</v>
      </c>
      <c r="E340" s="23">
        <f>'[3]11нед'!T164</f>
        <v>0</v>
      </c>
      <c r="F340" s="21">
        <f>'[3]11нед'!W164</f>
        <v>0</v>
      </c>
      <c r="G340" s="22">
        <f>'[3]11нед'!X164</f>
        <v>0</v>
      </c>
      <c r="H340" s="41"/>
      <c r="I340" s="54"/>
      <c r="J340" s="57"/>
      <c r="K340" s="14" t="s">
        <v>27</v>
      </c>
      <c r="L340" s="20">
        <f>'[3]12нед'!S164</f>
        <v>0</v>
      </c>
      <c r="M340" s="23">
        <f>'[3]12нед'!T164</f>
        <v>0</v>
      </c>
      <c r="N340" s="21">
        <f>'[3]12нед'!W164</f>
        <v>0</v>
      </c>
      <c r="O340" s="22">
        <f>'[3]12нед'!X164</f>
        <v>0</v>
      </c>
      <c r="P340" s="41"/>
    </row>
    <row r="341" spans="1:16" ht="31.2">
      <c r="A341" s="49"/>
      <c r="B341" s="52"/>
      <c r="C341" s="14" t="s">
        <v>28</v>
      </c>
      <c r="D341" s="20">
        <f>'[3]11нед'!S165</f>
        <v>0</v>
      </c>
      <c r="E341" s="23">
        <f>'[3]11нед'!T165</f>
        <v>0</v>
      </c>
      <c r="F341" s="21">
        <f>'[3]11нед'!W165</f>
        <v>0</v>
      </c>
      <c r="G341" s="22">
        <f>'[3]11нед'!X165</f>
        <v>0</v>
      </c>
      <c r="H341" s="41"/>
      <c r="I341" s="54"/>
      <c r="J341" s="57"/>
      <c r="K341" s="14" t="s">
        <v>28</v>
      </c>
      <c r="L341" s="20">
        <f>'[3]12нед'!S165</f>
        <v>0</v>
      </c>
      <c r="M341" s="23">
        <f>'[3]12нед'!T165</f>
        <v>0</v>
      </c>
      <c r="N341" s="21">
        <f>'[3]12нед'!W165</f>
        <v>0</v>
      </c>
      <c r="O341" s="22">
        <f>'[3]12нед'!X165</f>
        <v>0</v>
      </c>
      <c r="P341" s="41"/>
    </row>
    <row r="342" spans="1:16" ht="31.8" thickBot="1">
      <c r="A342" s="49"/>
      <c r="B342" s="52"/>
      <c r="C342" s="14" t="s">
        <v>29</v>
      </c>
      <c r="D342" s="20">
        <f>'[3]11нед'!S166</f>
        <v>0</v>
      </c>
      <c r="E342" s="23">
        <f>'[3]11нед'!T166</f>
        <v>0</v>
      </c>
      <c r="F342" s="21">
        <f>'[3]11нед'!W166</f>
        <v>0</v>
      </c>
      <c r="G342" s="22">
        <f>'[3]11нед'!X166</f>
        <v>0</v>
      </c>
      <c r="H342" s="41"/>
      <c r="I342" s="54"/>
      <c r="J342" s="57"/>
      <c r="K342" s="14" t="s">
        <v>29</v>
      </c>
      <c r="L342" s="20">
        <f>'[3]12нед'!S166</f>
        <v>0</v>
      </c>
      <c r="M342" s="23">
        <f>'[3]12нед'!T166</f>
        <v>0</v>
      </c>
      <c r="N342" s="21">
        <f>'[3]12нед'!W166</f>
        <v>0</v>
      </c>
      <c r="O342" s="22">
        <f>'[3]12нед'!X166</f>
        <v>0</v>
      </c>
      <c r="P342" s="41"/>
    </row>
    <row r="343" spans="1:16" ht="18.600000000000001" hidden="1" customHeight="1" thickBot="1">
      <c r="A343" s="50"/>
      <c r="B343" s="53"/>
      <c r="C343" s="15"/>
      <c r="D343" s="24">
        <f>'[3]11нед'!S167</f>
        <v>0</v>
      </c>
      <c r="E343" s="25">
        <f>'[3]11нед'!T167</f>
        <v>0</v>
      </c>
      <c r="F343" s="26">
        <f>'[3]11нед'!W167</f>
        <v>0</v>
      </c>
      <c r="G343" s="27">
        <f>'[3]11нед'!X167</f>
        <v>0</v>
      </c>
      <c r="H343" s="42"/>
      <c r="I343" s="55"/>
      <c r="J343" s="58"/>
      <c r="K343" s="15"/>
      <c r="L343" s="24">
        <f>'[3]12нед'!S167</f>
        <v>0</v>
      </c>
      <c r="M343" s="25">
        <f>'[3]12нед'!T167</f>
        <v>0</v>
      </c>
      <c r="N343" s="26">
        <f>'[3]12нед'!W167</f>
        <v>0</v>
      </c>
      <c r="O343" s="27">
        <f>'[3]12нед'!X167</f>
        <v>0</v>
      </c>
      <c r="P343" s="42"/>
    </row>
    <row r="344" spans="1:16" ht="48" customHeight="1" thickTop="1">
      <c r="A344" s="48">
        <v>45975</v>
      </c>
      <c r="B344" s="51" t="s">
        <v>4</v>
      </c>
      <c r="C344" s="28" t="s">
        <v>23</v>
      </c>
      <c r="D344" s="16">
        <f>'[3]11нед'!S168</f>
        <v>0</v>
      </c>
      <c r="E344" s="19">
        <f>'[3]11нед'!T168</f>
        <v>0</v>
      </c>
      <c r="F344" s="17">
        <f>'[3]11нед'!W168</f>
        <v>0</v>
      </c>
      <c r="G344" s="18">
        <f>'[3]11нед'!X168</f>
        <v>0</v>
      </c>
      <c r="H344" s="43"/>
      <c r="I344" s="48">
        <v>45982</v>
      </c>
      <c r="J344" s="56" t="s">
        <v>4</v>
      </c>
      <c r="K344" s="28" t="s">
        <v>23</v>
      </c>
      <c r="L344" s="16">
        <f>'[3]12нед'!S168</f>
        <v>0</v>
      </c>
      <c r="M344" s="19">
        <f>'[3]12нед'!T168</f>
        <v>0</v>
      </c>
      <c r="N344" s="17">
        <f>'[3]12нед'!W168</f>
        <v>0</v>
      </c>
      <c r="O344" s="18">
        <f>'[3]12нед'!X168</f>
        <v>0</v>
      </c>
      <c r="P344" s="43"/>
    </row>
    <row r="345" spans="1:16" ht="31.2">
      <c r="A345" s="49"/>
      <c r="B345" s="52"/>
      <c r="C345" s="14" t="s">
        <v>24</v>
      </c>
      <c r="D345" s="20" t="str">
        <f>'[3]11нед'!S169</f>
        <v>л</v>
      </c>
      <c r="E345" s="23" t="str">
        <f>'[3]11нед'!T169</f>
        <v xml:space="preserve">Философия научного познания </v>
      </c>
      <c r="F345" s="21" t="str">
        <f>'[3]11нед'!W169</f>
        <v>Солодухин Д.В.</v>
      </c>
      <c r="G345" s="22" t="str">
        <f>'[3]11нед'!X169</f>
        <v>профессор, канд. наук</v>
      </c>
      <c r="H345" s="36" t="s">
        <v>32</v>
      </c>
      <c r="I345" s="54"/>
      <c r="J345" s="57"/>
      <c r="K345" s="14" t="s">
        <v>24</v>
      </c>
      <c r="L345" s="20" t="str">
        <f>'[3]12нед'!S169</f>
        <v>пр</v>
      </c>
      <c r="M345" s="23" t="str">
        <f>'[3]12нед'!T169</f>
        <v xml:space="preserve">Философия научного познания </v>
      </c>
      <c r="N345" s="21" t="str">
        <f>'[3]12нед'!W169</f>
        <v>Солодухин Д.В.</v>
      </c>
      <c r="O345" s="22" t="str">
        <f>'[3]12нед'!X169</f>
        <v>профессор, канд. наук</v>
      </c>
      <c r="P345" s="36" t="s">
        <v>34</v>
      </c>
    </row>
    <row r="346" spans="1:16" ht="36">
      <c r="A346" s="49"/>
      <c r="B346" s="52"/>
      <c r="C346" s="14" t="s">
        <v>25</v>
      </c>
      <c r="D346" s="20" t="str">
        <f>'[3]11нед'!S170</f>
        <v>л</v>
      </c>
      <c r="E346" s="23" t="str">
        <f>'[3]11нед'!T170</f>
        <v>Методология исследовательской деятельности</v>
      </c>
      <c r="F346" s="21" t="str">
        <f>'[3]11нед'!W170</f>
        <v>Гуменюк А.Ю.</v>
      </c>
      <c r="G346" s="22" t="str">
        <f>'[3]11нед'!X170</f>
        <v>доцент, канд. наук</v>
      </c>
      <c r="H346" s="36" t="s">
        <v>33</v>
      </c>
      <c r="I346" s="54"/>
      <c r="J346" s="57"/>
      <c r="K346" s="14" t="s">
        <v>25</v>
      </c>
      <c r="L346" s="20" t="str">
        <f>'[3]12нед'!S170</f>
        <v>пр</v>
      </c>
      <c r="M346" s="23" t="str">
        <f>'[3]12нед'!T170</f>
        <v>Методология исследовательской деятельности</v>
      </c>
      <c r="N346" s="21" t="str">
        <f>'[3]12нед'!W170</f>
        <v>Гуменюк А.Ю.</v>
      </c>
      <c r="O346" s="22" t="str">
        <f>'[3]12нед'!X170</f>
        <v>доцент, канд. наук</v>
      </c>
      <c r="P346" s="36" t="s">
        <v>35</v>
      </c>
    </row>
    <row r="347" spans="1:16" ht="31.2">
      <c r="A347" s="49"/>
      <c r="B347" s="52"/>
      <c r="C347" s="14" t="s">
        <v>26</v>
      </c>
      <c r="D347" s="20">
        <f>'[3]11нед'!S171</f>
        <v>0</v>
      </c>
      <c r="E347" s="23">
        <f>'[3]11нед'!T171</f>
        <v>0</v>
      </c>
      <c r="F347" s="21">
        <f>'[3]11нед'!W171</f>
        <v>0</v>
      </c>
      <c r="G347" s="22">
        <f>'[3]11нед'!X171</f>
        <v>0</v>
      </c>
      <c r="H347" s="41"/>
      <c r="I347" s="54"/>
      <c r="J347" s="57"/>
      <c r="K347" s="14" t="s">
        <v>26</v>
      </c>
      <c r="L347" s="20">
        <f>'[3]12нед'!S171</f>
        <v>0</v>
      </c>
      <c r="M347" s="23">
        <f>'[3]12нед'!T171</f>
        <v>0</v>
      </c>
      <c r="N347" s="21">
        <f>'[3]12нед'!W171</f>
        <v>0</v>
      </c>
      <c r="O347" s="22">
        <f>'[3]12нед'!X171</f>
        <v>0</v>
      </c>
      <c r="P347" s="41"/>
    </row>
    <row r="348" spans="1:16" ht="31.2">
      <c r="A348" s="49"/>
      <c r="B348" s="52"/>
      <c r="C348" s="14" t="s">
        <v>27</v>
      </c>
      <c r="D348" s="20">
        <f>'[3]11нед'!S172</f>
        <v>0</v>
      </c>
      <c r="E348" s="23">
        <f>'[3]11нед'!T172</f>
        <v>0</v>
      </c>
      <c r="F348" s="21">
        <f>'[3]11нед'!W172</f>
        <v>0</v>
      </c>
      <c r="G348" s="22">
        <f>'[3]11нед'!X172</f>
        <v>0</v>
      </c>
      <c r="H348" s="41"/>
      <c r="I348" s="54"/>
      <c r="J348" s="57"/>
      <c r="K348" s="14" t="s">
        <v>27</v>
      </c>
      <c r="L348" s="20">
        <f>'[3]12нед'!S172</f>
        <v>0</v>
      </c>
      <c r="M348" s="23">
        <f>'[3]12нед'!T172</f>
        <v>0</v>
      </c>
      <c r="N348" s="21">
        <f>'[3]12нед'!W172</f>
        <v>0</v>
      </c>
      <c r="O348" s="22">
        <f>'[3]12нед'!X172</f>
        <v>0</v>
      </c>
      <c r="P348" s="41"/>
    </row>
    <row r="349" spans="1:16" ht="31.2">
      <c r="A349" s="49"/>
      <c r="B349" s="52"/>
      <c r="C349" s="14" t="s">
        <v>28</v>
      </c>
      <c r="D349" s="20">
        <f>'[3]11нед'!S173</f>
        <v>0</v>
      </c>
      <c r="E349" s="23">
        <f>'[3]11нед'!T173</f>
        <v>0</v>
      </c>
      <c r="F349" s="21">
        <f>'[3]11нед'!W173</f>
        <v>0</v>
      </c>
      <c r="G349" s="22">
        <f>'[3]11нед'!X173</f>
        <v>0</v>
      </c>
      <c r="H349" s="41"/>
      <c r="I349" s="54"/>
      <c r="J349" s="57"/>
      <c r="K349" s="14" t="s">
        <v>28</v>
      </c>
      <c r="L349" s="20">
        <f>'[3]12нед'!S173</f>
        <v>0</v>
      </c>
      <c r="M349" s="23">
        <f>'[3]12нед'!T173</f>
        <v>0</v>
      </c>
      <c r="N349" s="21">
        <f>'[3]12нед'!W173</f>
        <v>0</v>
      </c>
      <c r="O349" s="22">
        <f>'[3]12нед'!X173</f>
        <v>0</v>
      </c>
      <c r="P349" s="41"/>
    </row>
    <row r="350" spans="1:16" ht="31.8" thickBot="1">
      <c r="A350" s="49"/>
      <c r="B350" s="52"/>
      <c r="C350" s="14" t="s">
        <v>29</v>
      </c>
      <c r="D350" s="20">
        <f>'[3]11нед'!S174</f>
        <v>0</v>
      </c>
      <c r="E350" s="23">
        <f>'[3]11нед'!T174</f>
        <v>0</v>
      </c>
      <c r="F350" s="21">
        <f>'[3]11нед'!W174</f>
        <v>0</v>
      </c>
      <c r="G350" s="22">
        <f>'[3]11нед'!X174</f>
        <v>0</v>
      </c>
      <c r="H350" s="41"/>
      <c r="I350" s="54"/>
      <c r="J350" s="57"/>
      <c r="K350" s="14" t="s">
        <v>29</v>
      </c>
      <c r="L350" s="20">
        <f>'[3]12нед'!S174</f>
        <v>0</v>
      </c>
      <c r="M350" s="23">
        <f>'[3]12нед'!T174</f>
        <v>0</v>
      </c>
      <c r="N350" s="21">
        <f>'[3]12нед'!W174</f>
        <v>0</v>
      </c>
      <c r="O350" s="22">
        <f>'[3]12нед'!X174</f>
        <v>0</v>
      </c>
      <c r="P350" s="41"/>
    </row>
    <row r="351" spans="1:16" ht="18.600000000000001" hidden="1" customHeight="1" thickBot="1">
      <c r="A351" s="50"/>
      <c r="B351" s="53"/>
      <c r="C351" s="15"/>
      <c r="D351" s="24">
        <f>'[3]11нед'!S175</f>
        <v>0</v>
      </c>
      <c r="E351" s="25">
        <f>'[3]11нед'!T175</f>
        <v>0</v>
      </c>
      <c r="F351" s="26">
        <f>'[3]11нед'!W175</f>
        <v>0</v>
      </c>
      <c r="G351" s="27">
        <f>'[3]11нед'!X175</f>
        <v>0</v>
      </c>
      <c r="H351" s="42"/>
      <c r="I351" s="55"/>
      <c r="J351" s="58"/>
      <c r="K351" s="15"/>
      <c r="L351" s="24">
        <f>'[3]12нед'!S175</f>
        <v>0</v>
      </c>
      <c r="M351" s="25">
        <f>'[3]12нед'!T175</f>
        <v>0</v>
      </c>
      <c r="N351" s="26">
        <f>'[3]12нед'!W175</f>
        <v>0</v>
      </c>
      <c r="O351" s="27">
        <f>'[3]12нед'!X175</f>
        <v>0</v>
      </c>
      <c r="P351" s="42"/>
    </row>
    <row r="352" spans="1:16" ht="48" customHeight="1" thickTop="1">
      <c r="A352" s="48">
        <v>45976</v>
      </c>
      <c r="B352" s="51" t="s">
        <v>5</v>
      </c>
      <c r="C352" s="28" t="s">
        <v>23</v>
      </c>
      <c r="D352" s="16">
        <f>'[3]11нед'!S176</f>
        <v>0</v>
      </c>
      <c r="E352" s="19">
        <f>'[3]11нед'!T176</f>
        <v>0</v>
      </c>
      <c r="F352" s="17">
        <f>'[3]11нед'!W176</f>
        <v>0</v>
      </c>
      <c r="G352" s="18">
        <f>'[3]11нед'!X176</f>
        <v>0</v>
      </c>
      <c r="H352" s="43"/>
      <c r="I352" s="48">
        <v>45983</v>
      </c>
      <c r="J352" s="56" t="s">
        <v>5</v>
      </c>
      <c r="K352" s="28" t="s">
        <v>23</v>
      </c>
      <c r="L352" s="16">
        <f>'[3]12нед'!S176</f>
        <v>0</v>
      </c>
      <c r="M352" s="19">
        <f>'[3]12нед'!T176</f>
        <v>0</v>
      </c>
      <c r="N352" s="17">
        <f>'[3]12нед'!W176</f>
        <v>0</v>
      </c>
      <c r="O352" s="18">
        <f>'[3]12нед'!X176</f>
        <v>0</v>
      </c>
      <c r="P352" s="43"/>
    </row>
    <row r="353" spans="1:16" ht="31.2">
      <c r="A353" s="49"/>
      <c r="B353" s="52"/>
      <c r="C353" s="14" t="s">
        <v>24</v>
      </c>
      <c r="D353" s="20">
        <f>'[3]11нед'!S177</f>
        <v>0</v>
      </c>
      <c r="E353" s="23">
        <f>'[3]11нед'!T177</f>
        <v>0</v>
      </c>
      <c r="F353" s="21">
        <f>'[3]11нед'!W177</f>
        <v>0</v>
      </c>
      <c r="G353" s="22">
        <f>'[3]11нед'!X177</f>
        <v>0</v>
      </c>
      <c r="H353" s="41"/>
      <c r="I353" s="54"/>
      <c r="J353" s="57"/>
      <c r="K353" s="14" t="s">
        <v>24</v>
      </c>
      <c r="L353" s="20">
        <f>'[3]12нед'!S177</f>
        <v>0</v>
      </c>
      <c r="M353" s="23">
        <f>'[3]12нед'!T177</f>
        <v>0</v>
      </c>
      <c r="N353" s="21">
        <f>'[3]12нед'!W177</f>
        <v>0</v>
      </c>
      <c r="O353" s="22">
        <f>'[3]12нед'!X177</f>
        <v>0</v>
      </c>
      <c r="P353" s="41"/>
    </row>
    <row r="354" spans="1:16" ht="31.2">
      <c r="A354" s="49"/>
      <c r="B354" s="52"/>
      <c r="C354" s="14" t="s">
        <v>25</v>
      </c>
      <c r="D354" s="20">
        <f>'[3]11нед'!S178</f>
        <v>0</v>
      </c>
      <c r="E354" s="23">
        <f>'[3]11нед'!T178</f>
        <v>0</v>
      </c>
      <c r="F354" s="21">
        <f>'[3]11нед'!W178</f>
        <v>0</v>
      </c>
      <c r="G354" s="22">
        <f>'[3]11нед'!X178</f>
        <v>0</v>
      </c>
      <c r="H354" s="41"/>
      <c r="I354" s="54"/>
      <c r="J354" s="57"/>
      <c r="K354" s="14" t="s">
        <v>25</v>
      </c>
      <c r="L354" s="20" t="str">
        <f>'[3]12нед'!S178</f>
        <v>пр</v>
      </c>
      <c r="M354" s="23" t="str">
        <f>'[3]12нед'!T178</f>
        <v>Машинное обучение и анализ данных</v>
      </c>
      <c r="N354" s="21" t="str">
        <f>'[3]12нед'!W178</f>
        <v>Гришин И.Ю.</v>
      </c>
      <c r="O354" s="22" t="str">
        <f>'[3]12нед'!X178</f>
        <v>профессор, д-р наук</v>
      </c>
      <c r="P354" s="46" t="s">
        <v>31</v>
      </c>
    </row>
    <row r="355" spans="1:16" ht="36">
      <c r="A355" s="49"/>
      <c r="B355" s="52"/>
      <c r="C355" s="14" t="s">
        <v>26</v>
      </c>
      <c r="D355" s="20">
        <f>'[3]11нед'!S179</f>
        <v>0</v>
      </c>
      <c r="E355" s="23">
        <f>'[3]11нед'!T179</f>
        <v>0</v>
      </c>
      <c r="F355" s="21">
        <f>'[3]11нед'!W179</f>
        <v>0</v>
      </c>
      <c r="G355" s="22">
        <f>'[3]11нед'!X179</f>
        <v>0</v>
      </c>
      <c r="H355" s="41"/>
      <c r="I355" s="54"/>
      <c r="J355" s="57"/>
      <c r="K355" s="14" t="s">
        <v>26</v>
      </c>
      <c r="L355" s="20" t="str">
        <f>'[3]12нед'!S179</f>
        <v>пр</v>
      </c>
      <c r="M355" s="23" t="str">
        <f>'[3]12нед'!T179</f>
        <v>Применение методов искусственного интеллекта в анализе данных и управлении</v>
      </c>
      <c r="N355" s="21" t="str">
        <f>'[3]12нед'!W179</f>
        <v>Гришин И.Ю.</v>
      </c>
      <c r="O355" s="22" t="str">
        <f>'[3]12нед'!X179</f>
        <v>профессор, д-р наук</v>
      </c>
      <c r="P355" s="46" t="s">
        <v>31</v>
      </c>
    </row>
    <row r="356" spans="1:16" ht="36">
      <c r="A356" s="49"/>
      <c r="B356" s="52"/>
      <c r="C356" s="14" t="s">
        <v>27</v>
      </c>
      <c r="D356" s="20">
        <f>'[3]11нед'!S180</f>
        <v>0</v>
      </c>
      <c r="E356" s="23">
        <f>'[3]11нед'!T180</f>
        <v>0</v>
      </c>
      <c r="F356" s="21">
        <f>'[3]11нед'!W180</f>
        <v>0</v>
      </c>
      <c r="G356" s="22">
        <f>'[3]11нед'!X180</f>
        <v>0</v>
      </c>
      <c r="H356" s="41"/>
      <c r="I356" s="54"/>
      <c r="J356" s="57"/>
      <c r="K356" s="14" t="s">
        <v>27</v>
      </c>
      <c r="L356" s="20" t="str">
        <f>'[3]12нед'!S180</f>
        <v>пр</v>
      </c>
      <c r="M356" s="23" t="str">
        <f>'[3]12нед'!T180</f>
        <v>Применение методов искусственного интеллекта в анализе данных и управлении</v>
      </c>
      <c r="N356" s="21" t="str">
        <f>'[3]12нед'!W180</f>
        <v>Гришин И.Ю.</v>
      </c>
      <c r="O356" s="22" t="str">
        <f>'[3]12нед'!X180</f>
        <v>профессор, д-р наук</v>
      </c>
      <c r="P356" s="46" t="s">
        <v>31</v>
      </c>
    </row>
    <row r="357" spans="1:16" ht="31.2">
      <c r="A357" s="49"/>
      <c r="B357" s="52"/>
      <c r="C357" s="14" t="s">
        <v>28</v>
      </c>
      <c r="D357" s="20">
        <f>'[3]11нед'!S181</f>
        <v>0</v>
      </c>
      <c r="E357" s="23">
        <f>'[3]11нед'!T181</f>
        <v>0</v>
      </c>
      <c r="F357" s="21">
        <f>'[3]11нед'!W181</f>
        <v>0</v>
      </c>
      <c r="G357" s="22">
        <f>'[3]11нед'!X181</f>
        <v>0</v>
      </c>
      <c r="H357" s="41"/>
      <c r="I357" s="54"/>
      <c r="J357" s="57"/>
      <c r="K357" s="14" t="s">
        <v>28</v>
      </c>
      <c r="L357" s="20" t="str">
        <f>'[3]12нед'!S181</f>
        <v>пр</v>
      </c>
      <c r="M357" s="23" t="str">
        <f>'[3]12нед'!T181</f>
        <v>Машинное обучение и анализ данных</v>
      </c>
      <c r="N357" s="21" t="str">
        <f>'[3]12нед'!W181</f>
        <v>Гришин И.Ю.</v>
      </c>
      <c r="O357" s="22" t="str">
        <f>'[3]12нед'!X181</f>
        <v>профессор, д-р наук</v>
      </c>
      <c r="P357" s="46" t="s">
        <v>31</v>
      </c>
    </row>
    <row r="358" spans="1:16" ht="31.8" thickBot="1">
      <c r="A358" s="49"/>
      <c r="B358" s="52"/>
      <c r="C358" s="14" t="s">
        <v>29</v>
      </c>
      <c r="D358" s="20">
        <f>'[3]11нед'!S182</f>
        <v>0</v>
      </c>
      <c r="E358" s="23">
        <f>'[3]11нед'!T182</f>
        <v>0</v>
      </c>
      <c r="F358" s="21">
        <f>'[3]11нед'!W182</f>
        <v>0</v>
      </c>
      <c r="G358" s="22">
        <f>'[3]11нед'!X182</f>
        <v>0</v>
      </c>
      <c r="H358" s="41"/>
      <c r="I358" s="54"/>
      <c r="J358" s="57"/>
      <c r="K358" s="14" t="s">
        <v>29</v>
      </c>
      <c r="L358" s="20">
        <f>'[3]12нед'!S182</f>
        <v>0</v>
      </c>
      <c r="M358" s="23">
        <f>'[3]12нед'!T182</f>
        <v>0</v>
      </c>
      <c r="N358" s="21">
        <f>'[3]12нед'!W182</f>
        <v>0</v>
      </c>
      <c r="O358" s="22">
        <f>'[3]12нед'!X182</f>
        <v>0</v>
      </c>
      <c r="P358" s="41"/>
    </row>
    <row r="359" spans="1:16" ht="18.600000000000001" hidden="1" customHeight="1" thickBot="1">
      <c r="A359" s="50"/>
      <c r="B359" s="53"/>
      <c r="C359" s="15"/>
      <c r="D359" s="24">
        <f>'[3]11нед'!S59</f>
        <v>0</v>
      </c>
      <c r="E359" s="25">
        <f>'[3]11нед'!T59</f>
        <v>0</v>
      </c>
      <c r="F359" s="26">
        <f>'[3]11нед'!W59</f>
        <v>0</v>
      </c>
      <c r="G359" s="27">
        <f>'[3]11нед'!X59</f>
        <v>0</v>
      </c>
      <c r="H359" s="42"/>
      <c r="I359" s="55"/>
      <c r="J359" s="58"/>
      <c r="K359" s="15"/>
      <c r="L359" s="24">
        <f>'[3]12нед'!S59</f>
        <v>0</v>
      </c>
      <c r="M359" s="25">
        <f>'[3]12нед'!T59</f>
        <v>0</v>
      </c>
      <c r="N359" s="26">
        <f>'[3]12нед'!W59</f>
        <v>0</v>
      </c>
      <c r="O359" s="27">
        <f>'[3]11нед'!X59</f>
        <v>0</v>
      </c>
      <c r="P359" s="42"/>
    </row>
    <row r="360" spans="1:16" ht="39" customHeight="1" thickTop="1">
      <c r="A360" s="29"/>
      <c r="B360" s="30"/>
      <c r="C360" s="31"/>
      <c r="D360" s="32"/>
      <c r="E360" s="32" t="s">
        <v>21</v>
      </c>
      <c r="F360" s="32"/>
      <c r="G360" s="33" t="s">
        <v>22</v>
      </c>
      <c r="H360" s="44"/>
      <c r="I360" s="29"/>
      <c r="J360" s="30"/>
      <c r="K360" s="31"/>
      <c r="L360" s="32"/>
      <c r="M360" s="32" t="s">
        <v>21</v>
      </c>
      <c r="N360" s="32"/>
      <c r="O360" s="33" t="s">
        <v>22</v>
      </c>
      <c r="P360" s="44"/>
    </row>
    <row r="361" spans="1:16" ht="15.6">
      <c r="A361" s="1"/>
      <c r="B361" s="2"/>
      <c r="C361" s="3"/>
      <c r="D361" s="4"/>
      <c r="E361" s="4"/>
      <c r="F361" s="4"/>
      <c r="G361" s="4"/>
      <c r="H361" s="37" t="s">
        <v>8</v>
      </c>
      <c r="I361" s="1"/>
      <c r="J361" s="2"/>
      <c r="K361" s="3"/>
      <c r="L361" s="4"/>
      <c r="M361" s="4"/>
      <c r="N361" s="4"/>
      <c r="O361" s="4"/>
      <c r="P361" s="37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37" t="s">
        <v>9</v>
      </c>
      <c r="I362" s="1"/>
      <c r="J362" s="2"/>
      <c r="K362" s="3"/>
      <c r="L362" s="4"/>
      <c r="M362" s="4"/>
      <c r="N362" s="4"/>
      <c r="O362" s="4"/>
      <c r="P362" s="37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37" t="s">
        <v>10</v>
      </c>
      <c r="I363" s="1"/>
      <c r="J363" s="2"/>
      <c r="K363" s="3"/>
      <c r="L363" s="4"/>
      <c r="M363" s="4"/>
      <c r="N363" s="4"/>
      <c r="O363" s="4"/>
      <c r="P363" s="37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37" t="s">
        <v>11</v>
      </c>
      <c r="I364" s="1"/>
      <c r="J364" s="2"/>
      <c r="K364" s="3"/>
      <c r="L364" s="4"/>
      <c r="M364" s="4"/>
      <c r="N364" s="4"/>
      <c r="O364" s="4"/>
      <c r="P364" s="37" t="s">
        <v>11</v>
      </c>
    </row>
    <row r="365" spans="1:16" ht="15.6">
      <c r="A365" s="1"/>
      <c r="B365" s="5"/>
      <c r="C365" s="3"/>
      <c r="D365" s="4"/>
      <c r="E365" s="4"/>
      <c r="F365" s="4"/>
      <c r="G365" s="4"/>
      <c r="H365" s="38"/>
      <c r="I365" s="1"/>
      <c r="J365" s="5"/>
      <c r="K365" s="3"/>
      <c r="L365" s="4"/>
      <c r="M365" s="4"/>
      <c r="N365" s="4"/>
      <c r="O365" s="4"/>
      <c r="P365" s="38"/>
    </row>
    <row r="366" spans="1:16" ht="15.6">
      <c r="A366" s="1"/>
      <c r="B366" s="74" t="s">
        <v>12</v>
      </c>
      <c r="C366" s="74"/>
      <c r="D366" s="74"/>
      <c r="E366" s="74"/>
      <c r="F366" s="74"/>
      <c r="G366" s="74"/>
      <c r="H366" s="74"/>
      <c r="I366" s="1"/>
      <c r="J366" s="74" t="s">
        <v>12</v>
      </c>
      <c r="K366" s="74"/>
      <c r="L366" s="74"/>
      <c r="M366" s="74"/>
      <c r="N366" s="74"/>
      <c r="O366" s="74"/>
      <c r="P366" s="74"/>
    </row>
    <row r="367" spans="1:16" ht="15.6">
      <c r="A367" s="6"/>
      <c r="B367" s="34" t="str">
        <f>'[1]1нед'!$A$6</f>
        <v>Направление подготовки:</v>
      </c>
      <c r="C367" s="7"/>
      <c r="D367" s="8"/>
      <c r="E367" s="9" t="str">
        <f>E7</f>
        <v>09.04.04 Программная инженерия (Разработка программно-информационных систем)</v>
      </c>
      <c r="F367" s="8"/>
      <c r="G367" s="8"/>
      <c r="H367" s="39" t="str">
        <f>H7</f>
        <v>12-25РПм</v>
      </c>
      <c r="I367" s="6"/>
      <c r="J367" s="34" t="str">
        <f>'[1]1нед'!$A$6</f>
        <v>Направление подготовки:</v>
      </c>
      <c r="K367" s="7"/>
      <c r="L367" s="8"/>
      <c r="M367" s="9" t="str">
        <f>E7</f>
        <v>09.04.04 Программная инженерия (Разработка программно-информационных систем)</v>
      </c>
      <c r="N367" s="8"/>
      <c r="O367" s="8"/>
      <c r="P367" s="39" t="str">
        <f>H7</f>
        <v>12-25РПм</v>
      </c>
    </row>
    <row r="368" spans="1:16" ht="15.6">
      <c r="A368" s="1"/>
      <c r="B368" s="73" t="s">
        <v>13</v>
      </c>
      <c r="C368" s="73"/>
      <c r="D368" s="73"/>
      <c r="E368" s="73" t="str">
        <f t="shared" ref="E368" si="4">E8</f>
        <v>очная</v>
      </c>
      <c r="F368" s="73"/>
      <c r="G368" s="73"/>
      <c r="H368" s="73"/>
      <c r="I368" s="1"/>
      <c r="J368" s="73" t="s">
        <v>13</v>
      </c>
      <c r="K368" s="73"/>
      <c r="L368" s="73"/>
      <c r="M368" s="73" t="str">
        <f t="shared" ref="M368" si="5">E8</f>
        <v>очная</v>
      </c>
      <c r="N368" s="73"/>
      <c r="O368" s="73"/>
      <c r="P368" s="73"/>
    </row>
    <row r="369" spans="1:16" ht="15.6">
      <c r="A369" s="1"/>
      <c r="B369" s="73" t="s">
        <v>15</v>
      </c>
      <c r="C369" s="73"/>
      <c r="D369" s="73"/>
      <c r="E369" s="34">
        <f>E9</f>
        <v>1</v>
      </c>
      <c r="F369" s="34"/>
      <c r="G369" s="34"/>
      <c r="H369" s="38"/>
      <c r="I369" s="1"/>
      <c r="J369" s="73" t="s">
        <v>15</v>
      </c>
      <c r="K369" s="73"/>
      <c r="L369" s="73"/>
      <c r="M369" s="34">
        <f>E9</f>
        <v>1</v>
      </c>
      <c r="N369" s="34"/>
      <c r="O369" s="34"/>
      <c r="P369" s="38"/>
    </row>
    <row r="370" spans="1:16" ht="16.2" thickBot="1">
      <c r="A370" s="1"/>
      <c r="B370" s="70" t="s">
        <v>16</v>
      </c>
      <c r="C370" s="70"/>
      <c r="D370" s="70"/>
      <c r="E370" s="35">
        <f>M310+1</f>
        <v>13</v>
      </c>
      <c r="F370" s="35"/>
      <c r="G370" s="35"/>
      <c r="H370" s="40"/>
      <c r="I370" s="1"/>
      <c r="J370" s="70" t="s">
        <v>16</v>
      </c>
      <c r="K370" s="70"/>
      <c r="L370" s="70"/>
      <c r="M370" s="35">
        <f>E370+1</f>
        <v>14</v>
      </c>
      <c r="N370" s="35"/>
      <c r="O370" s="35"/>
      <c r="P370" s="40"/>
    </row>
    <row r="371" spans="1:16" ht="46.5" customHeight="1" thickTop="1" thickBot="1">
      <c r="A371" s="71" t="s">
        <v>17</v>
      </c>
      <c r="B371" s="72"/>
      <c r="C371" s="10" t="s">
        <v>18</v>
      </c>
      <c r="D371" s="11" t="s">
        <v>7</v>
      </c>
      <c r="E371" s="12" t="s">
        <v>19</v>
      </c>
      <c r="F371" s="68" t="s">
        <v>6</v>
      </c>
      <c r="G371" s="69"/>
      <c r="H371" s="13" t="s">
        <v>20</v>
      </c>
      <c r="I371" s="71" t="s">
        <v>17</v>
      </c>
      <c r="J371" s="72"/>
      <c r="K371" s="10" t="s">
        <v>18</v>
      </c>
      <c r="L371" s="11" t="s">
        <v>7</v>
      </c>
      <c r="M371" s="12" t="s">
        <v>19</v>
      </c>
      <c r="N371" s="68" t="s">
        <v>6</v>
      </c>
      <c r="O371" s="69"/>
      <c r="P371" s="13" t="s">
        <v>20</v>
      </c>
    </row>
    <row r="372" spans="1:16" ht="34.950000000000003" customHeight="1" thickTop="1">
      <c r="A372" s="48">
        <v>45985</v>
      </c>
      <c r="B372" s="51" t="s">
        <v>0</v>
      </c>
      <c r="C372" s="14" t="s">
        <v>23</v>
      </c>
      <c r="D372" s="16">
        <f>'[3]13нед'!S136</f>
        <v>0</v>
      </c>
      <c r="E372" s="19">
        <f>'[3]13нед'!T136</f>
        <v>0</v>
      </c>
      <c r="F372" s="17">
        <f>'[3]13нед'!W136</f>
        <v>0</v>
      </c>
      <c r="G372" s="18">
        <f>'[3]13нед'!X136</f>
        <v>0</v>
      </c>
      <c r="H372" s="43"/>
      <c r="I372" s="48">
        <v>45992</v>
      </c>
      <c r="J372" s="56" t="s">
        <v>0</v>
      </c>
      <c r="K372" s="14" t="s">
        <v>23</v>
      </c>
      <c r="L372" s="16" t="str">
        <f>'[4]14нед'!S136</f>
        <v>пр</v>
      </c>
      <c r="M372" s="19" t="str">
        <f>'[4]14нед'!T136</f>
        <v>Применение методов искусственного интеллекта в анализе данных и управлении</v>
      </c>
      <c r="N372" s="17" t="str">
        <f>'[4]14нед'!W136</f>
        <v>Гришин И.Ю.</v>
      </c>
      <c r="O372" s="18" t="str">
        <f>'[4]14нед'!X136</f>
        <v>профессор, д-р наук</v>
      </c>
      <c r="P372" s="36" t="s">
        <v>31</v>
      </c>
    </row>
    <row r="373" spans="1:16" ht="31.2">
      <c r="A373" s="49"/>
      <c r="B373" s="52"/>
      <c r="C373" s="14" t="s">
        <v>24</v>
      </c>
      <c r="D373" s="20">
        <f>'[3]13нед'!S137</f>
        <v>0</v>
      </c>
      <c r="E373" s="23">
        <f>'[3]13нед'!T137</f>
        <v>0</v>
      </c>
      <c r="F373" s="21">
        <f>'[3]13нед'!W137</f>
        <v>0</v>
      </c>
      <c r="G373" s="22">
        <f>'[3]13нед'!X137</f>
        <v>0</v>
      </c>
      <c r="H373" s="41"/>
      <c r="I373" s="54"/>
      <c r="J373" s="57"/>
      <c r="K373" s="14" t="s">
        <v>24</v>
      </c>
      <c r="L373" s="20" t="str">
        <f>'[4]14нед'!S137</f>
        <v>пр</v>
      </c>
      <c r="M373" s="23" t="str">
        <f>'[4]14нед'!T137</f>
        <v>Машинное обучение и анализ данных</v>
      </c>
      <c r="N373" s="21" t="str">
        <f>'[4]14нед'!W137</f>
        <v>Гришин И.Ю.</v>
      </c>
      <c r="O373" s="22" t="str">
        <f>'[4]14нед'!X137</f>
        <v>профессор, д-р наук</v>
      </c>
      <c r="P373" s="36" t="s">
        <v>31</v>
      </c>
    </row>
    <row r="374" spans="1:16" ht="31.2">
      <c r="A374" s="49"/>
      <c r="B374" s="52"/>
      <c r="C374" s="14" t="s">
        <v>25</v>
      </c>
      <c r="D374" s="20">
        <f>'[3]13нед'!S138</f>
        <v>0</v>
      </c>
      <c r="E374" s="23">
        <f>'[3]13нед'!T138</f>
        <v>0</v>
      </c>
      <c r="F374" s="21">
        <f>'[3]13нед'!W138</f>
        <v>0</v>
      </c>
      <c r="G374" s="22">
        <f>'[3]13нед'!X138</f>
        <v>0</v>
      </c>
      <c r="H374" s="41"/>
      <c r="I374" s="54"/>
      <c r="J374" s="57"/>
      <c r="K374" s="14" t="s">
        <v>25</v>
      </c>
      <c r="L374" s="20" t="str">
        <f>'[4]14нед'!S138</f>
        <v>пр</v>
      </c>
      <c r="M374" s="23" t="str">
        <f>'[4]14нед'!T138</f>
        <v>Управление ИТ-проектами</v>
      </c>
      <c r="N374" s="21" t="str">
        <f>'[4]14нед'!W138</f>
        <v>Линник И.И.</v>
      </c>
      <c r="O374" s="22" t="str">
        <f>'[4]14нед'!X138</f>
        <v>доцент, канд. наук</v>
      </c>
      <c r="P374" s="36" t="s">
        <v>31</v>
      </c>
    </row>
    <row r="375" spans="1:16" ht="31.2">
      <c r="A375" s="49"/>
      <c r="B375" s="52"/>
      <c r="C375" s="14" t="s">
        <v>26</v>
      </c>
      <c r="D375" s="20">
        <f>'[3]13нед'!S139</f>
        <v>0</v>
      </c>
      <c r="E375" s="23">
        <f>'[3]13нед'!T139</f>
        <v>0</v>
      </c>
      <c r="F375" s="21">
        <f>'[3]13нед'!W139</f>
        <v>0</v>
      </c>
      <c r="G375" s="22">
        <f>'[3]13нед'!X139</f>
        <v>0</v>
      </c>
      <c r="H375" s="41"/>
      <c r="I375" s="54"/>
      <c r="J375" s="57"/>
      <c r="K375" s="14" t="s">
        <v>26</v>
      </c>
      <c r="L375" s="20">
        <f>'[4]14нед'!S139</f>
        <v>0</v>
      </c>
      <c r="M375" s="23">
        <f>'[4]14нед'!T139</f>
        <v>0</v>
      </c>
      <c r="N375" s="21">
        <f>'[4]14нед'!W139</f>
        <v>0</v>
      </c>
      <c r="O375" s="22">
        <f>'[4]14нед'!X139</f>
        <v>0</v>
      </c>
      <c r="P375" s="41"/>
    </row>
    <row r="376" spans="1:16" ht="31.2">
      <c r="A376" s="49"/>
      <c r="B376" s="52"/>
      <c r="C376" s="14" t="s">
        <v>27</v>
      </c>
      <c r="D376" s="20">
        <f>'[3]13нед'!S140</f>
        <v>0</v>
      </c>
      <c r="E376" s="23">
        <f>'[3]13нед'!T140</f>
        <v>0</v>
      </c>
      <c r="F376" s="21">
        <f>'[3]13нед'!W140</f>
        <v>0</v>
      </c>
      <c r="G376" s="22">
        <f>'[3]13нед'!X140</f>
        <v>0</v>
      </c>
      <c r="H376" s="41"/>
      <c r="I376" s="54"/>
      <c r="J376" s="57"/>
      <c r="K376" s="14" t="s">
        <v>27</v>
      </c>
      <c r="L376" s="20">
        <f>'[4]14нед'!S140</f>
        <v>0</v>
      </c>
      <c r="M376" s="23">
        <f>'[4]14нед'!T140</f>
        <v>0</v>
      </c>
      <c r="N376" s="21">
        <f>'[4]14нед'!W140</f>
        <v>0</v>
      </c>
      <c r="O376" s="22">
        <f>'[4]14нед'!X140</f>
        <v>0</v>
      </c>
      <c r="P376" s="41"/>
    </row>
    <row r="377" spans="1:16" ht="31.2">
      <c r="A377" s="49"/>
      <c r="B377" s="52"/>
      <c r="C377" s="14" t="s">
        <v>28</v>
      </c>
      <c r="D377" s="20">
        <f>'[3]13нед'!S141</f>
        <v>0</v>
      </c>
      <c r="E377" s="23">
        <f>'[3]13нед'!T141</f>
        <v>0</v>
      </c>
      <c r="F377" s="21">
        <f>'[3]13нед'!W141</f>
        <v>0</v>
      </c>
      <c r="G377" s="22">
        <f>'[3]13нед'!X141</f>
        <v>0</v>
      </c>
      <c r="H377" s="41"/>
      <c r="I377" s="54"/>
      <c r="J377" s="57"/>
      <c r="K377" s="14" t="s">
        <v>28</v>
      </c>
      <c r="L377" s="20">
        <f>'[4]14нед'!S141</f>
        <v>0</v>
      </c>
      <c r="M377" s="23">
        <f>'[4]14нед'!T141</f>
        <v>0</v>
      </c>
      <c r="N377" s="21">
        <f>'[4]14нед'!W141</f>
        <v>0</v>
      </c>
      <c r="O377" s="22">
        <f>'[4]14нед'!X141</f>
        <v>0</v>
      </c>
      <c r="P377" s="41"/>
    </row>
    <row r="378" spans="1:16" ht="31.8" thickBot="1">
      <c r="A378" s="49"/>
      <c r="B378" s="52"/>
      <c r="C378" s="14" t="s">
        <v>29</v>
      </c>
      <c r="D378" s="20">
        <f>'[3]13нед'!S142</f>
        <v>0</v>
      </c>
      <c r="E378" s="23">
        <f>'[3]13нед'!T142</f>
        <v>0</v>
      </c>
      <c r="F378" s="21">
        <f>'[3]13нед'!W142</f>
        <v>0</v>
      </c>
      <c r="G378" s="22">
        <f>'[3]13нед'!X142</f>
        <v>0</v>
      </c>
      <c r="H378" s="41"/>
      <c r="I378" s="54"/>
      <c r="J378" s="57"/>
      <c r="K378" s="14" t="s">
        <v>29</v>
      </c>
      <c r="L378" s="20">
        <f>'[4]14нед'!S142</f>
        <v>0</v>
      </c>
      <c r="M378" s="23">
        <f>'[4]14нед'!T142</f>
        <v>0</v>
      </c>
      <c r="N378" s="21">
        <f>'[4]14нед'!W142</f>
        <v>0</v>
      </c>
      <c r="O378" s="22">
        <f>'[4]14нед'!X142</f>
        <v>0</v>
      </c>
      <c r="P378" s="41"/>
    </row>
    <row r="379" spans="1:16" ht="18.600000000000001" hidden="1" customHeight="1" thickBot="1">
      <c r="A379" s="50"/>
      <c r="B379" s="53"/>
      <c r="C379" s="15"/>
      <c r="D379" s="24">
        <f>'[3]13нед'!S143</f>
        <v>0</v>
      </c>
      <c r="E379" s="25">
        <f>'[3]13нед'!T143</f>
        <v>0</v>
      </c>
      <c r="F379" s="26">
        <f>'[3]13нед'!W143</f>
        <v>0</v>
      </c>
      <c r="G379" s="27">
        <f>'[3]13нед'!X143</f>
        <v>0</v>
      </c>
      <c r="H379" s="42"/>
      <c r="I379" s="55"/>
      <c r="J379" s="58"/>
      <c r="K379" s="15"/>
      <c r="L379" s="24">
        <f>'[4]14нед'!S143</f>
        <v>0</v>
      </c>
      <c r="M379" s="25">
        <f>'[4]14нед'!T143</f>
        <v>0</v>
      </c>
      <c r="N379" s="26">
        <f>'[4]14нед'!W143</f>
        <v>0</v>
      </c>
      <c r="O379" s="27">
        <f>'[4]14нед'!X143</f>
        <v>0</v>
      </c>
      <c r="P379" s="42"/>
    </row>
    <row r="380" spans="1:16" ht="32.25" customHeight="1" thickTop="1">
      <c r="A380" s="48">
        <v>45986</v>
      </c>
      <c r="B380" s="51" t="s">
        <v>1</v>
      </c>
      <c r="C380" s="28" t="s">
        <v>23</v>
      </c>
      <c r="D380" s="16">
        <f>'[3]13нед'!S144</f>
        <v>0</v>
      </c>
      <c r="E380" s="19">
        <f>'[3]13нед'!T144</f>
        <v>0</v>
      </c>
      <c r="F380" s="17">
        <f>'[3]13нед'!W144</f>
        <v>0</v>
      </c>
      <c r="G380" s="18">
        <f>'[3]13нед'!X144</f>
        <v>0</v>
      </c>
      <c r="H380" s="43"/>
      <c r="I380" s="48">
        <v>45993</v>
      </c>
      <c r="J380" s="56" t="s">
        <v>1</v>
      </c>
      <c r="K380" s="28" t="s">
        <v>23</v>
      </c>
      <c r="L380" s="16" t="str">
        <f>'[4]14нед'!S144</f>
        <v>пр</v>
      </c>
      <c r="M380" s="19" t="str">
        <f>'[4]14нед'!T144</f>
        <v xml:space="preserve"> Основы програмной инженерии</v>
      </c>
      <c r="N380" s="17" t="str">
        <f>'[4]14нед'!W144</f>
        <v>Алешов В.В.</v>
      </c>
      <c r="O380" s="18" t="str">
        <f>'[4]14нед'!X144</f>
        <v>преподаватель</v>
      </c>
      <c r="P380" s="47" t="s">
        <v>31</v>
      </c>
    </row>
    <row r="381" spans="1:16" ht="31.2">
      <c r="A381" s="49"/>
      <c r="B381" s="52"/>
      <c r="C381" s="14" t="s">
        <v>24</v>
      </c>
      <c r="D381" s="20">
        <f>'[3]13нед'!S145</f>
        <v>0</v>
      </c>
      <c r="E381" s="23">
        <f>'[3]13нед'!T145</f>
        <v>0</v>
      </c>
      <c r="F381" s="21">
        <f>'[3]13нед'!W145</f>
        <v>0</v>
      </c>
      <c r="G381" s="22">
        <f>'[3]13нед'!X145</f>
        <v>0</v>
      </c>
      <c r="H381" s="41"/>
      <c r="I381" s="54"/>
      <c r="J381" s="57"/>
      <c r="K381" s="14" t="s">
        <v>24</v>
      </c>
      <c r="L381" s="20" t="str">
        <f>'[4]14нед'!S145</f>
        <v>пр</v>
      </c>
      <c r="M381" s="23" t="str">
        <f>'[4]14нед'!T145</f>
        <v xml:space="preserve"> Основы програмной инженерии</v>
      </c>
      <c r="N381" s="21" t="str">
        <f>'[4]14нед'!W145</f>
        <v>Алешов В.В.</v>
      </c>
      <c r="O381" s="22" t="str">
        <f>'[4]14нед'!X145</f>
        <v>преподаватель</v>
      </c>
      <c r="P381" s="36" t="s">
        <v>31</v>
      </c>
    </row>
    <row r="382" spans="1:16" ht="36">
      <c r="A382" s="49"/>
      <c r="B382" s="52"/>
      <c r="C382" s="14" t="s">
        <v>25</v>
      </c>
      <c r="D382" s="20" t="str">
        <f>'[3]13нед'!S146</f>
        <v>л</v>
      </c>
      <c r="E382" s="23" t="str">
        <f>'[3]13нед'!T146</f>
        <v>Теория систем и системный анализ</v>
      </c>
      <c r="F382" s="21" t="str">
        <f>'[3]13нед'!W146</f>
        <v>Гришин И.Ю.</v>
      </c>
      <c r="G382" s="22" t="str">
        <f>'[3]13нед'!X146</f>
        <v>профессор, д-р наук</v>
      </c>
      <c r="H382" s="36" t="s">
        <v>31</v>
      </c>
      <c r="I382" s="54"/>
      <c r="J382" s="57"/>
      <c r="K382" s="14" t="s">
        <v>25</v>
      </c>
      <c r="L382" s="20" t="str">
        <f>'[4]14нед'!S146</f>
        <v>пр</v>
      </c>
      <c r="M382" s="23" t="str">
        <f>'[4]14нед'!T146</f>
        <v>Теоретико-множественный и информационный анализ</v>
      </c>
      <c r="N382" s="21" t="str">
        <f>'[4]14нед'!W146</f>
        <v>Шерман М.И.</v>
      </c>
      <c r="O382" s="22" t="str">
        <f>'[4]14нед'!X146</f>
        <v>профессор, д-р наук</v>
      </c>
      <c r="P382" s="36" t="s">
        <v>31</v>
      </c>
    </row>
    <row r="383" spans="1:16" ht="36">
      <c r="A383" s="49"/>
      <c r="B383" s="52"/>
      <c r="C383" s="14" t="s">
        <v>26</v>
      </c>
      <c r="D383" s="20" t="str">
        <f>'[3]13нед'!S147</f>
        <v>л</v>
      </c>
      <c r="E383" s="23" t="str">
        <f>'[3]13нед'!T147</f>
        <v>Применение методов искусственного интеллекта в анализе данных и управлении</v>
      </c>
      <c r="F383" s="21" t="str">
        <f>'[3]13нед'!W147</f>
        <v>Гришин И.Ю.</v>
      </c>
      <c r="G383" s="22" t="str">
        <f>'[3]13нед'!X147</f>
        <v>профессор, д-р наук</v>
      </c>
      <c r="H383" s="36" t="s">
        <v>31</v>
      </c>
      <c r="I383" s="54"/>
      <c r="J383" s="57"/>
      <c r="K383" s="14" t="s">
        <v>26</v>
      </c>
      <c r="L383" s="20">
        <f>'[4]14нед'!S147</f>
        <v>0</v>
      </c>
      <c r="M383" s="23">
        <f>'[4]14нед'!T147</f>
        <v>0</v>
      </c>
      <c r="N383" s="21">
        <f>'[4]14нед'!W147</f>
        <v>0</v>
      </c>
      <c r="O383" s="22">
        <f>'[4]14нед'!X147</f>
        <v>0</v>
      </c>
      <c r="P383" s="41"/>
    </row>
    <row r="384" spans="1:16" ht="31.2">
      <c r="A384" s="49"/>
      <c r="B384" s="52"/>
      <c r="C384" s="14" t="s">
        <v>27</v>
      </c>
      <c r="D384" s="20">
        <f>'[3]13нед'!S148</f>
        <v>0</v>
      </c>
      <c r="E384" s="23">
        <f>'[3]13нед'!T148</f>
        <v>0</v>
      </c>
      <c r="F384" s="21">
        <f>'[3]13нед'!W148</f>
        <v>0</v>
      </c>
      <c r="G384" s="22">
        <f>'[3]13нед'!X148</f>
        <v>0</v>
      </c>
      <c r="H384" s="41"/>
      <c r="I384" s="54"/>
      <c r="J384" s="57"/>
      <c r="K384" s="14" t="s">
        <v>27</v>
      </c>
      <c r="L384" s="20">
        <f>'[4]14нед'!S148</f>
        <v>0</v>
      </c>
      <c r="M384" s="23">
        <f>'[4]14нед'!T148</f>
        <v>0</v>
      </c>
      <c r="N384" s="21">
        <f>'[4]14нед'!W148</f>
        <v>0</v>
      </c>
      <c r="O384" s="22">
        <f>'[4]14нед'!X148</f>
        <v>0</v>
      </c>
      <c r="P384" s="41"/>
    </row>
    <row r="385" spans="1:16" ht="31.2">
      <c r="A385" s="49"/>
      <c r="B385" s="52"/>
      <c r="C385" s="14" t="s">
        <v>28</v>
      </c>
      <c r="D385" s="20">
        <f>'[3]13нед'!S149</f>
        <v>0</v>
      </c>
      <c r="E385" s="23">
        <f>'[3]13нед'!T149</f>
        <v>0</v>
      </c>
      <c r="F385" s="21">
        <f>'[3]13нед'!W149</f>
        <v>0</v>
      </c>
      <c r="G385" s="22">
        <f>'[3]13нед'!X149</f>
        <v>0</v>
      </c>
      <c r="H385" s="41"/>
      <c r="I385" s="54"/>
      <c r="J385" s="57"/>
      <c r="K385" s="14" t="s">
        <v>28</v>
      </c>
      <c r="L385" s="20">
        <f>'[4]14нед'!S149</f>
        <v>0</v>
      </c>
      <c r="M385" s="23">
        <f>'[4]14нед'!T149</f>
        <v>0</v>
      </c>
      <c r="N385" s="21">
        <f>'[4]14нед'!W149</f>
        <v>0</v>
      </c>
      <c r="O385" s="22">
        <f>'[4]14нед'!X149</f>
        <v>0</v>
      </c>
      <c r="P385" s="41"/>
    </row>
    <row r="386" spans="1:16" ht="31.8" thickBot="1">
      <c r="A386" s="49"/>
      <c r="B386" s="52"/>
      <c r="C386" s="14" t="s">
        <v>29</v>
      </c>
      <c r="D386" s="20">
        <f>'[3]13нед'!S150</f>
        <v>0</v>
      </c>
      <c r="E386" s="23">
        <f>'[3]13нед'!T150</f>
        <v>0</v>
      </c>
      <c r="F386" s="21">
        <f>'[3]13нед'!W150</f>
        <v>0</v>
      </c>
      <c r="G386" s="22">
        <f>'[3]13нед'!X150</f>
        <v>0</v>
      </c>
      <c r="H386" s="41"/>
      <c r="I386" s="54"/>
      <c r="J386" s="57"/>
      <c r="K386" s="14" t="s">
        <v>29</v>
      </c>
      <c r="L386" s="20">
        <f>'[4]14нед'!S150</f>
        <v>0</v>
      </c>
      <c r="M386" s="23">
        <f>'[4]14нед'!T150</f>
        <v>0</v>
      </c>
      <c r="N386" s="21">
        <f>'[4]14нед'!W150</f>
        <v>0</v>
      </c>
      <c r="O386" s="22">
        <f>'[4]14нед'!X150</f>
        <v>0</v>
      </c>
      <c r="P386" s="41"/>
    </row>
    <row r="387" spans="1:16" ht="18.600000000000001" hidden="1" customHeight="1" thickBot="1">
      <c r="A387" s="50"/>
      <c r="B387" s="53"/>
      <c r="C387" s="15"/>
      <c r="D387" s="24">
        <f>'[3]13нед'!S151</f>
        <v>0</v>
      </c>
      <c r="E387" s="25">
        <f>'[3]13нед'!T151</f>
        <v>0</v>
      </c>
      <c r="F387" s="26">
        <f>'[3]13нед'!W151</f>
        <v>0</v>
      </c>
      <c r="G387" s="27">
        <f>'[3]13нед'!X151</f>
        <v>0</v>
      </c>
      <c r="H387" s="42"/>
      <c r="I387" s="55"/>
      <c r="J387" s="58"/>
      <c r="K387" s="15"/>
      <c r="L387" s="24">
        <f>'[4]14нед'!S151</f>
        <v>0</v>
      </c>
      <c r="M387" s="25">
        <f>'[4]14нед'!T151</f>
        <v>0</v>
      </c>
      <c r="N387" s="26">
        <f>'[4]14нед'!W151</f>
        <v>0</v>
      </c>
      <c r="O387" s="27">
        <f>'[4]14нед'!X151</f>
        <v>0</v>
      </c>
      <c r="P387" s="42"/>
    </row>
    <row r="388" spans="1:16" ht="48" customHeight="1" thickTop="1">
      <c r="A388" s="59">
        <v>45987</v>
      </c>
      <c r="B388" s="62" t="s">
        <v>2</v>
      </c>
      <c r="C388" s="28" t="s">
        <v>23</v>
      </c>
      <c r="D388" s="16">
        <f>'[3]13нед'!S152</f>
        <v>0</v>
      </c>
      <c r="E388" s="19">
        <f>'[3]13нед'!T152</f>
        <v>0</v>
      </c>
      <c r="F388" s="17">
        <f>'[3]13нед'!W152</f>
        <v>0</v>
      </c>
      <c r="G388" s="18">
        <f>'[3]13нед'!X152</f>
        <v>0</v>
      </c>
      <c r="H388" s="43"/>
      <c r="I388" s="59">
        <v>45994</v>
      </c>
      <c r="J388" s="65" t="s">
        <v>2</v>
      </c>
      <c r="K388" s="28" t="s">
        <v>23</v>
      </c>
      <c r="L388" s="16">
        <f>'[4]14нед'!S152</f>
        <v>0</v>
      </c>
      <c r="M388" s="19">
        <f>'[4]14нед'!T152</f>
        <v>0</v>
      </c>
      <c r="N388" s="17">
        <f>'[4]14нед'!W152</f>
        <v>0</v>
      </c>
      <c r="O388" s="18">
        <f>'[4]14нед'!X152</f>
        <v>0</v>
      </c>
      <c r="P388" s="43"/>
    </row>
    <row r="389" spans="1:16" ht="31.2">
      <c r="A389" s="60"/>
      <c r="B389" s="63"/>
      <c r="C389" s="14" t="s">
        <v>24</v>
      </c>
      <c r="D389" s="20">
        <f>'[3]13нед'!S153</f>
        <v>0</v>
      </c>
      <c r="E389" s="23">
        <f>'[3]13нед'!T153</f>
        <v>0</v>
      </c>
      <c r="F389" s="21">
        <f>'[3]13нед'!W153</f>
        <v>0</v>
      </c>
      <c r="G389" s="22">
        <f>'[3]13нед'!X153</f>
        <v>0</v>
      </c>
      <c r="H389" s="41"/>
      <c r="I389" s="60"/>
      <c r="J389" s="66"/>
      <c r="K389" s="14" t="s">
        <v>24</v>
      </c>
      <c r="L389" s="20" t="str">
        <f>'[4]14нед'!S153</f>
        <v>пр</v>
      </c>
      <c r="M389" s="23" t="str">
        <f>'[4]14нед'!T153</f>
        <v>Управление ИТ-проектами</v>
      </c>
      <c r="N389" s="21" t="str">
        <f>'[4]14нед'!W153</f>
        <v>Линник И.И.</v>
      </c>
      <c r="O389" s="22" t="str">
        <f>'[4]14нед'!X153</f>
        <v>доцент, канд. наук</v>
      </c>
      <c r="P389" s="46" t="s">
        <v>31</v>
      </c>
    </row>
    <row r="390" spans="1:16" ht="36">
      <c r="A390" s="60"/>
      <c r="B390" s="63"/>
      <c r="C390" s="14" t="s">
        <v>25</v>
      </c>
      <c r="D390" s="20" t="str">
        <f>'[3]13нед'!S154</f>
        <v>л</v>
      </c>
      <c r="E390" s="23" t="str">
        <f>'[3]13нед'!T154</f>
        <v>Теоретико-множественный и информационный анализ</v>
      </c>
      <c r="F390" s="21" t="str">
        <f>'[3]13нед'!W154</f>
        <v>Шерман М.И.</v>
      </c>
      <c r="G390" s="22" t="str">
        <f>'[3]13нед'!X154</f>
        <v>профессор, д-р наук</v>
      </c>
      <c r="H390" s="36" t="s">
        <v>31</v>
      </c>
      <c r="I390" s="60"/>
      <c r="J390" s="66"/>
      <c r="K390" s="14" t="s">
        <v>25</v>
      </c>
      <c r="L390" s="20" t="str">
        <f>'[4]14нед'!S154</f>
        <v>пр</v>
      </c>
      <c r="M390" s="23" t="str">
        <f>'[4]14нед'!T154</f>
        <v>Теоретико-множественный и информационный анализ</v>
      </c>
      <c r="N390" s="21" t="str">
        <f>'[4]14нед'!W154</f>
        <v>Шерман М.И.</v>
      </c>
      <c r="O390" s="22" t="str">
        <f>'[4]14нед'!X154</f>
        <v>профессор, д-р наук</v>
      </c>
      <c r="P390" s="46" t="s">
        <v>31</v>
      </c>
    </row>
    <row r="391" spans="1:16" ht="36">
      <c r="A391" s="60"/>
      <c r="B391" s="63"/>
      <c r="C391" s="14" t="s">
        <v>26</v>
      </c>
      <c r="D391" s="20" t="str">
        <f>'[3]13нед'!S155</f>
        <v>л</v>
      </c>
      <c r="E391" s="23" t="str">
        <f>'[3]13нед'!T155</f>
        <v>Управление ИТ-проектами</v>
      </c>
      <c r="F391" s="21" t="str">
        <f>'[3]13нед'!W155</f>
        <v>Линник И.И.</v>
      </c>
      <c r="G391" s="22" t="str">
        <f>'[3]13нед'!X155</f>
        <v>доцент, канд. наук</v>
      </c>
      <c r="H391" s="36" t="s">
        <v>31</v>
      </c>
      <c r="I391" s="60"/>
      <c r="J391" s="66"/>
      <c r="K391" s="14" t="s">
        <v>26</v>
      </c>
      <c r="L391" s="20" t="str">
        <f>'[4]14нед'!S155</f>
        <v>пр</v>
      </c>
      <c r="M391" s="23" t="str">
        <f>'[4]14нед'!T155</f>
        <v>Теоретико-множественный и информационный анализ</v>
      </c>
      <c r="N391" s="21" t="str">
        <f>'[4]14нед'!W155</f>
        <v>Шерман М.И.</v>
      </c>
      <c r="O391" s="22" t="str">
        <f>'[4]14нед'!X155</f>
        <v>профессор, д-р наук</v>
      </c>
      <c r="P391" s="46" t="s">
        <v>31</v>
      </c>
    </row>
    <row r="392" spans="1:16" ht="31.2">
      <c r="A392" s="60"/>
      <c r="B392" s="63"/>
      <c r="C392" s="14" t="s">
        <v>27</v>
      </c>
      <c r="D392" s="20">
        <f>'[3]13нед'!S156</f>
        <v>0</v>
      </c>
      <c r="E392" s="23">
        <f>'[3]13нед'!T156</f>
        <v>0</v>
      </c>
      <c r="F392" s="21">
        <f>'[3]13нед'!W156</f>
        <v>0</v>
      </c>
      <c r="G392" s="22">
        <f>'[3]13нед'!X156</f>
        <v>0</v>
      </c>
      <c r="H392" s="41"/>
      <c r="I392" s="60"/>
      <c r="J392" s="66"/>
      <c r="K392" s="14" t="s">
        <v>27</v>
      </c>
      <c r="L392" s="20">
        <f>'[4]14нед'!S156</f>
        <v>0</v>
      </c>
      <c r="M392" s="23">
        <f>'[4]14нед'!T156</f>
        <v>0</v>
      </c>
      <c r="N392" s="21">
        <f>'[4]14нед'!W156</f>
        <v>0</v>
      </c>
      <c r="O392" s="22">
        <f>'[4]14нед'!X156</f>
        <v>0</v>
      </c>
      <c r="P392" s="46" t="s">
        <v>31</v>
      </c>
    </row>
    <row r="393" spans="1:16" ht="31.2">
      <c r="A393" s="60"/>
      <c r="B393" s="63"/>
      <c r="C393" s="14" t="s">
        <v>28</v>
      </c>
      <c r="D393" s="20">
        <f>'[3]13нед'!S157</f>
        <v>0</v>
      </c>
      <c r="E393" s="23">
        <f>'[3]13нед'!T157</f>
        <v>0</v>
      </c>
      <c r="F393" s="21">
        <f>'[3]13нед'!W157</f>
        <v>0</v>
      </c>
      <c r="G393" s="22">
        <f>'[3]13нед'!X157</f>
        <v>0</v>
      </c>
      <c r="H393" s="41"/>
      <c r="I393" s="60"/>
      <c r="J393" s="66"/>
      <c r="K393" s="14" t="s">
        <v>28</v>
      </c>
      <c r="L393" s="20">
        <f>'[4]14нед'!S157</f>
        <v>0</v>
      </c>
      <c r="M393" s="23">
        <f>'[4]14нед'!T157</f>
        <v>0</v>
      </c>
      <c r="N393" s="21">
        <f>'[4]14нед'!W157</f>
        <v>0</v>
      </c>
      <c r="O393" s="22">
        <f>'[4]14нед'!X157</f>
        <v>0</v>
      </c>
      <c r="P393" s="41"/>
    </row>
    <row r="394" spans="1:16" ht="31.8" thickBot="1">
      <c r="A394" s="60"/>
      <c r="B394" s="63"/>
      <c r="C394" s="14" t="s">
        <v>29</v>
      </c>
      <c r="D394" s="20">
        <f>'[3]13нед'!S158</f>
        <v>0</v>
      </c>
      <c r="E394" s="23">
        <f>'[3]13нед'!T158</f>
        <v>0</v>
      </c>
      <c r="F394" s="21">
        <f>'[3]13нед'!W158</f>
        <v>0</v>
      </c>
      <c r="G394" s="22">
        <f>'[3]13нед'!X158</f>
        <v>0</v>
      </c>
      <c r="H394" s="41"/>
      <c r="I394" s="60"/>
      <c r="J394" s="66"/>
      <c r="K394" s="14" t="s">
        <v>29</v>
      </c>
      <c r="L394" s="20">
        <f>'[4]14нед'!S158</f>
        <v>0</v>
      </c>
      <c r="M394" s="23">
        <f>'[4]14нед'!T158</f>
        <v>0</v>
      </c>
      <c r="N394" s="21">
        <f>'[4]14нед'!W158</f>
        <v>0</v>
      </c>
      <c r="O394" s="22">
        <f>'[4]14нед'!X158</f>
        <v>0</v>
      </c>
      <c r="P394" s="41"/>
    </row>
    <row r="395" spans="1:16" ht="18.600000000000001" hidden="1" customHeight="1" thickBot="1">
      <c r="A395" s="61"/>
      <c r="B395" s="64"/>
      <c r="C395" s="15"/>
      <c r="D395" s="24">
        <f>'[3]13нед'!S159</f>
        <v>0</v>
      </c>
      <c r="E395" s="25">
        <f>'[3]13нед'!T159</f>
        <v>0</v>
      </c>
      <c r="F395" s="26">
        <f>'[3]13нед'!W159</f>
        <v>0</v>
      </c>
      <c r="G395" s="27">
        <f>'[3]13нед'!X159</f>
        <v>0</v>
      </c>
      <c r="H395" s="42"/>
      <c r="I395" s="61"/>
      <c r="J395" s="67"/>
      <c r="K395" s="15"/>
      <c r="L395" s="24">
        <f>'[4]14нед'!S159</f>
        <v>0</v>
      </c>
      <c r="M395" s="25">
        <f>'[4]14нед'!T159</f>
        <v>0</v>
      </c>
      <c r="N395" s="26">
        <f>'[4]14нед'!W159</f>
        <v>0</v>
      </c>
      <c r="O395" s="27">
        <f>'[4]14нед'!X159</f>
        <v>0</v>
      </c>
      <c r="P395" s="42"/>
    </row>
    <row r="396" spans="1:16" ht="48" customHeight="1" thickTop="1">
      <c r="A396" s="48">
        <v>45988</v>
      </c>
      <c r="B396" s="51" t="s">
        <v>3</v>
      </c>
      <c r="C396" s="28" t="s">
        <v>23</v>
      </c>
      <c r="D396" s="16">
        <f>'[3]13нед'!S160</f>
        <v>0</v>
      </c>
      <c r="E396" s="19">
        <f>'[3]13нед'!T160</f>
        <v>0</v>
      </c>
      <c r="F396" s="17">
        <f>'[3]13нед'!W160</f>
        <v>0</v>
      </c>
      <c r="G396" s="18">
        <f>'[3]13нед'!X160</f>
        <v>0</v>
      </c>
      <c r="H396" s="43"/>
      <c r="I396" s="48">
        <v>45995</v>
      </c>
      <c r="J396" s="56" t="s">
        <v>3</v>
      </c>
      <c r="K396" s="28" t="s">
        <v>23</v>
      </c>
      <c r="L396" s="16">
        <f>'[4]14нед'!S160</f>
        <v>0</v>
      </c>
      <c r="M396" s="19">
        <f>'[4]14нед'!T160</f>
        <v>0</v>
      </c>
      <c r="N396" s="17">
        <f>'[4]14нед'!W160</f>
        <v>0</v>
      </c>
      <c r="O396" s="18">
        <f>'[4]14нед'!X160</f>
        <v>0</v>
      </c>
      <c r="P396" s="43"/>
    </row>
    <row r="397" spans="1:16" ht="31.2">
      <c r="A397" s="49"/>
      <c r="B397" s="52"/>
      <c r="C397" s="14" t="s">
        <v>24</v>
      </c>
      <c r="D397" s="20" t="str">
        <f>'[3]13нед'!S161</f>
        <v>пр</v>
      </c>
      <c r="E397" s="23" t="str">
        <f>'[3]13нед'!T161</f>
        <v>Иностранный язык для специальных целей</v>
      </c>
      <c r="F397" s="21" t="str">
        <f>'[3]13нед'!W161</f>
        <v>Ермоленко И.И.</v>
      </c>
      <c r="G397" s="22" t="str">
        <f>'[3]13нед'!X161</f>
        <v>доцент, канд. наук</v>
      </c>
      <c r="H397" s="36" t="s">
        <v>30</v>
      </c>
      <c r="I397" s="54"/>
      <c r="J397" s="57"/>
      <c r="K397" s="14" t="s">
        <v>24</v>
      </c>
      <c r="L397" s="20" t="str">
        <f>'[4]14нед'!S161</f>
        <v>пр</v>
      </c>
      <c r="M397" s="23" t="str">
        <f>'[4]14нед'!T161</f>
        <v>Иностранный язык для специальных целей</v>
      </c>
      <c r="N397" s="21" t="str">
        <f>'[4]14нед'!W161</f>
        <v>Ермоленко И.И.</v>
      </c>
      <c r="O397" s="22" t="str">
        <f>'[4]14нед'!X161</f>
        <v>доцент, канд. наук</v>
      </c>
      <c r="P397" s="36" t="s">
        <v>30</v>
      </c>
    </row>
    <row r="398" spans="1:16" ht="31.2">
      <c r="A398" s="49"/>
      <c r="B398" s="52"/>
      <c r="C398" s="14" t="s">
        <v>25</v>
      </c>
      <c r="D398" s="20" t="str">
        <f>'[3]13нед'!S162</f>
        <v>л</v>
      </c>
      <c r="E398" s="23" t="str">
        <f>'[3]13нед'!T162</f>
        <v>Машинное обучение и анализ данных</v>
      </c>
      <c r="F398" s="21" t="str">
        <f>'[3]13нед'!W162</f>
        <v>Гришин И.Ю.</v>
      </c>
      <c r="G398" s="22" t="str">
        <f>'[3]13нед'!X162</f>
        <v>профессор, д-р наук</v>
      </c>
      <c r="H398" s="36" t="s">
        <v>31</v>
      </c>
      <c r="I398" s="54"/>
      <c r="J398" s="57"/>
      <c r="K398" s="14" t="s">
        <v>25</v>
      </c>
      <c r="L398" s="20" t="str">
        <f>'[4]14нед'!S162</f>
        <v>пр</v>
      </c>
      <c r="M398" s="23" t="str">
        <f>'[4]14нед'!T162</f>
        <v>Теория систем и системный анализ</v>
      </c>
      <c r="N398" s="21" t="str">
        <f>'[4]14нед'!W162</f>
        <v>Гришин И.Ю.</v>
      </c>
      <c r="O398" s="22" t="str">
        <f>'[4]14нед'!X162</f>
        <v>профессор, д-р наук</v>
      </c>
      <c r="P398" s="36" t="s">
        <v>31</v>
      </c>
    </row>
    <row r="399" spans="1:16" ht="31.2">
      <c r="A399" s="49"/>
      <c r="B399" s="52"/>
      <c r="C399" s="14" t="s">
        <v>26</v>
      </c>
      <c r="D399" s="20" t="str">
        <f>'[3]13нед'!S163</f>
        <v>л</v>
      </c>
      <c r="E399" s="23" t="str">
        <f>'[3]13нед'!T163</f>
        <v>Основы програмной инженерии</v>
      </c>
      <c r="F399" s="21" t="str">
        <f>'[3]13нед'!W163</f>
        <v>Круглый Д.Г.</v>
      </c>
      <c r="G399" s="22" t="str">
        <f>'[3]13нед'!X163</f>
        <v>профессор, д-р наук</v>
      </c>
      <c r="H399" s="36" t="s">
        <v>31</v>
      </c>
      <c r="I399" s="54"/>
      <c r="J399" s="57"/>
      <c r="K399" s="14" t="s">
        <v>26</v>
      </c>
      <c r="L399" s="20" t="str">
        <f>'[4]14нед'!S163</f>
        <v>пр</v>
      </c>
      <c r="M399" s="23" t="str">
        <f>'[4]14нед'!T163</f>
        <v>Теория систем и системный анализ</v>
      </c>
      <c r="N399" s="21" t="str">
        <f>'[4]14нед'!W163</f>
        <v>Гришин И.Ю.</v>
      </c>
      <c r="O399" s="22" t="str">
        <f>'[4]14нед'!X163</f>
        <v>профессор, д-р наук</v>
      </c>
      <c r="P399" s="36" t="s">
        <v>31</v>
      </c>
    </row>
    <row r="400" spans="1:16" ht="31.2">
      <c r="A400" s="49"/>
      <c r="B400" s="52"/>
      <c r="C400" s="14" t="s">
        <v>27</v>
      </c>
      <c r="D400" s="20">
        <f>'[3]13нед'!S164</f>
        <v>0</v>
      </c>
      <c r="E400" s="23">
        <f>'[3]13нед'!T164</f>
        <v>0</v>
      </c>
      <c r="F400" s="21">
        <f>'[3]13нед'!W164</f>
        <v>0</v>
      </c>
      <c r="G400" s="22">
        <f>'[3]13нед'!X164</f>
        <v>0</v>
      </c>
      <c r="H400" s="41"/>
      <c r="I400" s="54"/>
      <c r="J400" s="57"/>
      <c r="K400" s="14" t="s">
        <v>27</v>
      </c>
      <c r="L400" s="20">
        <f>'[4]14нед'!S164</f>
        <v>0</v>
      </c>
      <c r="M400" s="23">
        <f>'[4]14нед'!T164</f>
        <v>0</v>
      </c>
      <c r="N400" s="21">
        <f>'[4]14нед'!W164</f>
        <v>0</v>
      </c>
      <c r="O400" s="22">
        <f>'[4]14нед'!X164</f>
        <v>0</v>
      </c>
      <c r="P400" s="41"/>
    </row>
    <row r="401" spans="1:16" ht="31.2">
      <c r="A401" s="49"/>
      <c r="B401" s="52"/>
      <c r="C401" s="14" t="s">
        <v>28</v>
      </c>
      <c r="D401" s="20">
        <f>'[3]13нед'!S165</f>
        <v>0</v>
      </c>
      <c r="E401" s="23">
        <f>'[3]13нед'!T165</f>
        <v>0</v>
      </c>
      <c r="F401" s="21">
        <f>'[3]13нед'!W165</f>
        <v>0</v>
      </c>
      <c r="G401" s="22">
        <f>'[3]13нед'!X165</f>
        <v>0</v>
      </c>
      <c r="H401" s="41"/>
      <c r="I401" s="54"/>
      <c r="J401" s="57"/>
      <c r="K401" s="14" t="s">
        <v>28</v>
      </c>
      <c r="L401" s="20">
        <f>'[4]14нед'!S165</f>
        <v>0</v>
      </c>
      <c r="M401" s="23">
        <f>'[4]14нед'!T165</f>
        <v>0</v>
      </c>
      <c r="N401" s="21">
        <f>'[4]14нед'!W165</f>
        <v>0</v>
      </c>
      <c r="O401" s="22">
        <f>'[4]14нед'!X165</f>
        <v>0</v>
      </c>
      <c r="P401" s="41"/>
    </row>
    <row r="402" spans="1:16" ht="31.8" thickBot="1">
      <c r="A402" s="49"/>
      <c r="B402" s="52"/>
      <c r="C402" s="14" t="s">
        <v>29</v>
      </c>
      <c r="D402" s="20">
        <f>'[3]13нед'!S166</f>
        <v>0</v>
      </c>
      <c r="E402" s="23">
        <f>'[3]13нед'!T166</f>
        <v>0</v>
      </c>
      <c r="F402" s="21">
        <f>'[3]13нед'!W166</f>
        <v>0</v>
      </c>
      <c r="G402" s="22">
        <f>'[3]13нед'!X166</f>
        <v>0</v>
      </c>
      <c r="H402" s="41"/>
      <c r="I402" s="54"/>
      <c r="J402" s="57"/>
      <c r="K402" s="14" t="s">
        <v>29</v>
      </c>
      <c r="L402" s="20">
        <f>'[4]14нед'!S166</f>
        <v>0</v>
      </c>
      <c r="M402" s="23">
        <f>'[4]14нед'!T166</f>
        <v>0</v>
      </c>
      <c r="N402" s="21">
        <f>'[4]14нед'!W166</f>
        <v>0</v>
      </c>
      <c r="O402" s="22">
        <f>'[4]14нед'!X166</f>
        <v>0</v>
      </c>
      <c r="P402" s="41"/>
    </row>
    <row r="403" spans="1:16" ht="18.600000000000001" hidden="1" customHeight="1" thickBot="1">
      <c r="A403" s="50"/>
      <c r="B403" s="53"/>
      <c r="C403" s="15"/>
      <c r="D403" s="24">
        <f>'[3]13нед'!S167</f>
        <v>0</v>
      </c>
      <c r="E403" s="25">
        <f>'[3]13нед'!T167</f>
        <v>0</v>
      </c>
      <c r="F403" s="26">
        <f>'[3]13нед'!W167</f>
        <v>0</v>
      </c>
      <c r="G403" s="27">
        <f>'[3]13нед'!X167</f>
        <v>0</v>
      </c>
      <c r="H403" s="42"/>
      <c r="I403" s="55"/>
      <c r="J403" s="58"/>
      <c r="K403" s="15"/>
      <c r="L403" s="24">
        <f>'[4]14нед'!S167</f>
        <v>0</v>
      </c>
      <c r="M403" s="25">
        <f>'[4]14нед'!T167</f>
        <v>0</v>
      </c>
      <c r="N403" s="26">
        <f>'[4]14нед'!W167</f>
        <v>0</v>
      </c>
      <c r="O403" s="27">
        <f>'[4]14нед'!X167</f>
        <v>0</v>
      </c>
      <c r="P403" s="42"/>
    </row>
    <row r="404" spans="1:16" ht="48" customHeight="1" thickTop="1">
      <c r="A404" s="48">
        <v>45989</v>
      </c>
      <c r="B404" s="51" t="s">
        <v>4</v>
      </c>
      <c r="C404" s="28" t="s">
        <v>23</v>
      </c>
      <c r="D404" s="16">
        <f>'[3]13нед'!S168</f>
        <v>0</v>
      </c>
      <c r="E404" s="19">
        <f>'[3]13нед'!T168</f>
        <v>0</v>
      </c>
      <c r="F404" s="17">
        <f>'[3]13нед'!W168</f>
        <v>0</v>
      </c>
      <c r="G404" s="18">
        <f>'[3]13нед'!X168</f>
        <v>0</v>
      </c>
      <c r="H404" s="43"/>
      <c r="I404" s="48">
        <v>45996</v>
      </c>
      <c r="J404" s="56" t="s">
        <v>4</v>
      </c>
      <c r="K404" s="28" t="s">
        <v>23</v>
      </c>
      <c r="L404" s="16">
        <f>'[4]14нед'!S168</f>
        <v>0</v>
      </c>
      <c r="M404" s="19">
        <f>'[4]14нед'!T168</f>
        <v>0</v>
      </c>
      <c r="N404" s="17">
        <f>'[4]14нед'!W168</f>
        <v>0</v>
      </c>
      <c r="O404" s="18">
        <f>'[4]14нед'!X168</f>
        <v>0</v>
      </c>
      <c r="P404" s="43"/>
    </row>
    <row r="405" spans="1:16" ht="31.2">
      <c r="A405" s="49"/>
      <c r="B405" s="52"/>
      <c r="C405" s="14" t="s">
        <v>24</v>
      </c>
      <c r="D405" s="20" t="str">
        <f>'[3]13нед'!S169</f>
        <v>л</v>
      </c>
      <c r="E405" s="23" t="str">
        <f>'[3]13нед'!T169</f>
        <v xml:space="preserve">Философия научного познания </v>
      </c>
      <c r="F405" s="21" t="str">
        <f>'[3]13нед'!W169</f>
        <v>Солодухин Д.В.</v>
      </c>
      <c r="G405" s="22" t="str">
        <f>'[3]13нед'!X169</f>
        <v>профессор, канд. наук</v>
      </c>
      <c r="H405" s="36" t="s">
        <v>32</v>
      </c>
      <c r="I405" s="54"/>
      <c r="J405" s="57"/>
      <c r="K405" s="14" t="s">
        <v>24</v>
      </c>
      <c r="L405" s="20" t="str">
        <f>'[4]14нед'!S169</f>
        <v>пр</v>
      </c>
      <c r="M405" s="23" t="str">
        <f>'[4]14нед'!T169</f>
        <v xml:space="preserve">Философия научного познания </v>
      </c>
      <c r="N405" s="21" t="str">
        <f>'[4]14нед'!W169</f>
        <v>Солодухин Д.В.</v>
      </c>
      <c r="O405" s="22" t="str">
        <f>'[4]14нед'!X169</f>
        <v>профессор, канд. наук</v>
      </c>
      <c r="P405" s="36" t="s">
        <v>34</v>
      </c>
    </row>
    <row r="406" spans="1:16" ht="36">
      <c r="A406" s="49"/>
      <c r="B406" s="52"/>
      <c r="C406" s="14" t="s">
        <v>25</v>
      </c>
      <c r="D406" s="20" t="str">
        <f>'[3]13нед'!S170</f>
        <v>л</v>
      </c>
      <c r="E406" s="23" t="str">
        <f>'[3]13нед'!T170</f>
        <v>Методология исследовательской деятельности</v>
      </c>
      <c r="F406" s="21" t="str">
        <f>'[3]13нед'!W170</f>
        <v>Гуменюк А.Ю.</v>
      </c>
      <c r="G406" s="22" t="str">
        <f>'[3]13нед'!X170</f>
        <v>доцент, канд. наук</v>
      </c>
      <c r="H406" s="36" t="s">
        <v>33</v>
      </c>
      <c r="I406" s="54"/>
      <c r="J406" s="57"/>
      <c r="K406" s="14" t="s">
        <v>25</v>
      </c>
      <c r="L406" s="20" t="str">
        <f>'[4]14нед'!S170</f>
        <v>пр</v>
      </c>
      <c r="M406" s="23" t="str">
        <f>'[4]14нед'!T170</f>
        <v>Методология исследовательской деятельности</v>
      </c>
      <c r="N406" s="21" t="str">
        <f>'[4]14нед'!W170</f>
        <v>Гуменюк А.Ю.</v>
      </c>
      <c r="O406" s="22" t="str">
        <f>'[4]14нед'!X170</f>
        <v>доцент, канд. наук</v>
      </c>
      <c r="P406" s="36" t="s">
        <v>35</v>
      </c>
    </row>
    <row r="407" spans="1:16" ht="31.2">
      <c r="A407" s="49"/>
      <c r="B407" s="52"/>
      <c r="C407" s="14" t="s">
        <v>26</v>
      </c>
      <c r="D407" s="20">
        <f>'[3]13нед'!S171</f>
        <v>0</v>
      </c>
      <c r="E407" s="23">
        <f>'[3]13нед'!T171</f>
        <v>0</v>
      </c>
      <c r="F407" s="21">
        <f>'[3]13нед'!W171</f>
        <v>0</v>
      </c>
      <c r="G407" s="22">
        <f>'[3]13нед'!X171</f>
        <v>0</v>
      </c>
      <c r="H407" s="41"/>
      <c r="I407" s="54"/>
      <c r="J407" s="57"/>
      <c r="K407" s="14" t="s">
        <v>26</v>
      </c>
      <c r="L407" s="20">
        <f>'[4]14нед'!S171</f>
        <v>0</v>
      </c>
      <c r="M407" s="23">
        <f>'[4]14нед'!T171</f>
        <v>0</v>
      </c>
      <c r="N407" s="21">
        <f>'[4]14нед'!W171</f>
        <v>0</v>
      </c>
      <c r="O407" s="22">
        <f>'[4]14нед'!X171</f>
        <v>0</v>
      </c>
      <c r="P407" s="41"/>
    </row>
    <row r="408" spans="1:16" ht="31.2">
      <c r="A408" s="49"/>
      <c r="B408" s="52"/>
      <c r="C408" s="14" t="s">
        <v>27</v>
      </c>
      <c r="D408" s="20">
        <f>'[3]13нед'!S172</f>
        <v>0</v>
      </c>
      <c r="E408" s="23">
        <f>'[3]13нед'!T172</f>
        <v>0</v>
      </c>
      <c r="F408" s="21">
        <f>'[3]13нед'!W172</f>
        <v>0</v>
      </c>
      <c r="G408" s="22">
        <f>'[3]13нед'!X172</f>
        <v>0</v>
      </c>
      <c r="H408" s="41"/>
      <c r="I408" s="54"/>
      <c r="J408" s="57"/>
      <c r="K408" s="14" t="s">
        <v>27</v>
      </c>
      <c r="L408" s="20">
        <f>'[4]14нед'!S172</f>
        <v>0</v>
      </c>
      <c r="M408" s="23">
        <f>'[4]14нед'!T172</f>
        <v>0</v>
      </c>
      <c r="N408" s="21">
        <f>'[4]14нед'!W172</f>
        <v>0</v>
      </c>
      <c r="O408" s="22">
        <f>'[4]14нед'!X172</f>
        <v>0</v>
      </c>
      <c r="P408" s="41"/>
    </row>
    <row r="409" spans="1:16" ht="31.2">
      <c r="A409" s="49"/>
      <c r="B409" s="52"/>
      <c r="C409" s="14" t="s">
        <v>28</v>
      </c>
      <c r="D409" s="20">
        <f>'[3]13нед'!S173</f>
        <v>0</v>
      </c>
      <c r="E409" s="23">
        <f>'[3]13нед'!T173</f>
        <v>0</v>
      </c>
      <c r="F409" s="21">
        <f>'[3]13нед'!W173</f>
        <v>0</v>
      </c>
      <c r="G409" s="22">
        <f>'[3]13нед'!X173</f>
        <v>0</v>
      </c>
      <c r="H409" s="41"/>
      <c r="I409" s="54"/>
      <c r="J409" s="57"/>
      <c r="K409" s="14" t="s">
        <v>28</v>
      </c>
      <c r="L409" s="20">
        <f>'[4]14нед'!S173</f>
        <v>0</v>
      </c>
      <c r="M409" s="23">
        <f>'[4]14нед'!T173</f>
        <v>0</v>
      </c>
      <c r="N409" s="21">
        <f>'[4]14нед'!W173</f>
        <v>0</v>
      </c>
      <c r="O409" s="22">
        <f>'[4]14нед'!X173</f>
        <v>0</v>
      </c>
      <c r="P409" s="41"/>
    </row>
    <row r="410" spans="1:16" ht="31.8" thickBot="1">
      <c r="A410" s="49"/>
      <c r="B410" s="52"/>
      <c r="C410" s="14" t="s">
        <v>29</v>
      </c>
      <c r="D410" s="20">
        <f>'[3]13нед'!S174</f>
        <v>0</v>
      </c>
      <c r="E410" s="23">
        <f>'[3]13нед'!T174</f>
        <v>0</v>
      </c>
      <c r="F410" s="21">
        <f>'[3]13нед'!W174</f>
        <v>0</v>
      </c>
      <c r="G410" s="22">
        <f>'[3]13нед'!X174</f>
        <v>0</v>
      </c>
      <c r="H410" s="41"/>
      <c r="I410" s="54"/>
      <c r="J410" s="57"/>
      <c r="K410" s="14" t="s">
        <v>29</v>
      </c>
      <c r="L410" s="20">
        <f>'[4]14нед'!S174</f>
        <v>0</v>
      </c>
      <c r="M410" s="23">
        <f>'[4]14нед'!T174</f>
        <v>0</v>
      </c>
      <c r="N410" s="21">
        <f>'[4]14нед'!W174</f>
        <v>0</v>
      </c>
      <c r="O410" s="22">
        <f>'[4]14нед'!X174</f>
        <v>0</v>
      </c>
      <c r="P410" s="41"/>
    </row>
    <row r="411" spans="1:16" ht="18.600000000000001" hidden="1" customHeight="1" thickBot="1">
      <c r="A411" s="50"/>
      <c r="B411" s="53"/>
      <c r="C411" s="15"/>
      <c r="D411" s="24">
        <f>'[3]13нед'!S175</f>
        <v>0</v>
      </c>
      <c r="E411" s="25">
        <f>'[3]13нед'!T175</f>
        <v>0</v>
      </c>
      <c r="F411" s="26">
        <f>'[3]13нед'!W175</f>
        <v>0</v>
      </c>
      <c r="G411" s="27">
        <f>'[3]13нед'!X175</f>
        <v>0</v>
      </c>
      <c r="H411" s="42"/>
      <c r="I411" s="55"/>
      <c r="J411" s="58"/>
      <c r="K411" s="15"/>
      <c r="L411" s="24">
        <f>'[4]14нед'!S175</f>
        <v>0</v>
      </c>
      <c r="M411" s="25">
        <f>'[4]14нед'!T175</f>
        <v>0</v>
      </c>
      <c r="N411" s="26">
        <f>'[4]14нед'!W175</f>
        <v>0</v>
      </c>
      <c r="O411" s="27">
        <f>'[4]14нед'!X175</f>
        <v>0</v>
      </c>
      <c r="P411" s="42"/>
    </row>
    <row r="412" spans="1:16" ht="48" customHeight="1" thickTop="1">
      <c r="A412" s="48">
        <v>45990</v>
      </c>
      <c r="B412" s="51" t="s">
        <v>5</v>
      </c>
      <c r="C412" s="28" t="s">
        <v>23</v>
      </c>
      <c r="D412" s="16">
        <f>'[3]13нед'!S176</f>
        <v>0</v>
      </c>
      <c r="E412" s="19">
        <f>'[3]13нед'!T176</f>
        <v>0</v>
      </c>
      <c r="F412" s="17">
        <f>'[3]13нед'!W176</f>
        <v>0</v>
      </c>
      <c r="G412" s="18">
        <f>'[3]13нед'!X176</f>
        <v>0</v>
      </c>
      <c r="H412" s="43"/>
      <c r="I412" s="48">
        <v>45997</v>
      </c>
      <c r="J412" s="56" t="s">
        <v>5</v>
      </c>
      <c r="K412" s="28" t="s">
        <v>23</v>
      </c>
      <c r="L412" s="16">
        <f>'[4]14нед'!S176</f>
        <v>0</v>
      </c>
      <c r="M412" s="19">
        <f>'[4]14нед'!T176</f>
        <v>0</v>
      </c>
      <c r="N412" s="17">
        <f>'[4]14нед'!W176</f>
        <v>0</v>
      </c>
      <c r="O412" s="18">
        <f>'[4]14нед'!X176</f>
        <v>0</v>
      </c>
      <c r="P412" s="43"/>
    </row>
    <row r="413" spans="1:16" ht="31.2">
      <c r="A413" s="49"/>
      <c r="B413" s="52"/>
      <c r="C413" s="14" t="s">
        <v>24</v>
      </c>
      <c r="D413" s="20">
        <f>'[3]13нед'!S177</f>
        <v>0</v>
      </c>
      <c r="E413" s="23">
        <f>'[3]13нед'!T177</f>
        <v>0</v>
      </c>
      <c r="F413" s="21">
        <f>'[3]13нед'!W177</f>
        <v>0</v>
      </c>
      <c r="G413" s="22">
        <f>'[3]13нед'!X177</f>
        <v>0</v>
      </c>
      <c r="H413" s="41"/>
      <c r="I413" s="54"/>
      <c r="J413" s="57"/>
      <c r="K413" s="14" t="s">
        <v>24</v>
      </c>
      <c r="L413" s="20">
        <f>'[4]14нед'!S177</f>
        <v>0</v>
      </c>
      <c r="M413" s="23">
        <f>'[4]14нед'!T177</f>
        <v>0</v>
      </c>
      <c r="N413" s="21">
        <f>'[4]14нед'!W177</f>
        <v>0</v>
      </c>
      <c r="O413" s="22">
        <f>'[4]14нед'!X177</f>
        <v>0</v>
      </c>
      <c r="P413" s="41"/>
    </row>
    <row r="414" spans="1:16" ht="31.2">
      <c r="A414" s="49"/>
      <c r="B414" s="52"/>
      <c r="C414" s="14" t="s">
        <v>25</v>
      </c>
      <c r="D414" s="20">
        <f>'[3]13нед'!S178</f>
        <v>0</v>
      </c>
      <c r="E414" s="23">
        <f>'[3]13нед'!T178</f>
        <v>0</v>
      </c>
      <c r="F414" s="21">
        <f>'[3]13нед'!W178</f>
        <v>0</v>
      </c>
      <c r="G414" s="22">
        <f>'[3]13нед'!X178</f>
        <v>0</v>
      </c>
      <c r="H414" s="41"/>
      <c r="I414" s="54"/>
      <c r="J414" s="57"/>
      <c r="K414" s="14" t="s">
        <v>25</v>
      </c>
      <c r="L414" s="20">
        <f>'[4]14нед'!S178</f>
        <v>0</v>
      </c>
      <c r="M414" s="23">
        <f>'[4]14нед'!T178</f>
        <v>0</v>
      </c>
      <c r="N414" s="21">
        <f>'[4]14нед'!W178</f>
        <v>0</v>
      </c>
      <c r="O414" s="22">
        <f>'[4]14нед'!X178</f>
        <v>0</v>
      </c>
      <c r="P414" s="41"/>
    </row>
    <row r="415" spans="1:16" ht="31.2">
      <c r="A415" s="49"/>
      <c r="B415" s="52"/>
      <c r="C415" s="14" t="s">
        <v>26</v>
      </c>
      <c r="D415" s="20">
        <f>'[3]13нед'!S179</f>
        <v>0</v>
      </c>
      <c r="E415" s="23">
        <f>'[3]13нед'!T179</f>
        <v>0</v>
      </c>
      <c r="F415" s="21">
        <f>'[3]13нед'!W179</f>
        <v>0</v>
      </c>
      <c r="G415" s="22">
        <f>'[3]13нед'!X179</f>
        <v>0</v>
      </c>
      <c r="H415" s="41"/>
      <c r="I415" s="54"/>
      <c r="J415" s="57"/>
      <c r="K415" s="14" t="s">
        <v>26</v>
      </c>
      <c r="L415" s="20">
        <f>'[4]14нед'!S179</f>
        <v>0</v>
      </c>
      <c r="M415" s="23">
        <f>'[4]14нед'!T179</f>
        <v>0</v>
      </c>
      <c r="N415" s="21">
        <f>'[4]14нед'!W179</f>
        <v>0</v>
      </c>
      <c r="O415" s="22">
        <f>'[4]14нед'!X179</f>
        <v>0</v>
      </c>
      <c r="P415" s="41"/>
    </row>
    <row r="416" spans="1:16" ht="31.2">
      <c r="A416" s="49"/>
      <c r="B416" s="52"/>
      <c r="C416" s="14" t="s">
        <v>27</v>
      </c>
      <c r="D416" s="20">
        <f>'[3]13нед'!S180</f>
        <v>0</v>
      </c>
      <c r="E416" s="23">
        <f>'[3]13нед'!T180</f>
        <v>0</v>
      </c>
      <c r="F416" s="21">
        <f>'[3]13нед'!W180</f>
        <v>0</v>
      </c>
      <c r="G416" s="22">
        <f>'[3]13нед'!X180</f>
        <v>0</v>
      </c>
      <c r="H416" s="41"/>
      <c r="I416" s="54"/>
      <c r="J416" s="57"/>
      <c r="K416" s="14" t="s">
        <v>27</v>
      </c>
      <c r="L416" s="20">
        <f>'[4]14нед'!S180</f>
        <v>0</v>
      </c>
      <c r="M416" s="23">
        <f>'[4]14нед'!T180</f>
        <v>0</v>
      </c>
      <c r="N416" s="21">
        <f>'[4]14нед'!W180</f>
        <v>0</v>
      </c>
      <c r="O416" s="22">
        <f>'[4]14нед'!X180</f>
        <v>0</v>
      </c>
      <c r="P416" s="41"/>
    </row>
    <row r="417" spans="1:16" ht="31.2">
      <c r="A417" s="49"/>
      <c r="B417" s="52"/>
      <c r="C417" s="14" t="s">
        <v>28</v>
      </c>
      <c r="D417" s="20">
        <f>'[3]13нед'!S181</f>
        <v>0</v>
      </c>
      <c r="E417" s="23">
        <f>'[3]13нед'!T181</f>
        <v>0</v>
      </c>
      <c r="F417" s="21">
        <f>'[3]13нед'!W181</f>
        <v>0</v>
      </c>
      <c r="G417" s="22">
        <f>'[3]13нед'!X181</f>
        <v>0</v>
      </c>
      <c r="H417" s="41"/>
      <c r="I417" s="54"/>
      <c r="J417" s="57"/>
      <c r="K417" s="14" t="s">
        <v>28</v>
      </c>
      <c r="L417" s="20">
        <f>'[4]14нед'!S181</f>
        <v>0</v>
      </c>
      <c r="M417" s="23">
        <f>'[4]14нед'!T181</f>
        <v>0</v>
      </c>
      <c r="N417" s="21">
        <f>'[4]14нед'!W181</f>
        <v>0</v>
      </c>
      <c r="O417" s="22">
        <f>'[4]14нед'!X181</f>
        <v>0</v>
      </c>
      <c r="P417" s="41"/>
    </row>
    <row r="418" spans="1:16" ht="31.8" thickBot="1">
      <c r="A418" s="49"/>
      <c r="B418" s="52"/>
      <c r="C418" s="14" t="s">
        <v>29</v>
      </c>
      <c r="D418" s="20">
        <f>'[3]13нед'!S182</f>
        <v>0</v>
      </c>
      <c r="E418" s="23">
        <f>'[3]13нед'!T182</f>
        <v>0</v>
      </c>
      <c r="F418" s="21">
        <f>'[3]13нед'!W182</f>
        <v>0</v>
      </c>
      <c r="G418" s="22">
        <f>'[3]13нед'!X182</f>
        <v>0</v>
      </c>
      <c r="H418" s="41"/>
      <c r="I418" s="54"/>
      <c r="J418" s="57"/>
      <c r="K418" s="14" t="s">
        <v>29</v>
      </c>
      <c r="L418" s="20">
        <f>'[4]14нед'!S182</f>
        <v>0</v>
      </c>
      <c r="M418" s="23">
        <f>'[4]14нед'!T182</f>
        <v>0</v>
      </c>
      <c r="N418" s="21">
        <f>'[4]14нед'!W182</f>
        <v>0</v>
      </c>
      <c r="O418" s="22">
        <f>'[4]14нед'!X182</f>
        <v>0</v>
      </c>
      <c r="P418" s="41"/>
    </row>
    <row r="419" spans="1:16" ht="18.600000000000001" hidden="1" customHeight="1" thickBot="1">
      <c r="A419" s="50"/>
      <c r="B419" s="53"/>
      <c r="C419" s="15"/>
      <c r="D419" s="24">
        <f>'[3]13нед'!S59</f>
        <v>0</v>
      </c>
      <c r="E419" s="25">
        <f>'[3]13нед'!T59</f>
        <v>0</v>
      </c>
      <c r="F419" s="26">
        <f>'[3]13нед'!W59</f>
        <v>0</v>
      </c>
      <c r="G419" s="27">
        <f>'[3]11нед'!X59</f>
        <v>0</v>
      </c>
      <c r="H419" s="42"/>
      <c r="I419" s="55"/>
      <c r="J419" s="58"/>
      <c r="K419" s="15"/>
      <c r="L419" s="24">
        <f>'[4]14нед'!S59</f>
        <v>0</v>
      </c>
      <c r="M419" s="25">
        <f>'[4]14нед'!T59</f>
        <v>0</v>
      </c>
      <c r="N419" s="26">
        <f>'[4]14нед'!W59</f>
        <v>0</v>
      </c>
      <c r="O419" s="27">
        <f>'[4]14нед'!X59</f>
        <v>0</v>
      </c>
      <c r="P419" s="42"/>
    </row>
    <row r="420" spans="1:16" ht="39" customHeight="1" thickTop="1">
      <c r="A420" s="29"/>
      <c r="B420" s="30"/>
      <c r="C420" s="31"/>
      <c r="D420" s="32"/>
      <c r="E420" s="32" t="s">
        <v>21</v>
      </c>
      <c r="F420" s="32"/>
      <c r="G420" s="33" t="s">
        <v>22</v>
      </c>
      <c r="H420" s="44"/>
      <c r="I420" s="29"/>
      <c r="J420" s="30"/>
      <c r="K420" s="31"/>
      <c r="L420" s="32"/>
      <c r="M420" s="32" t="s">
        <v>21</v>
      </c>
      <c r="N420" s="32"/>
      <c r="O420" s="33" t="s">
        <v>22</v>
      </c>
      <c r="P420" s="44"/>
    </row>
    <row r="421" spans="1:16" ht="15.6">
      <c r="A421" s="1"/>
      <c r="B421" s="2"/>
      <c r="C421" s="3"/>
      <c r="D421" s="4"/>
      <c r="E421" s="4"/>
      <c r="F421" s="4"/>
      <c r="G421" s="4"/>
      <c r="H421" s="37" t="s">
        <v>8</v>
      </c>
      <c r="I421" s="1"/>
      <c r="J421" s="2"/>
      <c r="K421" s="3"/>
      <c r="L421" s="4"/>
      <c r="M421" s="4"/>
      <c r="N421" s="4"/>
      <c r="O421" s="4"/>
      <c r="P421" s="37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37" t="s">
        <v>9</v>
      </c>
      <c r="I422" s="1"/>
      <c r="J422" s="2"/>
      <c r="K422" s="3"/>
      <c r="L422" s="4"/>
      <c r="M422" s="4"/>
      <c r="N422" s="4"/>
      <c r="O422" s="4"/>
      <c r="P422" s="37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37" t="s">
        <v>10</v>
      </c>
      <c r="I423" s="1"/>
      <c r="J423" s="2"/>
      <c r="K423" s="3"/>
      <c r="L423" s="4"/>
      <c r="M423" s="4"/>
      <c r="N423" s="4"/>
      <c r="O423" s="4"/>
      <c r="P423" s="37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37" t="s">
        <v>11</v>
      </c>
      <c r="I424" s="1"/>
      <c r="J424" s="2"/>
      <c r="K424" s="3"/>
      <c r="L424" s="4"/>
      <c r="M424" s="4"/>
      <c r="N424" s="4"/>
      <c r="O424" s="4"/>
      <c r="P424" s="37" t="s">
        <v>11</v>
      </c>
    </row>
    <row r="425" spans="1:16" ht="15.6">
      <c r="A425" s="1"/>
      <c r="B425" s="5"/>
      <c r="C425" s="3"/>
      <c r="D425" s="4"/>
      <c r="E425" s="4"/>
      <c r="F425" s="4"/>
      <c r="G425" s="4"/>
      <c r="H425" s="38"/>
      <c r="I425" s="1"/>
      <c r="J425" s="5"/>
      <c r="K425" s="3"/>
      <c r="L425" s="4"/>
      <c r="M425" s="4"/>
      <c r="N425" s="4"/>
      <c r="O425" s="4"/>
      <c r="P425" s="38"/>
    </row>
    <row r="426" spans="1:16" ht="15.6">
      <c r="A426" s="1"/>
      <c r="B426" s="74" t="s">
        <v>12</v>
      </c>
      <c r="C426" s="74"/>
      <c r="D426" s="74"/>
      <c r="E426" s="74"/>
      <c r="F426" s="74"/>
      <c r="G426" s="74"/>
      <c r="H426" s="74"/>
      <c r="I426" s="1"/>
      <c r="J426" s="74" t="s">
        <v>12</v>
      </c>
      <c r="K426" s="74"/>
      <c r="L426" s="74"/>
      <c r="M426" s="74"/>
      <c r="N426" s="74"/>
      <c r="O426" s="74"/>
      <c r="P426" s="74"/>
    </row>
    <row r="427" spans="1:16" ht="15.6">
      <c r="A427" s="6"/>
      <c r="B427" s="34" t="str">
        <f>'[1]1нед'!$A$6</f>
        <v>Направление подготовки:</v>
      </c>
      <c r="C427" s="7"/>
      <c r="D427" s="8"/>
      <c r="E427" s="9" t="str">
        <f>E7</f>
        <v>09.04.04 Программная инженерия (Разработка программно-информационных систем)</v>
      </c>
      <c r="F427" s="8"/>
      <c r="G427" s="8"/>
      <c r="H427" s="39" t="str">
        <f>H7</f>
        <v>12-25РПм</v>
      </c>
      <c r="I427" s="6"/>
      <c r="J427" s="34" t="str">
        <f>'[1]1нед'!$A$6</f>
        <v>Направление подготовки:</v>
      </c>
      <c r="K427" s="7"/>
      <c r="L427" s="8"/>
      <c r="M427" s="9" t="str">
        <f>E7</f>
        <v>09.04.04 Программная инженерия (Разработка программно-информационных систем)</v>
      </c>
      <c r="N427" s="8"/>
      <c r="O427" s="8"/>
      <c r="P427" s="39" t="str">
        <f>H7</f>
        <v>12-25РПм</v>
      </c>
    </row>
    <row r="428" spans="1:16" ht="15.6">
      <c r="A428" s="1"/>
      <c r="B428" s="73" t="s">
        <v>13</v>
      </c>
      <c r="C428" s="73"/>
      <c r="D428" s="73"/>
      <c r="E428" s="73" t="str">
        <f t="shared" ref="E428" si="6">E8</f>
        <v>очная</v>
      </c>
      <c r="F428" s="73"/>
      <c r="G428" s="73"/>
      <c r="H428" s="73"/>
      <c r="I428" s="1"/>
      <c r="J428" s="73" t="s">
        <v>13</v>
      </c>
      <c r="K428" s="73"/>
      <c r="L428" s="73"/>
      <c r="M428" s="73" t="str">
        <f t="shared" ref="M428" si="7">E8</f>
        <v>очная</v>
      </c>
      <c r="N428" s="73"/>
      <c r="O428" s="73"/>
      <c r="P428" s="73"/>
    </row>
    <row r="429" spans="1:16" ht="15.6">
      <c r="A429" s="1"/>
      <c r="B429" s="73" t="s">
        <v>15</v>
      </c>
      <c r="C429" s="73"/>
      <c r="D429" s="73"/>
      <c r="E429" s="34">
        <f>E9</f>
        <v>1</v>
      </c>
      <c r="F429" s="34"/>
      <c r="G429" s="34"/>
      <c r="H429" s="38"/>
      <c r="I429" s="1"/>
      <c r="J429" s="73" t="s">
        <v>15</v>
      </c>
      <c r="K429" s="73"/>
      <c r="L429" s="73"/>
      <c r="M429" s="34">
        <f>E9</f>
        <v>1</v>
      </c>
      <c r="N429" s="34"/>
      <c r="O429" s="34"/>
      <c r="P429" s="38"/>
    </row>
    <row r="430" spans="1:16" ht="16.2" thickBot="1">
      <c r="A430" s="1"/>
      <c r="B430" s="70" t="s">
        <v>16</v>
      </c>
      <c r="C430" s="70"/>
      <c r="D430" s="70"/>
      <c r="E430" s="35">
        <f>M370+1</f>
        <v>15</v>
      </c>
      <c r="F430" s="35"/>
      <c r="G430" s="35"/>
      <c r="H430" s="40"/>
      <c r="I430" s="1"/>
      <c r="J430" s="70" t="s">
        <v>16</v>
      </c>
      <c r="K430" s="70"/>
      <c r="L430" s="70"/>
      <c r="M430" s="35">
        <f>E430+1</f>
        <v>16</v>
      </c>
      <c r="N430" s="35"/>
      <c r="O430" s="35"/>
      <c r="P430" s="40"/>
    </row>
    <row r="431" spans="1:16" ht="54" customHeight="1" thickTop="1" thickBot="1">
      <c r="A431" s="71" t="s">
        <v>17</v>
      </c>
      <c r="B431" s="72"/>
      <c r="C431" s="10" t="s">
        <v>18</v>
      </c>
      <c r="D431" s="11" t="s">
        <v>7</v>
      </c>
      <c r="E431" s="12" t="s">
        <v>19</v>
      </c>
      <c r="F431" s="68" t="s">
        <v>6</v>
      </c>
      <c r="G431" s="69"/>
      <c r="H431" s="13" t="s">
        <v>20</v>
      </c>
      <c r="I431" s="71" t="s">
        <v>17</v>
      </c>
      <c r="J431" s="72"/>
      <c r="K431" s="10" t="s">
        <v>18</v>
      </c>
      <c r="L431" s="11" t="s">
        <v>7</v>
      </c>
      <c r="M431" s="12" t="s">
        <v>19</v>
      </c>
      <c r="N431" s="68" t="s">
        <v>6</v>
      </c>
      <c r="O431" s="69"/>
      <c r="P431" s="13" t="s">
        <v>20</v>
      </c>
    </row>
    <row r="432" spans="1:16" ht="32.25" customHeight="1" thickTop="1">
      <c r="A432" s="48">
        <v>45999</v>
      </c>
      <c r="B432" s="51" t="s">
        <v>0</v>
      </c>
      <c r="C432" s="14" t="s">
        <v>23</v>
      </c>
      <c r="D432" s="16">
        <f>'[4]15нед'!S136</f>
        <v>0</v>
      </c>
      <c r="E432" s="19">
        <f>'[4]15нед'!T136</f>
        <v>0</v>
      </c>
      <c r="F432" s="17">
        <f>'[4]15нед'!W136</f>
        <v>0</v>
      </c>
      <c r="G432" s="18">
        <f>'[4]15нед'!X136</f>
        <v>0</v>
      </c>
      <c r="H432" s="46"/>
      <c r="I432" s="48">
        <v>46006</v>
      </c>
      <c r="J432" s="56" t="s">
        <v>0</v>
      </c>
      <c r="K432" s="14" t="s">
        <v>23</v>
      </c>
      <c r="L432" s="16" t="str">
        <f>'[4]16нед'!S136</f>
        <v>пр</v>
      </c>
      <c r="M432" s="19" t="str">
        <f>'[4]16нед'!T136</f>
        <v>Применение методов искусственного интеллекта в анализе данных и управлении</v>
      </c>
      <c r="N432" s="17" t="str">
        <f>'[4]16нед'!W136</f>
        <v>Гришин И.Ю.</v>
      </c>
      <c r="O432" s="18" t="str">
        <f>'[4]16нед'!X136</f>
        <v>профессор, д-р наук</v>
      </c>
      <c r="P432" s="46" t="s">
        <v>31</v>
      </c>
    </row>
    <row r="433" spans="1:16" ht="31.2">
      <c r="A433" s="49"/>
      <c r="B433" s="52"/>
      <c r="C433" s="14" t="s">
        <v>24</v>
      </c>
      <c r="D433" s="20">
        <f>'[4]15нед'!S137</f>
        <v>0</v>
      </c>
      <c r="E433" s="23">
        <f>'[4]15нед'!T137</f>
        <v>0</v>
      </c>
      <c r="F433" s="21">
        <f>'[4]15нед'!W137</f>
        <v>0</v>
      </c>
      <c r="G433" s="22">
        <f>'[4]15нед'!X137</f>
        <v>0</v>
      </c>
      <c r="H433" s="46"/>
      <c r="I433" s="54"/>
      <c r="J433" s="57"/>
      <c r="K433" s="14" t="s">
        <v>24</v>
      </c>
      <c r="L433" s="20" t="str">
        <f>'[4]16нед'!S137</f>
        <v>пр</v>
      </c>
      <c r="M433" s="23" t="str">
        <f>'[4]16нед'!T137</f>
        <v>Машинное обучение и анализ данных</v>
      </c>
      <c r="N433" s="21" t="str">
        <f>'[4]16нед'!W137</f>
        <v>Гришин И.Ю.</v>
      </c>
      <c r="O433" s="22" t="str">
        <f>'[4]16нед'!X137</f>
        <v>профессор, д-р наук</v>
      </c>
      <c r="P433" s="46" t="s">
        <v>31</v>
      </c>
    </row>
    <row r="434" spans="1:16" ht="31.2">
      <c r="A434" s="49"/>
      <c r="B434" s="52"/>
      <c r="C434" s="14" t="s">
        <v>25</v>
      </c>
      <c r="D434" s="20">
        <f>'[4]15нед'!S138</f>
        <v>0</v>
      </c>
      <c r="E434" s="23">
        <f>'[4]15нед'!T138</f>
        <v>0</v>
      </c>
      <c r="F434" s="21">
        <f>'[4]15нед'!W138</f>
        <v>0</v>
      </c>
      <c r="G434" s="22">
        <f>'[4]15нед'!X138</f>
        <v>0</v>
      </c>
      <c r="H434" s="46"/>
      <c r="I434" s="54"/>
      <c r="J434" s="57"/>
      <c r="K434" s="14" t="s">
        <v>25</v>
      </c>
      <c r="L434" s="20" t="str">
        <f>'[4]16нед'!S138</f>
        <v>пр</v>
      </c>
      <c r="M434" s="23" t="str">
        <f>'[4]16нед'!T138</f>
        <v>Управление ИТ-проектами</v>
      </c>
      <c r="N434" s="21" t="str">
        <f>'[4]16нед'!W138</f>
        <v>Линник И.И.</v>
      </c>
      <c r="O434" s="22" t="str">
        <f>'[4]16нед'!X138</f>
        <v>доцент, канд. наук</v>
      </c>
      <c r="P434" s="46" t="s">
        <v>31</v>
      </c>
    </row>
    <row r="435" spans="1:16" ht="31.2">
      <c r="A435" s="49"/>
      <c r="B435" s="52"/>
      <c r="C435" s="14" t="s">
        <v>26</v>
      </c>
      <c r="D435" s="20">
        <f>'[4]15нед'!S139</f>
        <v>0</v>
      </c>
      <c r="E435" s="23">
        <f>'[4]15нед'!T139</f>
        <v>0</v>
      </c>
      <c r="F435" s="21">
        <f>'[4]15нед'!W139</f>
        <v>0</v>
      </c>
      <c r="G435" s="22">
        <f>'[4]15нед'!X139</f>
        <v>0</v>
      </c>
      <c r="H435" s="41"/>
      <c r="I435" s="54"/>
      <c r="J435" s="57"/>
      <c r="K435" s="14" t="s">
        <v>26</v>
      </c>
      <c r="L435" s="20">
        <f>'[4]16нед'!S139</f>
        <v>0</v>
      </c>
      <c r="M435" s="23">
        <f>'[4]16нед'!T139</f>
        <v>0</v>
      </c>
      <c r="N435" s="21">
        <f>'[4]16нед'!W139</f>
        <v>0</v>
      </c>
      <c r="O435" s="22">
        <f>'[4]16нед'!X139</f>
        <v>0</v>
      </c>
      <c r="P435" s="41"/>
    </row>
    <row r="436" spans="1:16" ht="31.2">
      <c r="A436" s="49"/>
      <c r="B436" s="52"/>
      <c r="C436" s="14" t="s">
        <v>27</v>
      </c>
      <c r="D436" s="20">
        <f>'[4]15нед'!S140</f>
        <v>0</v>
      </c>
      <c r="E436" s="23">
        <f>'[4]15нед'!T140</f>
        <v>0</v>
      </c>
      <c r="F436" s="21">
        <f>'[4]15нед'!W140</f>
        <v>0</v>
      </c>
      <c r="G436" s="22">
        <f>'[4]15нед'!X140</f>
        <v>0</v>
      </c>
      <c r="H436" s="41"/>
      <c r="I436" s="54"/>
      <c r="J436" s="57"/>
      <c r="K436" s="14" t="s">
        <v>27</v>
      </c>
      <c r="L436" s="20">
        <f>'[4]16нед'!S140</f>
        <v>0</v>
      </c>
      <c r="M436" s="23">
        <f>'[4]16нед'!T140</f>
        <v>0</v>
      </c>
      <c r="N436" s="21">
        <f>'[4]16нед'!W140</f>
        <v>0</v>
      </c>
      <c r="O436" s="22">
        <f>'[4]16нед'!X140</f>
        <v>0</v>
      </c>
      <c r="P436" s="41"/>
    </row>
    <row r="437" spans="1:16" ht="31.2">
      <c r="A437" s="49"/>
      <c r="B437" s="52"/>
      <c r="C437" s="14" t="s">
        <v>28</v>
      </c>
      <c r="D437" s="20">
        <f>'[4]15нед'!S141</f>
        <v>0</v>
      </c>
      <c r="E437" s="23">
        <f>'[4]15нед'!T141</f>
        <v>0</v>
      </c>
      <c r="F437" s="21">
        <f>'[4]15нед'!W141</f>
        <v>0</v>
      </c>
      <c r="G437" s="22">
        <f>'[4]15нед'!X141</f>
        <v>0</v>
      </c>
      <c r="H437" s="41"/>
      <c r="I437" s="54"/>
      <c r="J437" s="57"/>
      <c r="K437" s="14" t="s">
        <v>28</v>
      </c>
      <c r="L437" s="20">
        <f>'[4]16нед'!S141</f>
        <v>0</v>
      </c>
      <c r="M437" s="23">
        <f>'[4]16нед'!T141</f>
        <v>0</v>
      </c>
      <c r="N437" s="21">
        <f>'[4]16нед'!W141</f>
        <v>0</v>
      </c>
      <c r="O437" s="22">
        <f>'[4]16нед'!X141</f>
        <v>0</v>
      </c>
      <c r="P437" s="41"/>
    </row>
    <row r="438" spans="1:16" ht="31.8" thickBot="1">
      <c r="A438" s="49"/>
      <c r="B438" s="52"/>
      <c r="C438" s="14" t="s">
        <v>29</v>
      </c>
      <c r="D438" s="20">
        <f>'[4]15нед'!S142</f>
        <v>0</v>
      </c>
      <c r="E438" s="23">
        <f>'[4]15нед'!T142</f>
        <v>0</v>
      </c>
      <c r="F438" s="21">
        <f>'[4]15нед'!W142</f>
        <v>0</v>
      </c>
      <c r="G438" s="22">
        <f>'[4]15нед'!X142</f>
        <v>0</v>
      </c>
      <c r="H438" s="41"/>
      <c r="I438" s="54"/>
      <c r="J438" s="57"/>
      <c r="K438" s="14" t="s">
        <v>29</v>
      </c>
      <c r="L438" s="20">
        <f>'[4]16нед'!S142</f>
        <v>0</v>
      </c>
      <c r="M438" s="23">
        <f>'[4]16нед'!T142</f>
        <v>0</v>
      </c>
      <c r="N438" s="21">
        <f>'[4]16нед'!W142</f>
        <v>0</v>
      </c>
      <c r="O438" s="22">
        <f>'[4]16нед'!X142</f>
        <v>0</v>
      </c>
      <c r="P438" s="41"/>
    </row>
    <row r="439" spans="1:16" ht="18.600000000000001" hidden="1" thickBot="1">
      <c r="A439" s="50"/>
      <c r="B439" s="53"/>
      <c r="C439" s="15"/>
      <c r="D439" s="24">
        <f>'[4]15нед'!S143</f>
        <v>0</v>
      </c>
      <c r="E439" s="25">
        <f>'[4]15нед'!T143</f>
        <v>0</v>
      </c>
      <c r="F439" s="26">
        <f>'[4]15нед'!W143</f>
        <v>0</v>
      </c>
      <c r="G439" s="27">
        <f>'[4]15нед'!X143</f>
        <v>0</v>
      </c>
      <c r="H439" s="42"/>
      <c r="I439" s="55"/>
      <c r="J439" s="58"/>
      <c r="K439" s="15"/>
      <c r="L439" s="24">
        <f>'[4]16нед'!S143</f>
        <v>0</v>
      </c>
      <c r="M439" s="25">
        <f>'[4]16нед'!T143</f>
        <v>0</v>
      </c>
      <c r="N439" s="26">
        <f>'[4]16нед'!W143</f>
        <v>0</v>
      </c>
      <c r="O439" s="27">
        <f>'[4]16нед'!X143</f>
        <v>0</v>
      </c>
      <c r="P439" s="42"/>
    </row>
    <row r="440" spans="1:16" ht="32.25" customHeight="1" thickTop="1">
      <c r="A440" s="48">
        <v>46000</v>
      </c>
      <c r="B440" s="51" t="s">
        <v>1</v>
      </c>
      <c r="C440" s="28" t="s">
        <v>23</v>
      </c>
      <c r="D440" s="16">
        <f>'[4]15нед'!S144</f>
        <v>0</v>
      </c>
      <c r="E440" s="19">
        <f>'[4]15нед'!T144</f>
        <v>0</v>
      </c>
      <c r="F440" s="17">
        <f>'[4]15нед'!W144</f>
        <v>0</v>
      </c>
      <c r="G440" s="18">
        <f>'[4]15нед'!X144</f>
        <v>0</v>
      </c>
      <c r="H440" s="47"/>
      <c r="I440" s="48">
        <v>46007</v>
      </c>
      <c r="J440" s="56" t="s">
        <v>1</v>
      </c>
      <c r="K440" s="28" t="s">
        <v>23</v>
      </c>
      <c r="L440" s="16" t="str">
        <f>'[4]16нед'!S144</f>
        <v>пр</v>
      </c>
      <c r="M440" s="19" t="str">
        <f>'[4]16нед'!T144</f>
        <v xml:space="preserve"> Основы програмной инженерии</v>
      </c>
      <c r="N440" s="17" t="str">
        <f>'[4]16нед'!W144</f>
        <v>Алешов В.В.</v>
      </c>
      <c r="O440" s="18" t="str">
        <f>'[4]16нед'!X144</f>
        <v>преподаватель</v>
      </c>
      <c r="P440" s="47" t="s">
        <v>31</v>
      </c>
    </row>
    <row r="441" spans="1:16" ht="31.2">
      <c r="A441" s="49"/>
      <c r="B441" s="52"/>
      <c r="C441" s="14" t="s">
        <v>24</v>
      </c>
      <c r="D441" s="20">
        <f>'[4]15нед'!S145</f>
        <v>0</v>
      </c>
      <c r="E441" s="23">
        <f>'[4]15нед'!T145</f>
        <v>0</v>
      </c>
      <c r="F441" s="21">
        <f>'[4]15нед'!W145</f>
        <v>0</v>
      </c>
      <c r="G441" s="22">
        <f>'[4]15нед'!X145</f>
        <v>0</v>
      </c>
      <c r="H441" s="46"/>
      <c r="I441" s="54"/>
      <c r="J441" s="57"/>
      <c r="K441" s="14" t="s">
        <v>24</v>
      </c>
      <c r="L441" s="20" t="str">
        <f>'[4]16нед'!S145</f>
        <v>пр</v>
      </c>
      <c r="M441" s="23" t="str">
        <f>'[4]16нед'!T145</f>
        <v xml:space="preserve"> Основы програмной инженерии</v>
      </c>
      <c r="N441" s="21" t="str">
        <f>'[4]16нед'!W145</f>
        <v>Алешов В.В.</v>
      </c>
      <c r="O441" s="22" t="str">
        <f>'[4]16нед'!X145</f>
        <v>преподаватель</v>
      </c>
      <c r="P441" s="46" t="s">
        <v>31</v>
      </c>
    </row>
    <row r="442" spans="1:16" ht="31.2">
      <c r="A442" s="49"/>
      <c r="B442" s="52"/>
      <c r="C442" s="14" t="s">
        <v>25</v>
      </c>
      <c r="D442" s="20" t="str">
        <f>'[4]15нед'!S146</f>
        <v>л</v>
      </c>
      <c r="E442" s="23" t="str">
        <f>'[4]15нед'!T146</f>
        <v>Теория систем и системный анализ</v>
      </c>
      <c r="F442" s="21" t="str">
        <f>'[4]15нед'!W146</f>
        <v>Гришин И.Ю.</v>
      </c>
      <c r="G442" s="22" t="str">
        <f>'[4]15нед'!X146</f>
        <v>профессор, д-р наук</v>
      </c>
      <c r="H442" s="36" t="s">
        <v>31</v>
      </c>
      <c r="I442" s="54"/>
      <c r="J442" s="57"/>
      <c r="K442" s="14" t="s">
        <v>25</v>
      </c>
      <c r="L442" s="20">
        <f>'[4]16нед'!S146</f>
        <v>0</v>
      </c>
      <c r="M442" s="23">
        <f>'[4]16нед'!T146</f>
        <v>0</v>
      </c>
      <c r="N442" s="21">
        <f>'[4]16нед'!W146</f>
        <v>0</v>
      </c>
      <c r="O442" s="22">
        <f>'[4]16нед'!X146</f>
        <v>0</v>
      </c>
      <c r="P442" s="36"/>
    </row>
    <row r="443" spans="1:16" ht="54">
      <c r="A443" s="49"/>
      <c r="B443" s="52"/>
      <c r="C443" s="14" t="s">
        <v>26</v>
      </c>
      <c r="D443" s="20" t="str">
        <f>'[4]15нед'!S147</f>
        <v>л</v>
      </c>
      <c r="E443" s="23" t="str">
        <f>'[4]15нед'!T147</f>
        <v>Применение методов искусственного интеллекта в анализе данных и управлении</v>
      </c>
      <c r="F443" s="21" t="str">
        <f>'[4]15нед'!W147</f>
        <v>Гришин И.Ю.</v>
      </c>
      <c r="G443" s="22" t="str">
        <f>'[4]15нед'!X147</f>
        <v>профессор, д-р наук</v>
      </c>
      <c r="H443" s="41" t="s">
        <v>31</v>
      </c>
      <c r="I443" s="54"/>
      <c r="J443" s="57"/>
      <c r="K443" s="14" t="s">
        <v>26</v>
      </c>
      <c r="L443" s="20">
        <f>'[4]16нед'!S147</f>
        <v>0</v>
      </c>
      <c r="M443" s="23">
        <f>'[4]16нед'!T147</f>
        <v>0</v>
      </c>
      <c r="N443" s="21">
        <f>'[4]16нед'!W147</f>
        <v>0</v>
      </c>
      <c r="O443" s="22">
        <f>'[4]16нед'!X147</f>
        <v>0</v>
      </c>
      <c r="P443" s="41"/>
    </row>
    <row r="444" spans="1:16" ht="31.2">
      <c r="A444" s="49"/>
      <c r="B444" s="52"/>
      <c r="C444" s="14" t="s">
        <v>27</v>
      </c>
      <c r="D444" s="20">
        <f>'[4]15нед'!S148</f>
        <v>0</v>
      </c>
      <c r="E444" s="23">
        <f>'[4]15нед'!T148</f>
        <v>0</v>
      </c>
      <c r="F444" s="21">
        <f>'[4]15нед'!W148</f>
        <v>0</v>
      </c>
      <c r="G444" s="22">
        <f>'[4]15нед'!X148</f>
        <v>0</v>
      </c>
      <c r="H444" s="41"/>
      <c r="I444" s="54"/>
      <c r="J444" s="57"/>
      <c r="K444" s="14" t="s">
        <v>27</v>
      </c>
      <c r="L444" s="20">
        <f>'[4]16нед'!S148</f>
        <v>0</v>
      </c>
      <c r="M444" s="23">
        <f>'[4]16нед'!T148</f>
        <v>0</v>
      </c>
      <c r="N444" s="21">
        <f>'[4]16нед'!W148</f>
        <v>0</v>
      </c>
      <c r="O444" s="22">
        <f>'[4]16нед'!X148</f>
        <v>0</v>
      </c>
      <c r="P444" s="41"/>
    </row>
    <row r="445" spans="1:16" ht="31.2">
      <c r="A445" s="49"/>
      <c r="B445" s="52"/>
      <c r="C445" s="14" t="s">
        <v>28</v>
      </c>
      <c r="D445" s="20">
        <f>'[4]15нед'!S149</f>
        <v>0</v>
      </c>
      <c r="E445" s="23">
        <f>'[4]15нед'!T149</f>
        <v>0</v>
      </c>
      <c r="F445" s="21">
        <f>'[4]15нед'!W149</f>
        <v>0</v>
      </c>
      <c r="G445" s="22">
        <f>'[4]15нед'!X149</f>
        <v>0</v>
      </c>
      <c r="H445" s="41"/>
      <c r="I445" s="54"/>
      <c r="J445" s="57"/>
      <c r="K445" s="14" t="s">
        <v>28</v>
      </c>
      <c r="L445" s="20">
        <f>'[4]16нед'!S149</f>
        <v>0</v>
      </c>
      <c r="M445" s="23">
        <f>'[4]16нед'!T149</f>
        <v>0</v>
      </c>
      <c r="N445" s="21">
        <f>'[4]16нед'!W149</f>
        <v>0</v>
      </c>
      <c r="O445" s="22">
        <f>'[4]16нед'!X149</f>
        <v>0</v>
      </c>
      <c r="P445" s="41"/>
    </row>
    <row r="446" spans="1:16" ht="31.8" thickBot="1">
      <c r="A446" s="49"/>
      <c r="B446" s="52"/>
      <c r="C446" s="14" t="s">
        <v>29</v>
      </c>
      <c r="D446" s="20">
        <f>'[4]15нед'!S150</f>
        <v>0</v>
      </c>
      <c r="E446" s="23">
        <f>'[4]15нед'!T150</f>
        <v>0</v>
      </c>
      <c r="F446" s="21">
        <f>'[4]15нед'!W150</f>
        <v>0</v>
      </c>
      <c r="G446" s="22">
        <f>'[4]15нед'!X150</f>
        <v>0</v>
      </c>
      <c r="H446" s="41"/>
      <c r="I446" s="54"/>
      <c r="J446" s="57"/>
      <c r="K446" s="14" t="s">
        <v>29</v>
      </c>
      <c r="L446" s="20">
        <f>'[4]16нед'!S150</f>
        <v>0</v>
      </c>
      <c r="M446" s="23">
        <f>'[4]16нед'!T150</f>
        <v>0</v>
      </c>
      <c r="N446" s="21">
        <f>'[4]16нед'!W150</f>
        <v>0</v>
      </c>
      <c r="O446" s="22">
        <f>'[4]16нед'!X150</f>
        <v>0</v>
      </c>
      <c r="P446" s="41"/>
    </row>
    <row r="447" spans="1:16" ht="18.600000000000001" hidden="1" thickBot="1">
      <c r="A447" s="50"/>
      <c r="B447" s="53"/>
      <c r="C447" s="15"/>
      <c r="D447" s="24">
        <f>'[4]15нед'!S151</f>
        <v>0</v>
      </c>
      <c r="E447" s="25">
        <f>'[4]15нед'!T151</f>
        <v>0</v>
      </c>
      <c r="F447" s="26">
        <f>'[4]15нед'!W151</f>
        <v>0</v>
      </c>
      <c r="G447" s="27">
        <f>'[4]15нед'!X151</f>
        <v>0</v>
      </c>
      <c r="H447" s="42"/>
      <c r="I447" s="55"/>
      <c r="J447" s="58"/>
      <c r="K447" s="15"/>
      <c r="L447" s="24">
        <f>'[4]16нед'!S151</f>
        <v>0</v>
      </c>
      <c r="M447" s="25">
        <f>'[4]16нед'!T151</f>
        <v>0</v>
      </c>
      <c r="N447" s="26">
        <f>'[4]16нед'!W151</f>
        <v>0</v>
      </c>
      <c r="O447" s="27">
        <f>'[4]16нед'!X151</f>
        <v>0</v>
      </c>
      <c r="P447" s="42"/>
    </row>
    <row r="448" spans="1:16" ht="48" customHeight="1" thickTop="1">
      <c r="A448" s="59">
        <v>46001</v>
      </c>
      <c r="B448" s="62" t="s">
        <v>2</v>
      </c>
      <c r="C448" s="28" t="s">
        <v>23</v>
      </c>
      <c r="D448" s="16">
        <f>'[4]15нед'!S152</f>
        <v>0</v>
      </c>
      <c r="E448" s="19">
        <f>'[4]15нед'!T152</f>
        <v>0</v>
      </c>
      <c r="F448" s="17">
        <f>'[4]15нед'!W152</f>
        <v>0</v>
      </c>
      <c r="G448" s="18">
        <f>'[4]15нед'!X152</f>
        <v>0</v>
      </c>
      <c r="H448" s="43"/>
      <c r="I448" s="59">
        <v>46008</v>
      </c>
      <c r="J448" s="65" t="s">
        <v>2</v>
      </c>
      <c r="K448" s="28" t="s">
        <v>23</v>
      </c>
      <c r="L448" s="16">
        <f>'[4]16нед'!S152</f>
        <v>0</v>
      </c>
      <c r="M448" s="19">
        <f>'[4]16нед'!T152</f>
        <v>0</v>
      </c>
      <c r="N448" s="17">
        <f>'[4]16нед'!W152</f>
        <v>0</v>
      </c>
      <c r="O448" s="18">
        <f>'[4]16нед'!X152</f>
        <v>0</v>
      </c>
      <c r="P448" s="43"/>
    </row>
    <row r="449" spans="1:16" ht="31.2">
      <c r="A449" s="60"/>
      <c r="B449" s="63"/>
      <c r="C449" s="14" t="s">
        <v>24</v>
      </c>
      <c r="D449" s="20">
        <f>'[4]15нед'!S153</f>
        <v>0</v>
      </c>
      <c r="E449" s="23">
        <f>'[4]15нед'!T153</f>
        <v>0</v>
      </c>
      <c r="F449" s="21">
        <f>'[4]15нед'!W153</f>
        <v>0</v>
      </c>
      <c r="G449" s="22">
        <f>'[4]15нед'!X153</f>
        <v>0</v>
      </c>
      <c r="H449" s="46"/>
      <c r="I449" s="60"/>
      <c r="J449" s="66"/>
      <c r="K449" s="14" t="s">
        <v>24</v>
      </c>
      <c r="L449" s="20" t="str">
        <f>'[4]16нед'!S153</f>
        <v>пр</v>
      </c>
      <c r="M449" s="23" t="str">
        <f>'[4]16нед'!T153</f>
        <v>Управление ИТ-проектами</v>
      </c>
      <c r="N449" s="21" t="str">
        <f>'[4]16нед'!W153</f>
        <v>Линник И.И.</v>
      </c>
      <c r="O449" s="22" t="str">
        <f>'[4]16нед'!X153</f>
        <v>доцент, канд. наук</v>
      </c>
      <c r="P449" s="46" t="s">
        <v>31</v>
      </c>
    </row>
    <row r="450" spans="1:16" ht="36">
      <c r="A450" s="60"/>
      <c r="B450" s="63"/>
      <c r="C450" s="14" t="s">
        <v>25</v>
      </c>
      <c r="D450" s="20" t="str">
        <f>'[4]15нед'!S154</f>
        <v>л</v>
      </c>
      <c r="E450" s="23" t="str">
        <f>'[4]15нед'!T154</f>
        <v>Теоретико-множественный и информационный анализ</v>
      </c>
      <c r="F450" s="21" t="str">
        <f>'[4]15нед'!W154</f>
        <v>Шерман М.И.</v>
      </c>
      <c r="G450" s="22" t="str">
        <f>'[4]15нед'!X154</f>
        <v>профессор, д-р наук</v>
      </c>
      <c r="H450" s="46" t="s">
        <v>31</v>
      </c>
      <c r="I450" s="60"/>
      <c r="J450" s="66"/>
      <c r="K450" s="14" t="s">
        <v>25</v>
      </c>
      <c r="L450" s="20" t="str">
        <f>'[4]16нед'!S154</f>
        <v>пр</v>
      </c>
      <c r="M450" s="23" t="str">
        <f>'[4]16нед'!T154</f>
        <v>Теоретико-множественный и информационный анализ</v>
      </c>
      <c r="N450" s="21" t="str">
        <f>'[4]16нед'!W154</f>
        <v>Шерман М.И.</v>
      </c>
      <c r="O450" s="22" t="str">
        <f>'[4]16нед'!X154</f>
        <v>профессор, д-р наук</v>
      </c>
      <c r="P450" s="46" t="s">
        <v>31</v>
      </c>
    </row>
    <row r="451" spans="1:16" ht="36">
      <c r="A451" s="60"/>
      <c r="B451" s="63"/>
      <c r="C451" s="14" t="s">
        <v>26</v>
      </c>
      <c r="D451" s="20" t="str">
        <f>'[4]15нед'!S155</f>
        <v>л</v>
      </c>
      <c r="E451" s="23" t="str">
        <f>'[4]15нед'!T155</f>
        <v>Управление ИТ-проектами</v>
      </c>
      <c r="F451" s="21" t="str">
        <f>'[4]15нед'!W155</f>
        <v>Линник И.И.</v>
      </c>
      <c r="G451" s="22" t="str">
        <f>'[4]15нед'!X155</f>
        <v>доцент, канд. наук</v>
      </c>
      <c r="H451" s="46" t="s">
        <v>31</v>
      </c>
      <c r="I451" s="60"/>
      <c r="J451" s="66"/>
      <c r="K451" s="14" t="s">
        <v>26</v>
      </c>
      <c r="L451" s="20" t="str">
        <f>'[4]16нед'!S155</f>
        <v>пр</v>
      </c>
      <c r="M451" s="23" t="str">
        <f>'[4]16нед'!T155</f>
        <v>Теоретико-множественный и информационный анализ</v>
      </c>
      <c r="N451" s="21" t="str">
        <f>'[4]16нед'!W155</f>
        <v>Шерман М.И.</v>
      </c>
      <c r="O451" s="22" t="str">
        <f>'[4]16нед'!X155</f>
        <v>профессор, д-р наук</v>
      </c>
      <c r="P451" s="46" t="s">
        <v>31</v>
      </c>
    </row>
    <row r="452" spans="1:16" ht="31.2">
      <c r="A452" s="60"/>
      <c r="B452" s="63"/>
      <c r="C452" s="14" t="s">
        <v>27</v>
      </c>
      <c r="D452" s="20">
        <f>'[4]15нед'!S156</f>
        <v>0</v>
      </c>
      <c r="E452" s="23">
        <f>'[4]15нед'!T156</f>
        <v>0</v>
      </c>
      <c r="F452" s="21">
        <f>'[4]15нед'!W156</f>
        <v>0</v>
      </c>
      <c r="G452" s="22">
        <f>'[4]15нед'!X156</f>
        <v>0</v>
      </c>
      <c r="H452" s="41"/>
      <c r="I452" s="60"/>
      <c r="J452" s="66"/>
      <c r="K452" s="14" t="s">
        <v>27</v>
      </c>
      <c r="L452" s="20">
        <f>'[4]16нед'!S156</f>
        <v>0</v>
      </c>
      <c r="M452" s="23">
        <f>'[4]16нед'!T156</f>
        <v>0</v>
      </c>
      <c r="N452" s="21">
        <f>'[4]16нед'!W156</f>
        <v>0</v>
      </c>
      <c r="O452" s="22">
        <f>'[4]16нед'!X156</f>
        <v>0</v>
      </c>
      <c r="P452" s="41"/>
    </row>
    <row r="453" spans="1:16" ht="31.2">
      <c r="A453" s="60"/>
      <c r="B453" s="63"/>
      <c r="C453" s="14" t="s">
        <v>28</v>
      </c>
      <c r="D453" s="20">
        <f>'[4]15нед'!S157</f>
        <v>0</v>
      </c>
      <c r="E453" s="23">
        <f>'[4]15нед'!T157</f>
        <v>0</v>
      </c>
      <c r="F453" s="21">
        <f>'[4]15нед'!W157</f>
        <v>0</v>
      </c>
      <c r="G453" s="22">
        <f>'[4]15нед'!X157</f>
        <v>0</v>
      </c>
      <c r="H453" s="41"/>
      <c r="I453" s="60"/>
      <c r="J453" s="66"/>
      <c r="K453" s="14" t="s">
        <v>28</v>
      </c>
      <c r="L453" s="20">
        <f>'[4]16нед'!S157</f>
        <v>0</v>
      </c>
      <c r="M453" s="23">
        <f>'[4]16нед'!T157</f>
        <v>0</v>
      </c>
      <c r="N453" s="21">
        <f>'[4]16нед'!W157</f>
        <v>0</v>
      </c>
      <c r="O453" s="22">
        <f>'[4]16нед'!X157</f>
        <v>0</v>
      </c>
      <c r="P453" s="41"/>
    </row>
    <row r="454" spans="1:16" ht="31.8" thickBot="1">
      <c r="A454" s="60"/>
      <c r="B454" s="63"/>
      <c r="C454" s="14" t="s">
        <v>29</v>
      </c>
      <c r="D454" s="20">
        <f>'[4]15нед'!S158</f>
        <v>0</v>
      </c>
      <c r="E454" s="23">
        <f>'[4]15нед'!T158</f>
        <v>0</v>
      </c>
      <c r="F454" s="21">
        <f>'[4]15нед'!W158</f>
        <v>0</v>
      </c>
      <c r="G454" s="22">
        <f>'[4]15нед'!X158</f>
        <v>0</v>
      </c>
      <c r="H454" s="41"/>
      <c r="I454" s="60"/>
      <c r="J454" s="66"/>
      <c r="K454" s="14" t="s">
        <v>29</v>
      </c>
      <c r="L454" s="20">
        <f>'[4]16нед'!S158</f>
        <v>0</v>
      </c>
      <c r="M454" s="23">
        <f>'[4]16нед'!T158</f>
        <v>0</v>
      </c>
      <c r="N454" s="21">
        <f>'[4]16нед'!W158</f>
        <v>0</v>
      </c>
      <c r="O454" s="22">
        <f>'[4]16нед'!X158</f>
        <v>0</v>
      </c>
      <c r="P454" s="41"/>
    </row>
    <row r="455" spans="1:16" ht="18.600000000000001" hidden="1" thickBot="1">
      <c r="A455" s="61"/>
      <c r="B455" s="64"/>
      <c r="C455" s="15"/>
      <c r="D455" s="24">
        <f>'[4]15нед'!S159</f>
        <v>0</v>
      </c>
      <c r="E455" s="25">
        <f>'[4]15нед'!T159</f>
        <v>0</v>
      </c>
      <c r="F455" s="26">
        <f>'[4]15нед'!W159</f>
        <v>0</v>
      </c>
      <c r="G455" s="27">
        <f>'[4]15нед'!X159</f>
        <v>0</v>
      </c>
      <c r="H455" s="42"/>
      <c r="I455" s="61"/>
      <c r="J455" s="67"/>
      <c r="K455" s="15"/>
      <c r="L455" s="24">
        <f>'[4]16нед'!S159</f>
        <v>0</v>
      </c>
      <c r="M455" s="25">
        <f>'[4]16нед'!T159</f>
        <v>0</v>
      </c>
      <c r="N455" s="26">
        <f>'[4]16нед'!W159</f>
        <v>0</v>
      </c>
      <c r="O455" s="27">
        <f>'[4]16нед'!X159</f>
        <v>0</v>
      </c>
      <c r="P455" s="42"/>
    </row>
    <row r="456" spans="1:16" ht="48" customHeight="1" thickTop="1">
      <c r="A456" s="48">
        <v>46002</v>
      </c>
      <c r="B456" s="51" t="s">
        <v>3</v>
      </c>
      <c r="C456" s="28" t="s">
        <v>23</v>
      </c>
      <c r="D456" s="16">
        <f>'[4]15нед'!S160</f>
        <v>0</v>
      </c>
      <c r="E456" s="19">
        <f>'[4]15нед'!T160</f>
        <v>0</v>
      </c>
      <c r="F456" s="17">
        <f>'[4]15нед'!W160</f>
        <v>0</v>
      </c>
      <c r="G456" s="18">
        <f>'[4]15нед'!X160</f>
        <v>0</v>
      </c>
      <c r="H456" s="43"/>
      <c r="I456" s="48">
        <v>46009</v>
      </c>
      <c r="J456" s="56" t="s">
        <v>3</v>
      </c>
      <c r="K456" s="28" t="s">
        <v>23</v>
      </c>
      <c r="L456" s="16">
        <f>'[4]16нед'!S160</f>
        <v>0</v>
      </c>
      <c r="M456" s="19">
        <f>'[4]16нед'!T160</f>
        <v>0</v>
      </c>
      <c r="N456" s="17">
        <f>'[4]16нед'!W160</f>
        <v>0</v>
      </c>
      <c r="O456" s="18">
        <f>'[4]16нед'!X160</f>
        <v>0</v>
      </c>
      <c r="P456" s="43"/>
    </row>
    <row r="457" spans="1:16" ht="31.2">
      <c r="A457" s="49"/>
      <c r="B457" s="52"/>
      <c r="C457" s="14" t="s">
        <v>24</v>
      </c>
      <c r="D457" s="20" t="str">
        <f>'[4]15нед'!S161</f>
        <v>пр</v>
      </c>
      <c r="E457" s="23" t="str">
        <f>'[4]15нед'!T161</f>
        <v>Иностранный язык для специальных целей</v>
      </c>
      <c r="F457" s="21" t="str">
        <f>'[4]15нед'!W161</f>
        <v>Ермоленко И.И.</v>
      </c>
      <c r="G457" s="22" t="str">
        <f>'[4]15нед'!X161</f>
        <v>доцент, канд. наук</v>
      </c>
      <c r="H457" s="36" t="s">
        <v>30</v>
      </c>
      <c r="I457" s="54"/>
      <c r="J457" s="57"/>
      <c r="K457" s="14" t="s">
        <v>24</v>
      </c>
      <c r="L457" s="20" t="str">
        <f>'[4]16нед'!S161</f>
        <v>пр</v>
      </c>
      <c r="M457" s="23" t="str">
        <f>'[4]16нед'!T161</f>
        <v>Иностранный язык для специальных целей</v>
      </c>
      <c r="N457" s="21" t="str">
        <f>'[4]16нед'!W161</f>
        <v>Ермоленко И.И.</v>
      </c>
      <c r="O457" s="22" t="str">
        <f>'[4]16нед'!X161</f>
        <v>доцент, канд. наук</v>
      </c>
      <c r="P457" s="36" t="s">
        <v>30</v>
      </c>
    </row>
    <row r="458" spans="1:16" ht="31.2">
      <c r="A458" s="49"/>
      <c r="B458" s="52"/>
      <c r="C458" s="14" t="s">
        <v>25</v>
      </c>
      <c r="D458" s="20" t="str">
        <f>'[4]15нед'!S162</f>
        <v>л</v>
      </c>
      <c r="E458" s="23" t="str">
        <f>'[4]15нед'!T162</f>
        <v>Машинное обучение и анализ данных</v>
      </c>
      <c r="F458" s="21" t="str">
        <f>'[4]15нед'!W162</f>
        <v>Гришин И.Ю.</v>
      </c>
      <c r="G458" s="22" t="str">
        <f>'[4]15нед'!X162</f>
        <v>профессор, д-р наук</v>
      </c>
      <c r="H458" s="46" t="s">
        <v>31</v>
      </c>
      <c r="I458" s="54"/>
      <c r="J458" s="57"/>
      <c r="K458" s="14" t="s">
        <v>25</v>
      </c>
      <c r="L458" s="20" t="str">
        <f>'[4]16нед'!S162</f>
        <v>пр</v>
      </c>
      <c r="M458" s="23" t="str">
        <f>'[4]16нед'!T162</f>
        <v>Теория систем и системный анализ</v>
      </c>
      <c r="N458" s="21" t="str">
        <f>'[4]16нед'!W162</f>
        <v>Гришин И.Ю.</v>
      </c>
      <c r="O458" s="22" t="str">
        <f>'[4]16нед'!X162</f>
        <v>профессор, д-р наук</v>
      </c>
      <c r="P458" s="46" t="s">
        <v>31</v>
      </c>
    </row>
    <row r="459" spans="1:16" ht="31.2">
      <c r="A459" s="49"/>
      <c r="B459" s="52"/>
      <c r="C459" s="14" t="s">
        <v>26</v>
      </c>
      <c r="D459" s="20" t="str">
        <f>'[4]15нед'!S163</f>
        <v>л</v>
      </c>
      <c r="E459" s="23" t="str">
        <f>'[4]15нед'!T163</f>
        <v>Основы програмной инженерии</v>
      </c>
      <c r="F459" s="21" t="str">
        <f>'[4]15нед'!W163</f>
        <v>Круглый Д.Г.</v>
      </c>
      <c r="G459" s="22" t="str">
        <f>'[4]15нед'!X163</f>
        <v>профессор, д-р наук</v>
      </c>
      <c r="H459" s="46" t="s">
        <v>31</v>
      </c>
      <c r="I459" s="54"/>
      <c r="J459" s="57"/>
      <c r="K459" s="14" t="s">
        <v>26</v>
      </c>
      <c r="L459" s="20" t="str">
        <f>'[4]16нед'!S163</f>
        <v>пр</v>
      </c>
      <c r="M459" s="23" t="str">
        <f>'[4]16нед'!T163</f>
        <v>Теория систем и системный анализ</v>
      </c>
      <c r="N459" s="21" t="str">
        <f>'[4]16нед'!W163</f>
        <v>Гришин И.Ю.</v>
      </c>
      <c r="O459" s="22" t="str">
        <f>'[4]16нед'!X163</f>
        <v>профессор, д-р наук</v>
      </c>
      <c r="P459" s="46" t="s">
        <v>31</v>
      </c>
    </row>
    <row r="460" spans="1:16" ht="31.2">
      <c r="A460" s="49"/>
      <c r="B460" s="52"/>
      <c r="C460" s="14" t="s">
        <v>27</v>
      </c>
      <c r="D460" s="20">
        <f>'[4]15нед'!S164</f>
        <v>0</v>
      </c>
      <c r="E460" s="23">
        <f>'[4]15нед'!T164</f>
        <v>0</v>
      </c>
      <c r="F460" s="21">
        <f>'[4]15нед'!W164</f>
        <v>0</v>
      </c>
      <c r="G460" s="22">
        <f>'[4]15нед'!X164</f>
        <v>0</v>
      </c>
      <c r="H460" s="41"/>
      <c r="I460" s="54"/>
      <c r="J460" s="57"/>
      <c r="K460" s="14" t="s">
        <v>27</v>
      </c>
      <c r="L460" s="20">
        <f>'[4]16нед'!S164</f>
        <v>0</v>
      </c>
      <c r="M460" s="23">
        <f>'[4]16нед'!T164</f>
        <v>0</v>
      </c>
      <c r="N460" s="21">
        <f>'[4]16нед'!W164</f>
        <v>0</v>
      </c>
      <c r="O460" s="22">
        <f>'[4]16нед'!X164</f>
        <v>0</v>
      </c>
      <c r="P460" s="41"/>
    </row>
    <row r="461" spans="1:16" ht="31.2">
      <c r="A461" s="49"/>
      <c r="B461" s="52"/>
      <c r="C461" s="14" t="s">
        <v>28</v>
      </c>
      <c r="D461" s="20">
        <f>'[4]15нед'!S165</f>
        <v>0</v>
      </c>
      <c r="E461" s="23">
        <f>'[4]15нед'!T165</f>
        <v>0</v>
      </c>
      <c r="F461" s="21">
        <f>'[4]15нед'!W165</f>
        <v>0</v>
      </c>
      <c r="G461" s="22">
        <f>'[4]15нед'!X165</f>
        <v>0</v>
      </c>
      <c r="H461" s="41"/>
      <c r="I461" s="54"/>
      <c r="J461" s="57"/>
      <c r="K461" s="14" t="s">
        <v>28</v>
      </c>
      <c r="L461" s="20">
        <f>'[4]16нед'!S165</f>
        <v>0</v>
      </c>
      <c r="M461" s="23">
        <f>'[4]16нед'!T165</f>
        <v>0</v>
      </c>
      <c r="N461" s="21">
        <f>'[4]16нед'!W165</f>
        <v>0</v>
      </c>
      <c r="O461" s="22">
        <f>'[4]16нед'!X165</f>
        <v>0</v>
      </c>
      <c r="P461" s="41"/>
    </row>
    <row r="462" spans="1:16" ht="31.8" thickBot="1">
      <c r="A462" s="49"/>
      <c r="B462" s="52"/>
      <c r="C462" s="14" t="s">
        <v>29</v>
      </c>
      <c r="D462" s="20">
        <f>'[4]15нед'!S166</f>
        <v>0</v>
      </c>
      <c r="E462" s="23">
        <f>'[4]15нед'!T166</f>
        <v>0</v>
      </c>
      <c r="F462" s="21">
        <f>'[4]15нед'!W166</f>
        <v>0</v>
      </c>
      <c r="G462" s="22">
        <f>'[4]15нед'!X166</f>
        <v>0</v>
      </c>
      <c r="H462" s="41"/>
      <c r="I462" s="54"/>
      <c r="J462" s="57"/>
      <c r="K462" s="14" t="s">
        <v>29</v>
      </c>
      <c r="L462" s="20">
        <f>'[4]16нед'!S166</f>
        <v>0</v>
      </c>
      <c r="M462" s="23">
        <f>'[4]16нед'!T166</f>
        <v>0</v>
      </c>
      <c r="N462" s="21">
        <f>'[4]16нед'!W166</f>
        <v>0</v>
      </c>
      <c r="O462" s="22">
        <f>'[4]16нед'!X166</f>
        <v>0</v>
      </c>
      <c r="P462" s="41"/>
    </row>
    <row r="463" spans="1:16" ht="18.600000000000001" hidden="1" thickBot="1">
      <c r="A463" s="50"/>
      <c r="B463" s="53"/>
      <c r="C463" s="15"/>
      <c r="D463" s="24">
        <f>'[4]15нед'!S167</f>
        <v>0</v>
      </c>
      <c r="E463" s="25">
        <f>'[4]15нед'!T167</f>
        <v>0</v>
      </c>
      <c r="F463" s="26">
        <f>'[4]15нед'!W167</f>
        <v>0</v>
      </c>
      <c r="G463" s="27">
        <f>'[4]15нед'!X167</f>
        <v>0</v>
      </c>
      <c r="H463" s="42"/>
      <c r="I463" s="55"/>
      <c r="J463" s="58"/>
      <c r="K463" s="15"/>
      <c r="L463" s="24">
        <f>'[4]16нед'!S167</f>
        <v>0</v>
      </c>
      <c r="M463" s="25">
        <f>'[4]16нед'!T167</f>
        <v>0</v>
      </c>
      <c r="N463" s="26">
        <f>'[4]16нед'!W167</f>
        <v>0</v>
      </c>
      <c r="O463" s="27">
        <f>'[4]16нед'!X167</f>
        <v>0</v>
      </c>
      <c r="P463" s="42"/>
    </row>
    <row r="464" spans="1:16" ht="48" customHeight="1" thickTop="1">
      <c r="A464" s="48">
        <v>46003</v>
      </c>
      <c r="B464" s="51" t="s">
        <v>4</v>
      </c>
      <c r="C464" s="28" t="s">
        <v>23</v>
      </c>
      <c r="D464" s="16" t="str">
        <f>'[4]15нед'!S168</f>
        <v>л</v>
      </c>
      <c r="E464" s="19" t="str">
        <f>'[4]15нед'!T168</f>
        <v>Теория систем и системный анализ</v>
      </c>
      <c r="F464" s="17" t="str">
        <f>'[4]15нед'!W168</f>
        <v>Гришин И.Ю.</v>
      </c>
      <c r="G464" s="18" t="str">
        <f>'[4]15нед'!X168</f>
        <v>профессор, д-р наук</v>
      </c>
      <c r="H464" s="43" t="s">
        <v>31</v>
      </c>
      <c r="I464" s="48">
        <v>46010</v>
      </c>
      <c r="J464" s="56" t="s">
        <v>4</v>
      </c>
      <c r="K464" s="28" t="s">
        <v>23</v>
      </c>
      <c r="L464" s="16" t="str">
        <f>'[4]16нед'!S168</f>
        <v>л</v>
      </c>
      <c r="M464" s="19" t="str">
        <f>'[4]16нед'!T168</f>
        <v>Применение методов искусственного интеллекта в анализе данных и управлении</v>
      </c>
      <c r="N464" s="17" t="str">
        <f>'[4]16нед'!W168</f>
        <v>Гришин И.Ю.</v>
      </c>
      <c r="O464" s="18" t="str">
        <f>'[4]16нед'!X168</f>
        <v>профессор, д-р наук</v>
      </c>
      <c r="P464" s="43" t="s">
        <v>31</v>
      </c>
    </row>
    <row r="465" spans="1:16" ht="31.2">
      <c r="A465" s="49"/>
      <c r="B465" s="52"/>
      <c r="C465" s="14" t="s">
        <v>24</v>
      </c>
      <c r="D465" s="20" t="str">
        <f>'[4]15нед'!S169</f>
        <v>л</v>
      </c>
      <c r="E465" s="23" t="str">
        <f>'[4]15нед'!T169</f>
        <v xml:space="preserve">Философия научного познания </v>
      </c>
      <c r="F465" s="21" t="str">
        <f>'[4]15нед'!W169</f>
        <v>Солодухин Д.В.</v>
      </c>
      <c r="G465" s="22" t="str">
        <f>'[4]15нед'!X169</f>
        <v>профессор, канд. наук</v>
      </c>
      <c r="H465" s="36" t="s">
        <v>32</v>
      </c>
      <c r="I465" s="54"/>
      <c r="J465" s="57"/>
      <c r="K465" s="14" t="s">
        <v>24</v>
      </c>
      <c r="L465" s="20" t="str">
        <f>'[4]16нед'!S169</f>
        <v>пр</v>
      </c>
      <c r="M465" s="23" t="str">
        <f>'[4]16нед'!T169</f>
        <v xml:space="preserve">Философия научного познания </v>
      </c>
      <c r="N465" s="21" t="str">
        <f>'[4]16нед'!W169</f>
        <v>Солодухин Д.В.</v>
      </c>
      <c r="O465" s="22" t="str">
        <f>'[4]16нед'!X169</f>
        <v>профессор, канд. наук</v>
      </c>
      <c r="P465" s="36" t="s">
        <v>34</v>
      </c>
    </row>
    <row r="466" spans="1:16" ht="36">
      <c r="A466" s="49"/>
      <c r="B466" s="52"/>
      <c r="C466" s="14" t="s">
        <v>25</v>
      </c>
      <c r="D466" s="20" t="str">
        <f>'[4]15нед'!S170</f>
        <v>л</v>
      </c>
      <c r="E466" s="23" t="str">
        <f>'[4]15нед'!T170</f>
        <v>Методология исследовательской деятельности</v>
      </c>
      <c r="F466" s="21" t="str">
        <f>'[4]15нед'!W170</f>
        <v>Гуменюк А.Ю.</v>
      </c>
      <c r="G466" s="22" t="str">
        <f>'[4]15нед'!X170</f>
        <v>доцент, канд. наук</v>
      </c>
      <c r="H466" s="36" t="s">
        <v>33</v>
      </c>
      <c r="I466" s="54"/>
      <c r="J466" s="57"/>
      <c r="K466" s="14" t="s">
        <v>25</v>
      </c>
      <c r="L466" s="20" t="str">
        <f>'[4]16нед'!S170</f>
        <v>пр</v>
      </c>
      <c r="M466" s="23" t="str">
        <f>'[4]16нед'!T170</f>
        <v>Методология исследовательской деятельности</v>
      </c>
      <c r="N466" s="21" t="str">
        <f>'[4]16нед'!W170</f>
        <v>Гуменюк А.Ю.</v>
      </c>
      <c r="O466" s="22" t="str">
        <f>'[4]16нед'!X170</f>
        <v>доцент, канд. наук</v>
      </c>
      <c r="P466" s="36" t="s">
        <v>35</v>
      </c>
    </row>
    <row r="467" spans="1:16" ht="31.2">
      <c r="A467" s="49"/>
      <c r="B467" s="52"/>
      <c r="C467" s="14" t="s">
        <v>26</v>
      </c>
      <c r="D467" s="20">
        <f>'[4]15нед'!S171</f>
        <v>0</v>
      </c>
      <c r="E467" s="23">
        <f>'[4]15нед'!T171</f>
        <v>0</v>
      </c>
      <c r="F467" s="21">
        <f>'[4]15нед'!W171</f>
        <v>0</v>
      </c>
      <c r="G467" s="22">
        <f>'[4]15нед'!X171</f>
        <v>0</v>
      </c>
      <c r="H467" s="41"/>
      <c r="I467" s="54"/>
      <c r="J467" s="57"/>
      <c r="K467" s="14" t="s">
        <v>26</v>
      </c>
      <c r="L467" s="20">
        <f>'[4]16нед'!S171</f>
        <v>0</v>
      </c>
      <c r="M467" s="23">
        <f>'[4]16нед'!T171</f>
        <v>0</v>
      </c>
      <c r="N467" s="21">
        <f>'[4]16нед'!W171</f>
        <v>0</v>
      </c>
      <c r="O467" s="22">
        <f>'[4]16нед'!X171</f>
        <v>0</v>
      </c>
      <c r="P467" s="41"/>
    </row>
    <row r="468" spans="1:16" ht="31.2">
      <c r="A468" s="49"/>
      <c r="B468" s="52"/>
      <c r="C468" s="14" t="s">
        <v>27</v>
      </c>
      <c r="D468" s="20">
        <f>'[4]15нед'!S172</f>
        <v>0</v>
      </c>
      <c r="E468" s="23">
        <f>'[4]15нед'!T172</f>
        <v>0</v>
      </c>
      <c r="F468" s="21">
        <f>'[4]15нед'!W172</f>
        <v>0</v>
      </c>
      <c r="G468" s="22">
        <f>'[4]15нед'!X172</f>
        <v>0</v>
      </c>
      <c r="H468" s="41"/>
      <c r="I468" s="54"/>
      <c r="J468" s="57"/>
      <c r="K468" s="14" t="s">
        <v>27</v>
      </c>
      <c r="L468" s="20">
        <f>'[4]16нед'!S172</f>
        <v>0</v>
      </c>
      <c r="M468" s="23">
        <f>'[4]16нед'!T172</f>
        <v>0</v>
      </c>
      <c r="N468" s="21">
        <f>'[4]16нед'!W172</f>
        <v>0</v>
      </c>
      <c r="O468" s="22">
        <f>'[4]16нед'!X172</f>
        <v>0</v>
      </c>
      <c r="P468" s="41"/>
    </row>
    <row r="469" spans="1:16" ht="31.2">
      <c r="A469" s="49"/>
      <c r="B469" s="52"/>
      <c r="C469" s="14" t="s">
        <v>28</v>
      </c>
      <c r="D469" s="20">
        <f>'[4]15нед'!S173</f>
        <v>0</v>
      </c>
      <c r="E469" s="23">
        <f>'[4]15нед'!T173</f>
        <v>0</v>
      </c>
      <c r="F469" s="21">
        <f>'[4]15нед'!W173</f>
        <v>0</v>
      </c>
      <c r="G469" s="22">
        <f>'[4]15нед'!X173</f>
        <v>0</v>
      </c>
      <c r="H469" s="41"/>
      <c r="I469" s="54"/>
      <c r="J469" s="57"/>
      <c r="K469" s="14" t="s">
        <v>28</v>
      </c>
      <c r="L469" s="20">
        <f>'[4]16нед'!S173</f>
        <v>0</v>
      </c>
      <c r="M469" s="23">
        <f>'[4]16нед'!T173</f>
        <v>0</v>
      </c>
      <c r="N469" s="21">
        <f>'[4]16нед'!W173</f>
        <v>0</v>
      </c>
      <c r="O469" s="22">
        <f>'[4]16нед'!X173</f>
        <v>0</v>
      </c>
      <c r="P469" s="41"/>
    </row>
    <row r="470" spans="1:16" ht="31.8" thickBot="1">
      <c r="A470" s="49"/>
      <c r="B470" s="52"/>
      <c r="C470" s="14" t="s">
        <v>29</v>
      </c>
      <c r="D470" s="20">
        <f>'[4]15нед'!S174</f>
        <v>0</v>
      </c>
      <c r="E470" s="23">
        <f>'[4]15нед'!T174</f>
        <v>0</v>
      </c>
      <c r="F470" s="21">
        <f>'[4]15нед'!W174</f>
        <v>0</v>
      </c>
      <c r="G470" s="22">
        <f>'[4]15нед'!X174</f>
        <v>0</v>
      </c>
      <c r="H470" s="41"/>
      <c r="I470" s="54"/>
      <c r="J470" s="57"/>
      <c r="K470" s="14" t="s">
        <v>29</v>
      </c>
      <c r="L470" s="20">
        <f>'[4]16нед'!S174</f>
        <v>0</v>
      </c>
      <c r="M470" s="23">
        <f>'[4]16нед'!T174</f>
        <v>0</v>
      </c>
      <c r="N470" s="21">
        <f>'[4]16нед'!W174</f>
        <v>0</v>
      </c>
      <c r="O470" s="22">
        <f>'[4]16нед'!X174</f>
        <v>0</v>
      </c>
      <c r="P470" s="41"/>
    </row>
    <row r="471" spans="1:16" ht="18.600000000000001" hidden="1" thickBot="1">
      <c r="A471" s="50"/>
      <c r="B471" s="53"/>
      <c r="C471" s="15"/>
      <c r="D471" s="24">
        <f>'[4]15нед'!S175</f>
        <v>0</v>
      </c>
      <c r="E471" s="25">
        <f>'[4]15нед'!T175</f>
        <v>0</v>
      </c>
      <c r="F471" s="26">
        <f>'[4]15нед'!W175</f>
        <v>0</v>
      </c>
      <c r="G471" s="27">
        <f>'[4]15нед'!X175</f>
        <v>0</v>
      </c>
      <c r="H471" s="42"/>
      <c r="I471" s="55"/>
      <c r="J471" s="58"/>
      <c r="K471" s="15"/>
      <c r="L471" s="24">
        <f>'[4]16нед'!S175</f>
        <v>0</v>
      </c>
      <c r="M471" s="25">
        <f>'[4]16нед'!T175</f>
        <v>0</v>
      </c>
      <c r="N471" s="26">
        <f>'[4]16нед'!W175</f>
        <v>0</v>
      </c>
      <c r="O471" s="27">
        <f>'[4]16нед'!X175</f>
        <v>0</v>
      </c>
      <c r="P471" s="42"/>
    </row>
    <row r="472" spans="1:16" ht="48" customHeight="1" thickTop="1">
      <c r="A472" s="48">
        <v>46004</v>
      </c>
      <c r="B472" s="51" t="s">
        <v>5</v>
      </c>
      <c r="C472" s="28" t="s">
        <v>23</v>
      </c>
      <c r="D472" s="16">
        <f>'[4]15нед'!S176</f>
        <v>0</v>
      </c>
      <c r="E472" s="19">
        <f>'[4]15нед'!T176</f>
        <v>0</v>
      </c>
      <c r="F472" s="17">
        <f>'[4]15нед'!W176</f>
        <v>0</v>
      </c>
      <c r="G472" s="18">
        <f>'[4]15нед'!X176</f>
        <v>0</v>
      </c>
      <c r="H472" s="43"/>
      <c r="I472" s="48">
        <v>46011</v>
      </c>
      <c r="J472" s="56" t="s">
        <v>5</v>
      </c>
      <c r="K472" s="28" t="s">
        <v>23</v>
      </c>
      <c r="L472" s="16">
        <f>'[4]16нед'!S176</f>
        <v>0</v>
      </c>
      <c r="M472" s="19">
        <f>'[4]16нед'!T176</f>
        <v>0</v>
      </c>
      <c r="N472" s="17">
        <f>'[4]16нед'!W176</f>
        <v>0</v>
      </c>
      <c r="O472" s="18">
        <f>'[4]16нед'!X176</f>
        <v>0</v>
      </c>
      <c r="P472" s="43"/>
    </row>
    <row r="473" spans="1:16" ht="31.2">
      <c r="A473" s="49"/>
      <c r="B473" s="52"/>
      <c r="C473" s="14" t="s">
        <v>24</v>
      </c>
      <c r="D473" s="20">
        <f>'[4]15нед'!S177</f>
        <v>0</v>
      </c>
      <c r="E473" s="23">
        <f>'[4]15нед'!T177</f>
        <v>0</v>
      </c>
      <c r="F473" s="21">
        <f>'[4]15нед'!W177</f>
        <v>0</v>
      </c>
      <c r="G473" s="22">
        <f>'[4]15нед'!X177</f>
        <v>0</v>
      </c>
      <c r="H473" s="41"/>
      <c r="I473" s="54"/>
      <c r="J473" s="57"/>
      <c r="K473" s="14" t="s">
        <v>24</v>
      </c>
      <c r="L473" s="20">
        <f>'[4]16нед'!S177</f>
        <v>0</v>
      </c>
      <c r="M473" s="23">
        <f>'[4]16нед'!T177</f>
        <v>0</v>
      </c>
      <c r="N473" s="21">
        <f>'[4]16нед'!W177</f>
        <v>0</v>
      </c>
      <c r="O473" s="22">
        <f>'[4]16нед'!X177</f>
        <v>0</v>
      </c>
      <c r="P473" s="41"/>
    </row>
    <row r="474" spans="1:16" ht="31.2">
      <c r="A474" s="49"/>
      <c r="B474" s="52"/>
      <c r="C474" s="14" t="s">
        <v>25</v>
      </c>
      <c r="D474" s="20">
        <f>'[4]15нед'!S178</f>
        <v>0</v>
      </c>
      <c r="E474" s="23">
        <f>'[4]15нед'!T178</f>
        <v>0</v>
      </c>
      <c r="F474" s="21">
        <f>'[4]15нед'!W178</f>
        <v>0</v>
      </c>
      <c r="G474" s="22">
        <f>'[4]15нед'!X178</f>
        <v>0</v>
      </c>
      <c r="H474" s="41"/>
      <c r="I474" s="54"/>
      <c r="J474" s="57"/>
      <c r="K474" s="14" t="s">
        <v>25</v>
      </c>
      <c r="L474" s="20">
        <f>'[4]16нед'!S178</f>
        <v>0</v>
      </c>
      <c r="M474" s="23">
        <f>'[4]16нед'!T178</f>
        <v>0</v>
      </c>
      <c r="N474" s="21">
        <f>'[4]16нед'!W178</f>
        <v>0</v>
      </c>
      <c r="O474" s="22">
        <f>'[4]16нед'!X178</f>
        <v>0</v>
      </c>
      <c r="P474" s="41"/>
    </row>
    <row r="475" spans="1:16" ht="31.2">
      <c r="A475" s="49"/>
      <c r="B475" s="52"/>
      <c r="C475" s="14" t="s">
        <v>26</v>
      </c>
      <c r="D475" s="20">
        <f>'[4]15нед'!S179</f>
        <v>0</v>
      </c>
      <c r="E475" s="23">
        <f>'[4]15нед'!T179</f>
        <v>0</v>
      </c>
      <c r="F475" s="21">
        <f>'[4]15нед'!W179</f>
        <v>0</v>
      </c>
      <c r="G475" s="22">
        <f>'[4]15нед'!X179</f>
        <v>0</v>
      </c>
      <c r="H475" s="41"/>
      <c r="I475" s="54"/>
      <c r="J475" s="57"/>
      <c r="K475" s="14" t="s">
        <v>26</v>
      </c>
      <c r="L475" s="20">
        <f>'[4]16нед'!S179</f>
        <v>0</v>
      </c>
      <c r="M475" s="23">
        <f>'[4]16нед'!T179</f>
        <v>0</v>
      </c>
      <c r="N475" s="21">
        <f>'[4]16нед'!W179</f>
        <v>0</v>
      </c>
      <c r="O475" s="22">
        <f>'[4]16нед'!X179</f>
        <v>0</v>
      </c>
      <c r="P475" s="41"/>
    </row>
    <row r="476" spans="1:16" ht="31.2">
      <c r="A476" s="49"/>
      <c r="B476" s="52"/>
      <c r="C476" s="14" t="s">
        <v>27</v>
      </c>
      <c r="D476" s="20">
        <f>'[4]15нед'!S180</f>
        <v>0</v>
      </c>
      <c r="E476" s="23">
        <f>'[4]15нед'!T180</f>
        <v>0</v>
      </c>
      <c r="F476" s="21">
        <f>'[4]15нед'!W180</f>
        <v>0</v>
      </c>
      <c r="G476" s="22">
        <f>'[4]15нед'!X180</f>
        <v>0</v>
      </c>
      <c r="H476" s="41"/>
      <c r="I476" s="54"/>
      <c r="J476" s="57"/>
      <c r="K476" s="14" t="s">
        <v>27</v>
      </c>
      <c r="L476" s="20">
        <f>'[4]16нед'!S180</f>
        <v>0</v>
      </c>
      <c r="M476" s="23">
        <f>'[4]16нед'!T180</f>
        <v>0</v>
      </c>
      <c r="N476" s="21">
        <f>'[4]16нед'!W180</f>
        <v>0</v>
      </c>
      <c r="O476" s="22">
        <f>'[4]16нед'!X180</f>
        <v>0</v>
      </c>
      <c r="P476" s="41"/>
    </row>
    <row r="477" spans="1:16" ht="31.2">
      <c r="A477" s="49"/>
      <c r="B477" s="52"/>
      <c r="C477" s="14" t="s">
        <v>28</v>
      </c>
      <c r="D477" s="20">
        <f>'[4]15нед'!S181</f>
        <v>0</v>
      </c>
      <c r="E477" s="23">
        <f>'[4]15нед'!T181</f>
        <v>0</v>
      </c>
      <c r="F477" s="21">
        <f>'[4]15нед'!W181</f>
        <v>0</v>
      </c>
      <c r="G477" s="22">
        <f>'[4]15нед'!X181</f>
        <v>0</v>
      </c>
      <c r="H477" s="41"/>
      <c r="I477" s="54"/>
      <c r="J477" s="57"/>
      <c r="K477" s="14" t="s">
        <v>28</v>
      </c>
      <c r="L477" s="20">
        <f>'[4]16нед'!S181</f>
        <v>0</v>
      </c>
      <c r="M477" s="23">
        <f>'[4]16нед'!T181</f>
        <v>0</v>
      </c>
      <c r="N477" s="21">
        <f>'[4]16нед'!W181</f>
        <v>0</v>
      </c>
      <c r="O477" s="22">
        <f>'[4]16нед'!X181</f>
        <v>0</v>
      </c>
      <c r="P477" s="41"/>
    </row>
    <row r="478" spans="1:16" ht="31.8" thickBot="1">
      <c r="A478" s="49"/>
      <c r="B478" s="52"/>
      <c r="C478" s="14" t="s">
        <v>29</v>
      </c>
      <c r="D478" s="20">
        <f>'[4]15нед'!S182</f>
        <v>0</v>
      </c>
      <c r="E478" s="23">
        <f>'[4]15нед'!T182</f>
        <v>0</v>
      </c>
      <c r="F478" s="21">
        <f>'[4]15нед'!W182</f>
        <v>0</v>
      </c>
      <c r="G478" s="22">
        <f>'[4]15нед'!X182</f>
        <v>0</v>
      </c>
      <c r="H478" s="41"/>
      <c r="I478" s="54"/>
      <c r="J478" s="57"/>
      <c r="K478" s="14" t="s">
        <v>29</v>
      </c>
      <c r="L478" s="20">
        <f>'[4]16нед'!S182</f>
        <v>0</v>
      </c>
      <c r="M478" s="23">
        <f>'[4]16нед'!T182</f>
        <v>0</v>
      </c>
      <c r="N478" s="21">
        <f>'[4]16нед'!W182</f>
        <v>0</v>
      </c>
      <c r="O478" s="22">
        <f>'[4]16нед'!X182</f>
        <v>0</v>
      </c>
      <c r="P478" s="41"/>
    </row>
    <row r="479" spans="1:16" ht="18.600000000000001" hidden="1" thickBot="1">
      <c r="A479" s="50"/>
      <c r="B479" s="53"/>
      <c r="C479" s="15"/>
      <c r="D479" s="24">
        <f>'[4]15нед'!S183</f>
        <v>0</v>
      </c>
      <c r="E479" s="25">
        <f>'[4]15нед'!T183</f>
        <v>0</v>
      </c>
      <c r="F479" s="26">
        <f>'[4]15нед'!W183</f>
        <v>0</v>
      </c>
      <c r="G479" s="27">
        <f>'[4]15нед'!X183</f>
        <v>0</v>
      </c>
      <c r="H479" s="42"/>
      <c r="I479" s="55"/>
      <c r="J479" s="58"/>
      <c r="K479" s="15"/>
      <c r="L479" s="24">
        <f>'[4]16нед'!S59</f>
        <v>0</v>
      </c>
      <c r="M479" s="25">
        <f>'[4]16нед'!T59</f>
        <v>0</v>
      </c>
      <c r="N479" s="26">
        <f>'[4]16нед'!W59</f>
        <v>0</v>
      </c>
      <c r="O479" s="27">
        <f>'[4]16нед'!X59</f>
        <v>0</v>
      </c>
      <c r="P479" s="42"/>
    </row>
    <row r="480" spans="1:16" ht="39" customHeight="1" thickTop="1">
      <c r="A480" s="29"/>
      <c r="B480" s="30"/>
      <c r="C480" s="31"/>
      <c r="D480" s="32"/>
      <c r="E480" s="32" t="s">
        <v>21</v>
      </c>
      <c r="F480" s="32"/>
      <c r="G480" s="33" t="s">
        <v>22</v>
      </c>
      <c r="H480" s="44"/>
      <c r="I480" s="29"/>
      <c r="J480" s="30"/>
      <c r="K480" s="31"/>
      <c r="L480" s="32"/>
      <c r="M480" s="32" t="s">
        <v>21</v>
      </c>
      <c r="N480" s="32"/>
      <c r="O480" s="33" t="s">
        <v>22</v>
      </c>
      <c r="P480" s="44"/>
    </row>
    <row r="481" spans="1:16" ht="15.6">
      <c r="A481" s="1"/>
      <c r="B481" s="2"/>
      <c r="C481" s="3"/>
      <c r="D481" s="4"/>
      <c r="E481" s="4"/>
      <c r="F481" s="4"/>
      <c r="G481" s="4"/>
      <c r="H481" s="37" t="s">
        <v>8</v>
      </c>
      <c r="I481" s="1"/>
      <c r="J481" s="2"/>
      <c r="K481" s="3"/>
      <c r="L481" s="4"/>
      <c r="M481" s="4"/>
      <c r="N481" s="4"/>
      <c r="O481" s="4"/>
      <c r="P481" s="37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37" t="s">
        <v>9</v>
      </c>
      <c r="I482" s="1"/>
      <c r="J482" s="2"/>
      <c r="K482" s="3"/>
      <c r="L482" s="4"/>
      <c r="M482" s="4"/>
      <c r="N482" s="4"/>
      <c r="O482" s="4"/>
      <c r="P482" s="37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37" t="s">
        <v>10</v>
      </c>
      <c r="I483" s="1"/>
      <c r="J483" s="2"/>
      <c r="K483" s="3"/>
      <c r="L483" s="4"/>
      <c r="M483" s="4"/>
      <c r="N483" s="4"/>
      <c r="O483" s="4"/>
      <c r="P483" s="37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37" t="s">
        <v>11</v>
      </c>
      <c r="I484" s="1"/>
      <c r="J484" s="2"/>
      <c r="K484" s="3"/>
      <c r="L484" s="4"/>
      <c r="M484" s="4"/>
      <c r="N484" s="4"/>
      <c r="O484" s="4"/>
      <c r="P484" s="37" t="s">
        <v>11</v>
      </c>
    </row>
    <row r="485" spans="1:16" ht="15.6">
      <c r="A485" s="1"/>
      <c r="B485" s="5"/>
      <c r="C485" s="3"/>
      <c r="D485" s="4"/>
      <c r="E485" s="4"/>
      <c r="F485" s="4"/>
      <c r="G485" s="4"/>
      <c r="H485" s="38"/>
      <c r="I485" s="1"/>
      <c r="J485" s="5"/>
      <c r="K485" s="3"/>
      <c r="L485" s="4"/>
      <c r="M485" s="4"/>
      <c r="N485" s="4"/>
      <c r="O485" s="4"/>
      <c r="P485" s="38"/>
    </row>
    <row r="486" spans="1:16" ht="15.6">
      <c r="A486" s="1"/>
      <c r="B486" s="74" t="s">
        <v>12</v>
      </c>
      <c r="C486" s="74"/>
      <c r="D486" s="74"/>
      <c r="E486" s="74"/>
      <c r="F486" s="74"/>
      <c r="G486" s="74"/>
      <c r="H486" s="74"/>
      <c r="I486" s="1"/>
      <c r="J486" s="74" t="s">
        <v>12</v>
      </c>
      <c r="K486" s="74"/>
      <c r="L486" s="74"/>
      <c r="M486" s="74"/>
      <c r="N486" s="74"/>
      <c r="O486" s="74"/>
      <c r="P486" s="74"/>
    </row>
    <row r="487" spans="1:16" ht="15.6">
      <c r="A487" s="6"/>
      <c r="B487" s="34" t="str">
        <f>'[1]1нед'!$A$6</f>
        <v>Направление подготовки:</v>
      </c>
      <c r="C487" s="7"/>
      <c r="D487" s="8"/>
      <c r="E487" s="9" t="str">
        <f>E67</f>
        <v>09.04.04 Программная инженерия (Разработка программно-информационных систем)</v>
      </c>
      <c r="F487" s="8"/>
      <c r="G487" s="8"/>
      <c r="H487" s="39" t="str">
        <f>H7</f>
        <v>12-25РПм</v>
      </c>
      <c r="I487" s="6"/>
      <c r="J487" s="34" t="str">
        <f>'[1]1нед'!$A$6</f>
        <v>Направление подготовки:</v>
      </c>
      <c r="K487" s="7"/>
      <c r="L487" s="8"/>
      <c r="M487" s="9" t="str">
        <f>E67</f>
        <v>09.04.04 Программная инженерия (Разработка программно-информационных систем)</v>
      </c>
      <c r="N487" s="8"/>
      <c r="O487" s="8"/>
      <c r="P487" s="39" t="str">
        <f>H7</f>
        <v>12-25РПм</v>
      </c>
    </row>
    <row r="488" spans="1:16" ht="15.6">
      <c r="A488" s="1"/>
      <c r="B488" s="73" t="s">
        <v>13</v>
      </c>
      <c r="C488" s="73"/>
      <c r="D488" s="73"/>
      <c r="E488" s="73" t="str">
        <f t="shared" ref="E488" si="8">E8</f>
        <v>очная</v>
      </c>
      <c r="F488" s="73"/>
      <c r="G488" s="73"/>
      <c r="H488" s="73"/>
      <c r="I488" s="1"/>
      <c r="J488" s="73" t="s">
        <v>13</v>
      </c>
      <c r="K488" s="73"/>
      <c r="L488" s="73"/>
      <c r="M488" s="73" t="str">
        <f t="shared" ref="M488" si="9">E8</f>
        <v>очная</v>
      </c>
      <c r="N488" s="73"/>
      <c r="O488" s="73"/>
      <c r="P488" s="73"/>
    </row>
    <row r="489" spans="1:16" ht="15.6">
      <c r="A489" s="1"/>
      <c r="B489" s="73" t="s">
        <v>15</v>
      </c>
      <c r="C489" s="73"/>
      <c r="D489" s="73"/>
      <c r="E489" s="34">
        <f>E9</f>
        <v>1</v>
      </c>
      <c r="F489" s="34"/>
      <c r="G489" s="34"/>
      <c r="H489" s="38"/>
      <c r="I489" s="1"/>
      <c r="J489" s="73" t="s">
        <v>15</v>
      </c>
      <c r="K489" s="73"/>
      <c r="L489" s="73"/>
      <c r="M489" s="34">
        <f>E9</f>
        <v>1</v>
      </c>
      <c r="N489" s="34"/>
      <c r="O489" s="34"/>
      <c r="P489" s="38"/>
    </row>
    <row r="490" spans="1:16" ht="16.2" thickBot="1">
      <c r="A490" s="1"/>
      <c r="B490" s="70" t="s">
        <v>16</v>
      </c>
      <c r="C490" s="70"/>
      <c r="D490" s="70"/>
      <c r="E490" s="35">
        <f>M430+1</f>
        <v>17</v>
      </c>
      <c r="F490" s="35"/>
      <c r="G490" s="35"/>
      <c r="H490" s="40"/>
      <c r="I490" s="1"/>
      <c r="J490" s="70" t="s">
        <v>16</v>
      </c>
      <c r="K490" s="70"/>
      <c r="L490" s="70"/>
      <c r="M490" s="35">
        <f>E490+1</f>
        <v>18</v>
      </c>
      <c r="N490" s="35"/>
      <c r="O490" s="35"/>
      <c r="P490" s="40"/>
    </row>
    <row r="491" spans="1:16" ht="60.75" customHeight="1" thickTop="1" thickBot="1">
      <c r="A491" s="71" t="s">
        <v>17</v>
      </c>
      <c r="B491" s="72"/>
      <c r="C491" s="10" t="s">
        <v>18</v>
      </c>
      <c r="D491" s="11" t="s">
        <v>7</v>
      </c>
      <c r="E491" s="12" t="s">
        <v>19</v>
      </c>
      <c r="F491" s="68" t="s">
        <v>6</v>
      </c>
      <c r="G491" s="69"/>
      <c r="H491" s="13" t="s">
        <v>20</v>
      </c>
      <c r="I491" s="71" t="s">
        <v>17</v>
      </c>
      <c r="J491" s="72"/>
      <c r="K491" s="10" t="s">
        <v>18</v>
      </c>
      <c r="L491" s="11" t="s">
        <v>7</v>
      </c>
      <c r="M491" s="12" t="s">
        <v>19</v>
      </c>
      <c r="N491" s="68" t="s">
        <v>6</v>
      </c>
      <c r="O491" s="69"/>
      <c r="P491" s="13" t="s">
        <v>20</v>
      </c>
    </row>
    <row r="492" spans="1:16" ht="32.25" customHeight="1" thickTop="1">
      <c r="A492" s="48">
        <v>46013</v>
      </c>
      <c r="B492" s="51" t="s">
        <v>0</v>
      </c>
      <c r="C492" s="14" t="s">
        <v>23</v>
      </c>
      <c r="D492" s="16">
        <f>'[4]17нед'!S136</f>
        <v>0</v>
      </c>
      <c r="E492" s="19">
        <f>'[4]17нед'!T136</f>
        <v>0</v>
      </c>
      <c r="F492" s="17">
        <f>'[4]17нед'!W136</f>
        <v>0</v>
      </c>
      <c r="G492" s="18">
        <f>'[4]17нед'!X136</f>
        <v>0</v>
      </c>
      <c r="H492" s="43"/>
      <c r="I492" s="48">
        <v>46020</v>
      </c>
      <c r="J492" s="56" t="s">
        <v>0</v>
      </c>
      <c r="K492" s="14" t="s">
        <v>23</v>
      </c>
      <c r="L492" s="16">
        <f>'[4]18нед'!S136</f>
        <v>0</v>
      </c>
      <c r="M492" s="19">
        <f>'[4]18нед'!T136</f>
        <v>0</v>
      </c>
      <c r="N492" s="17">
        <f>'[4]18нед'!W136</f>
        <v>0</v>
      </c>
      <c r="O492" s="18">
        <f>'[4]18нед'!X136</f>
        <v>0</v>
      </c>
      <c r="P492" s="36"/>
    </row>
    <row r="493" spans="1:16" ht="31.2">
      <c r="A493" s="49"/>
      <c r="B493" s="52"/>
      <c r="C493" s="14" t="s">
        <v>24</v>
      </c>
      <c r="D493" s="20">
        <f>'[4]17нед'!S137</f>
        <v>0</v>
      </c>
      <c r="E493" s="23">
        <f>'[4]17нед'!T137</f>
        <v>0</v>
      </c>
      <c r="F493" s="21">
        <f>'[4]17нед'!W137</f>
        <v>0</v>
      </c>
      <c r="G493" s="22">
        <f>'[4]17нед'!X137</f>
        <v>0</v>
      </c>
      <c r="H493" s="41"/>
      <c r="I493" s="54"/>
      <c r="J493" s="57"/>
      <c r="K493" s="14" t="s">
        <v>24</v>
      </c>
      <c r="L493" s="20" t="str">
        <f>'[4]18нед'!S137</f>
        <v>пр</v>
      </c>
      <c r="M493" s="23" t="str">
        <f>'[4]18нед'!T137</f>
        <v>Машинное обучение и анализ данных</v>
      </c>
      <c r="N493" s="21" t="str">
        <f>'[4]18нед'!W137</f>
        <v>Гришин И.Ю.</v>
      </c>
      <c r="O493" s="22" t="str">
        <f>'[4]18нед'!X137</f>
        <v>профессор, д-р наук</v>
      </c>
      <c r="P493" s="36" t="s">
        <v>31</v>
      </c>
    </row>
    <row r="494" spans="1:16" ht="31.2">
      <c r="A494" s="49"/>
      <c r="B494" s="52"/>
      <c r="C494" s="14" t="s">
        <v>25</v>
      </c>
      <c r="D494" s="20">
        <f>'[4]17нед'!S138</f>
        <v>0</v>
      </c>
      <c r="E494" s="23">
        <f>'[4]17нед'!T138</f>
        <v>0</v>
      </c>
      <c r="F494" s="21">
        <f>'[4]17нед'!W138</f>
        <v>0</v>
      </c>
      <c r="G494" s="22">
        <f>'[4]17нед'!X138</f>
        <v>0</v>
      </c>
      <c r="H494" s="41"/>
      <c r="I494" s="54"/>
      <c r="J494" s="57"/>
      <c r="K494" s="14" t="s">
        <v>25</v>
      </c>
      <c r="L494" s="20" t="str">
        <f>'[4]18нед'!S138</f>
        <v>пр</v>
      </c>
      <c r="M494" s="23" t="str">
        <f>'[4]18нед'!T138</f>
        <v>Управление ИТ-проектами</v>
      </c>
      <c r="N494" s="21" t="str">
        <f>'[4]18нед'!W138</f>
        <v>Линник И.И.</v>
      </c>
      <c r="O494" s="22" t="str">
        <f>'[4]18нед'!X138</f>
        <v>доцент, канд. наук</v>
      </c>
      <c r="P494" s="36" t="s">
        <v>31</v>
      </c>
    </row>
    <row r="495" spans="1:16" ht="31.2">
      <c r="A495" s="49"/>
      <c r="B495" s="52"/>
      <c r="C495" s="14" t="s">
        <v>26</v>
      </c>
      <c r="D495" s="20">
        <f>'[4]17нед'!S139</f>
        <v>0</v>
      </c>
      <c r="E495" s="23">
        <f>'[4]17нед'!T139</f>
        <v>0</v>
      </c>
      <c r="F495" s="21">
        <f>'[4]17нед'!W139</f>
        <v>0</v>
      </c>
      <c r="G495" s="22">
        <f>'[4]17нед'!X139</f>
        <v>0</v>
      </c>
      <c r="H495" s="41"/>
      <c r="I495" s="54"/>
      <c r="J495" s="57"/>
      <c r="K495" s="14" t="s">
        <v>26</v>
      </c>
      <c r="L495" s="20">
        <f>'[4]18нед'!S139</f>
        <v>0</v>
      </c>
      <c r="M495" s="23">
        <f>'[4]18нед'!T139</f>
        <v>0</v>
      </c>
      <c r="N495" s="21">
        <f>'[4]18нед'!W139</f>
        <v>0</v>
      </c>
      <c r="O495" s="22">
        <f>'[4]18нед'!X139</f>
        <v>0</v>
      </c>
      <c r="P495" s="41"/>
    </row>
    <row r="496" spans="1:16" ht="31.2">
      <c r="A496" s="49"/>
      <c r="B496" s="52"/>
      <c r="C496" s="14" t="s">
        <v>27</v>
      </c>
      <c r="D496" s="20">
        <f>'[4]17нед'!S140</f>
        <v>0</v>
      </c>
      <c r="E496" s="23">
        <f>'[4]17нед'!T140</f>
        <v>0</v>
      </c>
      <c r="F496" s="21">
        <f>'[4]17нед'!W140</f>
        <v>0</v>
      </c>
      <c r="G496" s="22">
        <f>'[4]17нед'!X140</f>
        <v>0</v>
      </c>
      <c r="H496" s="41"/>
      <c r="I496" s="54"/>
      <c r="J496" s="57"/>
      <c r="K496" s="14" t="s">
        <v>27</v>
      </c>
      <c r="L496" s="20">
        <f>'[4]18нед'!S140</f>
        <v>0</v>
      </c>
      <c r="M496" s="23">
        <f>'[4]18нед'!T140</f>
        <v>0</v>
      </c>
      <c r="N496" s="21">
        <f>'[4]18нед'!W140</f>
        <v>0</v>
      </c>
      <c r="O496" s="22">
        <f>'[4]18нед'!X140</f>
        <v>0</v>
      </c>
      <c r="P496" s="41"/>
    </row>
    <row r="497" spans="1:16" ht="31.2">
      <c r="A497" s="49"/>
      <c r="B497" s="52"/>
      <c r="C497" s="14" t="s">
        <v>28</v>
      </c>
      <c r="D497" s="20">
        <f>'[4]17нед'!S141</f>
        <v>0</v>
      </c>
      <c r="E497" s="23">
        <f>'[4]17нед'!T141</f>
        <v>0</v>
      </c>
      <c r="F497" s="21">
        <f>'[4]17нед'!W141</f>
        <v>0</v>
      </c>
      <c r="G497" s="22">
        <f>'[4]17нед'!X141</f>
        <v>0</v>
      </c>
      <c r="H497" s="41"/>
      <c r="I497" s="54"/>
      <c r="J497" s="57"/>
      <c r="K497" s="14" t="s">
        <v>28</v>
      </c>
      <c r="L497" s="20">
        <f>'[4]18нед'!S141</f>
        <v>0</v>
      </c>
      <c r="M497" s="23">
        <f>'[4]18нед'!T141</f>
        <v>0</v>
      </c>
      <c r="N497" s="21">
        <f>'[4]18нед'!W141</f>
        <v>0</v>
      </c>
      <c r="O497" s="22">
        <f>'[4]18нед'!X141</f>
        <v>0</v>
      </c>
      <c r="P497" s="41"/>
    </row>
    <row r="498" spans="1:16" ht="31.8" thickBot="1">
      <c r="A498" s="49"/>
      <c r="B498" s="52"/>
      <c r="C498" s="14" t="s">
        <v>29</v>
      </c>
      <c r="D498" s="20">
        <f>'[4]17нед'!S142</f>
        <v>0</v>
      </c>
      <c r="E498" s="23">
        <f>'[4]17нед'!T142</f>
        <v>0</v>
      </c>
      <c r="F498" s="21">
        <f>'[4]17нед'!W142</f>
        <v>0</v>
      </c>
      <c r="G498" s="22">
        <f>'[4]17нед'!X142</f>
        <v>0</v>
      </c>
      <c r="H498" s="41"/>
      <c r="I498" s="54"/>
      <c r="J498" s="57"/>
      <c r="K498" s="14" t="s">
        <v>29</v>
      </c>
      <c r="L498" s="20">
        <f>'[4]18нед'!S142</f>
        <v>0</v>
      </c>
      <c r="M498" s="23">
        <f>'[4]18нед'!T142</f>
        <v>0</v>
      </c>
      <c r="N498" s="21">
        <f>'[4]18нед'!W142</f>
        <v>0</v>
      </c>
      <c r="O498" s="22">
        <f>'[4]18нед'!X142</f>
        <v>0</v>
      </c>
      <c r="P498" s="41"/>
    </row>
    <row r="499" spans="1:16" ht="18.600000000000001" hidden="1" thickBot="1">
      <c r="A499" s="50"/>
      <c r="B499" s="53"/>
      <c r="C499" s="15"/>
      <c r="D499" s="24">
        <f>'[4]17нед'!S143</f>
        <v>0</v>
      </c>
      <c r="E499" s="25">
        <f>'[4]17нед'!T143</f>
        <v>0</v>
      </c>
      <c r="F499" s="26">
        <f>'[4]17нед'!W143</f>
        <v>0</v>
      </c>
      <c r="G499" s="27">
        <f>'[4]17нед'!X143</f>
        <v>0</v>
      </c>
      <c r="H499" s="42"/>
      <c r="I499" s="55"/>
      <c r="J499" s="58"/>
      <c r="K499" s="15"/>
      <c r="L499" s="24">
        <f>'[4]18нед'!S143</f>
        <v>0</v>
      </c>
      <c r="M499" s="25">
        <f>'[4]18нед'!T143</f>
        <v>0</v>
      </c>
      <c r="N499" s="26">
        <f>'[4]18нед'!W143</f>
        <v>0</v>
      </c>
      <c r="O499" s="27">
        <f>'[4]18нед'!X143</f>
        <v>0</v>
      </c>
      <c r="P499" s="42"/>
    </row>
    <row r="500" spans="1:16" ht="32.25" customHeight="1" thickTop="1">
      <c r="A500" s="48">
        <v>46014</v>
      </c>
      <c r="B500" s="51" t="s">
        <v>1</v>
      </c>
      <c r="C500" s="28" t="s">
        <v>23</v>
      </c>
      <c r="D500" s="16">
        <f>'[4]17нед'!S144</f>
        <v>0</v>
      </c>
      <c r="E500" s="19">
        <f>'[4]17нед'!T144</f>
        <v>0</v>
      </c>
      <c r="F500" s="17">
        <f>'[4]17нед'!W144</f>
        <v>0</v>
      </c>
      <c r="G500" s="18">
        <f>'[4]17нед'!X144</f>
        <v>0</v>
      </c>
      <c r="H500" s="43"/>
      <c r="I500" s="48">
        <v>46021</v>
      </c>
      <c r="J500" s="56" t="s">
        <v>1</v>
      </c>
      <c r="K500" s="28" t="s">
        <v>23</v>
      </c>
      <c r="L500" s="16" t="str">
        <f>'[4]18нед'!S144</f>
        <v>пр</v>
      </c>
      <c r="M500" s="19" t="str">
        <f>'[4]18нед'!T144</f>
        <v xml:space="preserve"> Основы програмной инженерии</v>
      </c>
      <c r="N500" s="17" t="str">
        <f>'[4]18нед'!W144</f>
        <v>Алешов В.В.</v>
      </c>
      <c r="O500" s="18" t="str">
        <f>'[4]18нед'!X144</f>
        <v>преподаватель</v>
      </c>
      <c r="P500" s="43" t="s">
        <v>31</v>
      </c>
    </row>
    <row r="501" spans="1:16" ht="31.2">
      <c r="A501" s="49"/>
      <c r="B501" s="52"/>
      <c r="C501" s="14" t="s">
        <v>24</v>
      </c>
      <c r="D501" s="20">
        <f>'[4]17нед'!S145</f>
        <v>0</v>
      </c>
      <c r="E501" s="23">
        <f>'[4]17нед'!T145</f>
        <v>0</v>
      </c>
      <c r="F501" s="21">
        <f>'[4]17нед'!W145</f>
        <v>0</v>
      </c>
      <c r="G501" s="22">
        <f>'[4]17нед'!X145</f>
        <v>0</v>
      </c>
      <c r="H501" s="41"/>
      <c r="I501" s="54"/>
      <c r="J501" s="57"/>
      <c r="K501" s="14" t="s">
        <v>24</v>
      </c>
      <c r="L501" s="20" t="str">
        <f>'[4]18нед'!S145</f>
        <v>пр</v>
      </c>
      <c r="M501" s="23" t="str">
        <f>'[4]18нед'!T145</f>
        <v xml:space="preserve"> Основы програмной инженерии</v>
      </c>
      <c r="N501" s="21" t="str">
        <f>'[4]18нед'!W145</f>
        <v>Алешов В.В.</v>
      </c>
      <c r="O501" s="22" t="str">
        <f>'[4]18нед'!X145</f>
        <v>преподаватель</v>
      </c>
      <c r="P501" s="36" t="s">
        <v>31</v>
      </c>
    </row>
    <row r="502" spans="1:16" ht="36">
      <c r="A502" s="49"/>
      <c r="B502" s="52"/>
      <c r="C502" s="14" t="s">
        <v>25</v>
      </c>
      <c r="D502" s="20" t="str">
        <f>'[4]17нед'!S146</f>
        <v>пр</v>
      </c>
      <c r="E502" s="23" t="str">
        <f>'[4]17нед'!T146</f>
        <v>Теория систем и системный анализ</v>
      </c>
      <c r="F502" s="21" t="str">
        <f>'[4]17нед'!W146</f>
        <v>Гришин И.Ю.</v>
      </c>
      <c r="G502" s="22" t="str">
        <f>'[4]17нед'!X146</f>
        <v>профессор, д-р наук</v>
      </c>
      <c r="H502" s="36" t="s">
        <v>31</v>
      </c>
      <c r="I502" s="54"/>
      <c r="J502" s="57"/>
      <c r="K502" s="14" t="s">
        <v>25</v>
      </c>
      <c r="L502" s="20" t="str">
        <f>'[4]18нед'!S146</f>
        <v>пр</v>
      </c>
      <c r="M502" s="23" t="str">
        <f>'[4]18нед'!T146</f>
        <v>Теоретико-множественный и информационный анализ</v>
      </c>
      <c r="N502" s="21" t="str">
        <f>'[4]18нед'!W146</f>
        <v>Шерман М.И.</v>
      </c>
      <c r="O502" s="22" t="str">
        <f>'[4]18нед'!X146</f>
        <v>профессор, д-р наук</v>
      </c>
      <c r="P502" s="36" t="s">
        <v>31</v>
      </c>
    </row>
    <row r="503" spans="1:16" ht="36">
      <c r="A503" s="49"/>
      <c r="B503" s="52"/>
      <c r="C503" s="14" t="s">
        <v>26</v>
      </c>
      <c r="D503" s="20" t="str">
        <f>'[4]17нед'!S147</f>
        <v>пр</v>
      </c>
      <c r="E503" s="23" t="str">
        <f>'[4]17нед'!T147</f>
        <v>Применение методов искусственного интеллекта в анализе данных и управлении</v>
      </c>
      <c r="F503" s="21" t="str">
        <f>'[4]17нед'!W147</f>
        <v>Гришин И.Ю.</v>
      </c>
      <c r="G503" s="22" t="str">
        <f>'[4]17нед'!X147</f>
        <v>профессор, д-р наук</v>
      </c>
      <c r="H503" s="36" t="s">
        <v>31</v>
      </c>
      <c r="I503" s="54"/>
      <c r="J503" s="57"/>
      <c r="K503" s="14" t="s">
        <v>26</v>
      </c>
      <c r="L503" s="20">
        <f>'[4]18нед'!S147</f>
        <v>0</v>
      </c>
      <c r="M503" s="23">
        <f>'[4]18нед'!T147</f>
        <v>0</v>
      </c>
      <c r="N503" s="21">
        <f>'[4]18нед'!W147</f>
        <v>0</v>
      </c>
      <c r="O503" s="22">
        <f>'[4]18нед'!X147</f>
        <v>0</v>
      </c>
      <c r="P503" s="41"/>
    </row>
    <row r="504" spans="1:16" ht="31.2">
      <c r="A504" s="49"/>
      <c r="B504" s="52"/>
      <c r="C504" s="14" t="s">
        <v>27</v>
      </c>
      <c r="D504" s="20">
        <f>'[4]17нед'!S148</f>
        <v>0</v>
      </c>
      <c r="E504" s="23">
        <f>'[4]17нед'!T148</f>
        <v>0</v>
      </c>
      <c r="F504" s="21">
        <f>'[4]17нед'!W148</f>
        <v>0</v>
      </c>
      <c r="G504" s="22">
        <f>'[4]17нед'!X148</f>
        <v>0</v>
      </c>
      <c r="H504" s="41"/>
      <c r="I504" s="54"/>
      <c r="J504" s="57"/>
      <c r="K504" s="14" t="s">
        <v>27</v>
      </c>
      <c r="L504" s="20">
        <f>'[4]18нед'!S148</f>
        <v>0</v>
      </c>
      <c r="M504" s="23">
        <f>'[4]18нед'!T148</f>
        <v>0</v>
      </c>
      <c r="N504" s="21">
        <f>'[4]18нед'!W148</f>
        <v>0</v>
      </c>
      <c r="O504" s="22">
        <f>'[4]18нед'!X148</f>
        <v>0</v>
      </c>
      <c r="P504" s="41"/>
    </row>
    <row r="505" spans="1:16" ht="31.2">
      <c r="A505" s="49"/>
      <c r="B505" s="52"/>
      <c r="C505" s="14" t="s">
        <v>28</v>
      </c>
      <c r="D505" s="20">
        <f>'[4]17нед'!S149</f>
        <v>0</v>
      </c>
      <c r="E505" s="23">
        <f>'[4]17нед'!T149</f>
        <v>0</v>
      </c>
      <c r="F505" s="21">
        <f>'[4]17нед'!W149</f>
        <v>0</v>
      </c>
      <c r="G505" s="22">
        <f>'[4]17нед'!X149</f>
        <v>0</v>
      </c>
      <c r="H505" s="41"/>
      <c r="I505" s="54"/>
      <c r="J505" s="57"/>
      <c r="K505" s="14" t="s">
        <v>28</v>
      </c>
      <c r="L505" s="20">
        <f>'[4]18нед'!S149</f>
        <v>0</v>
      </c>
      <c r="M505" s="23">
        <f>'[4]18нед'!T149</f>
        <v>0</v>
      </c>
      <c r="N505" s="21">
        <f>'[4]18нед'!W149</f>
        <v>0</v>
      </c>
      <c r="O505" s="22">
        <f>'[4]18нед'!X149</f>
        <v>0</v>
      </c>
      <c r="P505" s="41"/>
    </row>
    <row r="506" spans="1:16" ht="31.8" thickBot="1">
      <c r="A506" s="49"/>
      <c r="B506" s="52"/>
      <c r="C506" s="14" t="s">
        <v>29</v>
      </c>
      <c r="D506" s="20">
        <f>'[4]17нед'!S150</f>
        <v>0</v>
      </c>
      <c r="E506" s="23">
        <f>'[4]17нед'!T150</f>
        <v>0</v>
      </c>
      <c r="F506" s="21">
        <f>'[4]17нед'!W150</f>
        <v>0</v>
      </c>
      <c r="G506" s="22">
        <f>'[4]17нед'!X150</f>
        <v>0</v>
      </c>
      <c r="H506" s="41"/>
      <c r="I506" s="54"/>
      <c r="J506" s="57"/>
      <c r="K506" s="14" t="s">
        <v>29</v>
      </c>
      <c r="L506" s="20">
        <f>'[4]18нед'!S150</f>
        <v>0</v>
      </c>
      <c r="M506" s="23">
        <f>'[4]18нед'!T150</f>
        <v>0</v>
      </c>
      <c r="N506" s="21">
        <f>'[4]18нед'!W150</f>
        <v>0</v>
      </c>
      <c r="O506" s="22">
        <f>'[4]18нед'!X150</f>
        <v>0</v>
      </c>
      <c r="P506" s="41"/>
    </row>
    <row r="507" spans="1:16" ht="18.600000000000001" hidden="1" thickBot="1">
      <c r="A507" s="50"/>
      <c r="B507" s="53"/>
      <c r="C507" s="15"/>
      <c r="D507" s="24">
        <f>'[4]17нед'!S151</f>
        <v>0</v>
      </c>
      <c r="E507" s="25">
        <f>'[4]17нед'!T151</f>
        <v>0</v>
      </c>
      <c r="F507" s="26">
        <f>'[4]17нед'!W151</f>
        <v>0</v>
      </c>
      <c r="G507" s="27">
        <f>'[4]17нед'!X151</f>
        <v>0</v>
      </c>
      <c r="H507" s="42"/>
      <c r="I507" s="55"/>
      <c r="J507" s="58"/>
      <c r="K507" s="15"/>
      <c r="L507" s="24">
        <f>'[4]18нед'!S151</f>
        <v>0</v>
      </c>
      <c r="M507" s="25">
        <f>'[4]18нед'!T151</f>
        <v>0</v>
      </c>
      <c r="N507" s="26">
        <f>'[4]18нед'!W151</f>
        <v>0</v>
      </c>
      <c r="O507" s="27">
        <f>'[4]18нед'!X151</f>
        <v>0</v>
      </c>
      <c r="P507" s="42"/>
    </row>
    <row r="508" spans="1:16" ht="48" customHeight="1" thickTop="1">
      <c r="A508" s="59">
        <v>46015</v>
      </c>
      <c r="B508" s="62" t="s">
        <v>2</v>
      </c>
      <c r="C508" s="28" t="s">
        <v>23</v>
      </c>
      <c r="D508" s="16">
        <f>'[4]17нед'!S152</f>
        <v>0</v>
      </c>
      <c r="E508" s="19">
        <f>'[4]17нед'!T152</f>
        <v>0</v>
      </c>
      <c r="F508" s="17">
        <f>'[4]17нед'!W152</f>
        <v>0</v>
      </c>
      <c r="G508" s="18">
        <f>'[4]17нед'!X152</f>
        <v>0</v>
      </c>
      <c r="H508" s="43"/>
      <c r="I508" s="59">
        <v>46022</v>
      </c>
      <c r="J508" s="65" t="s">
        <v>2</v>
      </c>
      <c r="K508" s="28" t="s">
        <v>23</v>
      </c>
      <c r="L508" s="16">
        <f>'[4]18нед'!S152</f>
        <v>0</v>
      </c>
      <c r="M508" s="19">
        <f>'[4]18нед'!T152</f>
        <v>0</v>
      </c>
      <c r="N508" s="17">
        <f>'[4]18нед'!W152</f>
        <v>0</v>
      </c>
      <c r="O508" s="18">
        <f>'[4]18нед'!X152</f>
        <v>0</v>
      </c>
      <c r="P508" s="43"/>
    </row>
    <row r="509" spans="1:16" ht="31.2">
      <c r="A509" s="60"/>
      <c r="B509" s="63"/>
      <c r="C509" s="14" t="s">
        <v>24</v>
      </c>
      <c r="D509" s="20">
        <f>'[4]17нед'!S153</f>
        <v>0</v>
      </c>
      <c r="E509" s="23">
        <f>'[4]17нед'!T153</f>
        <v>0</v>
      </c>
      <c r="F509" s="21">
        <f>'[4]17нед'!W153</f>
        <v>0</v>
      </c>
      <c r="G509" s="22">
        <f>'[4]17нед'!X153</f>
        <v>0</v>
      </c>
      <c r="H509" s="41"/>
      <c r="I509" s="60"/>
      <c r="J509" s="66"/>
      <c r="K509" s="14" t="s">
        <v>24</v>
      </c>
      <c r="L509" s="20">
        <f>'[4]18нед'!S153</f>
        <v>0</v>
      </c>
      <c r="M509" s="23">
        <f>'[4]18нед'!T153</f>
        <v>0</v>
      </c>
      <c r="N509" s="21">
        <f>'[4]18нед'!W153</f>
        <v>0</v>
      </c>
      <c r="O509" s="22">
        <f>'[4]18нед'!X153</f>
        <v>0</v>
      </c>
      <c r="P509" s="41"/>
    </row>
    <row r="510" spans="1:16" ht="36">
      <c r="A510" s="60"/>
      <c r="B510" s="63"/>
      <c r="C510" s="14" t="s">
        <v>25</v>
      </c>
      <c r="D510" s="20" t="str">
        <f>'[4]17нед'!S154</f>
        <v>л</v>
      </c>
      <c r="E510" s="23" t="str">
        <f>'[4]17нед'!T154</f>
        <v>Теоретико-множественный и информационный анализ</v>
      </c>
      <c r="F510" s="21" t="str">
        <f>'[4]17нед'!W154</f>
        <v>Шерман М.И.</v>
      </c>
      <c r="G510" s="22" t="str">
        <f>'[4]17нед'!X154</f>
        <v>профессор, д-р наук</v>
      </c>
      <c r="H510" s="36" t="s">
        <v>31</v>
      </c>
      <c r="I510" s="60"/>
      <c r="J510" s="66"/>
      <c r="K510" s="14" t="s">
        <v>25</v>
      </c>
      <c r="L510" s="20">
        <f>'[4]18нед'!S154</f>
        <v>0</v>
      </c>
      <c r="M510" s="23">
        <f>'[4]18нед'!T154</f>
        <v>0</v>
      </c>
      <c r="N510" s="21">
        <f>'[4]18нед'!W154</f>
        <v>0</v>
      </c>
      <c r="O510" s="22">
        <f>'[4]18нед'!X154</f>
        <v>0</v>
      </c>
      <c r="P510" s="41"/>
    </row>
    <row r="511" spans="1:16" ht="31.2">
      <c r="A511" s="60"/>
      <c r="B511" s="63"/>
      <c r="C511" s="14" t="s">
        <v>26</v>
      </c>
      <c r="D511" s="20" t="str">
        <f>'[4]17нед'!S155</f>
        <v>л</v>
      </c>
      <c r="E511" s="23" t="str">
        <f>'[4]17нед'!T155</f>
        <v>Управление ИТ-проектами</v>
      </c>
      <c r="F511" s="21" t="str">
        <f>'[4]17нед'!W155</f>
        <v>Линник И.И.</v>
      </c>
      <c r="G511" s="22" t="str">
        <f>'[4]17нед'!X155</f>
        <v>доцент, канд. наук</v>
      </c>
      <c r="H511" s="36" t="s">
        <v>31</v>
      </c>
      <c r="I511" s="60"/>
      <c r="J511" s="66"/>
      <c r="K511" s="14" t="s">
        <v>26</v>
      </c>
      <c r="L511" s="20">
        <f>'[4]18нед'!S155</f>
        <v>0</v>
      </c>
      <c r="M511" s="23">
        <f>'[4]18нед'!T155</f>
        <v>0</v>
      </c>
      <c r="N511" s="21">
        <f>'[4]18нед'!W155</f>
        <v>0</v>
      </c>
      <c r="O511" s="22">
        <f>'[4]18нед'!X155</f>
        <v>0</v>
      </c>
      <c r="P511" s="41"/>
    </row>
    <row r="512" spans="1:16" ht="31.2">
      <c r="A512" s="60"/>
      <c r="B512" s="63"/>
      <c r="C512" s="14" t="s">
        <v>27</v>
      </c>
      <c r="D512" s="20">
        <f>'[4]17нед'!S156</f>
        <v>0</v>
      </c>
      <c r="E512" s="23">
        <f>'[4]17нед'!T156</f>
        <v>0</v>
      </c>
      <c r="F512" s="21">
        <f>'[4]17нед'!W156</f>
        <v>0</v>
      </c>
      <c r="G512" s="22">
        <f>'[4]17нед'!X156</f>
        <v>0</v>
      </c>
      <c r="H512" s="41"/>
      <c r="I512" s="60"/>
      <c r="J512" s="66"/>
      <c r="K512" s="14" t="s">
        <v>27</v>
      </c>
      <c r="L512" s="20">
        <f>'[4]18нед'!S156</f>
        <v>0</v>
      </c>
      <c r="M512" s="23">
        <f>'[4]18нед'!T156</f>
        <v>0</v>
      </c>
      <c r="N512" s="21">
        <f>'[4]18нед'!W156</f>
        <v>0</v>
      </c>
      <c r="O512" s="22">
        <f>'[4]18нед'!X156</f>
        <v>0</v>
      </c>
      <c r="P512" s="41"/>
    </row>
    <row r="513" spans="1:16" ht="31.2">
      <c r="A513" s="60"/>
      <c r="B513" s="63"/>
      <c r="C513" s="14" t="s">
        <v>28</v>
      </c>
      <c r="D513" s="20">
        <f>'[4]17нед'!S157</f>
        <v>0</v>
      </c>
      <c r="E513" s="23">
        <f>'[4]17нед'!T157</f>
        <v>0</v>
      </c>
      <c r="F513" s="21">
        <f>'[4]17нед'!W157</f>
        <v>0</v>
      </c>
      <c r="G513" s="22">
        <f>'[4]17нед'!X157</f>
        <v>0</v>
      </c>
      <c r="H513" s="41"/>
      <c r="I513" s="60"/>
      <c r="J513" s="66"/>
      <c r="K513" s="14" t="s">
        <v>28</v>
      </c>
      <c r="L513" s="20">
        <f>'[4]18нед'!S157</f>
        <v>0</v>
      </c>
      <c r="M513" s="23">
        <f>'[4]18нед'!T157</f>
        <v>0</v>
      </c>
      <c r="N513" s="21">
        <f>'[4]18нед'!W157</f>
        <v>0</v>
      </c>
      <c r="O513" s="22">
        <f>'[4]18нед'!X157</f>
        <v>0</v>
      </c>
      <c r="P513" s="41"/>
    </row>
    <row r="514" spans="1:16" ht="31.8" thickBot="1">
      <c r="A514" s="60"/>
      <c r="B514" s="63"/>
      <c r="C514" s="14" t="s">
        <v>29</v>
      </c>
      <c r="D514" s="20">
        <f>'[4]17нед'!S158</f>
        <v>0</v>
      </c>
      <c r="E514" s="23">
        <f>'[4]17нед'!T158</f>
        <v>0</v>
      </c>
      <c r="F514" s="21">
        <f>'[4]17нед'!W158</f>
        <v>0</v>
      </c>
      <c r="G514" s="22">
        <f>'[4]17нед'!X158</f>
        <v>0</v>
      </c>
      <c r="H514" s="41"/>
      <c r="I514" s="60"/>
      <c r="J514" s="66"/>
      <c r="K514" s="14" t="s">
        <v>29</v>
      </c>
      <c r="L514" s="20">
        <f>'[4]18нед'!S158</f>
        <v>0</v>
      </c>
      <c r="M514" s="23">
        <f>'[4]18нед'!T158</f>
        <v>0</v>
      </c>
      <c r="N514" s="21">
        <f>'[4]18нед'!W158</f>
        <v>0</v>
      </c>
      <c r="O514" s="22">
        <f>'[4]18нед'!X158</f>
        <v>0</v>
      </c>
      <c r="P514" s="41"/>
    </row>
    <row r="515" spans="1:16" ht="18.600000000000001" hidden="1" thickBot="1">
      <c r="A515" s="61"/>
      <c r="B515" s="64"/>
      <c r="C515" s="15"/>
      <c r="D515" s="24">
        <f>'[4]17нед'!S159</f>
        <v>0</v>
      </c>
      <c r="E515" s="25">
        <f>'[4]17нед'!T159</f>
        <v>0</v>
      </c>
      <c r="F515" s="26">
        <f>'[4]17нед'!W159</f>
        <v>0</v>
      </c>
      <c r="G515" s="27">
        <f>'[4]17нед'!X159</f>
        <v>0</v>
      </c>
      <c r="H515" s="42"/>
      <c r="I515" s="61"/>
      <c r="J515" s="67"/>
      <c r="K515" s="15"/>
      <c r="L515" s="24">
        <f>'[4]18нед'!S159</f>
        <v>0</v>
      </c>
      <c r="M515" s="25">
        <f>'[4]18нед'!T159</f>
        <v>0</v>
      </c>
      <c r="N515" s="26">
        <f>'[4]18нед'!W159</f>
        <v>0</v>
      </c>
      <c r="O515" s="27">
        <f>'[4]18нед'!X159</f>
        <v>0</v>
      </c>
      <c r="P515" s="42"/>
    </row>
    <row r="516" spans="1:16" ht="48" customHeight="1" thickTop="1">
      <c r="A516" s="48">
        <v>46016</v>
      </c>
      <c r="B516" s="51" t="s">
        <v>3</v>
      </c>
      <c r="C516" s="28" t="s">
        <v>23</v>
      </c>
      <c r="D516" s="16">
        <f>'[4]17нед'!S160</f>
        <v>0</v>
      </c>
      <c r="E516" s="19">
        <f>'[4]17нед'!T160</f>
        <v>0</v>
      </c>
      <c r="F516" s="17">
        <f>'[4]17нед'!W160</f>
        <v>0</v>
      </c>
      <c r="G516" s="18">
        <f>'[4]17нед'!X160</f>
        <v>0</v>
      </c>
      <c r="H516" s="43"/>
      <c r="I516" s="48">
        <v>46023</v>
      </c>
      <c r="J516" s="56" t="s">
        <v>3</v>
      </c>
      <c r="K516" s="28" t="s">
        <v>23</v>
      </c>
      <c r="L516" s="16">
        <f>'[4]18нед'!S160</f>
        <v>0</v>
      </c>
      <c r="M516" s="19">
        <f>'[4]18нед'!T160</f>
        <v>0</v>
      </c>
      <c r="N516" s="17">
        <f>'[4]18нед'!W160</f>
        <v>0</v>
      </c>
      <c r="O516" s="18">
        <f>'[4]18нед'!X160</f>
        <v>0</v>
      </c>
      <c r="P516" s="43"/>
    </row>
    <row r="517" spans="1:16" ht="31.2">
      <c r="A517" s="49"/>
      <c r="B517" s="52"/>
      <c r="C517" s="14" t="s">
        <v>24</v>
      </c>
      <c r="D517" s="20" t="str">
        <f>'[4]17нед'!S161</f>
        <v>пр</v>
      </c>
      <c r="E517" s="23" t="str">
        <f>'[4]17нед'!T161</f>
        <v>Иностранный язык для специальных целей</v>
      </c>
      <c r="F517" s="21" t="str">
        <f>'[4]17нед'!W161</f>
        <v>Ермоленко И.И.</v>
      </c>
      <c r="G517" s="22" t="str">
        <f>'[4]17нед'!X161</f>
        <v>доцент, канд. наук</v>
      </c>
      <c r="H517" s="36" t="s">
        <v>30</v>
      </c>
      <c r="I517" s="54"/>
      <c r="J517" s="57"/>
      <c r="K517" s="14" t="s">
        <v>24</v>
      </c>
      <c r="L517" s="20">
        <f>'[4]18нед'!S161</f>
        <v>0</v>
      </c>
      <c r="M517" s="23">
        <f>'[4]18нед'!T161</f>
        <v>0</v>
      </c>
      <c r="N517" s="21">
        <f>'[4]18нед'!W161</f>
        <v>0</v>
      </c>
      <c r="O517" s="22">
        <f>'[4]18нед'!X161</f>
        <v>0</v>
      </c>
      <c r="P517" s="36"/>
    </row>
    <row r="518" spans="1:16" ht="31.2">
      <c r="A518" s="49"/>
      <c r="B518" s="52"/>
      <c r="C518" s="14" t="s">
        <v>25</v>
      </c>
      <c r="D518" s="20" t="str">
        <f>'[4]17нед'!S162</f>
        <v>л</v>
      </c>
      <c r="E518" s="23" t="str">
        <f>'[4]17нед'!T162</f>
        <v>Машинное обучение и анализ данных</v>
      </c>
      <c r="F518" s="21" t="str">
        <f>'[4]17нед'!W162</f>
        <v>Гришин И.Ю.</v>
      </c>
      <c r="G518" s="22" t="str">
        <f>'[4]17нед'!X162</f>
        <v>профессор, д-р наук</v>
      </c>
      <c r="H518" s="36" t="s">
        <v>31</v>
      </c>
      <c r="I518" s="54"/>
      <c r="J518" s="57"/>
      <c r="K518" s="14" t="s">
        <v>25</v>
      </c>
      <c r="L518" s="20">
        <f>'[4]18нед'!S162</f>
        <v>0</v>
      </c>
      <c r="M518" s="23">
        <f>'[4]18нед'!T162</f>
        <v>0</v>
      </c>
      <c r="N518" s="21">
        <f>'[4]18нед'!W162</f>
        <v>0</v>
      </c>
      <c r="O518" s="22">
        <f>'[4]18нед'!X162</f>
        <v>0</v>
      </c>
      <c r="P518" s="36"/>
    </row>
    <row r="519" spans="1:16" ht="31.2">
      <c r="A519" s="49"/>
      <c r="B519" s="52"/>
      <c r="C519" s="14" t="s">
        <v>26</v>
      </c>
      <c r="D519" s="20" t="str">
        <f>'[4]17нед'!S163</f>
        <v>л</v>
      </c>
      <c r="E519" s="23" t="str">
        <f>'[4]17нед'!T163</f>
        <v>Основы програмной инженерии</v>
      </c>
      <c r="F519" s="21" t="str">
        <f>'[4]17нед'!W163</f>
        <v>Круглый Д.Г.</v>
      </c>
      <c r="G519" s="22" t="str">
        <f>'[4]17нед'!X163</f>
        <v>профессор, д-р наук</v>
      </c>
      <c r="H519" s="36" t="s">
        <v>31</v>
      </c>
      <c r="I519" s="54"/>
      <c r="J519" s="57"/>
      <c r="K519" s="14" t="s">
        <v>26</v>
      </c>
      <c r="L519" s="20">
        <f>'[4]18нед'!S163</f>
        <v>0</v>
      </c>
      <c r="M519" s="23">
        <f>'[4]18нед'!T163</f>
        <v>0</v>
      </c>
      <c r="N519" s="21">
        <f>'[4]18нед'!W163</f>
        <v>0</v>
      </c>
      <c r="O519" s="22">
        <f>'[4]18нед'!X163</f>
        <v>0</v>
      </c>
      <c r="P519" s="41"/>
    </row>
    <row r="520" spans="1:16" ht="31.2">
      <c r="A520" s="49"/>
      <c r="B520" s="52"/>
      <c r="C520" s="14" t="s">
        <v>27</v>
      </c>
      <c r="D520" s="20">
        <f>'[4]17нед'!S164</f>
        <v>0</v>
      </c>
      <c r="E520" s="23">
        <f>'[4]17нед'!T164</f>
        <v>0</v>
      </c>
      <c r="F520" s="21">
        <f>'[4]17нед'!W164</f>
        <v>0</v>
      </c>
      <c r="G520" s="22">
        <f>'[4]17нед'!X164</f>
        <v>0</v>
      </c>
      <c r="H520" s="41"/>
      <c r="I520" s="54"/>
      <c r="J520" s="57"/>
      <c r="K520" s="14" t="s">
        <v>27</v>
      </c>
      <c r="L520" s="20">
        <f>'[4]18нед'!S164</f>
        <v>0</v>
      </c>
      <c r="M520" s="23">
        <f>'[4]18нед'!T164</f>
        <v>0</v>
      </c>
      <c r="N520" s="21">
        <f>'[4]18нед'!W164</f>
        <v>0</v>
      </c>
      <c r="O520" s="22">
        <f>'[4]18нед'!X164</f>
        <v>0</v>
      </c>
      <c r="P520" s="41"/>
    </row>
    <row r="521" spans="1:16" ht="31.2">
      <c r="A521" s="49"/>
      <c r="B521" s="52"/>
      <c r="C521" s="14" t="s">
        <v>28</v>
      </c>
      <c r="D521" s="20">
        <f>'[4]17нед'!S165</f>
        <v>0</v>
      </c>
      <c r="E521" s="23">
        <f>'[4]17нед'!T165</f>
        <v>0</v>
      </c>
      <c r="F521" s="21">
        <f>'[4]17нед'!W165</f>
        <v>0</v>
      </c>
      <c r="G521" s="22">
        <f>'[4]17нед'!X165</f>
        <v>0</v>
      </c>
      <c r="H521" s="41"/>
      <c r="I521" s="54"/>
      <c r="J521" s="57"/>
      <c r="K521" s="14" t="s">
        <v>28</v>
      </c>
      <c r="L521" s="20">
        <f>'[4]18нед'!S165</f>
        <v>0</v>
      </c>
      <c r="M521" s="23">
        <f>'[4]18нед'!T165</f>
        <v>0</v>
      </c>
      <c r="N521" s="21">
        <f>'[4]18нед'!W165</f>
        <v>0</v>
      </c>
      <c r="O521" s="22">
        <f>'[4]18нед'!X165</f>
        <v>0</v>
      </c>
      <c r="P521" s="41"/>
    </row>
    <row r="522" spans="1:16" ht="31.8" thickBot="1">
      <c r="A522" s="49"/>
      <c r="B522" s="52"/>
      <c r="C522" s="14" t="s">
        <v>29</v>
      </c>
      <c r="D522" s="20">
        <f>'[4]17нед'!S166</f>
        <v>0</v>
      </c>
      <c r="E522" s="23">
        <f>'[4]17нед'!T166</f>
        <v>0</v>
      </c>
      <c r="F522" s="21">
        <f>'[4]17нед'!W166</f>
        <v>0</v>
      </c>
      <c r="G522" s="22">
        <f>'[4]17нед'!X166</f>
        <v>0</v>
      </c>
      <c r="H522" s="41"/>
      <c r="I522" s="54"/>
      <c r="J522" s="57"/>
      <c r="K522" s="14" t="s">
        <v>29</v>
      </c>
      <c r="L522" s="20">
        <f>'[4]18нед'!S166</f>
        <v>0</v>
      </c>
      <c r="M522" s="23">
        <f>'[4]18нед'!T166</f>
        <v>0</v>
      </c>
      <c r="N522" s="21">
        <f>'[4]18нед'!W166</f>
        <v>0</v>
      </c>
      <c r="O522" s="22">
        <f>'[4]18нед'!X166</f>
        <v>0</v>
      </c>
      <c r="P522" s="41"/>
    </row>
    <row r="523" spans="1:16" ht="18.600000000000001" hidden="1" thickBot="1">
      <c r="A523" s="50"/>
      <c r="B523" s="53"/>
      <c r="C523" s="15"/>
      <c r="D523" s="24">
        <f>'[4]17нед'!S167</f>
        <v>0</v>
      </c>
      <c r="E523" s="25">
        <f>'[4]17нед'!T167</f>
        <v>0</v>
      </c>
      <c r="F523" s="26">
        <f>'[4]17нед'!W167</f>
        <v>0</v>
      </c>
      <c r="G523" s="27">
        <f>'[4]17нед'!X167</f>
        <v>0</v>
      </c>
      <c r="H523" s="42"/>
      <c r="I523" s="55"/>
      <c r="J523" s="58"/>
      <c r="K523" s="15"/>
      <c r="L523" s="24">
        <f>'[4]18нед'!S167</f>
        <v>0</v>
      </c>
      <c r="M523" s="25">
        <f>'[4]18нед'!T167</f>
        <v>0</v>
      </c>
      <c r="N523" s="26">
        <f>'[4]18нед'!W167</f>
        <v>0</v>
      </c>
      <c r="O523" s="27">
        <f>'[4]18нед'!X167</f>
        <v>0</v>
      </c>
      <c r="P523" s="42"/>
    </row>
    <row r="524" spans="1:16" ht="48" customHeight="1" thickTop="1">
      <c r="A524" s="48">
        <v>46017</v>
      </c>
      <c r="B524" s="51" t="s">
        <v>4</v>
      </c>
      <c r="C524" s="28" t="s">
        <v>23</v>
      </c>
      <c r="D524" s="16">
        <f>'[4]17нед'!S168</f>
        <v>0</v>
      </c>
      <c r="E524" s="19">
        <f>'[4]17нед'!T168</f>
        <v>0</v>
      </c>
      <c r="F524" s="17">
        <f>'[4]17нед'!W168</f>
        <v>0</v>
      </c>
      <c r="G524" s="18">
        <f>'[4]17нед'!X168</f>
        <v>0</v>
      </c>
      <c r="H524" s="43"/>
      <c r="I524" s="48">
        <v>46024</v>
      </c>
      <c r="J524" s="56" t="s">
        <v>4</v>
      </c>
      <c r="K524" s="28" t="s">
        <v>23</v>
      </c>
      <c r="L524" s="16">
        <f>'[4]18нед'!S168</f>
        <v>0</v>
      </c>
      <c r="M524" s="19">
        <f>'[4]18нед'!T168</f>
        <v>0</v>
      </c>
      <c r="N524" s="17">
        <f>'[4]18нед'!W168</f>
        <v>0</v>
      </c>
      <c r="O524" s="18">
        <f>'[4]18нед'!X168</f>
        <v>0</v>
      </c>
      <c r="P524" s="43"/>
    </row>
    <row r="525" spans="1:16" ht="31.2">
      <c r="A525" s="49"/>
      <c r="B525" s="52"/>
      <c r="C525" s="14" t="s">
        <v>24</v>
      </c>
      <c r="D525" s="20" t="str">
        <f>'[4]17нед'!S169</f>
        <v>л</v>
      </c>
      <c r="E525" s="23" t="str">
        <f>'[4]17нед'!T169</f>
        <v xml:space="preserve">Философия научного познания </v>
      </c>
      <c r="F525" s="21" t="str">
        <f>'[4]17нед'!W169</f>
        <v>Солодухин Д.В.</v>
      </c>
      <c r="G525" s="22" t="str">
        <f>'[4]17нед'!X169</f>
        <v>профессор, канд. наук</v>
      </c>
      <c r="H525" s="36" t="s">
        <v>32</v>
      </c>
      <c r="I525" s="54"/>
      <c r="J525" s="57"/>
      <c r="K525" s="14" t="s">
        <v>24</v>
      </c>
      <c r="L525" s="20">
        <f>'[4]18нед'!S169</f>
        <v>0</v>
      </c>
      <c r="M525" s="23">
        <f>'[4]18нед'!T169</f>
        <v>0</v>
      </c>
      <c r="N525" s="21">
        <f>'[4]18нед'!W169</f>
        <v>0</v>
      </c>
      <c r="O525" s="22">
        <f>'[4]18нед'!X169</f>
        <v>0</v>
      </c>
      <c r="P525" s="36"/>
    </row>
    <row r="526" spans="1:16" ht="36">
      <c r="A526" s="49"/>
      <c r="B526" s="52"/>
      <c r="C526" s="14" t="s">
        <v>25</v>
      </c>
      <c r="D526" s="20" t="str">
        <f>'[4]17нед'!S170</f>
        <v>л</v>
      </c>
      <c r="E526" s="23" t="str">
        <f>'[4]17нед'!T170</f>
        <v>Методология исследовательской деятельности</v>
      </c>
      <c r="F526" s="21" t="str">
        <f>'[4]17нед'!W170</f>
        <v>Гуменюк А.Ю.</v>
      </c>
      <c r="G526" s="22" t="str">
        <f>'[4]17нед'!X170</f>
        <v>доцент, канд. наук</v>
      </c>
      <c r="H526" s="36" t="s">
        <v>33</v>
      </c>
      <c r="I526" s="54"/>
      <c r="J526" s="57"/>
      <c r="K526" s="14" t="s">
        <v>25</v>
      </c>
      <c r="L526" s="20">
        <f>'[4]18нед'!S170</f>
        <v>0</v>
      </c>
      <c r="M526" s="23">
        <f>'[4]18нед'!T170</f>
        <v>0</v>
      </c>
      <c r="N526" s="21">
        <f>'[4]18нед'!W170</f>
        <v>0</v>
      </c>
      <c r="O526" s="22">
        <f>'[4]18нед'!X170</f>
        <v>0</v>
      </c>
      <c r="P526" s="36"/>
    </row>
    <row r="527" spans="1:16" ht="31.2">
      <c r="A527" s="49"/>
      <c r="B527" s="52"/>
      <c r="C527" s="14" t="s">
        <v>26</v>
      </c>
      <c r="D527" s="20">
        <f>'[4]17нед'!S171</f>
        <v>0</v>
      </c>
      <c r="E527" s="23">
        <f>'[4]17нед'!T171</f>
        <v>0</v>
      </c>
      <c r="F527" s="21">
        <f>'[4]17нед'!W171</f>
        <v>0</v>
      </c>
      <c r="G527" s="22">
        <f>'[4]17нед'!X171</f>
        <v>0</v>
      </c>
      <c r="H527" s="41"/>
      <c r="I527" s="54"/>
      <c r="J527" s="57"/>
      <c r="K527" s="14" t="s">
        <v>26</v>
      </c>
      <c r="L527" s="20">
        <f>'[4]18нед'!S171</f>
        <v>0</v>
      </c>
      <c r="M527" s="23">
        <f>'[4]18нед'!T171</f>
        <v>0</v>
      </c>
      <c r="N527" s="21">
        <f>'[4]18нед'!W171</f>
        <v>0</v>
      </c>
      <c r="O527" s="22">
        <f>'[4]18нед'!X171</f>
        <v>0</v>
      </c>
      <c r="P527" s="41"/>
    </row>
    <row r="528" spans="1:16" ht="31.2">
      <c r="A528" s="49"/>
      <c r="B528" s="52"/>
      <c r="C528" s="14" t="s">
        <v>27</v>
      </c>
      <c r="D528" s="20">
        <f>'[4]17нед'!S172</f>
        <v>0</v>
      </c>
      <c r="E528" s="23">
        <f>'[4]17нед'!T172</f>
        <v>0</v>
      </c>
      <c r="F528" s="21">
        <f>'[4]17нед'!W172</f>
        <v>0</v>
      </c>
      <c r="G528" s="22">
        <f>'[4]17нед'!X172</f>
        <v>0</v>
      </c>
      <c r="H528" s="41"/>
      <c r="I528" s="54"/>
      <c r="J528" s="57"/>
      <c r="K528" s="14" t="s">
        <v>27</v>
      </c>
      <c r="L528" s="20">
        <f>'[4]18нед'!S172</f>
        <v>0</v>
      </c>
      <c r="M528" s="23">
        <f>'[4]18нед'!T172</f>
        <v>0</v>
      </c>
      <c r="N528" s="21">
        <f>'[4]18нед'!W172</f>
        <v>0</v>
      </c>
      <c r="O528" s="22">
        <f>'[4]18нед'!X172</f>
        <v>0</v>
      </c>
      <c r="P528" s="41"/>
    </row>
    <row r="529" spans="1:16" ht="31.2">
      <c r="A529" s="49"/>
      <c r="B529" s="52"/>
      <c r="C529" s="14" t="s">
        <v>28</v>
      </c>
      <c r="D529" s="20">
        <f>'[4]17нед'!S173</f>
        <v>0</v>
      </c>
      <c r="E529" s="23">
        <f>'[4]17нед'!T173</f>
        <v>0</v>
      </c>
      <c r="F529" s="21">
        <f>'[4]17нед'!W173</f>
        <v>0</v>
      </c>
      <c r="G529" s="22">
        <f>'[4]17нед'!X173</f>
        <v>0</v>
      </c>
      <c r="H529" s="41"/>
      <c r="I529" s="54"/>
      <c r="J529" s="57"/>
      <c r="K529" s="14" t="s">
        <v>28</v>
      </c>
      <c r="L529" s="20">
        <f>'[4]18нед'!S173</f>
        <v>0</v>
      </c>
      <c r="M529" s="23">
        <f>'[4]18нед'!T173</f>
        <v>0</v>
      </c>
      <c r="N529" s="21">
        <f>'[4]18нед'!W173</f>
        <v>0</v>
      </c>
      <c r="O529" s="22">
        <f>'[4]18нед'!X173</f>
        <v>0</v>
      </c>
      <c r="P529" s="41"/>
    </row>
    <row r="530" spans="1:16" ht="31.8" thickBot="1">
      <c r="A530" s="49"/>
      <c r="B530" s="52"/>
      <c r="C530" s="14" t="s">
        <v>29</v>
      </c>
      <c r="D530" s="20">
        <f>'[4]17нед'!S174</f>
        <v>0</v>
      </c>
      <c r="E530" s="23">
        <f>'[4]17нед'!T174</f>
        <v>0</v>
      </c>
      <c r="F530" s="21">
        <f>'[4]17нед'!W174</f>
        <v>0</v>
      </c>
      <c r="G530" s="22">
        <f>'[4]17нед'!X174</f>
        <v>0</v>
      </c>
      <c r="H530" s="41"/>
      <c r="I530" s="54"/>
      <c r="J530" s="57"/>
      <c r="K530" s="14" t="s">
        <v>29</v>
      </c>
      <c r="L530" s="20">
        <f>'[4]18нед'!S174</f>
        <v>0</v>
      </c>
      <c r="M530" s="23">
        <f>'[4]18нед'!T174</f>
        <v>0</v>
      </c>
      <c r="N530" s="21">
        <f>'[4]18нед'!W174</f>
        <v>0</v>
      </c>
      <c r="O530" s="22">
        <f>'[4]18нед'!X174</f>
        <v>0</v>
      </c>
      <c r="P530" s="41"/>
    </row>
    <row r="531" spans="1:16" ht="18.600000000000001" hidden="1" thickBot="1">
      <c r="A531" s="50"/>
      <c r="B531" s="53"/>
      <c r="C531" s="15"/>
      <c r="D531" s="24">
        <f>'[4]17нед'!S175</f>
        <v>0</v>
      </c>
      <c r="E531" s="25">
        <f>'[4]17нед'!T175</f>
        <v>0</v>
      </c>
      <c r="F531" s="26">
        <f>'[4]17нед'!W175</f>
        <v>0</v>
      </c>
      <c r="G531" s="27">
        <f>'[4]17нед'!X175</f>
        <v>0</v>
      </c>
      <c r="H531" s="42"/>
      <c r="I531" s="55"/>
      <c r="J531" s="58"/>
      <c r="K531" s="15"/>
      <c r="L531" s="24">
        <f>'[4]18нед'!S175</f>
        <v>0</v>
      </c>
      <c r="M531" s="25">
        <f>'[4]18нед'!T175</f>
        <v>0</v>
      </c>
      <c r="N531" s="26">
        <f>'[4]18нед'!W175</f>
        <v>0</v>
      </c>
      <c r="O531" s="27">
        <f>'[4]18нед'!X175</f>
        <v>0</v>
      </c>
      <c r="P531" s="42"/>
    </row>
    <row r="532" spans="1:16" ht="48" customHeight="1" thickTop="1">
      <c r="A532" s="48">
        <v>46018</v>
      </c>
      <c r="B532" s="51" t="s">
        <v>5</v>
      </c>
      <c r="C532" s="28" t="s">
        <v>23</v>
      </c>
      <c r="D532" s="16" t="str">
        <f>'[4]17нед'!S176</f>
        <v>пр</v>
      </c>
      <c r="E532" s="19" t="str">
        <f>'[4]17нед'!T176</f>
        <v>Иностранный язык для специальных целей</v>
      </c>
      <c r="F532" s="17" t="str">
        <f>'[4]17нед'!W176</f>
        <v>Ермоленко И.И.</v>
      </c>
      <c r="G532" s="18" t="str">
        <f>'[4]17нед'!X176</f>
        <v>доцент, канд. наук</v>
      </c>
      <c r="H532" s="47" t="s">
        <v>30</v>
      </c>
      <c r="I532" s="48">
        <v>46025</v>
      </c>
      <c r="J532" s="56" t="s">
        <v>5</v>
      </c>
      <c r="K532" s="28" t="s">
        <v>23</v>
      </c>
      <c r="L532" s="16">
        <f>'[4]18нед'!S176</f>
        <v>0</v>
      </c>
      <c r="M532" s="19">
        <f>'[4]18нед'!T176</f>
        <v>0</v>
      </c>
      <c r="N532" s="17">
        <f>'[4]18нед'!W176</f>
        <v>0</v>
      </c>
      <c r="O532" s="18">
        <f>'[4]18нед'!X176</f>
        <v>0</v>
      </c>
      <c r="P532" s="43"/>
    </row>
    <row r="533" spans="1:16" ht="31.2">
      <c r="A533" s="49"/>
      <c r="B533" s="52"/>
      <c r="C533" s="14" t="s">
        <v>24</v>
      </c>
      <c r="D533" s="20" t="str">
        <f>'[4]17нед'!S177</f>
        <v>пр</v>
      </c>
      <c r="E533" s="23" t="str">
        <f>'[4]17нед'!T177</f>
        <v xml:space="preserve">Философия научного познания </v>
      </c>
      <c r="F533" s="21" t="str">
        <f>'[4]17нед'!W177</f>
        <v>Солодухин Д.В.</v>
      </c>
      <c r="G533" s="22" t="str">
        <f>'[4]17нед'!X177</f>
        <v>профессор, канд. наук</v>
      </c>
      <c r="H533" s="36" t="s">
        <v>34</v>
      </c>
      <c r="I533" s="54"/>
      <c r="J533" s="57"/>
      <c r="K533" s="14" t="s">
        <v>24</v>
      </c>
      <c r="L533" s="20">
        <f>'[4]18нед'!S177</f>
        <v>0</v>
      </c>
      <c r="M533" s="23">
        <f>'[4]18нед'!T177</f>
        <v>0</v>
      </c>
      <c r="N533" s="21">
        <f>'[4]18нед'!W177</f>
        <v>0</v>
      </c>
      <c r="O533" s="22">
        <f>'[4]18нед'!X177</f>
        <v>0</v>
      </c>
      <c r="P533" s="41"/>
    </row>
    <row r="534" spans="1:16" ht="36">
      <c r="A534" s="49"/>
      <c r="B534" s="52"/>
      <c r="C534" s="14" t="s">
        <v>25</v>
      </c>
      <c r="D534" s="20" t="str">
        <f>'[4]17нед'!S178</f>
        <v>пр</v>
      </c>
      <c r="E534" s="23" t="str">
        <f>'[4]17нед'!T178</f>
        <v>Методология исследовательской деятельности</v>
      </c>
      <c r="F534" s="21" t="str">
        <f>'[4]17нед'!W178</f>
        <v>Гуменюк А.Ю.</v>
      </c>
      <c r="G534" s="22" t="str">
        <f>'[4]17нед'!X178</f>
        <v>доцент, канд. наук</v>
      </c>
      <c r="H534" s="36" t="s">
        <v>35</v>
      </c>
      <c r="I534" s="54"/>
      <c r="J534" s="57"/>
      <c r="K534" s="14" t="s">
        <v>25</v>
      </c>
      <c r="L534" s="20">
        <f>'[4]18нед'!S178</f>
        <v>0</v>
      </c>
      <c r="M534" s="23">
        <f>'[4]18нед'!T178</f>
        <v>0</v>
      </c>
      <c r="N534" s="21">
        <f>'[4]18нед'!W178</f>
        <v>0</v>
      </c>
      <c r="O534" s="22">
        <f>'[4]18нед'!X178</f>
        <v>0</v>
      </c>
      <c r="P534" s="41"/>
    </row>
    <row r="535" spans="1:16" ht="31.2">
      <c r="A535" s="49"/>
      <c r="B535" s="52"/>
      <c r="C535" s="14" t="s">
        <v>26</v>
      </c>
      <c r="D535" s="20">
        <f>'[4]17нед'!S179</f>
        <v>0</v>
      </c>
      <c r="E535" s="23">
        <f>'[4]17нед'!T179</f>
        <v>0</v>
      </c>
      <c r="F535" s="21">
        <f>'[4]17нед'!W179</f>
        <v>0</v>
      </c>
      <c r="G535" s="22">
        <f>'[4]17нед'!X179</f>
        <v>0</v>
      </c>
      <c r="H535" s="41"/>
      <c r="I535" s="54"/>
      <c r="J535" s="57"/>
      <c r="K535" s="14" t="s">
        <v>26</v>
      </c>
      <c r="L535" s="20">
        <f>'[4]18нед'!S179</f>
        <v>0</v>
      </c>
      <c r="M535" s="23">
        <f>'[4]18нед'!T179</f>
        <v>0</v>
      </c>
      <c r="N535" s="21">
        <f>'[4]18нед'!W179</f>
        <v>0</v>
      </c>
      <c r="O535" s="22">
        <f>'[4]18нед'!X179</f>
        <v>0</v>
      </c>
      <c r="P535" s="41"/>
    </row>
    <row r="536" spans="1:16" ht="31.2">
      <c r="A536" s="49"/>
      <c r="B536" s="52"/>
      <c r="C536" s="14" t="s">
        <v>27</v>
      </c>
      <c r="D536" s="20">
        <f>'[4]17нед'!S180</f>
        <v>0</v>
      </c>
      <c r="E536" s="23">
        <f>'[4]17нед'!T180</f>
        <v>0</v>
      </c>
      <c r="F536" s="21">
        <f>'[4]17нед'!W180</f>
        <v>0</v>
      </c>
      <c r="G536" s="22">
        <f>'[4]17нед'!X180</f>
        <v>0</v>
      </c>
      <c r="H536" s="41"/>
      <c r="I536" s="54"/>
      <c r="J536" s="57"/>
      <c r="K536" s="14" t="s">
        <v>27</v>
      </c>
      <c r="L536" s="20">
        <f>'[4]18нед'!S180</f>
        <v>0</v>
      </c>
      <c r="M536" s="23">
        <f>'[4]18нед'!T180</f>
        <v>0</v>
      </c>
      <c r="N536" s="21">
        <f>'[4]18нед'!W180</f>
        <v>0</v>
      </c>
      <c r="O536" s="22">
        <f>'[4]18нед'!X180</f>
        <v>0</v>
      </c>
      <c r="P536" s="41"/>
    </row>
    <row r="537" spans="1:16" ht="31.2">
      <c r="A537" s="49"/>
      <c r="B537" s="52"/>
      <c r="C537" s="14" t="s">
        <v>28</v>
      </c>
      <c r="D537" s="20">
        <f>'[4]17нед'!S181</f>
        <v>0</v>
      </c>
      <c r="E537" s="23">
        <f>'[4]17нед'!T181</f>
        <v>0</v>
      </c>
      <c r="F537" s="21">
        <f>'[4]17нед'!W181</f>
        <v>0</v>
      </c>
      <c r="G537" s="22">
        <f>'[4]17нед'!X181</f>
        <v>0</v>
      </c>
      <c r="H537" s="41"/>
      <c r="I537" s="54"/>
      <c r="J537" s="57"/>
      <c r="K537" s="14" t="s">
        <v>28</v>
      </c>
      <c r="L537" s="20">
        <f>'[4]18нед'!S181</f>
        <v>0</v>
      </c>
      <c r="M537" s="23">
        <f>'[4]18нед'!T181</f>
        <v>0</v>
      </c>
      <c r="N537" s="21">
        <f>'[4]18нед'!W181</f>
        <v>0</v>
      </c>
      <c r="O537" s="22">
        <f>'[4]18нед'!X181</f>
        <v>0</v>
      </c>
      <c r="P537" s="41"/>
    </row>
    <row r="538" spans="1:16" ht="31.8" thickBot="1">
      <c r="A538" s="49"/>
      <c r="B538" s="52"/>
      <c r="C538" s="14" t="s">
        <v>29</v>
      </c>
      <c r="D538" s="20">
        <f>'[4]17нед'!S182</f>
        <v>0</v>
      </c>
      <c r="E538" s="23">
        <f>'[4]17нед'!T182</f>
        <v>0</v>
      </c>
      <c r="F538" s="21">
        <f>'[4]17нед'!W182</f>
        <v>0</v>
      </c>
      <c r="G538" s="22">
        <f>'[4]17нед'!X182</f>
        <v>0</v>
      </c>
      <c r="H538" s="41"/>
      <c r="I538" s="54"/>
      <c r="J538" s="57"/>
      <c r="K538" s="14" t="s">
        <v>29</v>
      </c>
      <c r="L538" s="20">
        <f>'[4]18нед'!S182</f>
        <v>0</v>
      </c>
      <c r="M538" s="23">
        <f>'[4]18нед'!T182</f>
        <v>0</v>
      </c>
      <c r="N538" s="21">
        <f>'[4]18нед'!W182</f>
        <v>0</v>
      </c>
      <c r="O538" s="22">
        <f>'[4]18нед'!X182</f>
        <v>0</v>
      </c>
      <c r="P538" s="41"/>
    </row>
    <row r="539" spans="1:16" ht="18.600000000000001" hidden="1" thickBot="1">
      <c r="A539" s="50"/>
      <c r="B539" s="53"/>
      <c r="C539" s="15"/>
      <c r="D539" s="24">
        <f>'[4]17нед'!S59</f>
        <v>0</v>
      </c>
      <c r="E539" s="25">
        <f>'[4]17нед'!T59</f>
        <v>0</v>
      </c>
      <c r="F539" s="26">
        <f>'[4]17нед'!W59</f>
        <v>0</v>
      </c>
      <c r="G539" s="27">
        <f>'[4]17нед'!X59</f>
        <v>0</v>
      </c>
      <c r="H539" s="42"/>
      <c r="I539" s="55"/>
      <c r="J539" s="58"/>
      <c r="K539" s="15"/>
      <c r="L539" s="24">
        <f>'[4]18нед'!S183</f>
        <v>0</v>
      </c>
      <c r="M539" s="25">
        <f>'[4]18нед'!T183</f>
        <v>0</v>
      </c>
      <c r="N539" s="26">
        <f>'[4]18нед'!W183</f>
        <v>0</v>
      </c>
      <c r="O539" s="27">
        <f>'[4]18нед'!X183</f>
        <v>0</v>
      </c>
      <c r="P539" s="42"/>
    </row>
    <row r="540" spans="1:16" ht="39" customHeight="1" thickTop="1">
      <c r="A540" s="29"/>
      <c r="B540" s="30"/>
      <c r="C540" s="31"/>
      <c r="D540" s="32"/>
      <c r="E540" s="32" t="s">
        <v>21</v>
      </c>
      <c r="F540" s="32"/>
      <c r="G540" s="33" t="s">
        <v>22</v>
      </c>
      <c r="H540" s="44"/>
      <c r="I540" s="29"/>
      <c r="J540" s="30"/>
      <c r="K540" s="31"/>
      <c r="L540" s="32"/>
      <c r="M540" s="32" t="s">
        <v>21</v>
      </c>
      <c r="N540" s="32"/>
      <c r="O540" s="33" t="s">
        <v>22</v>
      </c>
      <c r="P540" s="44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H517" r:id="rId1"/>
    <hyperlink ref="H457" r:id="rId2"/>
    <hyperlink ref="P457" r:id="rId3"/>
    <hyperlink ref="H397" r:id="rId4"/>
    <hyperlink ref="P397" r:id="rId5"/>
    <hyperlink ref="H337" r:id="rId6"/>
    <hyperlink ref="P337" r:id="rId7"/>
    <hyperlink ref="H277" r:id="rId8"/>
    <hyperlink ref="P277" r:id="rId9"/>
    <hyperlink ref="H217" r:id="rId10"/>
    <hyperlink ref="P217" r:id="rId11"/>
    <hyperlink ref="H157" r:id="rId12"/>
    <hyperlink ref="P157" r:id="rId13"/>
    <hyperlink ref="H97" r:id="rId14"/>
    <hyperlink ref="P97" r:id="rId15"/>
    <hyperlink ref="H37" r:id="rId16"/>
    <hyperlink ref="P37" r:id="rId17"/>
    <hyperlink ref="H22" r:id="rId18"/>
    <hyperlink ref="H23" r:id="rId19"/>
    <hyperlink ref="P21:P22" r:id="rId20" display="https://max.ru/join/M7wDISGvmShFMnRwwNWABqv4bmIdPah2zAI1ryedWA4"/>
    <hyperlink ref="P12:P14" r:id="rId21" display="https://max.ru/join/M7wDISGvmShFMnRwwNWABqv4bmIdPah2zAI1ryedWA4"/>
    <hyperlink ref="H30:H31" r:id="rId22" display="https://max.ru/join/M7wDISGvmShFMnRwwNWABqv4bmIdPah2zAI1ryedWA4"/>
    <hyperlink ref="P38" r:id="rId23"/>
    <hyperlink ref="H38:H39" r:id="rId24" display="https://max.ru/join/M7wDISGvmShFMnRwwNWABqv4bmIdPah2zAI1ryedWA4"/>
    <hyperlink ref="H82:H83" r:id="rId25" display="https://max.ru/join/M7wDISGvmShFMnRwwNWABqv4bmIdPah2zAI1ryedWA4"/>
    <hyperlink ref="H90:H91" r:id="rId26" display="https://max.ru/join/M7wDISGvmShFMnRwwNWABqv4bmIdPah2zAI1ryedWA4"/>
    <hyperlink ref="H98:H99" r:id="rId27" display="https://max.ru/join/M7wDISGvmShFMnRwwNWABqv4bmIdPah2zAI1ryedWA4"/>
    <hyperlink ref="H142:H143" r:id="rId28" display="https://max.ru/join/M7wDISGvmShFMnRwwNWABqv4bmIdPah2zAI1ryedWA4"/>
    <hyperlink ref="P141:P142" r:id="rId29" display="https://max.ru/join/M7wDISGvmShFMnRwwNWABqv4bmIdPah2zAI1ryedWA4"/>
    <hyperlink ref="P132:P134" r:id="rId30" display="https://max.ru/join/M7wDISGvmShFMnRwwNWABqv4bmIdPah2zAI1ryedWA4"/>
    <hyperlink ref="H150:H151" r:id="rId31" display="https://max.ru/join/M7wDISGvmShFMnRwwNWABqv4bmIdPah2zAI1ryedWA4"/>
    <hyperlink ref="P158" r:id="rId32"/>
    <hyperlink ref="H158:H159" r:id="rId33" display="https://max.ru/join/M7wDISGvmShFMnRwwNWABqv4bmIdPah2zAI1ryedWA4"/>
    <hyperlink ref="H202:H203" r:id="rId34" display="https://max.ru/join/M7wDISGvmShFMnRwwNWABqv4bmIdPah2zAI1ryedWA4"/>
    <hyperlink ref="H210:H211" r:id="rId35" display="https://max.ru/join/M7wDISGvmShFMnRwwNWABqv4bmIdPah2zAI1ryedWA4"/>
    <hyperlink ref="H218:H219" r:id="rId36" display="https://max.ru/join/M7wDISGvmShFMnRwwNWABqv4bmIdPah2zAI1ryedWA4"/>
    <hyperlink ref="H262:H263" r:id="rId37" display="https://max.ru/join/M7wDISGvmShFMnRwwNWABqv4bmIdPah2zAI1ryedWA4"/>
    <hyperlink ref="P252:P254" r:id="rId38" display="https://max.ru/join/M7wDISGvmShFMnRwwNWABqv4bmIdPah2zAI1ryedWA4"/>
    <hyperlink ref="P261:P262" r:id="rId39" display="https://max.ru/join/M7wDISGvmShFMnRwwNWABqv4bmIdPah2zAI1ryedWA4"/>
    <hyperlink ref="H270:H271" r:id="rId40" display="https://max.ru/join/M7wDISGvmShFMnRwwNWABqv4bmIdPah2zAI1ryedWA4"/>
    <hyperlink ref="H278:H279" r:id="rId41" display="https://max.ru/join/M7wDISGvmShFMnRwwNWABqv4bmIdPah2zAI1ryedWA4"/>
    <hyperlink ref="P278" r:id="rId42"/>
    <hyperlink ref="H322:H323" r:id="rId43" display="https://max.ru/join/M7wDISGvmShFMnRwwNWABqv4bmIdPah2zAI1ryedWA4"/>
    <hyperlink ref="H330:H331" r:id="rId44" display="https://max.ru/join/M7wDISGvmShFMnRwwNWABqv4bmIdPah2zAI1ryedWA4"/>
    <hyperlink ref="H338:H339" r:id="rId45" display="https://max.ru/join/M7wDISGvmShFMnRwwNWABqv4bmIdPah2zAI1ryedWA4"/>
    <hyperlink ref="H382:H383" r:id="rId46" display="https://max.ru/join/M7wDISGvmShFMnRwwNWABqv4bmIdPah2zAI1ryedWA4"/>
    <hyperlink ref="P372:P374" r:id="rId47" display="https://max.ru/join/M7wDISGvmShFMnRwwNWABqv4bmIdPah2zAI1ryedWA4"/>
    <hyperlink ref="P381:P382" r:id="rId48" display="https://max.ru/join/M7wDISGvmShFMnRwwNWABqv4bmIdPah2zAI1ryedWA4"/>
    <hyperlink ref="H390:H391" r:id="rId49" display="https://max.ru/join/M7wDISGvmShFMnRwwNWABqv4bmIdPah2zAI1ryedWA4"/>
    <hyperlink ref="H398:H399" r:id="rId50" display="https://max.ru/join/M7wDISGvmShFMnRwwNWABqv4bmIdPah2zAI1ryedWA4"/>
    <hyperlink ref="P398" r:id="rId51"/>
    <hyperlink ref="H442:H443" r:id="rId52" display="https://max.ru/join/M7wDISGvmShFMnRwwNWABqv4bmIdPah2zAI1ryedWA4"/>
    <hyperlink ref="H450:H451" r:id="rId53" display="https://max.ru/join/M7wDISGvmShFMnRwwNWABqv4bmIdPah2zAI1ryedWA4"/>
    <hyperlink ref="H458:H459" r:id="rId54" display="https://max.ru/join/M7wDISGvmShFMnRwwNWABqv4bmIdPah2zAI1ryedWA4"/>
    <hyperlink ref="H464" r:id="rId55"/>
    <hyperlink ref="P464" r:id="rId56"/>
    <hyperlink ref="P493:P494" r:id="rId57" display="https://max.ru/join/M7wDISGvmShFMnRwwNWABqv4bmIdPah2zAI1ryedWA4"/>
    <hyperlink ref="P501:P502" r:id="rId58" display="https://max.ru/join/M7wDISGvmShFMnRwwNWABqv4bmIdPah2zAI1ryedWA4"/>
    <hyperlink ref="H502:H503" r:id="rId59" display="https://max.ru/join/M7wDISGvmShFMnRwwNWABqv4bmIdPah2zAI1ryedWA4"/>
    <hyperlink ref="H510:H511" r:id="rId60" display="https://max.ru/join/M7wDISGvmShFMnRwwNWABqv4bmIdPah2zAI1ryedWA4"/>
    <hyperlink ref="H518:H519" r:id="rId61" display="https://max.ru/join/M7wDISGvmShFMnRwwNWABqv4bmIdPah2zAI1ryedWA4"/>
    <hyperlink ref="H45" r:id="rId62"/>
    <hyperlink ref="H46" r:id="rId63"/>
    <hyperlink ref="H105" r:id="rId64"/>
    <hyperlink ref="H106" r:id="rId65"/>
    <hyperlink ref="H165" r:id="rId66"/>
    <hyperlink ref="H166" r:id="rId67"/>
    <hyperlink ref="H225" r:id="rId68"/>
    <hyperlink ref="H226" r:id="rId69"/>
    <hyperlink ref="H345" r:id="rId70"/>
    <hyperlink ref="H346" r:id="rId71"/>
    <hyperlink ref="H405" r:id="rId72"/>
    <hyperlink ref="H406" r:id="rId73"/>
    <hyperlink ref="H465" r:id="rId74"/>
    <hyperlink ref="H466" r:id="rId75"/>
    <hyperlink ref="P465" r:id="rId76"/>
    <hyperlink ref="P466" r:id="rId77"/>
    <hyperlink ref="P405" r:id="rId78"/>
    <hyperlink ref="P406" r:id="rId79"/>
    <hyperlink ref="P345" r:id="rId80"/>
    <hyperlink ref="P346" r:id="rId81"/>
    <hyperlink ref="P285" r:id="rId82"/>
    <hyperlink ref="P286" r:id="rId83"/>
    <hyperlink ref="P225" r:id="rId84"/>
    <hyperlink ref="P226" r:id="rId85"/>
    <hyperlink ref="P165" r:id="rId86"/>
    <hyperlink ref="P166" r:id="rId87"/>
    <hyperlink ref="P45" r:id="rId88"/>
    <hyperlink ref="P46" r:id="rId89"/>
    <hyperlink ref="P105" r:id="rId90"/>
    <hyperlink ref="P106" r:id="rId91"/>
    <hyperlink ref="H525" r:id="rId92"/>
    <hyperlink ref="H526" r:id="rId93"/>
    <hyperlink ref="H285" r:id="rId94"/>
    <hyperlink ref="H286" r:id="rId95"/>
    <hyperlink ref="P500" r:id="rId96"/>
    <hyperlink ref="H532" r:id="rId97"/>
    <hyperlink ref="H533" r:id="rId98"/>
    <hyperlink ref="H534" r:id="rId99"/>
    <hyperlink ref="P20" r:id="rId100"/>
    <hyperlink ref="P29" r:id="rId101"/>
    <hyperlink ref="P30" r:id="rId102"/>
    <hyperlink ref="P31" r:id="rId103"/>
    <hyperlink ref="P39" r:id="rId104"/>
    <hyperlink ref="P54" r:id="rId105"/>
    <hyperlink ref="P55" r:id="rId106"/>
    <hyperlink ref="P56" r:id="rId107"/>
    <hyperlink ref="P72" r:id="rId108"/>
    <hyperlink ref="P73" r:id="rId109"/>
    <hyperlink ref="P74" r:id="rId110"/>
    <hyperlink ref="H72" r:id="rId111"/>
    <hyperlink ref="H73" r:id="rId112"/>
    <hyperlink ref="P80" r:id="rId113"/>
    <hyperlink ref="P81" r:id="rId114"/>
    <hyperlink ref="P89" r:id="rId115"/>
    <hyperlink ref="P90" r:id="rId116"/>
    <hyperlink ref="P91" r:id="rId117"/>
    <hyperlink ref="P98" r:id="rId118"/>
    <hyperlink ref="P99" r:id="rId119"/>
    <hyperlink ref="P114" r:id="rId120"/>
    <hyperlink ref="P115" r:id="rId121"/>
    <hyperlink ref="P116" r:id="rId122"/>
    <hyperlink ref="H132" r:id="rId123"/>
    <hyperlink ref="H133" r:id="rId124"/>
    <hyperlink ref="P140" r:id="rId125"/>
    <hyperlink ref="P192" r:id="rId126"/>
    <hyperlink ref="P193" r:id="rId127"/>
    <hyperlink ref="P194" r:id="rId128"/>
    <hyperlink ref="P200" r:id="rId129"/>
    <hyperlink ref="P201" r:id="rId130"/>
    <hyperlink ref="P209" r:id="rId131"/>
    <hyperlink ref="P211" r:id="rId132"/>
    <hyperlink ref="P218" r:id="rId133"/>
    <hyperlink ref="P219" r:id="rId134"/>
    <hyperlink ref="P234" r:id="rId135"/>
    <hyperlink ref="P235" r:id="rId136"/>
    <hyperlink ref="P236" r:id="rId137"/>
    <hyperlink ref="P237" r:id="rId138"/>
    <hyperlink ref="P269" r:id="rId139"/>
    <hyperlink ref="P270" r:id="rId140"/>
    <hyperlink ref="P271" r:id="rId141"/>
    <hyperlink ref="P294" r:id="rId142"/>
    <hyperlink ref="P295" r:id="rId143"/>
    <hyperlink ref="P296" r:id="rId144"/>
    <hyperlink ref="P297" r:id="rId145"/>
    <hyperlink ref="P312" r:id="rId146"/>
    <hyperlink ref="P313" r:id="rId147"/>
    <hyperlink ref="P314" r:id="rId148"/>
    <hyperlink ref="P320" r:id="rId149"/>
    <hyperlink ref="P321" r:id="rId150"/>
    <hyperlink ref="P329" r:id="rId151"/>
    <hyperlink ref="P330" r:id="rId152"/>
    <hyperlink ref="P331" r:id="rId153"/>
    <hyperlink ref="P338" r:id="rId154"/>
    <hyperlink ref="P354" r:id="rId155"/>
    <hyperlink ref="P355" r:id="rId156"/>
    <hyperlink ref="P356" r:id="rId157"/>
    <hyperlink ref="P357" r:id="rId158"/>
    <hyperlink ref="P380" r:id="rId159"/>
    <hyperlink ref="P389" r:id="rId160"/>
    <hyperlink ref="P390" r:id="rId161"/>
    <hyperlink ref="P391" r:id="rId162"/>
    <hyperlink ref="P392" r:id="rId163"/>
    <hyperlink ref="P433" r:id="rId164"/>
    <hyperlink ref="P434" r:id="rId165"/>
    <hyperlink ref="P432" r:id="rId166"/>
    <hyperlink ref="P440" r:id="rId167"/>
    <hyperlink ref="P441" r:id="rId168"/>
    <hyperlink ref="P449:P451" r:id="rId169" display="https://max.ru/join/M7wDISGvmShFMnRwwNWABqv4bmIdPah2zAI1ryedWA4"/>
    <hyperlink ref="P458:P459" r:id="rId170" display="https://max.ru/join/M7wDISGvmShFMnRwwNWABqv4bmIdPah2zAI1ryedWA4"/>
    <hyperlink ref="P399" r:id="rId171"/>
  </hyperlinks>
  <pageMargins left="0.70866141732283472" right="0.70866141732283472" top="0.74803149606299213" bottom="0.74803149606299213" header="0.31496062992125984" footer="0.31496062992125984"/>
  <pageSetup paperSize="9" scale="34" orientation="portrait" r:id="rId172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7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12-25РПм</vt:lpstr>
      <vt:lpstr>'12-25РПм'!Область_печати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Виктория</dc:creator>
  <cp:lastModifiedBy>root</cp:lastModifiedBy>
  <cp:lastPrinted>2025-09-18T10:48:00Z</cp:lastPrinted>
  <dcterms:created xsi:type="dcterms:W3CDTF">2019-11-04T14:27:48Z</dcterms:created>
  <dcterms:modified xsi:type="dcterms:W3CDTF">2025-11-22T11:08:55Z</dcterms:modified>
  <cp:contentStatus/>
</cp:coreProperties>
</file>